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\OneDrive\Documents\2018\Prestige\Report\Math IIC\"/>
    </mc:Choice>
  </mc:AlternateContent>
  <xr:revisionPtr revIDLastSave="0" documentId="13_ncr:1_{F683B26B-0BE4-4421-8396-C33F0A67CA2B}" xr6:coauthVersionLast="36" xr6:coauthVersionMax="36" xr10:uidLastSave="{00000000-0000-0000-0000-000000000000}"/>
  <bookViews>
    <workbookView xWindow="1728" yWindow="3468" windowWidth="15372" windowHeight="8328" tabRatio="694" activeTab="1" xr2:uid="{A0ABC798-39BE-4EC1-9CDC-5F22FBA5DEB9}"/>
  </bookViews>
  <sheets>
    <sheet name="StudentAnswers" sheetId="2" r:id="rId1"/>
    <sheet name="Report" sheetId="13" r:id="rId2"/>
    <sheet name="AllAns" sheetId="9" state="hidden" r:id="rId3"/>
    <sheet name="CatData" sheetId="14" state="hidden" r:id="rId4"/>
    <sheet name="AnswerKey" sheetId="7" state="hidden" r:id="rId5"/>
    <sheet name="Info" sheetId="8" r:id="rId6"/>
  </sheets>
  <functionGroups builtInGroupCount="19"/>
  <externalReferences>
    <externalReference r:id="rId7"/>
    <externalReference r:id="rId8"/>
  </externalReferences>
  <definedNames>
    <definedName name="_xlnm._FilterDatabase" localSheetId="2" hidden="1">AllAns!$A$1:$A$1</definedName>
    <definedName name="A2A">[1]A2!$1:$1048576</definedName>
    <definedName name="A5Info">[1]A5!$1:$7</definedName>
    <definedName name="AK">[1]!Table3[#All]</definedName>
    <definedName name="ALL">[1]A3!$1:$1048576</definedName>
    <definedName name="ALY">[2]!Table6[#All]</definedName>
    <definedName name="Cat_All">CatData!$42:$81</definedName>
    <definedName name="Cat_Data">CatData!$1:$90</definedName>
    <definedName name="Cat_O">CatData!$1:$41</definedName>
    <definedName name="CID">[1]!Table1[#All]</definedName>
    <definedName name="CT">[1]A4!$A$1:$B$101</definedName>
    <definedName name="CTR">[1]A4!$D$1:$E$101</definedName>
    <definedName name="LOGA">[1]A1!$1:$1048576</definedName>
    <definedName name="S_Answers">StudentAnswers!$1:$1048576</definedName>
    <definedName name="SCALE">[1]!Table4[#Data]</definedName>
    <definedName name="Scalomg">[1]!Table4[#Data]</definedName>
    <definedName name="SID">[1]!Table2[#All]</definedName>
    <definedName name="StudentID">[1]!Table2[#All]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B204" i="13" l="1"/>
  <c r="AB205" i="13"/>
  <c r="AB206" i="13"/>
  <c r="AB207" i="13"/>
  <c r="AB208" i="13"/>
  <c r="AB209" i="13"/>
  <c r="AB210" i="13"/>
  <c r="AB211" i="13"/>
  <c r="AB212" i="13"/>
  <c r="AB213" i="13"/>
  <c r="AB214" i="13"/>
  <c r="AB215" i="13"/>
  <c r="AB216" i="13"/>
  <c r="AB217" i="13"/>
  <c r="AB218" i="13"/>
  <c r="AB219" i="13"/>
  <c r="AB220" i="13"/>
  <c r="AB221" i="13"/>
  <c r="AB222" i="13"/>
  <c r="AB223" i="13"/>
  <c r="AB224" i="13"/>
  <c r="AB225" i="13"/>
  <c r="AB226" i="13"/>
  <c r="AB227" i="13"/>
  <c r="AB228" i="13"/>
  <c r="AB229" i="13"/>
  <c r="AB230" i="13"/>
  <c r="AB231" i="13"/>
  <c r="AB232" i="13"/>
  <c r="AB233" i="13"/>
  <c r="AB234" i="13"/>
  <c r="AB203" i="13"/>
  <c r="AB170" i="13"/>
  <c r="AB171" i="13"/>
  <c r="AB172" i="13"/>
  <c r="AB173" i="13"/>
  <c r="AB174" i="13"/>
  <c r="AB175" i="13"/>
  <c r="AB176" i="13"/>
  <c r="AB177" i="13"/>
  <c r="AB178" i="13"/>
  <c r="AB179" i="13"/>
  <c r="AB180" i="13"/>
  <c r="AB181" i="13"/>
  <c r="AB182" i="13"/>
  <c r="AB183" i="13"/>
  <c r="AB184" i="13"/>
  <c r="AB185" i="13"/>
  <c r="AB186" i="13"/>
  <c r="AB187" i="13"/>
  <c r="AB188" i="13"/>
  <c r="AB189" i="13"/>
  <c r="AB190" i="13"/>
  <c r="AB191" i="13"/>
  <c r="AB192" i="13"/>
  <c r="AB193" i="13"/>
  <c r="AB194" i="13"/>
  <c r="AB195" i="13"/>
  <c r="AB196" i="13"/>
  <c r="AB197" i="13"/>
  <c r="AB198" i="13"/>
  <c r="AB199" i="13"/>
  <c r="AB200" i="13"/>
  <c r="AB201" i="13"/>
  <c r="AB202" i="13"/>
  <c r="AB169" i="13"/>
  <c r="AB168" i="13"/>
  <c r="AB167" i="13"/>
  <c r="AB166" i="13"/>
  <c r="AB165" i="13"/>
  <c r="AB164" i="13"/>
  <c r="AB163" i="13"/>
  <c r="AB162" i="13"/>
  <c r="AB161" i="13"/>
  <c r="AB160" i="13"/>
  <c r="AB159" i="13"/>
  <c r="AB158" i="13"/>
  <c r="AB157" i="13"/>
  <c r="AB156" i="13"/>
  <c r="AB155" i="13"/>
  <c r="AB154" i="13"/>
  <c r="AB153" i="13"/>
  <c r="AB152" i="13"/>
  <c r="AB151" i="13"/>
  <c r="AB150" i="13"/>
  <c r="AB149" i="13"/>
  <c r="AB148" i="13"/>
  <c r="AB147" i="13"/>
  <c r="AB146" i="13"/>
  <c r="AB145" i="13"/>
  <c r="AB144" i="13"/>
  <c r="AB143" i="13"/>
  <c r="AB142" i="13"/>
  <c r="AB141" i="13"/>
  <c r="AB140" i="13"/>
  <c r="AB139" i="13"/>
  <c r="AB138" i="13"/>
  <c r="AB137" i="13"/>
  <c r="AB136" i="13"/>
  <c r="AB135" i="13"/>
  <c r="AA8" i="13" l="1" a="1"/>
  <c r="AA8" i="13" s="1"/>
  <c r="J55" i="13" l="1"/>
  <c r="W31" i="13" l="1"/>
  <c r="W32" i="13"/>
  <c r="W33" i="13"/>
  <c r="W34" i="13"/>
  <c r="W35" i="13"/>
  <c r="W30" i="13"/>
  <c r="U101" i="13" l="1"/>
  <c r="U102" i="13"/>
  <c r="U103" i="13"/>
  <c r="U104" i="13"/>
  <c r="U105" i="13"/>
  <c r="U106" i="13"/>
  <c r="U107" i="13"/>
  <c r="U108" i="13"/>
  <c r="U109" i="13"/>
  <c r="U110" i="13"/>
  <c r="U111" i="13"/>
  <c r="U112" i="13"/>
  <c r="U113" i="13"/>
  <c r="U114" i="13"/>
  <c r="U115" i="13"/>
  <c r="U116" i="13"/>
  <c r="U117" i="13"/>
  <c r="U118" i="13"/>
  <c r="U119" i="13"/>
  <c r="U120" i="13"/>
  <c r="U121" i="13"/>
  <c r="U122" i="13"/>
  <c r="U123" i="13"/>
  <c r="U124" i="13"/>
  <c r="U125" i="13"/>
  <c r="U126" i="13"/>
  <c r="U100" i="13"/>
  <c r="S100" i="13" s="1"/>
  <c r="D129" i="13" l="1"/>
  <c r="D130" i="13"/>
  <c r="D131" i="13"/>
  <c r="D132" i="13"/>
  <c r="D133" i="13"/>
  <c r="D134" i="13"/>
  <c r="D135" i="13"/>
  <c r="D136" i="13"/>
  <c r="D137" i="13"/>
  <c r="U127" i="13"/>
  <c r="U128" i="13"/>
  <c r="U129" i="13"/>
  <c r="U130" i="13"/>
  <c r="U131" i="13"/>
  <c r="U132" i="13"/>
  <c r="U133" i="13"/>
  <c r="U134" i="13"/>
  <c r="U135" i="13"/>
  <c r="U136" i="13"/>
  <c r="U137" i="13"/>
  <c r="S127" i="13"/>
  <c r="W127" i="13" s="1"/>
  <c r="S128" i="13"/>
  <c r="S129" i="13"/>
  <c r="S130" i="13"/>
  <c r="S131" i="13"/>
  <c r="S132" i="13"/>
  <c r="S133" i="13"/>
  <c r="S134" i="13"/>
  <c r="W134" i="13" s="1"/>
  <c r="S135" i="13"/>
  <c r="S136" i="13"/>
  <c r="S137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00" i="13"/>
  <c r="S104" i="13"/>
  <c r="S107" i="13"/>
  <c r="S112" i="13"/>
  <c r="S115" i="13"/>
  <c r="S120" i="13"/>
  <c r="S123" i="13"/>
  <c r="S101" i="13"/>
  <c r="S102" i="13"/>
  <c r="S103" i="13"/>
  <c r="S105" i="13"/>
  <c r="S106" i="13"/>
  <c r="S108" i="13"/>
  <c r="S109" i="13"/>
  <c r="S110" i="13"/>
  <c r="S111" i="13"/>
  <c r="S113" i="13"/>
  <c r="S114" i="13"/>
  <c r="S116" i="13"/>
  <c r="S117" i="13"/>
  <c r="S118" i="13"/>
  <c r="S119" i="13"/>
  <c r="S121" i="13"/>
  <c r="S122" i="13"/>
  <c r="S124" i="13"/>
  <c r="S125" i="13"/>
  <c r="S126" i="13"/>
  <c r="O31" i="13"/>
  <c r="O32" i="13"/>
  <c r="O33" i="13"/>
  <c r="O34" i="13"/>
  <c r="O35" i="13"/>
  <c r="O30" i="13"/>
  <c r="W128" i="13" l="1"/>
  <c r="W135" i="13"/>
  <c r="W136" i="13"/>
  <c r="W132" i="13"/>
  <c r="W133" i="13"/>
  <c r="W131" i="13"/>
  <c r="W130" i="13"/>
  <c r="W137" i="13"/>
  <c r="W129" i="13"/>
  <c r="S56" i="13"/>
  <c r="S57" i="13"/>
  <c r="S58" i="13"/>
  <c r="S59" i="13"/>
  <c r="S60" i="13"/>
  <c r="S61" i="13"/>
  <c r="S62" i="13"/>
  <c r="S63" i="13"/>
  <c r="S64" i="13"/>
  <c r="S65" i="13"/>
  <c r="S66" i="13"/>
  <c r="S67" i="13"/>
  <c r="S68" i="13"/>
  <c r="S69" i="13"/>
  <c r="S70" i="13"/>
  <c r="S71" i="13"/>
  <c r="S72" i="13"/>
  <c r="S73" i="13"/>
  <c r="S74" i="13"/>
  <c r="S75" i="13"/>
  <c r="S76" i="13"/>
  <c r="S77" i="13"/>
  <c r="S78" i="13"/>
  <c r="S79" i="13"/>
  <c r="S80" i="13"/>
  <c r="S81" i="13"/>
  <c r="S82" i="13"/>
  <c r="S83" i="13"/>
  <c r="S84" i="13"/>
  <c r="S85" i="13"/>
  <c r="S86" i="13"/>
  <c r="S55" i="13"/>
  <c r="K56" i="13"/>
  <c r="K57" i="13"/>
  <c r="K58" i="13"/>
  <c r="K59" i="13"/>
  <c r="K60" i="13"/>
  <c r="K61" i="13"/>
  <c r="K62" i="13"/>
  <c r="K63" i="13"/>
  <c r="K64" i="13"/>
  <c r="K65" i="13"/>
  <c r="K66" i="13"/>
  <c r="K67" i="13"/>
  <c r="K68" i="13"/>
  <c r="K69" i="13"/>
  <c r="K70" i="13"/>
  <c r="K71" i="13"/>
  <c r="K72" i="13"/>
  <c r="K73" i="13"/>
  <c r="K74" i="13"/>
  <c r="K75" i="13"/>
  <c r="K76" i="13"/>
  <c r="K77" i="13"/>
  <c r="K78" i="13"/>
  <c r="K79" i="13"/>
  <c r="K80" i="13"/>
  <c r="K81" i="13"/>
  <c r="K82" i="13"/>
  <c r="K83" i="13"/>
  <c r="K84" i="13"/>
  <c r="K85" i="13"/>
  <c r="K86" i="13"/>
  <c r="K87" i="13"/>
  <c r="K88" i="13"/>
  <c r="K55" i="13"/>
  <c r="C56" i="13"/>
  <c r="C57" i="13"/>
  <c r="C58" i="13"/>
  <c r="C59" i="13"/>
  <c r="C60" i="13"/>
  <c r="C61" i="13"/>
  <c r="C62" i="13"/>
  <c r="C63" i="13"/>
  <c r="C64" i="13"/>
  <c r="C65" i="13"/>
  <c r="C66" i="13"/>
  <c r="C67" i="13"/>
  <c r="C68" i="13"/>
  <c r="C69" i="13"/>
  <c r="C70" i="13"/>
  <c r="C71" i="13"/>
  <c r="C72" i="13"/>
  <c r="C73" i="13"/>
  <c r="C74" i="13"/>
  <c r="C75" i="13"/>
  <c r="C76" i="13"/>
  <c r="C77" i="13"/>
  <c r="C78" i="13"/>
  <c r="C79" i="13"/>
  <c r="C80" i="13"/>
  <c r="C81" i="13"/>
  <c r="C82" i="13"/>
  <c r="C83" i="13"/>
  <c r="C84" i="13"/>
  <c r="C85" i="13"/>
  <c r="C86" i="13"/>
  <c r="C87" i="13"/>
  <c r="C88" i="13"/>
  <c r="C55" i="13"/>
  <c r="O50" i="13" l="1"/>
  <c r="Q50" i="13"/>
  <c r="U50" i="13"/>
  <c r="X50" i="13"/>
  <c r="W7" i="13"/>
  <c r="AB8" i="13" l="1"/>
  <c r="AA9" i="13" l="1" a="1"/>
  <c r="AA9" i="13" s="1"/>
  <c r="AB9" i="13" s="1"/>
  <c r="AA10" i="13" a="1"/>
  <c r="AA10" i="13" s="1"/>
  <c r="AB10" i="13" s="1"/>
  <c r="AA11" i="13" a="1"/>
  <c r="AA11" i="13" s="1"/>
  <c r="AB11" i="13" s="1"/>
  <c r="AA12" i="13" a="1"/>
  <c r="AA12" i="13" s="1"/>
  <c r="AB12" i="13" s="1"/>
  <c r="AA13" i="13" a="1"/>
  <c r="AA13" i="13" s="1"/>
  <c r="AB13" i="13" s="1"/>
  <c r="AA14" i="13" a="1"/>
  <c r="AA14" i="13" s="1"/>
  <c r="AB14" i="13" s="1"/>
  <c r="AA15" i="13" a="1"/>
  <c r="AA15" i="13" s="1"/>
  <c r="AB15" i="13" s="1"/>
  <c r="AA16" i="13" a="1"/>
  <c r="AA16" i="13" s="1"/>
  <c r="AB16" i="13" s="1"/>
  <c r="AA17" i="13" a="1"/>
  <c r="AA17" i="13" s="1"/>
  <c r="AB17" i="13" s="1"/>
  <c r="AA18" i="13" a="1"/>
  <c r="AA18" i="13" s="1"/>
  <c r="AB18" i="13" s="1"/>
  <c r="AA19" i="13" a="1"/>
  <c r="AA19" i="13" s="1"/>
  <c r="AB19" i="13" s="1"/>
  <c r="AA20" i="13" a="1"/>
  <c r="AA20" i="13" s="1"/>
  <c r="AB20" i="13" s="1"/>
  <c r="AA21" i="13" a="1"/>
  <c r="AA21" i="13" s="1"/>
  <c r="AB21" i="13" s="1"/>
  <c r="AA22" i="13" a="1"/>
  <c r="AA22" i="13" s="1"/>
  <c r="AB22" i="13" s="1"/>
  <c r="AA23" i="13" a="1"/>
  <c r="AA23" i="13" s="1"/>
  <c r="AB23" i="13" s="1"/>
  <c r="AA24" i="13" a="1"/>
  <c r="AA24" i="13" s="1"/>
  <c r="AB24" i="13" s="1"/>
  <c r="AA25" i="13" a="1"/>
  <c r="AA25" i="13" s="1"/>
  <c r="AB25" i="13" s="1"/>
  <c r="AA26" i="13" a="1"/>
  <c r="AA26" i="13" s="1"/>
  <c r="AB26" i="13" s="1"/>
  <c r="AA27" i="13" a="1"/>
  <c r="AA27" i="13" s="1"/>
  <c r="AB27" i="13" s="1"/>
  <c r="AC9" i="13" l="1"/>
  <c r="AC10" i="13"/>
  <c r="AC11" i="13"/>
  <c r="AC12" i="13"/>
  <c r="AC14" i="13"/>
  <c r="AC15" i="13"/>
  <c r="AC16" i="13"/>
  <c r="AC17" i="13"/>
  <c r="AC18" i="13"/>
  <c r="AC19" i="13"/>
  <c r="AC20" i="13"/>
  <c r="AC21" i="13"/>
  <c r="AC22" i="13"/>
  <c r="AC23" i="13"/>
  <c r="AC24" i="13"/>
  <c r="AC25" i="13"/>
  <c r="AC26" i="13"/>
  <c r="AC27" i="13"/>
  <c r="AC8" i="13"/>
  <c r="AC13" i="13" l="1"/>
  <c r="R56" i="13"/>
  <c r="R57" i="13"/>
  <c r="R58" i="13"/>
  <c r="R59" i="13"/>
  <c r="R60" i="13"/>
  <c r="R61" i="13"/>
  <c r="R62" i="13"/>
  <c r="R63" i="13"/>
  <c r="R64" i="13"/>
  <c r="R65" i="13"/>
  <c r="R66" i="13"/>
  <c r="R67" i="13"/>
  <c r="R68" i="13"/>
  <c r="R69" i="13"/>
  <c r="R70" i="13"/>
  <c r="R71" i="13"/>
  <c r="R72" i="13"/>
  <c r="R73" i="13"/>
  <c r="R74" i="13"/>
  <c r="R75" i="13"/>
  <c r="R76" i="13"/>
  <c r="R77" i="13"/>
  <c r="R78" i="13"/>
  <c r="R79" i="13"/>
  <c r="R80" i="13"/>
  <c r="R81" i="13"/>
  <c r="R82" i="13"/>
  <c r="R83" i="13"/>
  <c r="R84" i="13"/>
  <c r="R85" i="13"/>
  <c r="R86" i="13"/>
  <c r="R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B80" i="13"/>
  <c r="B81" i="13"/>
  <c r="B82" i="13"/>
  <c r="B83" i="13"/>
  <c r="B84" i="13"/>
  <c r="B85" i="13"/>
  <c r="B86" i="13"/>
  <c r="B87" i="13"/>
  <c r="B88" i="13"/>
  <c r="B55" i="13"/>
  <c r="P56" i="13" l="1"/>
  <c r="P57" i="13"/>
  <c r="P58" i="13"/>
  <c r="P59" i="13"/>
  <c r="P55" i="13"/>
  <c r="T30" i="7" l="1"/>
  <c r="W101" i="13"/>
  <c r="W102" i="13"/>
  <c r="W103" i="13"/>
  <c r="W104" i="13"/>
  <c r="W105" i="13"/>
  <c r="W106" i="13"/>
  <c r="W107" i="13"/>
  <c r="W108" i="13"/>
  <c r="W109" i="13"/>
  <c r="W110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X34" i="13" l="1"/>
  <c r="X33" i="13"/>
  <c r="X35" i="13"/>
  <c r="X32" i="13"/>
  <c r="W100" i="13"/>
  <c r="X30" i="13" s="1"/>
  <c r="W111" i="13"/>
  <c r="X31" i="13" s="1"/>
  <c r="Y42" i="13" l="1"/>
  <c r="O42" i="13" s="1" a="1"/>
  <c r="O42" i="13" s="1"/>
  <c r="Y41" i="13"/>
  <c r="O41" i="13" s="1" a="1"/>
  <c r="O41" i="13" s="1"/>
  <c r="Y38" i="13"/>
  <c r="O38" i="13" s="1" a="1"/>
  <c r="O38" i="13" s="1"/>
  <c r="Y39" i="13"/>
  <c r="O39" i="13" s="1" a="1"/>
  <c r="O39" i="13" s="1"/>
  <c r="Y40" i="13"/>
  <c r="O40" i="13" s="1" a="1"/>
  <c r="O40" i="13" s="1"/>
  <c r="S9" i="13"/>
  <c r="S10" i="13" l="1"/>
  <c r="U100" i="8" l="1"/>
  <c r="AD22" i="13" l="1"/>
  <c r="AD10" i="13"/>
  <c r="AD11" i="13"/>
  <c r="AD26" i="13"/>
  <c r="AD13" i="13"/>
  <c r="AD18" i="13"/>
  <c r="AD16" i="13"/>
  <c r="AD17" i="13"/>
  <c r="AD8" i="13"/>
  <c r="AD24" i="13"/>
  <c r="AD23" i="13"/>
  <c r="AD12" i="13"/>
  <c r="AD14" i="13"/>
  <c r="AD15" i="13"/>
  <c r="AD19" i="13"/>
  <c r="AD20" i="13"/>
  <c r="AD9" i="13"/>
  <c r="AD21" i="13"/>
  <c r="AD25" i="13"/>
  <c r="AD27" i="13"/>
  <c r="Q4" i="13" l="1"/>
  <c r="X94" i="13"/>
  <c r="U94" i="13"/>
  <c r="O94" i="13"/>
  <c r="W97" i="13"/>
  <c r="AI100" i="13" l="1"/>
  <c r="U56" i="13" s="1"/>
  <c r="AI108" i="13"/>
  <c r="U64" i="13" s="1"/>
  <c r="AI116" i="13"/>
  <c r="U72" i="13" s="1"/>
  <c r="AI124" i="13"/>
  <c r="U80" i="13" s="1"/>
  <c r="AF105" i="13"/>
  <c r="M61" i="13" s="1"/>
  <c r="AF113" i="13"/>
  <c r="M69" i="13" s="1"/>
  <c r="AF121" i="13"/>
  <c r="M77" i="13" s="1"/>
  <c r="AF129" i="13"/>
  <c r="M85" i="13" s="1"/>
  <c r="AC105" i="13"/>
  <c r="E61" i="13" s="1"/>
  <c r="AC113" i="13"/>
  <c r="E69" i="13" s="1"/>
  <c r="AC121" i="13"/>
  <c r="E77" i="13" s="1"/>
  <c r="AC129" i="13"/>
  <c r="E85" i="13" s="1"/>
  <c r="AF103" i="13"/>
  <c r="M59" i="13" s="1"/>
  <c r="AI101" i="13"/>
  <c r="U57" i="13" s="1"/>
  <c r="AI109" i="13"/>
  <c r="U65" i="13" s="1"/>
  <c r="AI117" i="13"/>
  <c r="U73" i="13" s="1"/>
  <c r="AI125" i="13"/>
  <c r="U81" i="13" s="1"/>
  <c r="AF106" i="13"/>
  <c r="M62" i="13" s="1"/>
  <c r="AF114" i="13"/>
  <c r="M70" i="13" s="1"/>
  <c r="AF122" i="13"/>
  <c r="M78" i="13" s="1"/>
  <c r="AF130" i="13"/>
  <c r="M86" i="13" s="1"/>
  <c r="AC106" i="13"/>
  <c r="E62" i="13" s="1"/>
  <c r="AC114" i="13"/>
  <c r="E70" i="13" s="1"/>
  <c r="AC122" i="13"/>
  <c r="E78" i="13" s="1"/>
  <c r="AC130" i="13"/>
  <c r="E86" i="13" s="1"/>
  <c r="AF104" i="13"/>
  <c r="M60" i="13" s="1"/>
  <c r="AI102" i="13"/>
  <c r="U58" i="13" s="1"/>
  <c r="AI110" i="13"/>
  <c r="U66" i="13" s="1"/>
  <c r="AI118" i="13"/>
  <c r="U74" i="13" s="1"/>
  <c r="AI126" i="13"/>
  <c r="U82" i="13" s="1"/>
  <c r="AF107" i="13"/>
  <c r="M63" i="13" s="1"/>
  <c r="AF115" i="13"/>
  <c r="M71" i="13" s="1"/>
  <c r="AF123" i="13"/>
  <c r="M79" i="13" s="1"/>
  <c r="AF131" i="13"/>
  <c r="M87" i="13" s="1"/>
  <c r="AC107" i="13"/>
  <c r="E63" i="13" s="1"/>
  <c r="AC115" i="13"/>
  <c r="E71" i="13" s="1"/>
  <c r="AC123" i="13"/>
  <c r="E79" i="13" s="1"/>
  <c r="AC131" i="13"/>
  <c r="E87" i="13" s="1"/>
  <c r="AC100" i="13"/>
  <c r="E56" i="13" s="1"/>
  <c r="AI103" i="13"/>
  <c r="U59" i="13" s="1"/>
  <c r="AI111" i="13"/>
  <c r="U67" i="13" s="1"/>
  <c r="AI119" i="13"/>
  <c r="U75" i="13" s="1"/>
  <c r="AI127" i="13"/>
  <c r="U83" i="13" s="1"/>
  <c r="AF108" i="13"/>
  <c r="M64" i="13" s="1"/>
  <c r="AF116" i="13"/>
  <c r="M72" i="13" s="1"/>
  <c r="AF124" i="13"/>
  <c r="M80" i="13" s="1"/>
  <c r="AF132" i="13"/>
  <c r="M88" i="13" s="1"/>
  <c r="AC108" i="13"/>
  <c r="E64" i="13" s="1"/>
  <c r="AC116" i="13"/>
  <c r="E72" i="13" s="1"/>
  <c r="AC124" i="13"/>
  <c r="E80" i="13" s="1"/>
  <c r="AC132" i="13"/>
  <c r="E88" i="13" s="1"/>
  <c r="AC99" i="13"/>
  <c r="AI104" i="13"/>
  <c r="U60" i="13" s="1"/>
  <c r="AI112" i="13"/>
  <c r="U68" i="13" s="1"/>
  <c r="AI120" i="13"/>
  <c r="U76" i="13" s="1"/>
  <c r="AI128" i="13"/>
  <c r="U84" i="13" s="1"/>
  <c r="AF109" i="13"/>
  <c r="M65" i="13" s="1"/>
  <c r="AF117" i="13"/>
  <c r="M73" i="13" s="1"/>
  <c r="AF125" i="13"/>
  <c r="M81" i="13" s="1"/>
  <c r="AC101" i="13"/>
  <c r="E57" i="13" s="1"/>
  <c r="AC109" i="13"/>
  <c r="E65" i="13" s="1"/>
  <c r="AC117" i="13"/>
  <c r="E73" i="13" s="1"/>
  <c r="AC125" i="13"/>
  <c r="E81" i="13" s="1"/>
  <c r="AF99" i="13"/>
  <c r="M55" i="13" s="1"/>
  <c r="AI105" i="13"/>
  <c r="U61" i="13" s="1"/>
  <c r="AI113" i="13"/>
  <c r="U69" i="13" s="1"/>
  <c r="AI121" i="13"/>
  <c r="U77" i="13" s="1"/>
  <c r="AI129" i="13"/>
  <c r="U85" i="13" s="1"/>
  <c r="AF110" i="13"/>
  <c r="M66" i="13" s="1"/>
  <c r="AF118" i="13"/>
  <c r="M74" i="13" s="1"/>
  <c r="AF126" i="13"/>
  <c r="M82" i="13" s="1"/>
  <c r="AC102" i="13"/>
  <c r="E58" i="13" s="1"/>
  <c r="AC110" i="13"/>
  <c r="E66" i="13" s="1"/>
  <c r="AC118" i="13"/>
  <c r="E74" i="13" s="1"/>
  <c r="AC126" i="13"/>
  <c r="E82" i="13" s="1"/>
  <c r="AF100" i="13"/>
  <c r="M56" i="13" s="1"/>
  <c r="AI106" i="13"/>
  <c r="U62" i="13" s="1"/>
  <c r="AI114" i="13"/>
  <c r="U70" i="13" s="1"/>
  <c r="AI122" i="13"/>
  <c r="U78" i="13" s="1"/>
  <c r="AI130" i="13"/>
  <c r="U86" i="13" s="1"/>
  <c r="AF111" i="13"/>
  <c r="M67" i="13" s="1"/>
  <c r="AF119" i="13"/>
  <c r="M75" i="13" s="1"/>
  <c r="AF127" i="13"/>
  <c r="M83" i="13" s="1"/>
  <c r="AC103" i="13"/>
  <c r="E59" i="13" s="1"/>
  <c r="AC111" i="13"/>
  <c r="E67" i="13" s="1"/>
  <c r="AC119" i="13"/>
  <c r="E75" i="13" s="1"/>
  <c r="AC127" i="13"/>
  <c r="E83" i="13" s="1"/>
  <c r="AF101" i="13"/>
  <c r="M57" i="13" s="1"/>
  <c r="AI107" i="13"/>
  <c r="U63" i="13" s="1"/>
  <c r="AI115" i="13"/>
  <c r="U71" i="13" s="1"/>
  <c r="AI123" i="13"/>
  <c r="U79" i="13" s="1"/>
  <c r="AI99" i="13"/>
  <c r="U55" i="13" s="1"/>
  <c r="AF112" i="13"/>
  <c r="M68" i="13" s="1"/>
  <c r="AF120" i="13"/>
  <c r="M76" i="13" s="1"/>
  <c r="AF128" i="13"/>
  <c r="M84" i="13" s="1"/>
  <c r="AC104" i="13"/>
  <c r="E60" i="13" s="1"/>
  <c r="AC112" i="13"/>
  <c r="E68" i="13" s="1"/>
  <c r="AC120" i="13"/>
  <c r="E76" i="13" s="1"/>
  <c r="AC128" i="13"/>
  <c r="E84" i="13" s="1"/>
  <c r="AF102" i="13"/>
  <c r="M58" i="13" s="1"/>
  <c r="Q94" i="13"/>
  <c r="W53" i="13"/>
  <c r="E55" i="13" l="1"/>
  <c r="O129" i="13"/>
  <c r="O137" i="13"/>
  <c r="M136" i="13"/>
  <c r="O132" i="13"/>
  <c r="O127" i="13"/>
  <c r="M132" i="13"/>
  <c r="O135" i="13"/>
  <c r="M128" i="13"/>
  <c r="O136" i="13"/>
  <c r="O130" i="13"/>
  <c r="M129" i="13"/>
  <c r="M137" i="13"/>
  <c r="M131" i="13"/>
  <c r="O133" i="13"/>
  <c r="O128" i="13"/>
  <c r="O134" i="13"/>
  <c r="M133" i="13"/>
  <c r="M135" i="13"/>
  <c r="O131" i="13"/>
  <c r="M130" i="13"/>
  <c r="M127" i="13"/>
  <c r="M134" i="13"/>
  <c r="O101" i="13"/>
  <c r="O109" i="13"/>
  <c r="O117" i="13"/>
  <c r="O125" i="13"/>
  <c r="O102" i="13"/>
  <c r="O110" i="13"/>
  <c r="O118" i="13"/>
  <c r="O126" i="13"/>
  <c r="M108" i="13"/>
  <c r="M124" i="13"/>
  <c r="O103" i="13"/>
  <c r="O111" i="13"/>
  <c r="O119" i="13"/>
  <c r="O100" i="13"/>
  <c r="M116" i="13"/>
  <c r="O104" i="13"/>
  <c r="O112" i="13"/>
  <c r="O120" i="13"/>
  <c r="M101" i="13"/>
  <c r="M117" i="13"/>
  <c r="M125" i="13"/>
  <c r="O116" i="13"/>
  <c r="O105" i="13"/>
  <c r="O113" i="13"/>
  <c r="O121" i="13"/>
  <c r="M110" i="13"/>
  <c r="M126" i="13"/>
  <c r="O124" i="13"/>
  <c r="O106" i="13"/>
  <c r="O114" i="13"/>
  <c r="O122" i="13"/>
  <c r="M103" i="13"/>
  <c r="O107" i="13"/>
  <c r="O115" i="13"/>
  <c r="O123" i="13"/>
  <c r="M104" i="13"/>
  <c r="O108" i="13"/>
  <c r="T56" i="13"/>
  <c r="T64" i="13"/>
  <c r="T72" i="13"/>
  <c r="T80" i="13"/>
  <c r="L72" i="13"/>
  <c r="L80" i="13"/>
  <c r="L88" i="13"/>
  <c r="T65" i="13"/>
  <c r="T73" i="13"/>
  <c r="T81" i="13"/>
  <c r="L81" i="13"/>
  <c r="T62" i="13"/>
  <c r="L86" i="13"/>
  <c r="T57" i="13"/>
  <c r="L73" i="13"/>
  <c r="T61" i="13"/>
  <c r="L77" i="13"/>
  <c r="T58" i="13"/>
  <c r="T66" i="13"/>
  <c r="T74" i="13"/>
  <c r="T82" i="13"/>
  <c r="L74" i="13"/>
  <c r="L82" i="13"/>
  <c r="T69" i="13"/>
  <c r="L85" i="13"/>
  <c r="T70" i="13"/>
  <c r="T59" i="13"/>
  <c r="T67" i="13"/>
  <c r="T75" i="13"/>
  <c r="T83" i="13"/>
  <c r="L75" i="13"/>
  <c r="L83" i="13"/>
  <c r="H55" i="13"/>
  <c r="T85" i="13"/>
  <c r="T86" i="13"/>
  <c r="T60" i="13"/>
  <c r="T68" i="13"/>
  <c r="T76" i="13"/>
  <c r="T84" i="13"/>
  <c r="L76" i="13"/>
  <c r="L84" i="13"/>
  <c r="T78" i="13"/>
  <c r="T63" i="13"/>
  <c r="T71" i="13"/>
  <c r="T79" i="13"/>
  <c r="T55" i="13"/>
  <c r="L71" i="13"/>
  <c r="L79" i="13"/>
  <c r="L87" i="13"/>
  <c r="T77" i="13"/>
  <c r="L78" i="13"/>
  <c r="AJ130" i="13" l="1"/>
  <c r="AJ121" i="13"/>
  <c r="AJ122" i="13"/>
  <c r="AJ129" i="13"/>
  <c r="AJ114" i="13"/>
  <c r="AJ102" i="13"/>
  <c r="AJ125" i="13"/>
  <c r="AJ108" i="13"/>
  <c r="AJ103" i="13"/>
  <c r="AJ116" i="13"/>
  <c r="AJ117" i="13"/>
  <c r="AJ100" i="13"/>
  <c r="AJ107" i="13"/>
  <c r="AJ110" i="13"/>
  <c r="AJ113" i="13"/>
  <c r="AJ105" i="13"/>
  <c r="AJ109" i="13"/>
  <c r="AJ99" i="13"/>
  <c r="AJ120" i="13"/>
  <c r="AJ127" i="13"/>
  <c r="AJ101" i="13"/>
  <c r="AJ112" i="13"/>
  <c r="AJ128" i="13"/>
  <c r="AJ123" i="13"/>
  <c r="AJ119" i="13"/>
  <c r="AJ126" i="13"/>
  <c r="AJ115" i="13"/>
  <c r="AJ104" i="13"/>
  <c r="AJ111" i="13"/>
  <c r="AJ118" i="13"/>
  <c r="AJ106" i="13"/>
  <c r="AJ124" i="13"/>
  <c r="AG129" i="13"/>
  <c r="AG121" i="13"/>
  <c r="AG128" i="13"/>
  <c r="AG123" i="13"/>
  <c r="AG120" i="13"/>
  <c r="AG127" i="13"/>
  <c r="AG119" i="13"/>
  <c r="AG126" i="13"/>
  <c r="AG117" i="13"/>
  <c r="AG132" i="13"/>
  <c r="AG131" i="13"/>
  <c r="AG118" i="13"/>
  <c r="AG124" i="13"/>
  <c r="AG115" i="13"/>
  <c r="AG130" i="13"/>
  <c r="AG116" i="13"/>
  <c r="AG122" i="13"/>
  <c r="AG125" i="13"/>
  <c r="L70" i="13"/>
  <c r="P70" i="13"/>
  <c r="D64" i="13"/>
  <c r="H64" i="13"/>
  <c r="L55" i="13"/>
  <c r="D78" i="13"/>
  <c r="H78" i="13"/>
  <c r="D59" i="13"/>
  <c r="H59" i="13"/>
  <c r="D67" i="13"/>
  <c r="H67" i="13"/>
  <c r="L68" i="13"/>
  <c r="P68" i="13"/>
  <c r="D83" i="13"/>
  <c r="H83" i="13"/>
  <c r="L67" i="13"/>
  <c r="P67" i="13"/>
  <c r="D56" i="13"/>
  <c r="H56" i="13"/>
  <c r="D84" i="13"/>
  <c r="H84" i="13"/>
  <c r="D70" i="13"/>
  <c r="H70" i="13"/>
  <c r="L63" i="13"/>
  <c r="P63" i="13"/>
  <c r="L61" i="13"/>
  <c r="P61" i="13"/>
  <c r="L60" i="13"/>
  <c r="P60" i="13"/>
  <c r="L59" i="13"/>
  <c r="L62" i="13"/>
  <c r="P62" i="13"/>
  <c r="L65" i="13"/>
  <c r="P65" i="13"/>
  <c r="D62" i="13"/>
  <c r="H62" i="13"/>
  <c r="D85" i="13"/>
  <c r="H85" i="13"/>
  <c r="D82" i="13"/>
  <c r="H82" i="13"/>
  <c r="L57" i="13"/>
  <c r="D77" i="13"/>
  <c r="H77" i="13"/>
  <c r="D74" i="13"/>
  <c r="H74" i="13"/>
  <c r="D73" i="13"/>
  <c r="H73" i="13"/>
  <c r="D81" i="13"/>
  <c r="H81" i="13"/>
  <c r="L66" i="13"/>
  <c r="P66" i="13"/>
  <c r="D75" i="13"/>
  <c r="H75" i="13"/>
  <c r="D69" i="13"/>
  <c r="H69" i="13"/>
  <c r="D66" i="13"/>
  <c r="H66" i="13"/>
  <c r="D65" i="13"/>
  <c r="H65" i="13"/>
  <c r="D88" i="13"/>
  <c r="H88" i="13"/>
  <c r="L58" i="13"/>
  <c r="D79" i="13"/>
  <c r="H79" i="13"/>
  <c r="L69" i="13"/>
  <c r="P69" i="13"/>
  <c r="D61" i="13"/>
  <c r="H61" i="13"/>
  <c r="D58" i="13"/>
  <c r="H58" i="13"/>
  <c r="D57" i="13"/>
  <c r="H57" i="13"/>
  <c r="D80" i="13"/>
  <c r="H80" i="13"/>
  <c r="D63" i="13"/>
  <c r="H63" i="13"/>
  <c r="D87" i="13"/>
  <c r="H87" i="13"/>
  <c r="L64" i="13"/>
  <c r="P64" i="13"/>
  <c r="D60" i="13"/>
  <c r="H60" i="13"/>
  <c r="D68" i="13"/>
  <c r="H68" i="13"/>
  <c r="D76" i="13"/>
  <c r="H76" i="13"/>
  <c r="D72" i="13"/>
  <c r="H72" i="13"/>
  <c r="D71" i="13"/>
  <c r="H71" i="13"/>
  <c r="D86" i="13"/>
  <c r="H86" i="13"/>
  <c r="L56" i="13"/>
  <c r="E10" i="13"/>
  <c r="D55" i="13"/>
  <c r="AD132" i="13" l="1"/>
  <c r="AD119" i="13"/>
  <c r="AD118" i="13"/>
  <c r="AG104" i="13"/>
  <c r="AD128" i="13"/>
  <c r="AG112" i="13"/>
  <c r="AD106" i="13"/>
  <c r="AD108" i="13"/>
  <c r="AD109" i="13"/>
  <c r="AG110" i="13"/>
  <c r="AD121" i="13"/>
  <c r="AG105" i="13"/>
  <c r="AD100" i="13"/>
  <c r="AD111" i="13"/>
  <c r="AG101" i="13"/>
  <c r="AG109" i="13"/>
  <c r="AG114" i="13"/>
  <c r="AD130" i="13"/>
  <c r="AD112" i="13"/>
  <c r="AD107" i="13"/>
  <c r="AD105" i="13"/>
  <c r="AD115" i="13"/>
  <c r="AD104" i="13"/>
  <c r="AD124" i="13"/>
  <c r="AG113" i="13"/>
  <c r="AD110" i="13"/>
  <c r="AD125" i="13"/>
  <c r="AG107" i="13"/>
  <c r="AG111" i="13"/>
  <c r="AD103" i="13"/>
  <c r="AG100" i="13"/>
  <c r="AD120" i="13"/>
  <c r="AD131" i="13"/>
  <c r="AD102" i="13"/>
  <c r="AD126" i="13"/>
  <c r="AG106" i="13"/>
  <c r="AD116" i="13"/>
  <c r="AG108" i="13"/>
  <c r="AD101" i="13"/>
  <c r="AD123" i="13"/>
  <c r="AG102" i="13"/>
  <c r="AD113" i="13"/>
  <c r="AD117" i="13"/>
  <c r="AG103" i="13"/>
  <c r="AD114" i="13"/>
  <c r="AD127" i="13"/>
  <c r="AD122" i="13"/>
  <c r="AD129" i="13"/>
  <c r="AG99" i="13"/>
  <c r="Q125" i="13"/>
  <c r="Q104" i="13"/>
  <c r="Q108" i="13"/>
  <c r="Q126" i="13"/>
  <c r="A10" i="13"/>
  <c r="C10" i="13"/>
  <c r="AD99" i="13"/>
  <c r="M109" i="13" l="1"/>
  <c r="Q109" i="13" s="1"/>
  <c r="M102" i="13"/>
  <c r="Q102" i="13" s="1"/>
  <c r="M112" i="13"/>
  <c r="Q112" i="13" s="1"/>
  <c r="M107" i="13"/>
  <c r="Q107" i="13" s="1"/>
  <c r="M118" i="13"/>
  <c r="Q118" i="13" s="1"/>
  <c r="M111" i="13"/>
  <c r="Q111" i="13" s="1"/>
  <c r="M120" i="13"/>
  <c r="Q120" i="13" s="1"/>
  <c r="M106" i="13"/>
  <c r="Q106" i="13" s="1"/>
  <c r="M115" i="13"/>
  <c r="Q115" i="13" s="1"/>
  <c r="M100" i="13"/>
  <c r="Q100" i="13" s="1"/>
  <c r="M114" i="13"/>
  <c r="Q114" i="13" s="1"/>
  <c r="M123" i="13"/>
  <c r="Q123" i="13" s="1"/>
  <c r="M113" i="13"/>
  <c r="Q113" i="13" s="1"/>
  <c r="M119" i="13"/>
  <c r="Q119" i="13" s="1"/>
  <c r="M105" i="13"/>
  <c r="Q105" i="13" s="1"/>
  <c r="M121" i="13"/>
  <c r="Q121" i="13" s="1"/>
  <c r="M122" i="13"/>
  <c r="Q122" i="13" s="1"/>
  <c r="Q101" i="13"/>
  <c r="Q116" i="13"/>
  <c r="Q103" i="13"/>
  <c r="Q117" i="13"/>
  <c r="Q124" i="13"/>
  <c r="Q110" i="13"/>
  <c r="G10" i="13"/>
  <c r="I10" i="13" s="1"/>
  <c r="U10" i="13" s="1" a="1"/>
  <c r="U10" i="13" s="1"/>
  <c r="Y32" i="13" l="1"/>
  <c r="Y33" i="13"/>
  <c r="Y30" i="13"/>
  <c r="Y34" i="13"/>
  <c r="Y35" i="13"/>
  <c r="Y31" i="13"/>
</calcChain>
</file>

<file path=xl/sharedStrings.xml><?xml version="1.0" encoding="utf-8"?>
<sst xmlns="http://schemas.openxmlformats.org/spreadsheetml/2006/main" count="15413" uniqueCount="3172">
  <si>
    <t>B</t>
  </si>
  <si>
    <t>E</t>
  </si>
  <si>
    <t>C</t>
  </si>
  <si>
    <t>A</t>
  </si>
  <si>
    <t>D</t>
  </si>
  <si>
    <t>Math IIC Test Score Analysis Report</t>
  </si>
  <si>
    <t>ID</t>
  </si>
  <si>
    <t>Name</t>
  </si>
  <si>
    <t>Date</t>
  </si>
  <si>
    <t>Test No.</t>
  </si>
  <si>
    <t>■ Score Analysis</t>
    <phoneticPr fontId="0" type="noConversion"/>
  </si>
  <si>
    <t>R/A</t>
  </si>
  <si>
    <t>W/A</t>
  </si>
  <si>
    <t>Omit</t>
  </si>
  <si>
    <t>Form</t>
  </si>
  <si>
    <t>No.</t>
  </si>
  <si>
    <t>You</t>
  </si>
  <si>
    <t>AK</t>
  </si>
  <si>
    <t>O/X</t>
  </si>
  <si>
    <t>%</t>
  </si>
  <si>
    <t>Raw</t>
  </si>
  <si>
    <t>Scale</t>
  </si>
  <si>
    <t>■ Detailed Test Analysis</t>
  </si>
  <si>
    <t>Detailed Analysis</t>
  </si>
  <si>
    <t>Current Test Analysis</t>
  </si>
  <si>
    <t>Cumulative Analysis</t>
  </si>
  <si>
    <t># of Q.</t>
  </si>
  <si>
    <t>Complex Numbers</t>
  </si>
  <si>
    <t>Coordinate Geometry</t>
  </si>
  <si>
    <t>Polar Coordinates</t>
  </si>
  <si>
    <t>Vectors</t>
  </si>
  <si>
    <t>QID</t>
  </si>
  <si>
    <t>Category</t>
  </si>
  <si>
    <t>Scaled</t>
  </si>
  <si>
    <t>–1</t>
  </si>
  <si>
    <t>–2</t>
  </si>
  <si>
    <t>–3</t>
  </si>
  <si>
    <t>–4</t>
  </si>
  <si>
    <t>–5</t>
  </si>
  <si>
    <t>–6</t>
  </si>
  <si>
    <t>–7</t>
  </si>
  <si>
    <t>–8</t>
  </si>
  <si>
    <t>–9</t>
  </si>
  <si>
    <t>–10</t>
  </si>
  <si>
    <t>–11</t>
  </si>
  <si>
    <t>–12</t>
  </si>
  <si>
    <t>–13</t>
  </si>
  <si>
    <t>Christina Kwon</t>
  </si>
  <si>
    <t>Brian Jon</t>
  </si>
  <si>
    <t>Kristen Kim</t>
  </si>
  <si>
    <t>Christine Kim</t>
  </si>
  <si>
    <t>Diane Kim</t>
  </si>
  <si>
    <t>Gloria Lee</t>
  </si>
  <si>
    <t>Arlene Lee</t>
  </si>
  <si>
    <t>Tyler Moon</t>
  </si>
  <si>
    <t>James Park</t>
  </si>
  <si>
    <t>Amber Sun</t>
  </si>
  <si>
    <t>Marquis Wong</t>
  </si>
  <si>
    <t>Samuel Yoon</t>
  </si>
  <si>
    <t>CID</t>
  </si>
  <si>
    <t>■ Test Analysis</t>
  </si>
  <si>
    <t>Scaled Score</t>
  </si>
  <si>
    <t>Percentile</t>
  </si>
  <si>
    <t>Test ID</t>
  </si>
  <si>
    <t>S_ID</t>
  </si>
  <si>
    <t>Form ID</t>
  </si>
  <si>
    <t>S-ID</t>
  </si>
  <si>
    <t>First</t>
  </si>
  <si>
    <t>Curr.</t>
  </si>
  <si>
    <t>Avg.</t>
  </si>
  <si>
    <t>Score</t>
  </si>
  <si>
    <t>Bar Graph</t>
  </si>
  <si>
    <t>FormID</t>
  </si>
  <si>
    <t>Test</t>
  </si>
  <si>
    <t>All</t>
  </si>
  <si>
    <t>Correct</t>
  </si>
  <si>
    <t>Number &amp; Operations</t>
  </si>
  <si>
    <t>Operations/Counting</t>
  </si>
  <si>
    <t>Matrices/Sets</t>
  </si>
  <si>
    <t>Series/Sequences</t>
  </si>
  <si>
    <t>Ratios/Proportions</t>
  </si>
  <si>
    <t>Algebra &amp; Functions</t>
  </si>
  <si>
    <t>Equations/Inequalities</t>
  </si>
  <si>
    <t>Expressions</t>
  </si>
  <si>
    <t>Function/Representation</t>
  </si>
  <si>
    <t>Linear, Polynomial, Rational</t>
  </si>
  <si>
    <t>Exponential/Logarithmic</t>
  </si>
  <si>
    <t>Trigonometric/Inverse Trig./Periodic</t>
  </si>
  <si>
    <t>Piecewise/Parametric/Absolute</t>
  </si>
  <si>
    <t>Function Operations</t>
  </si>
  <si>
    <t>Lines</t>
  </si>
  <si>
    <t>Parabolas/Circles/Ellipses/Hyperbolas</t>
  </si>
  <si>
    <t>Symmetry/Transformation</t>
  </si>
  <si>
    <t>Three-Dimensional</t>
  </si>
  <si>
    <t>Solid/Surface Area/Volume</t>
  </si>
  <si>
    <t>3D Coordinates/Lines</t>
  </si>
  <si>
    <t>Trigonometric</t>
  </si>
  <si>
    <t>Identities/Law of Cosines, Sines/Double Angle</t>
  </si>
  <si>
    <t>Trigonometric Equations</t>
  </si>
  <si>
    <t>Right Triangles/Radian measure</t>
  </si>
  <si>
    <t>Data Analysis</t>
  </si>
  <si>
    <t>Mean/Median/Mode/Range/IQR/Standard Deviation</t>
  </si>
  <si>
    <t>Graphs &amp; Plots/Regression</t>
  </si>
  <si>
    <t>Probability/Combinations/Permutations</t>
  </si>
  <si>
    <t>Logic</t>
  </si>
  <si>
    <t>UID</t>
  </si>
  <si>
    <t>Q. No.</t>
  </si>
  <si>
    <t>Major</t>
  </si>
  <si>
    <t>Sub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</si>
  <si>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</si>
  <si>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</si>
  <si>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</si>
  <si>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</si>
  <si>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</si>
  <si>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</si>
  <si>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</si>
  <si>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</si>
  <si>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</si>
  <si>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</si>
  <si>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</si>
  <si>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</si>
  <si>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</si>
  <si>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</si>
  <si>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</si>
  <si>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</si>
  <si>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</si>
  <si>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</si>
  <si>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</si>
  <si>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</si>
  <si>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</si>
  <si>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</si>
  <si>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</si>
  <si>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</si>
  <si>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P25</t>
  </si>
  <si>
    <t>P26</t>
  </si>
  <si>
    <t>P27</t>
  </si>
  <si>
    <t>P28</t>
  </si>
  <si>
    <t>P29</t>
  </si>
  <si>
    <t>P30</t>
  </si>
  <si>
    <t>P31</t>
  </si>
  <si>
    <t>P32</t>
  </si>
  <si>
    <t>P33</t>
  </si>
  <si>
    <t>P34</t>
  </si>
  <si>
    <t>P35</t>
  </si>
  <si>
    <t>P36</t>
  </si>
  <si>
    <t>P37</t>
  </si>
  <si>
    <t>P38</t>
  </si>
  <si>
    <t>P39</t>
  </si>
  <si>
    <t>P40</t>
  </si>
  <si>
    <t>P41</t>
  </si>
  <si>
    <t>P42</t>
  </si>
  <si>
    <t>P43</t>
  </si>
  <si>
    <t>P44</t>
  </si>
  <si>
    <t>P45</t>
  </si>
  <si>
    <t>P46</t>
  </si>
  <si>
    <t>P47</t>
  </si>
  <si>
    <t>P48</t>
  </si>
  <si>
    <t>P49</t>
  </si>
  <si>
    <t>P56</t>
  </si>
  <si>
    <t>P57</t>
  </si>
  <si>
    <t>P58</t>
  </si>
  <si>
    <t>P59</t>
  </si>
  <si>
    <t>P60</t>
  </si>
  <si>
    <t>P61</t>
  </si>
  <si>
    <t>P62</t>
  </si>
  <si>
    <t>P63-1</t>
  </si>
  <si>
    <t>P63</t>
  </si>
  <si>
    <t>P63-2</t>
  </si>
  <si>
    <t>P63-3</t>
  </si>
  <si>
    <t>P63-4</t>
  </si>
  <si>
    <t>P63-5</t>
  </si>
  <si>
    <t>P63-6</t>
  </si>
  <si>
    <t>P63-7</t>
  </si>
  <si>
    <t>P63-8</t>
  </si>
  <si>
    <t>P63-9</t>
  </si>
  <si>
    <t>P63-10</t>
  </si>
  <si>
    <t>P63-11</t>
  </si>
  <si>
    <t>P63-12</t>
  </si>
  <si>
    <t>P63-13</t>
  </si>
  <si>
    <t>P63-14</t>
  </si>
  <si>
    <t>P63-15</t>
  </si>
  <si>
    <t>P63-16</t>
  </si>
  <si>
    <t>P63-17</t>
  </si>
  <si>
    <t>P63-18</t>
  </si>
  <si>
    <t>P63-19</t>
  </si>
  <si>
    <t>P63-20</t>
  </si>
  <si>
    <t>P63-21</t>
  </si>
  <si>
    <t>P63-22</t>
  </si>
  <si>
    <t>P63-23</t>
  </si>
  <si>
    <t>P63-24</t>
  </si>
  <si>
    <t>P63-25</t>
  </si>
  <si>
    <t>P63-26</t>
  </si>
  <si>
    <t>P63-27</t>
  </si>
  <si>
    <t>P63-28</t>
  </si>
  <si>
    <t>P63-29</t>
  </si>
  <si>
    <t>P63-30</t>
  </si>
  <si>
    <t>P63-31</t>
  </si>
  <si>
    <t>P63-32</t>
  </si>
  <si>
    <t>P63-33</t>
  </si>
  <si>
    <t>P63-34</t>
  </si>
  <si>
    <t>P63-35</t>
  </si>
  <si>
    <t>P63-36</t>
  </si>
  <si>
    <t>P63-37</t>
  </si>
  <si>
    <t>P63-38</t>
  </si>
  <si>
    <t>P63-39</t>
  </si>
  <si>
    <t>P63-40</t>
  </si>
  <si>
    <t>P63-41</t>
  </si>
  <si>
    <t>P63-42</t>
  </si>
  <si>
    <t>P63-43</t>
  </si>
  <si>
    <t>P63-44</t>
  </si>
  <si>
    <t>P63-45</t>
  </si>
  <si>
    <t>P63-46</t>
  </si>
  <si>
    <t>P63-47</t>
  </si>
  <si>
    <t>P63-48</t>
  </si>
  <si>
    <t>P63-49</t>
  </si>
  <si>
    <t>P63-50</t>
  </si>
  <si>
    <t>P64-1</t>
  </si>
  <si>
    <t>P64</t>
  </si>
  <si>
    <t>P64-2</t>
  </si>
  <si>
    <t>P64-3</t>
  </si>
  <si>
    <t>P64-4</t>
  </si>
  <si>
    <t>P64-5</t>
  </si>
  <si>
    <t>P64-6</t>
  </si>
  <si>
    <t>P64-7</t>
  </si>
  <si>
    <t>P64-8</t>
  </si>
  <si>
    <t>P64-9</t>
  </si>
  <si>
    <t>P64-10</t>
  </si>
  <si>
    <t>P64-11</t>
  </si>
  <si>
    <t>P64-12</t>
  </si>
  <si>
    <t>P64-13</t>
  </si>
  <si>
    <t>P64-14</t>
  </si>
  <si>
    <t>P64-15</t>
  </si>
  <si>
    <t>P64-16</t>
  </si>
  <si>
    <t>P64-17</t>
  </si>
  <si>
    <t>P64-18</t>
  </si>
  <si>
    <t>P64-19</t>
  </si>
  <si>
    <t>P64-20</t>
  </si>
  <si>
    <t>P64-21</t>
  </si>
  <si>
    <t>P64-22</t>
  </si>
  <si>
    <t>P64-23</t>
  </si>
  <si>
    <t>P64-24</t>
  </si>
  <si>
    <t>P64-25</t>
  </si>
  <si>
    <t>P64-26</t>
  </si>
  <si>
    <t>P64-27</t>
  </si>
  <si>
    <t>P64-28</t>
  </si>
  <si>
    <t>P64-29</t>
  </si>
  <si>
    <t>P64-30</t>
  </si>
  <si>
    <t>P64-31</t>
  </si>
  <si>
    <t>P64-32</t>
  </si>
  <si>
    <t>P64-33</t>
  </si>
  <si>
    <t>P64-34</t>
  </si>
  <si>
    <t>P64-35</t>
  </si>
  <si>
    <t>P64-36</t>
  </si>
  <si>
    <t>P64-37</t>
  </si>
  <si>
    <t>P64-38</t>
  </si>
  <si>
    <t>P64-39</t>
  </si>
  <si>
    <t>P64-40</t>
  </si>
  <si>
    <t>P64-41</t>
  </si>
  <si>
    <t>P64-42</t>
  </si>
  <si>
    <t>P64-43</t>
  </si>
  <si>
    <t>P64-44</t>
  </si>
  <si>
    <t>P64-45</t>
  </si>
  <si>
    <t>P64-46</t>
  </si>
  <si>
    <t>P64-47</t>
  </si>
  <si>
    <t>P64-48</t>
  </si>
  <si>
    <t>P64-49</t>
  </si>
  <si>
    <t>P64-50</t>
  </si>
  <si>
    <t>P65-1</t>
  </si>
  <si>
    <t>P65</t>
  </si>
  <si>
    <t>P65-2</t>
  </si>
  <si>
    <t>P65-3</t>
  </si>
  <si>
    <t>P65-4</t>
  </si>
  <si>
    <t>P65-5</t>
  </si>
  <si>
    <t>P65-6</t>
  </si>
  <si>
    <t>P65-7</t>
  </si>
  <si>
    <t>P65-8</t>
  </si>
  <si>
    <t>P65-9</t>
  </si>
  <si>
    <t>P65-10</t>
  </si>
  <si>
    <t>P65-11</t>
  </si>
  <si>
    <t>P65-12</t>
  </si>
  <si>
    <t>P65-13</t>
  </si>
  <si>
    <t>P65-14</t>
  </si>
  <si>
    <t>P65-15</t>
  </si>
  <si>
    <t>P65-16</t>
  </si>
  <si>
    <t>P65-17</t>
  </si>
  <si>
    <t>P65-18</t>
  </si>
  <si>
    <t>P65-19</t>
  </si>
  <si>
    <t>P65-20</t>
  </si>
  <si>
    <t>P65-21</t>
  </si>
  <si>
    <t>P65-22</t>
  </si>
  <si>
    <t>P65-23</t>
  </si>
  <si>
    <t>P65-24</t>
  </si>
  <si>
    <t>P65-25</t>
  </si>
  <si>
    <t>P65-26</t>
  </si>
  <si>
    <t>P65-27</t>
  </si>
  <si>
    <t>P65-28</t>
  </si>
  <si>
    <t>P65-29</t>
  </si>
  <si>
    <t>P65-30</t>
  </si>
  <si>
    <t>P65-31</t>
  </si>
  <si>
    <t>P65-32</t>
  </si>
  <si>
    <t>P65-33</t>
  </si>
  <si>
    <t>P65-34</t>
  </si>
  <si>
    <t>P65-35</t>
  </si>
  <si>
    <t>P65-36</t>
  </si>
  <si>
    <t>P65-37</t>
  </si>
  <si>
    <t>P65-38</t>
  </si>
  <si>
    <t>P65-39</t>
  </si>
  <si>
    <t>P65-40</t>
  </si>
  <si>
    <t>P65-41</t>
  </si>
  <si>
    <t>P65-42</t>
  </si>
  <si>
    <t>P65-43</t>
  </si>
  <si>
    <t>P65-44</t>
  </si>
  <si>
    <t>P65-45</t>
  </si>
  <si>
    <t>P65-46</t>
  </si>
  <si>
    <t>P65-47</t>
  </si>
  <si>
    <t>P65-48</t>
  </si>
  <si>
    <t>P65-49</t>
  </si>
  <si>
    <t>P65-50</t>
  </si>
  <si>
    <t>P66-1</t>
  </si>
  <si>
    <t>P66</t>
  </si>
  <si>
    <t>P66-2</t>
  </si>
  <si>
    <t>P66-3</t>
  </si>
  <si>
    <t>P66-4</t>
  </si>
  <si>
    <t>P66-5</t>
  </si>
  <si>
    <t>P66-6</t>
  </si>
  <si>
    <t>P66-7</t>
  </si>
  <si>
    <t>P66-8</t>
  </si>
  <si>
    <t>P66-9</t>
  </si>
  <si>
    <t>P66-10</t>
  </si>
  <si>
    <t>P66-11</t>
  </si>
  <si>
    <t>P66-12</t>
  </si>
  <si>
    <t>P66-13</t>
  </si>
  <si>
    <t>P66-14</t>
  </si>
  <si>
    <t>P66-15</t>
  </si>
  <si>
    <t>P66-16</t>
  </si>
  <si>
    <t>P66-17</t>
  </si>
  <si>
    <t>P66-18</t>
  </si>
  <si>
    <t>P66-19</t>
  </si>
  <si>
    <t>P66-20</t>
  </si>
  <si>
    <t>P66-21</t>
  </si>
  <si>
    <t>P66-22</t>
  </si>
  <si>
    <t>P66-23</t>
  </si>
  <si>
    <t>P66-24</t>
  </si>
  <si>
    <t>P66-25</t>
  </si>
  <si>
    <t>P66-26</t>
  </si>
  <si>
    <t>P66-27</t>
  </si>
  <si>
    <t>P66-28</t>
  </si>
  <si>
    <t>P66-29</t>
  </si>
  <si>
    <t>P66-30</t>
  </si>
  <si>
    <t>P66-31</t>
  </si>
  <si>
    <t>P66-32</t>
  </si>
  <si>
    <t>P66-33</t>
  </si>
  <si>
    <t>P66-34</t>
  </si>
  <si>
    <t>P66-35</t>
  </si>
  <si>
    <t>P66-36</t>
  </si>
  <si>
    <t>P66-37</t>
  </si>
  <si>
    <t>P66-38</t>
  </si>
  <si>
    <t>P66-39</t>
  </si>
  <si>
    <t>P66-40</t>
  </si>
  <si>
    <t>P66-41</t>
  </si>
  <si>
    <t>P66-42</t>
  </si>
  <si>
    <t>P66-43</t>
  </si>
  <si>
    <t>P66-44</t>
  </si>
  <si>
    <t>P66-45</t>
  </si>
  <si>
    <t>P66-46</t>
  </si>
  <si>
    <t>P66-47</t>
  </si>
  <si>
    <t>P66-48</t>
  </si>
  <si>
    <t>P66-49</t>
  </si>
  <si>
    <t>P66-50</t>
  </si>
  <si>
    <t>P01-1</t>
  </si>
  <si>
    <t>P01-2</t>
  </si>
  <si>
    <t>P01-3</t>
  </si>
  <si>
    <t>P01-4</t>
  </si>
  <si>
    <t>P01-5</t>
  </si>
  <si>
    <t>P01-6</t>
  </si>
  <si>
    <t>P01-7</t>
  </si>
  <si>
    <t>P01-8</t>
  </si>
  <si>
    <t>P01-9</t>
  </si>
  <si>
    <t>P01-10</t>
  </si>
  <si>
    <t>P01-11</t>
  </si>
  <si>
    <t>P01-12</t>
  </si>
  <si>
    <t>P01-13</t>
  </si>
  <si>
    <t>P01-14</t>
  </si>
  <si>
    <t>P01-15</t>
  </si>
  <si>
    <t>P01-16</t>
  </si>
  <si>
    <t>P01-17</t>
  </si>
  <si>
    <t>P01-18</t>
  </si>
  <si>
    <t>P01-19</t>
  </si>
  <si>
    <t>P01-20</t>
  </si>
  <si>
    <t>P01-21</t>
  </si>
  <si>
    <t>P01-22</t>
  </si>
  <si>
    <t>P01-23</t>
  </si>
  <si>
    <t>P01-24</t>
  </si>
  <si>
    <t>P01-25</t>
  </si>
  <si>
    <t>P01-26</t>
  </si>
  <si>
    <t>P01-27</t>
  </si>
  <si>
    <t>P01-28</t>
  </si>
  <si>
    <t>P01-29</t>
  </si>
  <si>
    <t>P01-30</t>
  </si>
  <si>
    <t>P01-31</t>
  </si>
  <si>
    <t>P01-32</t>
  </si>
  <si>
    <t>P01-33</t>
  </si>
  <si>
    <t>P01-34</t>
  </si>
  <si>
    <t>P01-35</t>
  </si>
  <si>
    <t>P01-36</t>
  </si>
  <si>
    <t>P01-37</t>
  </si>
  <si>
    <t>P01-38</t>
  </si>
  <si>
    <t>P01-39</t>
  </si>
  <si>
    <t>P01-40</t>
  </si>
  <si>
    <t>P01-41</t>
  </si>
  <si>
    <t>P01-42</t>
  </si>
  <si>
    <t>P01-43</t>
  </si>
  <si>
    <t>P01-44</t>
  </si>
  <si>
    <t>P01-45</t>
  </si>
  <si>
    <t>P01-46</t>
  </si>
  <si>
    <t>P01-47</t>
  </si>
  <si>
    <t>P01-48</t>
  </si>
  <si>
    <t>P01-49</t>
  </si>
  <si>
    <t>P01-50</t>
  </si>
  <si>
    <t>P02-1</t>
  </si>
  <si>
    <t>P02-2</t>
  </si>
  <si>
    <t>P02-3</t>
  </si>
  <si>
    <t>P02-4</t>
  </si>
  <si>
    <t>P02-5</t>
  </si>
  <si>
    <t>P02-6</t>
  </si>
  <si>
    <t>P02-7</t>
  </si>
  <si>
    <t>P02-8</t>
  </si>
  <si>
    <t>P02-9</t>
  </si>
  <si>
    <t>P02-10</t>
  </si>
  <si>
    <t>P02-11</t>
  </si>
  <si>
    <t>P02-12</t>
  </si>
  <si>
    <t>P02-13</t>
  </si>
  <si>
    <t>P02-14</t>
  </si>
  <si>
    <t>P02-15</t>
  </si>
  <si>
    <t>P02-16</t>
  </si>
  <si>
    <t>P02-17</t>
  </si>
  <si>
    <t>P02-18</t>
  </si>
  <si>
    <t>P02-19</t>
  </si>
  <si>
    <t>P02-20</t>
  </si>
  <si>
    <t>P02-21</t>
  </si>
  <si>
    <t>P02-22</t>
  </si>
  <si>
    <t>P02-23</t>
  </si>
  <si>
    <t>P02-24</t>
  </si>
  <si>
    <t>P02-25</t>
  </si>
  <si>
    <t>P02-26</t>
  </si>
  <si>
    <t>P02-27</t>
  </si>
  <si>
    <t>P02-28</t>
  </si>
  <si>
    <t>P02-29</t>
  </si>
  <si>
    <t>P02-30</t>
  </si>
  <si>
    <t>P02-31</t>
  </si>
  <si>
    <t>P02-32</t>
  </si>
  <si>
    <t>P02-33</t>
  </si>
  <si>
    <t>P02-34</t>
  </si>
  <si>
    <t>P02-35</t>
  </si>
  <si>
    <t>P02-36</t>
  </si>
  <si>
    <t>P02-37</t>
  </si>
  <si>
    <t>P02-38</t>
  </si>
  <si>
    <t>P02-39</t>
  </si>
  <si>
    <t>P02-40</t>
  </si>
  <si>
    <t>P02-41</t>
  </si>
  <si>
    <t>P02-42</t>
  </si>
  <si>
    <t>P02-43</t>
  </si>
  <si>
    <t>P02-44</t>
  </si>
  <si>
    <t>P02-45</t>
  </si>
  <si>
    <t>P02-46</t>
  </si>
  <si>
    <t>P02-47</t>
  </si>
  <si>
    <t>P02-48</t>
  </si>
  <si>
    <t>P02-49</t>
  </si>
  <si>
    <t>P02-50</t>
  </si>
  <si>
    <t>P03-1</t>
  </si>
  <si>
    <t>P03-2</t>
  </si>
  <si>
    <t>P03-3</t>
  </si>
  <si>
    <t>P03-4</t>
  </si>
  <si>
    <t>P03-5</t>
  </si>
  <si>
    <t>P03-6</t>
  </si>
  <si>
    <t>P03-7</t>
  </si>
  <si>
    <t>P03-8</t>
  </si>
  <si>
    <t>P03-9</t>
  </si>
  <si>
    <t>P03-10</t>
  </si>
  <si>
    <t>P03-11</t>
  </si>
  <si>
    <t>P03-12</t>
  </si>
  <si>
    <t>P03-13</t>
  </si>
  <si>
    <t>P03-14</t>
  </si>
  <si>
    <t>P03-15</t>
  </si>
  <si>
    <t>P03-16</t>
  </si>
  <si>
    <t>P03-17</t>
  </si>
  <si>
    <t>P03-18</t>
  </si>
  <si>
    <t>P03-19</t>
  </si>
  <si>
    <t>P03-20</t>
  </si>
  <si>
    <t>P03-21</t>
  </si>
  <si>
    <t>P03-22</t>
  </si>
  <si>
    <t>P03-23</t>
  </si>
  <si>
    <t>P03-24</t>
  </si>
  <si>
    <t>P03-25</t>
  </si>
  <si>
    <t>P03-26</t>
  </si>
  <si>
    <t>P03-27</t>
  </si>
  <si>
    <t>P03-28</t>
  </si>
  <si>
    <t>P03-29</t>
  </si>
  <si>
    <t>P03-30</t>
  </si>
  <si>
    <t>P03-31</t>
  </si>
  <si>
    <t>P03-32</t>
  </si>
  <si>
    <t>P03-33</t>
  </si>
  <si>
    <t>P03-34</t>
  </si>
  <si>
    <t>P03-35</t>
  </si>
  <si>
    <t>P03-36</t>
  </si>
  <si>
    <t>P03-37</t>
  </si>
  <si>
    <t>P03-38</t>
  </si>
  <si>
    <t>P03-39</t>
  </si>
  <si>
    <t>P03-40</t>
  </si>
  <si>
    <t>P03-41</t>
  </si>
  <si>
    <t>P03-42</t>
  </si>
  <si>
    <t>P03-43</t>
  </si>
  <si>
    <t>P03-44</t>
  </si>
  <si>
    <t>P03-45</t>
  </si>
  <si>
    <t>P03-46</t>
  </si>
  <si>
    <t>P03-47</t>
  </si>
  <si>
    <t>P03-48</t>
  </si>
  <si>
    <t>P03-49</t>
  </si>
  <si>
    <t>P03-50</t>
  </si>
  <si>
    <t>P04-1</t>
  </si>
  <si>
    <t>P04-2</t>
  </si>
  <si>
    <t>P04-3</t>
  </si>
  <si>
    <t>P04-4</t>
  </si>
  <si>
    <t>P04-5</t>
  </si>
  <si>
    <t>P04-6</t>
  </si>
  <si>
    <t>P04-7</t>
  </si>
  <si>
    <t>P04-8</t>
  </si>
  <si>
    <t>P04-9</t>
  </si>
  <si>
    <t>P04-10</t>
  </si>
  <si>
    <t>P04-11</t>
  </si>
  <si>
    <t>P04-12</t>
  </si>
  <si>
    <t>P04-13</t>
  </si>
  <si>
    <t>P04-14</t>
  </si>
  <si>
    <t>P04-15</t>
  </si>
  <si>
    <t>P04-16</t>
  </si>
  <si>
    <t>P04-17</t>
  </si>
  <si>
    <t>P04-18</t>
  </si>
  <si>
    <t>P04-19</t>
  </si>
  <si>
    <t>P04-20</t>
  </si>
  <si>
    <t>P04-21</t>
  </si>
  <si>
    <t>P04-22</t>
  </si>
  <si>
    <t>P04-23</t>
  </si>
  <si>
    <t>P04-24</t>
  </si>
  <si>
    <t>P04-25</t>
  </si>
  <si>
    <t>P04-26</t>
  </si>
  <si>
    <t>P04-27</t>
  </si>
  <si>
    <t>P04-28</t>
  </si>
  <si>
    <t>P04-29</t>
  </si>
  <si>
    <t>P04-30</t>
  </si>
  <si>
    <t>P04-31</t>
  </si>
  <si>
    <t>P04-32</t>
  </si>
  <si>
    <t>P04-33</t>
  </si>
  <si>
    <t>P04-34</t>
  </si>
  <si>
    <t>P04-35</t>
  </si>
  <si>
    <t>P04-36</t>
  </si>
  <si>
    <t>P04-37</t>
  </si>
  <si>
    <t>P04-38</t>
  </si>
  <si>
    <t>P04-39</t>
  </si>
  <si>
    <t>P04-40</t>
  </si>
  <si>
    <t>P04-41</t>
  </si>
  <si>
    <t>P04-42</t>
  </si>
  <si>
    <t>P04-43</t>
  </si>
  <si>
    <t>P04-44</t>
  </si>
  <si>
    <t>P04-45</t>
  </si>
  <si>
    <t>P04-46</t>
  </si>
  <si>
    <t>P04-47</t>
  </si>
  <si>
    <t>P04-48</t>
  </si>
  <si>
    <t>P04-49</t>
  </si>
  <si>
    <t>P04-50</t>
  </si>
  <si>
    <t>P05-1</t>
  </si>
  <si>
    <t>P05-2</t>
  </si>
  <si>
    <t>P05-3</t>
  </si>
  <si>
    <t>P05-4</t>
  </si>
  <si>
    <t>P05-5</t>
  </si>
  <si>
    <t>P05-6</t>
  </si>
  <si>
    <t>P05-7</t>
  </si>
  <si>
    <t>P05-8</t>
  </si>
  <si>
    <t>P05-9</t>
  </si>
  <si>
    <t>P05-10</t>
  </si>
  <si>
    <t>P05-11</t>
  </si>
  <si>
    <t>P05-12</t>
  </si>
  <si>
    <t>P05-13</t>
  </si>
  <si>
    <t>P05-14</t>
  </si>
  <si>
    <t>P05-15</t>
  </si>
  <si>
    <t>P05-16</t>
  </si>
  <si>
    <t>P05-17</t>
  </si>
  <si>
    <t>P05-18</t>
  </si>
  <si>
    <t>P05-19</t>
  </si>
  <si>
    <t>P05-20</t>
  </si>
  <si>
    <t>P05-21</t>
  </si>
  <si>
    <t>P05-22</t>
  </si>
  <si>
    <t>P05-23</t>
  </si>
  <si>
    <t>P05-24</t>
  </si>
  <si>
    <t>P05-25</t>
  </si>
  <si>
    <t>P05-26</t>
  </si>
  <si>
    <t>P05-27</t>
  </si>
  <si>
    <t>P05-28</t>
  </si>
  <si>
    <t>P05-29</t>
  </si>
  <si>
    <t>P05-30</t>
  </si>
  <si>
    <t>P05-31</t>
  </si>
  <si>
    <t>P05-32</t>
  </si>
  <si>
    <t>P05-33</t>
  </si>
  <si>
    <t>P05-34</t>
  </si>
  <si>
    <t>P05-35</t>
  </si>
  <si>
    <t>P05-36</t>
  </si>
  <si>
    <t>P05-37</t>
  </si>
  <si>
    <t>P05-38</t>
  </si>
  <si>
    <t>P05-39</t>
  </si>
  <si>
    <t>P05-40</t>
  </si>
  <si>
    <t>P05-41</t>
  </si>
  <si>
    <t>P05-42</t>
  </si>
  <si>
    <t>P05-43</t>
  </si>
  <si>
    <t>P05-44</t>
  </si>
  <si>
    <t>P05-45</t>
  </si>
  <si>
    <t>P05-46</t>
  </si>
  <si>
    <t>P05-47</t>
  </si>
  <si>
    <t>P05-48</t>
  </si>
  <si>
    <t>P05-49</t>
  </si>
  <si>
    <t>P05-50</t>
  </si>
  <si>
    <t>P06-1</t>
  </si>
  <si>
    <t>P06-2</t>
  </si>
  <si>
    <t>P06-3</t>
  </si>
  <si>
    <t>P06-4</t>
  </si>
  <si>
    <t>P06-5</t>
  </si>
  <si>
    <t>P06-6</t>
  </si>
  <si>
    <t>P06-7</t>
  </si>
  <si>
    <t>P06-8</t>
  </si>
  <si>
    <t>P06-9</t>
  </si>
  <si>
    <t>P06-10</t>
  </si>
  <si>
    <t>P06-11</t>
  </si>
  <si>
    <t>P06-12</t>
  </si>
  <si>
    <t>P06-13</t>
  </si>
  <si>
    <t>P06-14</t>
  </si>
  <si>
    <t>P06-15</t>
  </si>
  <si>
    <t>P06-16</t>
  </si>
  <si>
    <t>P06-17</t>
  </si>
  <si>
    <t>P06-18</t>
  </si>
  <si>
    <t>P06-19</t>
  </si>
  <si>
    <t>P06-20</t>
  </si>
  <si>
    <t>P06-21</t>
  </si>
  <si>
    <t>P06-22</t>
  </si>
  <si>
    <t>P06-23</t>
  </si>
  <si>
    <t>P06-24</t>
  </si>
  <si>
    <t>P06-25</t>
  </si>
  <si>
    <t>P06-26</t>
  </si>
  <si>
    <t>P06-27</t>
  </si>
  <si>
    <t>P06-28</t>
  </si>
  <si>
    <t>P06-29</t>
  </si>
  <si>
    <t>P06-30</t>
  </si>
  <si>
    <t>P06-31</t>
  </si>
  <si>
    <t>P06-32</t>
  </si>
  <si>
    <t>P06-33</t>
  </si>
  <si>
    <t>P06-34</t>
  </si>
  <si>
    <t>P06-35</t>
  </si>
  <si>
    <t>P06-36</t>
  </si>
  <si>
    <t>P06-37</t>
  </si>
  <si>
    <t>P06-38</t>
  </si>
  <si>
    <t>P06-39</t>
  </si>
  <si>
    <t>P06-40</t>
  </si>
  <si>
    <t>P06-41</t>
  </si>
  <si>
    <t>P06-42</t>
  </si>
  <si>
    <t>P06-43</t>
  </si>
  <si>
    <t>P06-44</t>
  </si>
  <si>
    <t>P06-45</t>
  </si>
  <si>
    <t>P06-46</t>
  </si>
  <si>
    <t>P06-47</t>
  </si>
  <si>
    <t>P06-48</t>
  </si>
  <si>
    <t>P06-49</t>
  </si>
  <si>
    <t>P06-50</t>
  </si>
  <si>
    <t>P07-1</t>
  </si>
  <si>
    <t>P07-2</t>
  </si>
  <si>
    <t>P07-3</t>
  </si>
  <si>
    <t>P07-4</t>
  </si>
  <si>
    <t>P07-5</t>
  </si>
  <si>
    <t>P07-6</t>
  </si>
  <si>
    <t>P07-7</t>
  </si>
  <si>
    <t>P07-8</t>
  </si>
  <si>
    <t>P07-9</t>
  </si>
  <si>
    <t>P07-10</t>
  </si>
  <si>
    <t>P07-11</t>
  </si>
  <si>
    <t>P07-12</t>
  </si>
  <si>
    <t>P07-13</t>
  </si>
  <si>
    <t>P07-14</t>
  </si>
  <si>
    <t>P07-15</t>
  </si>
  <si>
    <t>P07-16</t>
  </si>
  <si>
    <t>P07-17</t>
  </si>
  <si>
    <t>P07-18</t>
  </si>
  <si>
    <t>P07-19</t>
  </si>
  <si>
    <t>P07-20</t>
  </si>
  <si>
    <t>P07-21</t>
  </si>
  <si>
    <t>P07-22</t>
  </si>
  <si>
    <t>P07-23</t>
  </si>
  <si>
    <t>P07-24</t>
  </si>
  <si>
    <t>P07-25</t>
  </si>
  <si>
    <t>P07-26</t>
  </si>
  <si>
    <t>P07-27</t>
  </si>
  <si>
    <t>P07-28</t>
  </si>
  <si>
    <t>P07-29</t>
  </si>
  <si>
    <t>P07-30</t>
  </si>
  <si>
    <t>P07-31</t>
  </si>
  <si>
    <t>P07-32</t>
  </si>
  <si>
    <t>P07-33</t>
  </si>
  <si>
    <t>P07-34</t>
  </si>
  <si>
    <t>P07-35</t>
  </si>
  <si>
    <t>P07-36</t>
  </si>
  <si>
    <t>P07-37</t>
  </si>
  <si>
    <t>P07-38</t>
  </si>
  <si>
    <t>P07-39</t>
  </si>
  <si>
    <t>P07-40</t>
  </si>
  <si>
    <t>P07-41</t>
  </si>
  <si>
    <t>P07-42</t>
  </si>
  <si>
    <t>P07-43</t>
  </si>
  <si>
    <t>P07-44</t>
  </si>
  <si>
    <t>P07-45</t>
  </si>
  <si>
    <t>P07-46</t>
  </si>
  <si>
    <t>P07-47</t>
  </si>
  <si>
    <t>P07-48</t>
  </si>
  <si>
    <t>P07-49</t>
  </si>
  <si>
    <t>P07-50</t>
  </si>
  <si>
    <t>P08-1</t>
  </si>
  <si>
    <t>P08-2</t>
  </si>
  <si>
    <t>P08-3</t>
  </si>
  <si>
    <t>P08-4</t>
  </si>
  <si>
    <t>P08-5</t>
  </si>
  <si>
    <t>P08-6</t>
  </si>
  <si>
    <t>P08-7</t>
  </si>
  <si>
    <t>P08-8</t>
  </si>
  <si>
    <t>P08-9</t>
  </si>
  <si>
    <t>P08-10</t>
  </si>
  <si>
    <t>P08-11</t>
  </si>
  <si>
    <t>P08-12</t>
  </si>
  <si>
    <t>P08-13</t>
  </si>
  <si>
    <t>P08-14</t>
  </si>
  <si>
    <t>P08-15</t>
  </si>
  <si>
    <t>P08-16</t>
  </si>
  <si>
    <t>P08-17</t>
  </si>
  <si>
    <t>P08-18</t>
  </si>
  <si>
    <t>P08-19</t>
  </si>
  <si>
    <t>P08-20</t>
  </si>
  <si>
    <t>P08-21</t>
  </si>
  <si>
    <t>P08-22</t>
  </si>
  <si>
    <t>P08-23</t>
  </si>
  <si>
    <t>P08-24</t>
  </si>
  <si>
    <t>P08-25</t>
  </si>
  <si>
    <t>P08-26</t>
  </si>
  <si>
    <t>P08-27</t>
  </si>
  <si>
    <t>P08-28</t>
  </si>
  <si>
    <t>P08-29</t>
  </si>
  <si>
    <t>P08-30</t>
  </si>
  <si>
    <t>P08-31</t>
  </si>
  <si>
    <t>P08-32</t>
  </si>
  <si>
    <t>P08-33</t>
  </si>
  <si>
    <t>P08-34</t>
  </si>
  <si>
    <t>P08-35</t>
  </si>
  <si>
    <t>P08-36</t>
  </si>
  <si>
    <t>P08-37</t>
  </si>
  <si>
    <t>P08-38</t>
  </si>
  <si>
    <t>P08-39</t>
  </si>
  <si>
    <t>P08-40</t>
  </si>
  <si>
    <t>P08-41</t>
  </si>
  <si>
    <t>P08-42</t>
  </si>
  <si>
    <t>P08-43</t>
  </si>
  <si>
    <t>P08-44</t>
  </si>
  <si>
    <t>P08-45</t>
  </si>
  <si>
    <t>P08-46</t>
  </si>
  <si>
    <t>P08-47</t>
  </si>
  <si>
    <t>P08-48</t>
  </si>
  <si>
    <t>P08-49</t>
  </si>
  <si>
    <t>P08-50</t>
  </si>
  <si>
    <t>P09-1</t>
  </si>
  <si>
    <t>P09-2</t>
  </si>
  <si>
    <t>P09-3</t>
  </si>
  <si>
    <t>P09-4</t>
  </si>
  <si>
    <t>P09-5</t>
  </si>
  <si>
    <t>P09-6</t>
  </si>
  <si>
    <t>P09-7</t>
  </si>
  <si>
    <t>P09-8</t>
  </si>
  <si>
    <t>P09-9</t>
  </si>
  <si>
    <t>P09-10</t>
  </si>
  <si>
    <t>P09-11</t>
  </si>
  <si>
    <t>P09-12</t>
  </si>
  <si>
    <t>P09-13</t>
  </si>
  <si>
    <t>P09-14</t>
  </si>
  <si>
    <t>P09-15</t>
  </si>
  <si>
    <t>P09-16</t>
  </si>
  <si>
    <t>P09-17</t>
  </si>
  <si>
    <t>P09-18</t>
  </si>
  <si>
    <t>P09-19</t>
  </si>
  <si>
    <t>P09-20</t>
  </si>
  <si>
    <t>P09-21</t>
  </si>
  <si>
    <t>P09-22</t>
  </si>
  <si>
    <t>P09-23</t>
  </si>
  <si>
    <t>P09-24</t>
  </si>
  <si>
    <t>P09-25</t>
  </si>
  <si>
    <t>P09-26</t>
  </si>
  <si>
    <t>P09-27</t>
  </si>
  <si>
    <t>P09-28</t>
  </si>
  <si>
    <t>P09-29</t>
  </si>
  <si>
    <t>P09-30</t>
  </si>
  <si>
    <t>P09-31</t>
  </si>
  <si>
    <t>P09-32</t>
  </si>
  <si>
    <t>P09-33</t>
  </si>
  <si>
    <t>P09-34</t>
  </si>
  <si>
    <t>P09-35</t>
  </si>
  <si>
    <t>P09-36</t>
  </si>
  <si>
    <t>P09-37</t>
  </si>
  <si>
    <t>P09-38</t>
  </si>
  <si>
    <t>P09-39</t>
  </si>
  <si>
    <t>P09-40</t>
  </si>
  <si>
    <t>P09-41</t>
  </si>
  <si>
    <t>P09-42</t>
  </si>
  <si>
    <t>P09-43</t>
  </si>
  <si>
    <t>P09-44</t>
  </si>
  <si>
    <t>P09-45</t>
  </si>
  <si>
    <t>P09-46</t>
  </si>
  <si>
    <t>P09-47</t>
  </si>
  <si>
    <t>P09-48</t>
  </si>
  <si>
    <t>P09-49</t>
  </si>
  <si>
    <t>P09-50</t>
  </si>
  <si>
    <t>P10-1</t>
  </si>
  <si>
    <t>P10-2</t>
  </si>
  <si>
    <t>P10-3</t>
  </si>
  <si>
    <t>P10-4</t>
  </si>
  <si>
    <t>P10-5</t>
  </si>
  <si>
    <t>P10-6</t>
  </si>
  <si>
    <t>P10-7</t>
  </si>
  <si>
    <t>P10-8</t>
  </si>
  <si>
    <t>P10-9</t>
  </si>
  <si>
    <t>P10-10</t>
  </si>
  <si>
    <t>P10-11</t>
  </si>
  <si>
    <t>P10-12</t>
  </si>
  <si>
    <t>P10-13</t>
  </si>
  <si>
    <t>P10-14</t>
  </si>
  <si>
    <t>P10-15</t>
  </si>
  <si>
    <t>P10-16</t>
  </si>
  <si>
    <t>P10-17</t>
  </si>
  <si>
    <t>P10-18</t>
  </si>
  <si>
    <t>P10-19</t>
  </si>
  <si>
    <t>P10-20</t>
  </si>
  <si>
    <t>P10-21</t>
  </si>
  <si>
    <t>P10-22</t>
  </si>
  <si>
    <t>P10-23</t>
  </si>
  <si>
    <t>P10-24</t>
  </si>
  <si>
    <t>P10-25</t>
  </si>
  <si>
    <t>P10-26</t>
  </si>
  <si>
    <t>P10-27</t>
  </si>
  <si>
    <t>P10-28</t>
  </si>
  <si>
    <t>P10-29</t>
  </si>
  <si>
    <t>P10-30</t>
  </si>
  <si>
    <t>P10-31</t>
  </si>
  <si>
    <t>P10-32</t>
  </si>
  <si>
    <t>P10-33</t>
  </si>
  <si>
    <t>P10-34</t>
  </si>
  <si>
    <t>P10-35</t>
  </si>
  <si>
    <t>P10-36</t>
  </si>
  <si>
    <t>P10-37</t>
  </si>
  <si>
    <t>P10-38</t>
  </si>
  <si>
    <t>P10-39</t>
  </si>
  <si>
    <t>P10-40</t>
  </si>
  <si>
    <t>P10-41</t>
  </si>
  <si>
    <t>P10-42</t>
  </si>
  <si>
    <t>P10-43</t>
  </si>
  <si>
    <t>P10-44</t>
  </si>
  <si>
    <t>P10-45</t>
  </si>
  <si>
    <t>P10-46</t>
  </si>
  <si>
    <t>P10-47</t>
  </si>
  <si>
    <t>P10-48</t>
  </si>
  <si>
    <t>P10-49</t>
  </si>
  <si>
    <t>P10-50</t>
  </si>
  <si>
    <t>P11-1</t>
  </si>
  <si>
    <t>P11-2</t>
  </si>
  <si>
    <t>P11-3</t>
  </si>
  <si>
    <t>P11-4</t>
  </si>
  <si>
    <t>P11-5</t>
  </si>
  <si>
    <t>P11-6</t>
  </si>
  <si>
    <t>P11-7</t>
  </si>
  <si>
    <t>P11-8</t>
  </si>
  <si>
    <t>P11-9</t>
  </si>
  <si>
    <t>P11-10</t>
  </si>
  <si>
    <t>P11-11</t>
  </si>
  <si>
    <t>P11-12</t>
  </si>
  <si>
    <t>P11-13</t>
  </si>
  <si>
    <t>P11-14</t>
  </si>
  <si>
    <t>P11-15</t>
  </si>
  <si>
    <t>P11-16</t>
  </si>
  <si>
    <t>P11-17</t>
  </si>
  <si>
    <t>P11-18</t>
  </si>
  <si>
    <t>P11-19</t>
  </si>
  <si>
    <t>P11-20</t>
  </si>
  <si>
    <t>P11-21</t>
  </si>
  <si>
    <t>P11-22</t>
  </si>
  <si>
    <t>P11-23</t>
  </si>
  <si>
    <t>P11-24</t>
  </si>
  <si>
    <t>P11-25</t>
  </si>
  <si>
    <t>P11-26</t>
  </si>
  <si>
    <t>P11-27</t>
  </si>
  <si>
    <t>P11-28</t>
  </si>
  <si>
    <t>P11-29</t>
  </si>
  <si>
    <t>P11-30</t>
  </si>
  <si>
    <t>P11-31</t>
  </si>
  <si>
    <t>P11-32</t>
  </si>
  <si>
    <t>P11-33</t>
  </si>
  <si>
    <t>P11-34</t>
  </si>
  <si>
    <t>P11-35</t>
  </si>
  <si>
    <t>P11-36</t>
  </si>
  <si>
    <t>P11-37</t>
  </si>
  <si>
    <t>P11-38</t>
  </si>
  <si>
    <t>P11-39</t>
  </si>
  <si>
    <t>P11-40</t>
  </si>
  <si>
    <t>P11-41</t>
  </si>
  <si>
    <t>P11-42</t>
  </si>
  <si>
    <t>P11-43</t>
  </si>
  <si>
    <t>P11-44</t>
  </si>
  <si>
    <t>P11-45</t>
  </si>
  <si>
    <t>P11-46</t>
  </si>
  <si>
    <t>P11-47</t>
  </si>
  <si>
    <t>P11-48</t>
  </si>
  <si>
    <t>P11-49</t>
  </si>
  <si>
    <t>P11-50</t>
  </si>
  <si>
    <t>P12-1</t>
  </si>
  <si>
    <t>P12-2</t>
  </si>
  <si>
    <t>P12-3</t>
  </si>
  <si>
    <t>P12-4</t>
  </si>
  <si>
    <t>P12-5</t>
  </si>
  <si>
    <t>P12-6</t>
  </si>
  <si>
    <t>P12-7</t>
  </si>
  <si>
    <t>P12-8</t>
  </si>
  <si>
    <t>P12-9</t>
  </si>
  <si>
    <t>P12-10</t>
  </si>
  <si>
    <t>P12-11</t>
  </si>
  <si>
    <t>P12-12</t>
  </si>
  <si>
    <t>P12-13</t>
  </si>
  <si>
    <t>P12-14</t>
  </si>
  <si>
    <t>P12-15</t>
  </si>
  <si>
    <t>P12-16</t>
  </si>
  <si>
    <t>P12-17</t>
  </si>
  <si>
    <t>P12-18</t>
  </si>
  <si>
    <t>P12-19</t>
  </si>
  <si>
    <t>P12-20</t>
  </si>
  <si>
    <t>P12-21</t>
  </si>
  <si>
    <t>P12-22</t>
  </si>
  <si>
    <t>P12-23</t>
  </si>
  <si>
    <t>P12-24</t>
  </si>
  <si>
    <t>P12-25</t>
  </si>
  <si>
    <t>P12-26</t>
  </si>
  <si>
    <t>P12-27</t>
  </si>
  <si>
    <t>P12-28</t>
  </si>
  <si>
    <t>P12-29</t>
  </si>
  <si>
    <t>P12-30</t>
  </si>
  <si>
    <t>P12-31</t>
  </si>
  <si>
    <t>P12-32</t>
  </si>
  <si>
    <t>P12-33</t>
  </si>
  <si>
    <t>P12-34</t>
  </si>
  <si>
    <t>P12-35</t>
  </si>
  <si>
    <t>P12-36</t>
  </si>
  <si>
    <t>P12-37</t>
  </si>
  <si>
    <t>P12-38</t>
  </si>
  <si>
    <t>P12-39</t>
  </si>
  <si>
    <t>P12-40</t>
  </si>
  <si>
    <t>P12-41</t>
  </si>
  <si>
    <t>P12-42</t>
  </si>
  <si>
    <t>P12-43</t>
  </si>
  <si>
    <t>P12-44</t>
  </si>
  <si>
    <t>P12-45</t>
  </si>
  <si>
    <t>P12-46</t>
  </si>
  <si>
    <t>P12-47</t>
  </si>
  <si>
    <t>P12-48</t>
  </si>
  <si>
    <t>P12-49</t>
  </si>
  <si>
    <t>P12-50</t>
  </si>
  <si>
    <t>P13-1</t>
  </si>
  <si>
    <t>P13-2</t>
  </si>
  <si>
    <t>P13-3</t>
  </si>
  <si>
    <t>P13-4</t>
  </si>
  <si>
    <t>P13-5</t>
  </si>
  <si>
    <t>P13-6</t>
  </si>
  <si>
    <t>P13-7</t>
  </si>
  <si>
    <t>P13-8</t>
  </si>
  <si>
    <t>P13-9</t>
  </si>
  <si>
    <t>P13-10</t>
  </si>
  <si>
    <t>P13-11</t>
  </si>
  <si>
    <t>P13-12</t>
  </si>
  <si>
    <t>P13-13</t>
  </si>
  <si>
    <t>P13-14</t>
  </si>
  <si>
    <t>P13-15</t>
  </si>
  <si>
    <t>P13-16</t>
  </si>
  <si>
    <t>P13-17</t>
  </si>
  <si>
    <t>P13-18</t>
  </si>
  <si>
    <t>P13-19</t>
  </si>
  <si>
    <t>P13-20</t>
  </si>
  <si>
    <t>P13-21</t>
  </si>
  <si>
    <t>P13-22</t>
  </si>
  <si>
    <t>P13-23</t>
  </si>
  <si>
    <t>P13-24</t>
  </si>
  <si>
    <t>P13-25</t>
  </si>
  <si>
    <t>P13-26</t>
  </si>
  <si>
    <t>P13-27</t>
  </si>
  <si>
    <t>P13-28</t>
  </si>
  <si>
    <t>P13-29</t>
  </si>
  <si>
    <t>P13-30</t>
  </si>
  <si>
    <t>P13-31</t>
  </si>
  <si>
    <t>P13-32</t>
  </si>
  <si>
    <t>P13-33</t>
  </si>
  <si>
    <t>P13-34</t>
  </si>
  <si>
    <t>P13-35</t>
  </si>
  <si>
    <t>P13-36</t>
  </si>
  <si>
    <t>P13-37</t>
  </si>
  <si>
    <t>P13-38</t>
  </si>
  <si>
    <t>P13-39</t>
  </si>
  <si>
    <t>P13-40</t>
  </si>
  <si>
    <t>P13-41</t>
  </si>
  <si>
    <t>P13-42</t>
  </si>
  <si>
    <t>P13-43</t>
  </si>
  <si>
    <t>P13-44</t>
  </si>
  <si>
    <t>P13-45</t>
  </si>
  <si>
    <t>P13-46</t>
  </si>
  <si>
    <t>P13-47</t>
  </si>
  <si>
    <t>P13-48</t>
  </si>
  <si>
    <t>P13-49</t>
  </si>
  <si>
    <t>P13-50</t>
  </si>
  <si>
    <t>P14-1</t>
  </si>
  <si>
    <t>P14-2</t>
  </si>
  <si>
    <t>P14-3</t>
  </si>
  <si>
    <t>P14-4</t>
  </si>
  <si>
    <t>P14-5</t>
  </si>
  <si>
    <t>P14-6</t>
  </si>
  <si>
    <t>P14-7</t>
  </si>
  <si>
    <t>P14-8</t>
  </si>
  <si>
    <t>P14-9</t>
  </si>
  <si>
    <t>P14-10</t>
  </si>
  <si>
    <t>P14-11</t>
  </si>
  <si>
    <t>P14-12</t>
  </si>
  <si>
    <t>P14-13</t>
  </si>
  <si>
    <t>P14-14</t>
  </si>
  <si>
    <t>P14-15</t>
  </si>
  <si>
    <t>P14-16</t>
  </si>
  <si>
    <t>P14-17</t>
  </si>
  <si>
    <t>P14-18</t>
  </si>
  <si>
    <t>P14-19</t>
  </si>
  <si>
    <t>P14-20</t>
  </si>
  <si>
    <t>P14-21</t>
  </si>
  <si>
    <t>P14-22</t>
  </si>
  <si>
    <t>P14-23</t>
  </si>
  <si>
    <t>P14-24</t>
  </si>
  <si>
    <t>P14-25</t>
  </si>
  <si>
    <t>P14-26</t>
  </si>
  <si>
    <t>P14-27</t>
  </si>
  <si>
    <t>P14-28</t>
  </si>
  <si>
    <t>P14-29</t>
  </si>
  <si>
    <t>P14-30</t>
  </si>
  <si>
    <t>P14-31</t>
  </si>
  <si>
    <t>P14-32</t>
  </si>
  <si>
    <t>P14-33</t>
  </si>
  <si>
    <t>P14-34</t>
  </si>
  <si>
    <t>P14-35</t>
  </si>
  <si>
    <t>P14-36</t>
  </si>
  <si>
    <t>P14-37</t>
  </si>
  <si>
    <t>P14-38</t>
  </si>
  <si>
    <t>P14-39</t>
  </si>
  <si>
    <t>P14-40</t>
  </si>
  <si>
    <t>P14-41</t>
  </si>
  <si>
    <t>P14-42</t>
  </si>
  <si>
    <t>P14-43</t>
  </si>
  <si>
    <t>P14-44</t>
  </si>
  <si>
    <t>P14-45</t>
  </si>
  <si>
    <t>P14-46</t>
  </si>
  <si>
    <t>P14-47</t>
  </si>
  <si>
    <t>P14-48</t>
  </si>
  <si>
    <t>P14-49</t>
  </si>
  <si>
    <t>P14-50</t>
  </si>
  <si>
    <t>P15-1</t>
  </si>
  <si>
    <t>P15-2</t>
  </si>
  <si>
    <t>P15-3</t>
  </si>
  <si>
    <t>P15-4</t>
  </si>
  <si>
    <t>P15-5</t>
  </si>
  <si>
    <t>P15-6</t>
  </si>
  <si>
    <t>P15-7</t>
  </si>
  <si>
    <t>P15-8</t>
  </si>
  <si>
    <t>P15-9</t>
  </si>
  <si>
    <t>P15-10</t>
  </si>
  <si>
    <t>P15-11</t>
  </si>
  <si>
    <t>P15-12</t>
  </si>
  <si>
    <t>P15-13</t>
  </si>
  <si>
    <t>P15-14</t>
  </si>
  <si>
    <t>P15-15</t>
  </si>
  <si>
    <t>P15-16</t>
  </si>
  <si>
    <t>P15-17</t>
  </si>
  <si>
    <t>P15-18</t>
  </si>
  <si>
    <t>P15-19</t>
  </si>
  <si>
    <t>P15-20</t>
  </si>
  <si>
    <t>P15-21</t>
  </si>
  <si>
    <t>P15-22</t>
  </si>
  <si>
    <t>P15-23</t>
  </si>
  <si>
    <t>P15-24</t>
  </si>
  <si>
    <t>P15-25</t>
  </si>
  <si>
    <t>P15-26</t>
  </si>
  <si>
    <t>P15-27</t>
  </si>
  <si>
    <t>P15-28</t>
  </si>
  <si>
    <t>P15-29</t>
  </si>
  <si>
    <t>P15-30</t>
  </si>
  <si>
    <t>P15-31</t>
  </si>
  <si>
    <t>P15-32</t>
  </si>
  <si>
    <t>P15-33</t>
  </si>
  <si>
    <t>P15-34</t>
  </si>
  <si>
    <t>P15-35</t>
  </si>
  <si>
    <t>P15-36</t>
  </si>
  <si>
    <t>P15-37</t>
  </si>
  <si>
    <t>P15-38</t>
  </si>
  <si>
    <t>P15-39</t>
  </si>
  <si>
    <t>P15-40</t>
  </si>
  <si>
    <t>P15-41</t>
  </si>
  <si>
    <t>P15-42</t>
  </si>
  <si>
    <t>P15-43</t>
  </si>
  <si>
    <t>P15-44</t>
  </si>
  <si>
    <t>P15-45</t>
  </si>
  <si>
    <t>P15-46</t>
  </si>
  <si>
    <t>P15-47</t>
  </si>
  <si>
    <t>P15-48</t>
  </si>
  <si>
    <t>P15-49</t>
  </si>
  <si>
    <t>P15-50</t>
  </si>
  <si>
    <t>P16-1</t>
  </si>
  <si>
    <t>P16-2</t>
  </si>
  <si>
    <t>P16-3</t>
  </si>
  <si>
    <t>P16-4</t>
  </si>
  <si>
    <t>P16-5</t>
  </si>
  <si>
    <t>P16-6</t>
  </si>
  <si>
    <t>P16-7</t>
  </si>
  <si>
    <t>P16-8</t>
  </si>
  <si>
    <t>P16-9</t>
  </si>
  <si>
    <t>P16-10</t>
  </si>
  <si>
    <t>P16-11</t>
  </si>
  <si>
    <t>P16-12</t>
  </si>
  <si>
    <t>P16-13</t>
  </si>
  <si>
    <t>P16-14</t>
  </si>
  <si>
    <t>P16-15</t>
  </si>
  <si>
    <t>P16-16</t>
  </si>
  <si>
    <t>P16-17</t>
  </si>
  <si>
    <t>P16-18</t>
  </si>
  <si>
    <t>P16-19</t>
  </si>
  <si>
    <t>P16-20</t>
  </si>
  <si>
    <t>P16-21</t>
  </si>
  <si>
    <t>P16-22</t>
  </si>
  <si>
    <t>P16-23</t>
  </si>
  <si>
    <t>P16-24</t>
  </si>
  <si>
    <t>P16-25</t>
  </si>
  <si>
    <t>P16-26</t>
  </si>
  <si>
    <t>P16-27</t>
  </si>
  <si>
    <t>P16-28</t>
  </si>
  <si>
    <t>P16-29</t>
  </si>
  <si>
    <t>P16-30</t>
  </si>
  <si>
    <t>P16-31</t>
  </si>
  <si>
    <t>P16-32</t>
  </si>
  <si>
    <t>P16-33</t>
  </si>
  <si>
    <t>P16-34</t>
  </si>
  <si>
    <t>P16-35</t>
  </si>
  <si>
    <t>P16-36</t>
  </si>
  <si>
    <t>P16-37</t>
  </si>
  <si>
    <t>P16-38</t>
  </si>
  <si>
    <t>P16-39</t>
  </si>
  <si>
    <t>P16-40</t>
  </si>
  <si>
    <t>P16-41</t>
  </si>
  <si>
    <t>P16-42</t>
  </si>
  <si>
    <t>P16-43</t>
  </si>
  <si>
    <t>P16-44</t>
  </si>
  <si>
    <t>P16-45</t>
  </si>
  <si>
    <t>P16-46</t>
  </si>
  <si>
    <t>P16-47</t>
  </si>
  <si>
    <t>P16-48</t>
  </si>
  <si>
    <t>P16-49</t>
  </si>
  <si>
    <t>P16-50</t>
  </si>
  <si>
    <t>P17-1</t>
  </si>
  <si>
    <t>P17-2</t>
  </si>
  <si>
    <t>P17-3</t>
  </si>
  <si>
    <t>P17-4</t>
  </si>
  <si>
    <t>P17-5</t>
  </si>
  <si>
    <t>P17-6</t>
  </si>
  <si>
    <t>P17-7</t>
  </si>
  <si>
    <t>P17-8</t>
  </si>
  <si>
    <t>P17-9</t>
  </si>
  <si>
    <t>P17-10</t>
  </si>
  <si>
    <t>P17-11</t>
  </si>
  <si>
    <t>P17-12</t>
  </si>
  <si>
    <t>P17-13</t>
  </si>
  <si>
    <t>P17-14</t>
  </si>
  <si>
    <t>P17-15</t>
  </si>
  <si>
    <t>P17-16</t>
  </si>
  <si>
    <t>P17-17</t>
  </si>
  <si>
    <t>P17-18</t>
  </si>
  <si>
    <t>P17-19</t>
  </si>
  <si>
    <t>P17-20</t>
  </si>
  <si>
    <t>P17-21</t>
  </si>
  <si>
    <t>P17-22</t>
  </si>
  <si>
    <t>P17-23</t>
  </si>
  <si>
    <t>P17-24</t>
  </si>
  <si>
    <t>P17-25</t>
  </si>
  <si>
    <t>P17-26</t>
  </si>
  <si>
    <t>P17-27</t>
  </si>
  <si>
    <t>P17-28</t>
  </si>
  <si>
    <t>P17-29</t>
  </si>
  <si>
    <t>P17-30</t>
  </si>
  <si>
    <t>P17-31</t>
  </si>
  <si>
    <t>P17-32</t>
  </si>
  <si>
    <t>P17-33</t>
  </si>
  <si>
    <t>P17-34</t>
  </si>
  <si>
    <t>P17-35</t>
  </si>
  <si>
    <t>P17-36</t>
  </si>
  <si>
    <t>P17-37</t>
  </si>
  <si>
    <t>P17-38</t>
  </si>
  <si>
    <t>P17-39</t>
  </si>
  <si>
    <t>P17-40</t>
  </si>
  <si>
    <t>P17-41</t>
  </si>
  <si>
    <t>P17-42</t>
  </si>
  <si>
    <t>P17-43</t>
  </si>
  <si>
    <t>P17-44</t>
  </si>
  <si>
    <t>P17-45</t>
  </si>
  <si>
    <t>P17-46</t>
  </si>
  <si>
    <t>P17-47</t>
  </si>
  <si>
    <t>P17-48</t>
  </si>
  <si>
    <t>P17-49</t>
  </si>
  <si>
    <t>P17-50</t>
  </si>
  <si>
    <t>P18-1</t>
  </si>
  <si>
    <t>P18-2</t>
  </si>
  <si>
    <t>P18-3</t>
  </si>
  <si>
    <t>P18-4</t>
  </si>
  <si>
    <t>P18-5</t>
  </si>
  <si>
    <t>P18-6</t>
  </si>
  <si>
    <t>P18-7</t>
  </si>
  <si>
    <t>P18-8</t>
  </si>
  <si>
    <t>P18-9</t>
  </si>
  <si>
    <t>P18-10</t>
  </si>
  <si>
    <t>P18-11</t>
  </si>
  <si>
    <t>P18-12</t>
  </si>
  <si>
    <t>P18-13</t>
  </si>
  <si>
    <t>P18-14</t>
  </si>
  <si>
    <t>P18-15</t>
  </si>
  <si>
    <t>P18-16</t>
  </si>
  <si>
    <t>P18-17</t>
  </si>
  <si>
    <t>P18-18</t>
  </si>
  <si>
    <t>P18-19</t>
  </si>
  <si>
    <t>P18-20</t>
  </si>
  <si>
    <t>P18-21</t>
  </si>
  <si>
    <t>P18-22</t>
  </si>
  <si>
    <t>P18-23</t>
  </si>
  <si>
    <t>P18-24</t>
  </si>
  <si>
    <t>P18-25</t>
  </si>
  <si>
    <t>P18-26</t>
  </si>
  <si>
    <t>P18-27</t>
  </si>
  <si>
    <t>P18-28</t>
  </si>
  <si>
    <t>P18-29</t>
  </si>
  <si>
    <t>P18-30</t>
  </si>
  <si>
    <t>P18-31</t>
  </si>
  <si>
    <t>P18-32</t>
  </si>
  <si>
    <t>P18-33</t>
  </si>
  <si>
    <t>P18-34</t>
  </si>
  <si>
    <t>P18-35</t>
  </si>
  <si>
    <t>P18-36</t>
  </si>
  <si>
    <t>P18-37</t>
  </si>
  <si>
    <t>P18-38</t>
  </si>
  <si>
    <t>P18-39</t>
  </si>
  <si>
    <t>P18-40</t>
  </si>
  <si>
    <t>P18-41</t>
  </si>
  <si>
    <t>P18-42</t>
  </si>
  <si>
    <t>P18-43</t>
  </si>
  <si>
    <t>P18-44</t>
  </si>
  <si>
    <t>P18-45</t>
  </si>
  <si>
    <t>P18-46</t>
  </si>
  <si>
    <t>P18-47</t>
  </si>
  <si>
    <t>P18-48</t>
  </si>
  <si>
    <t>P18-49</t>
  </si>
  <si>
    <t>P18-50</t>
  </si>
  <si>
    <t>P19-1</t>
  </si>
  <si>
    <t>P19-2</t>
  </si>
  <si>
    <t>P19-3</t>
  </si>
  <si>
    <t>P19-4</t>
  </si>
  <si>
    <t>P19-5</t>
  </si>
  <si>
    <t>P19-6</t>
  </si>
  <si>
    <t>P19-7</t>
  </si>
  <si>
    <t>P19-8</t>
  </si>
  <si>
    <t>P19-9</t>
  </si>
  <si>
    <t>P19-10</t>
  </si>
  <si>
    <t>P19-11</t>
  </si>
  <si>
    <t>P19-12</t>
  </si>
  <si>
    <t>P19-13</t>
  </si>
  <si>
    <t>P19-14</t>
  </si>
  <si>
    <t>P19-15</t>
  </si>
  <si>
    <t>P19-16</t>
  </si>
  <si>
    <t>P19-17</t>
  </si>
  <si>
    <t>P19-18</t>
  </si>
  <si>
    <t>P19-19</t>
  </si>
  <si>
    <t>P19-20</t>
  </si>
  <si>
    <t>P19-21</t>
  </si>
  <si>
    <t>P19-22</t>
  </si>
  <si>
    <t>P19-23</t>
  </si>
  <si>
    <t>P19-24</t>
  </si>
  <si>
    <t>P19-25</t>
  </si>
  <si>
    <t>P19-26</t>
  </si>
  <si>
    <t>P19-27</t>
  </si>
  <si>
    <t>P19-28</t>
  </si>
  <si>
    <t>P19-29</t>
  </si>
  <si>
    <t>P19-30</t>
  </si>
  <si>
    <t>P19-31</t>
  </si>
  <si>
    <t>P19-32</t>
  </si>
  <si>
    <t>P19-33</t>
  </si>
  <si>
    <t>P19-34</t>
  </si>
  <si>
    <t>P19-35</t>
  </si>
  <si>
    <t>P19-36</t>
  </si>
  <si>
    <t>P19-37</t>
  </si>
  <si>
    <t>P19-38</t>
  </si>
  <si>
    <t>P19-39</t>
  </si>
  <si>
    <t>P19-40</t>
  </si>
  <si>
    <t>P19-41</t>
  </si>
  <si>
    <t>P19-42</t>
  </si>
  <si>
    <t>P19-43</t>
  </si>
  <si>
    <t>P19-44</t>
  </si>
  <si>
    <t>P19-45</t>
  </si>
  <si>
    <t>P19-46</t>
  </si>
  <si>
    <t>P19-47</t>
  </si>
  <si>
    <t>P19-48</t>
  </si>
  <si>
    <t>P19-49</t>
  </si>
  <si>
    <t>P19-50</t>
  </si>
  <si>
    <t>P20-1</t>
  </si>
  <si>
    <t>P20-2</t>
  </si>
  <si>
    <t>P20-3</t>
  </si>
  <si>
    <t>P20-4</t>
  </si>
  <si>
    <t>P20-5</t>
  </si>
  <si>
    <t>P20-6</t>
  </si>
  <si>
    <t>P20-7</t>
  </si>
  <si>
    <t>P20-8</t>
  </si>
  <si>
    <t>P20-9</t>
  </si>
  <si>
    <t>P20-10</t>
  </si>
  <si>
    <t>P20-11</t>
  </si>
  <si>
    <t>P20-12</t>
  </si>
  <si>
    <t>P20-13</t>
  </si>
  <si>
    <t>P20-14</t>
  </si>
  <si>
    <t>P20-15</t>
  </si>
  <si>
    <t>P20-16</t>
  </si>
  <si>
    <t>P20-17</t>
  </si>
  <si>
    <t>P20-18</t>
  </si>
  <si>
    <t>P20-19</t>
  </si>
  <si>
    <t>P20-20</t>
  </si>
  <si>
    <t>P20-21</t>
  </si>
  <si>
    <t>P20-22</t>
  </si>
  <si>
    <t>P20-23</t>
  </si>
  <si>
    <t>P20-24</t>
  </si>
  <si>
    <t>P20-25</t>
  </si>
  <si>
    <t>P20-26</t>
  </si>
  <si>
    <t>P20-27</t>
  </si>
  <si>
    <t>P20-28</t>
  </si>
  <si>
    <t>P20-29</t>
  </si>
  <si>
    <t>P20-30</t>
  </si>
  <si>
    <t>P20-31</t>
  </si>
  <si>
    <t>P20-32</t>
  </si>
  <si>
    <t>P20-33</t>
  </si>
  <si>
    <t>P20-34</t>
  </si>
  <si>
    <t>P20-35</t>
  </si>
  <si>
    <t>P20-36</t>
  </si>
  <si>
    <t>P20-37</t>
  </si>
  <si>
    <t>P20-38</t>
  </si>
  <si>
    <t>P20-39</t>
  </si>
  <si>
    <t>P20-40</t>
  </si>
  <si>
    <t>P20-41</t>
  </si>
  <si>
    <t>P20-42</t>
  </si>
  <si>
    <t>P20-43</t>
  </si>
  <si>
    <t>P20-44</t>
  </si>
  <si>
    <t>P20-45</t>
  </si>
  <si>
    <t>P20-46</t>
  </si>
  <si>
    <t>P20-47</t>
  </si>
  <si>
    <t>P20-48</t>
  </si>
  <si>
    <t>P20-49</t>
  </si>
  <si>
    <t>P20-50</t>
  </si>
  <si>
    <t>P21-1</t>
  </si>
  <si>
    <t>P21-2</t>
  </si>
  <si>
    <t>P21-3</t>
  </si>
  <si>
    <t>P21-4</t>
  </si>
  <si>
    <t>P21-5</t>
  </si>
  <si>
    <t>P21-6</t>
  </si>
  <si>
    <t>P21-7</t>
  </si>
  <si>
    <t>P21-8</t>
  </si>
  <si>
    <t>P21-9</t>
  </si>
  <si>
    <t>P21-10</t>
  </si>
  <si>
    <t>P21-11</t>
  </si>
  <si>
    <t>P21-12</t>
  </si>
  <si>
    <t>P21-13</t>
  </si>
  <si>
    <t>P21-14</t>
  </si>
  <si>
    <t>P21-15</t>
  </si>
  <si>
    <t>P21-16</t>
  </si>
  <si>
    <t>P21-17</t>
  </si>
  <si>
    <t>P21-18</t>
  </si>
  <si>
    <t>P21-19</t>
  </si>
  <si>
    <t>P21-20</t>
  </si>
  <si>
    <t>P21-21</t>
  </si>
  <si>
    <t>P21-22</t>
  </si>
  <si>
    <t>P21-23</t>
  </si>
  <si>
    <t>P21-24</t>
  </si>
  <si>
    <t>P21-25</t>
  </si>
  <si>
    <t>P21-26</t>
  </si>
  <si>
    <t>P21-27</t>
  </si>
  <si>
    <t>P21-28</t>
  </si>
  <si>
    <t>P21-29</t>
  </si>
  <si>
    <t>P21-30</t>
  </si>
  <si>
    <t>P21-31</t>
  </si>
  <si>
    <t>P21-32</t>
  </si>
  <si>
    <t>P21-33</t>
  </si>
  <si>
    <t>P21-34</t>
  </si>
  <si>
    <t>P21-35</t>
  </si>
  <si>
    <t>P21-36</t>
  </si>
  <si>
    <t>P21-37</t>
  </si>
  <si>
    <t>P21-38</t>
  </si>
  <si>
    <t>P21-39</t>
  </si>
  <si>
    <t>P21-40</t>
  </si>
  <si>
    <t>P21-41</t>
  </si>
  <si>
    <t>P21-42</t>
  </si>
  <si>
    <t>P21-43</t>
  </si>
  <si>
    <t>P21-44</t>
  </si>
  <si>
    <t>P21-45</t>
  </si>
  <si>
    <t>P21-46</t>
  </si>
  <si>
    <t>P21-47</t>
  </si>
  <si>
    <t>P21-48</t>
  </si>
  <si>
    <t>P21-49</t>
  </si>
  <si>
    <t>P21-50</t>
  </si>
  <si>
    <t>P22-1</t>
  </si>
  <si>
    <t>P22-2</t>
  </si>
  <si>
    <t>P22-3</t>
  </si>
  <si>
    <t>P22-4</t>
  </si>
  <si>
    <t>P22-5</t>
  </si>
  <si>
    <t>P22-6</t>
  </si>
  <si>
    <t>P22-7</t>
  </si>
  <si>
    <t>P22-8</t>
  </si>
  <si>
    <t>P22-9</t>
  </si>
  <si>
    <t>P22-10</t>
  </si>
  <si>
    <t>P22-11</t>
  </si>
  <si>
    <t>P22-12</t>
  </si>
  <si>
    <t>P22-13</t>
  </si>
  <si>
    <t>P22-14</t>
  </si>
  <si>
    <t>P22-15</t>
  </si>
  <si>
    <t>P22-16</t>
  </si>
  <si>
    <t>P22-17</t>
  </si>
  <si>
    <t>P22-18</t>
  </si>
  <si>
    <t>P22-19</t>
  </si>
  <si>
    <t>P22-20</t>
  </si>
  <si>
    <t>P22-21</t>
  </si>
  <si>
    <t>P22-22</t>
  </si>
  <si>
    <t>P22-23</t>
  </si>
  <si>
    <t>P22-24</t>
  </si>
  <si>
    <t>P22-25</t>
  </si>
  <si>
    <t>P22-26</t>
  </si>
  <si>
    <t>P22-27</t>
  </si>
  <si>
    <t>P22-28</t>
  </si>
  <si>
    <t>P22-29</t>
  </si>
  <si>
    <t>P22-30</t>
  </si>
  <si>
    <t>P22-31</t>
  </si>
  <si>
    <t>P22-32</t>
  </si>
  <si>
    <t>P22-33</t>
  </si>
  <si>
    <t>P22-34</t>
  </si>
  <si>
    <t>P22-35</t>
  </si>
  <si>
    <t>P22-36</t>
  </si>
  <si>
    <t>P22-37</t>
  </si>
  <si>
    <t>P22-38</t>
  </si>
  <si>
    <t>P22-39</t>
  </si>
  <si>
    <t>P22-40</t>
  </si>
  <si>
    <t>P22-41</t>
  </si>
  <si>
    <t>P22-42</t>
  </si>
  <si>
    <t>P22-43</t>
  </si>
  <si>
    <t>P22-44</t>
  </si>
  <si>
    <t>P22-45</t>
  </si>
  <si>
    <t>P22-46</t>
  </si>
  <si>
    <t>P22-47</t>
  </si>
  <si>
    <t>P22-48</t>
  </si>
  <si>
    <t>P22-49</t>
  </si>
  <si>
    <t>P22-50</t>
  </si>
  <si>
    <t>P23-1</t>
  </si>
  <si>
    <t>P23-2</t>
  </si>
  <si>
    <t>P23-3</t>
  </si>
  <si>
    <t>P23-4</t>
  </si>
  <si>
    <t>P23-5</t>
  </si>
  <si>
    <t>P23-6</t>
  </si>
  <si>
    <t>P23-7</t>
  </si>
  <si>
    <t>P23-8</t>
  </si>
  <si>
    <t>P23-9</t>
  </si>
  <si>
    <t>P23-10</t>
  </si>
  <si>
    <t>P23-11</t>
  </si>
  <si>
    <t>P23-12</t>
  </si>
  <si>
    <t>P23-13</t>
  </si>
  <si>
    <t>P23-14</t>
  </si>
  <si>
    <t>P23-15</t>
  </si>
  <si>
    <t>P23-16</t>
  </si>
  <si>
    <t>P23-17</t>
  </si>
  <si>
    <t>P23-18</t>
  </si>
  <si>
    <t>P23-19</t>
  </si>
  <si>
    <t>P23-20</t>
  </si>
  <si>
    <t>P23-21</t>
  </si>
  <si>
    <t>P23-22</t>
  </si>
  <si>
    <t>P23-23</t>
  </si>
  <si>
    <t>P23-24</t>
  </si>
  <si>
    <t>P23-25</t>
  </si>
  <si>
    <t>P23-26</t>
  </si>
  <si>
    <t>P23-27</t>
  </si>
  <si>
    <t>P23-28</t>
  </si>
  <si>
    <t>P23-29</t>
  </si>
  <si>
    <t>P23-30</t>
  </si>
  <si>
    <t>P23-31</t>
  </si>
  <si>
    <t>P23-32</t>
  </si>
  <si>
    <t>P23-33</t>
  </si>
  <si>
    <t>P23-34</t>
  </si>
  <si>
    <t>P23-35</t>
  </si>
  <si>
    <t>P23-36</t>
  </si>
  <si>
    <t>P23-37</t>
  </si>
  <si>
    <t>P23-38</t>
  </si>
  <si>
    <t>P23-39</t>
  </si>
  <si>
    <t>P23-40</t>
  </si>
  <si>
    <t>P23-41</t>
  </si>
  <si>
    <t>P23-42</t>
  </si>
  <si>
    <t>P23-43</t>
  </si>
  <si>
    <t>P23-44</t>
  </si>
  <si>
    <t>P23-45</t>
  </si>
  <si>
    <t>P23-46</t>
  </si>
  <si>
    <t>P23-47</t>
  </si>
  <si>
    <t>P23-48</t>
  </si>
  <si>
    <t>P23-49</t>
  </si>
  <si>
    <t>P23-50</t>
  </si>
  <si>
    <t>P24-1</t>
  </si>
  <si>
    <t>P24-2</t>
  </si>
  <si>
    <t>P24-3</t>
  </si>
  <si>
    <t>P24-4</t>
  </si>
  <si>
    <t>P24-5</t>
  </si>
  <si>
    <t>P24-6</t>
  </si>
  <si>
    <t>P24-7</t>
  </si>
  <si>
    <t>P24-8</t>
  </si>
  <si>
    <t>P24-9</t>
  </si>
  <si>
    <t>P24-10</t>
  </si>
  <si>
    <t>P24-11</t>
  </si>
  <si>
    <t>P24-12</t>
  </si>
  <si>
    <t>P24-13</t>
  </si>
  <si>
    <t>P24-14</t>
  </si>
  <si>
    <t>P24-15</t>
  </si>
  <si>
    <t>P24-16</t>
  </si>
  <si>
    <t>P24-17</t>
  </si>
  <si>
    <t>P24-18</t>
  </si>
  <si>
    <t>P24-19</t>
  </si>
  <si>
    <t>P24-20</t>
  </si>
  <si>
    <t>P24-21</t>
  </si>
  <si>
    <t>P24-22</t>
  </si>
  <si>
    <t>P24-23</t>
  </si>
  <si>
    <t>P24-24</t>
  </si>
  <si>
    <t>P24-25</t>
  </si>
  <si>
    <t>P24-26</t>
  </si>
  <si>
    <t>P24-27</t>
  </si>
  <si>
    <t>P24-28</t>
  </si>
  <si>
    <t>P24-29</t>
  </si>
  <si>
    <t>P24-30</t>
  </si>
  <si>
    <t>P24-31</t>
  </si>
  <si>
    <t>P24-32</t>
  </si>
  <si>
    <t>P24-33</t>
  </si>
  <si>
    <t>P24-34</t>
  </si>
  <si>
    <t>P24-35</t>
  </si>
  <si>
    <t>P24-36</t>
  </si>
  <si>
    <t>P24-37</t>
  </si>
  <si>
    <t>P24-38</t>
  </si>
  <si>
    <t>P24-39</t>
  </si>
  <si>
    <t>P24-40</t>
  </si>
  <si>
    <t>P24-41</t>
  </si>
  <si>
    <t>P24-42</t>
  </si>
  <si>
    <t>P24-43</t>
  </si>
  <si>
    <t>P24-44</t>
  </si>
  <si>
    <t>P24-45</t>
  </si>
  <si>
    <t>P24-46</t>
  </si>
  <si>
    <t>P24-47</t>
  </si>
  <si>
    <t>P24-48</t>
  </si>
  <si>
    <t>P24-49</t>
  </si>
  <si>
    <t>P24-50</t>
  </si>
  <si>
    <t>P25-1</t>
  </si>
  <si>
    <t>P25-2</t>
  </si>
  <si>
    <t>P25-3</t>
  </si>
  <si>
    <t>P25-4</t>
  </si>
  <si>
    <t>P25-5</t>
  </si>
  <si>
    <t>P25-6</t>
  </si>
  <si>
    <t>P25-7</t>
  </si>
  <si>
    <t>P25-8</t>
  </si>
  <si>
    <t>P25-9</t>
  </si>
  <si>
    <t>P25-10</t>
  </si>
  <si>
    <t>P25-11</t>
  </si>
  <si>
    <t>P25-12</t>
  </si>
  <si>
    <t>P25-13</t>
  </si>
  <si>
    <t>P25-14</t>
  </si>
  <si>
    <t>P25-15</t>
  </si>
  <si>
    <t>P25-16</t>
  </si>
  <si>
    <t>P25-17</t>
  </si>
  <si>
    <t>P25-18</t>
  </si>
  <si>
    <t>P25-19</t>
  </si>
  <si>
    <t>P25-20</t>
  </si>
  <si>
    <t>P25-21</t>
  </si>
  <si>
    <t>P25-22</t>
  </si>
  <si>
    <t>P25-23</t>
  </si>
  <si>
    <t>P25-24</t>
  </si>
  <si>
    <t>P25-25</t>
  </si>
  <si>
    <t>P25-26</t>
  </si>
  <si>
    <t>P25-27</t>
  </si>
  <si>
    <t>P25-28</t>
  </si>
  <si>
    <t>P25-29</t>
  </si>
  <si>
    <t>P25-30</t>
  </si>
  <si>
    <t>P25-31</t>
  </si>
  <si>
    <t>P25-32</t>
  </si>
  <si>
    <t>P25-33</t>
  </si>
  <si>
    <t>P25-34</t>
  </si>
  <si>
    <t>P25-35</t>
  </si>
  <si>
    <t>P25-36</t>
  </si>
  <si>
    <t>P25-37</t>
  </si>
  <si>
    <t>P25-38</t>
  </si>
  <si>
    <t>P25-39</t>
  </si>
  <si>
    <t>P25-40</t>
  </si>
  <si>
    <t>P25-41</t>
  </si>
  <si>
    <t>P25-42</t>
  </si>
  <si>
    <t>P25-43</t>
  </si>
  <si>
    <t>P25-44</t>
  </si>
  <si>
    <t>P25-45</t>
  </si>
  <si>
    <t>P25-46</t>
  </si>
  <si>
    <t>P25-47</t>
  </si>
  <si>
    <t>P25-48</t>
  </si>
  <si>
    <t>P25-49</t>
  </si>
  <si>
    <t>P25-50</t>
  </si>
  <si>
    <t>P26-1</t>
  </si>
  <si>
    <t>P26-2</t>
  </si>
  <si>
    <t>P26-3</t>
  </si>
  <si>
    <t>P26-4</t>
  </si>
  <si>
    <t>P26-5</t>
  </si>
  <si>
    <t>P26-6</t>
  </si>
  <si>
    <t>P26-7</t>
  </si>
  <si>
    <t>P26-8</t>
  </si>
  <si>
    <t>P26-9</t>
  </si>
  <si>
    <t>P26-10</t>
  </si>
  <si>
    <t>P26-11</t>
  </si>
  <si>
    <t>P26-12</t>
  </si>
  <si>
    <t>P26-13</t>
  </si>
  <si>
    <t>P26-14</t>
  </si>
  <si>
    <t>P26-15</t>
  </si>
  <si>
    <t>P26-16</t>
  </si>
  <si>
    <t>P26-17</t>
  </si>
  <si>
    <t>P26-18</t>
  </si>
  <si>
    <t>P26-19</t>
  </si>
  <si>
    <t>P26-20</t>
  </si>
  <si>
    <t>P26-21</t>
  </si>
  <si>
    <t>P26-22</t>
  </si>
  <si>
    <t>P26-23</t>
  </si>
  <si>
    <t>P26-24</t>
  </si>
  <si>
    <t>P26-25</t>
  </si>
  <si>
    <t>P26-26</t>
  </si>
  <si>
    <t>P26-27</t>
  </si>
  <si>
    <t>P26-28</t>
  </si>
  <si>
    <t>P26-29</t>
  </si>
  <si>
    <t>P26-30</t>
  </si>
  <si>
    <t>P26-31</t>
  </si>
  <si>
    <t>P26-32</t>
  </si>
  <si>
    <t>P26-33</t>
  </si>
  <si>
    <t>P26-34</t>
  </si>
  <si>
    <t>P26-35</t>
  </si>
  <si>
    <t>P26-36</t>
  </si>
  <si>
    <t>P26-37</t>
  </si>
  <si>
    <t>P26-38</t>
  </si>
  <si>
    <t>P26-39</t>
  </si>
  <si>
    <t>P26-40</t>
  </si>
  <si>
    <t>P26-41</t>
  </si>
  <si>
    <t>P26-42</t>
  </si>
  <si>
    <t>P26-43</t>
  </si>
  <si>
    <t>P26-44</t>
  </si>
  <si>
    <t>P26-45</t>
  </si>
  <si>
    <t>P26-46</t>
  </si>
  <si>
    <t>P26-47</t>
  </si>
  <si>
    <t>P26-48</t>
  </si>
  <si>
    <t>P26-49</t>
  </si>
  <si>
    <t>P26-50</t>
  </si>
  <si>
    <t>P27-1</t>
  </si>
  <si>
    <t>P27-2</t>
  </si>
  <si>
    <t>P27-3</t>
  </si>
  <si>
    <t>P27-4</t>
  </si>
  <si>
    <t>P27-5</t>
  </si>
  <si>
    <t>P27-6</t>
  </si>
  <si>
    <t>P27-7</t>
  </si>
  <si>
    <t>P27-8</t>
  </si>
  <si>
    <t>P27-9</t>
  </si>
  <si>
    <t>P27-10</t>
  </si>
  <si>
    <t>P27-11</t>
  </si>
  <si>
    <t>P27-12</t>
  </si>
  <si>
    <t>P27-13</t>
  </si>
  <si>
    <t>P27-14</t>
  </si>
  <si>
    <t>P27-15</t>
  </si>
  <si>
    <t>P27-16</t>
  </si>
  <si>
    <t>P27-17</t>
  </si>
  <si>
    <t>P27-18</t>
  </si>
  <si>
    <t>P27-19</t>
  </si>
  <si>
    <t>P27-20</t>
  </si>
  <si>
    <t>P27-21</t>
  </si>
  <si>
    <t>P27-22</t>
  </si>
  <si>
    <t>P27-23</t>
  </si>
  <si>
    <t>P27-24</t>
  </si>
  <si>
    <t>P27-25</t>
  </si>
  <si>
    <t>P27-26</t>
  </si>
  <si>
    <t>P27-27</t>
  </si>
  <si>
    <t>P27-28</t>
  </si>
  <si>
    <t>P27-29</t>
  </si>
  <si>
    <t>P27-30</t>
  </si>
  <si>
    <t>P27-31</t>
  </si>
  <si>
    <t>P27-32</t>
  </si>
  <si>
    <t>P27-33</t>
  </si>
  <si>
    <t>P27-34</t>
  </si>
  <si>
    <t>P27-35</t>
  </si>
  <si>
    <t>P27-36</t>
  </si>
  <si>
    <t>P27-37</t>
  </si>
  <si>
    <t>P27-38</t>
  </si>
  <si>
    <t>P27-39</t>
  </si>
  <si>
    <t>P27-40</t>
  </si>
  <si>
    <t>P27-41</t>
  </si>
  <si>
    <t>P27-42</t>
  </si>
  <si>
    <t>P27-43</t>
  </si>
  <si>
    <t>P27-44</t>
  </si>
  <si>
    <t>P27-45</t>
  </si>
  <si>
    <t>P27-46</t>
  </si>
  <si>
    <t>P27-47</t>
  </si>
  <si>
    <t>P27-48</t>
  </si>
  <si>
    <t>P27-49</t>
  </si>
  <si>
    <t>P27-50</t>
  </si>
  <si>
    <t>P28-1</t>
  </si>
  <si>
    <t>P28-2</t>
  </si>
  <si>
    <t>P28-3</t>
  </si>
  <si>
    <t>P28-4</t>
  </si>
  <si>
    <t>P28-5</t>
  </si>
  <si>
    <t>P28-6</t>
  </si>
  <si>
    <t>P28-7</t>
  </si>
  <si>
    <t>P28-8</t>
  </si>
  <si>
    <t>P28-9</t>
  </si>
  <si>
    <t>P28-10</t>
  </si>
  <si>
    <t>P28-11</t>
  </si>
  <si>
    <t>P28-12</t>
  </si>
  <si>
    <t>P28-13</t>
  </si>
  <si>
    <t>P28-14</t>
  </si>
  <si>
    <t>P28-15</t>
  </si>
  <si>
    <t>P28-16</t>
  </si>
  <si>
    <t>P28-17</t>
  </si>
  <si>
    <t>P28-18</t>
  </si>
  <si>
    <t>P28-19</t>
  </si>
  <si>
    <t>P28-20</t>
  </si>
  <si>
    <t>P28-21</t>
  </si>
  <si>
    <t>P28-22</t>
  </si>
  <si>
    <t>P28-23</t>
  </si>
  <si>
    <t>P28-24</t>
  </si>
  <si>
    <t>P28-25</t>
  </si>
  <si>
    <t>P28-26</t>
  </si>
  <si>
    <t>P28-27</t>
  </si>
  <si>
    <t>P28-28</t>
  </si>
  <si>
    <t>P28-29</t>
  </si>
  <si>
    <t>P28-30</t>
  </si>
  <si>
    <t>P28-31</t>
  </si>
  <si>
    <t>P28-32</t>
  </si>
  <si>
    <t>P28-33</t>
  </si>
  <si>
    <t>P28-34</t>
  </si>
  <si>
    <t>P28-35</t>
  </si>
  <si>
    <t>P28-36</t>
  </si>
  <si>
    <t>P28-37</t>
  </si>
  <si>
    <t>P28-38</t>
  </si>
  <si>
    <t>P28-39</t>
  </si>
  <si>
    <t>P28-40</t>
  </si>
  <si>
    <t>P28-41</t>
  </si>
  <si>
    <t>P28-42</t>
  </si>
  <si>
    <t>P28-43</t>
  </si>
  <si>
    <t>P28-44</t>
  </si>
  <si>
    <t>P28-45</t>
  </si>
  <si>
    <t>P28-46</t>
  </si>
  <si>
    <t>P28-47</t>
  </si>
  <si>
    <t>P28-48</t>
  </si>
  <si>
    <t>P28-49</t>
  </si>
  <si>
    <t>P28-50</t>
  </si>
  <si>
    <t>P29-1</t>
  </si>
  <si>
    <t>P29-2</t>
  </si>
  <si>
    <t>P29-3</t>
  </si>
  <si>
    <t>P29-4</t>
  </si>
  <si>
    <t>P29-5</t>
  </si>
  <si>
    <t>P29-6</t>
  </si>
  <si>
    <t>P29-7</t>
  </si>
  <si>
    <t>P29-8</t>
  </si>
  <si>
    <t>P29-9</t>
  </si>
  <si>
    <t>P29-10</t>
  </si>
  <si>
    <t>P29-11</t>
  </si>
  <si>
    <t>P29-12</t>
  </si>
  <si>
    <t>P29-13</t>
  </si>
  <si>
    <t>P29-14</t>
  </si>
  <si>
    <t>P29-15</t>
  </si>
  <si>
    <t>P29-16</t>
  </si>
  <si>
    <t>P29-17</t>
  </si>
  <si>
    <t>P29-18</t>
  </si>
  <si>
    <t>P29-19</t>
  </si>
  <si>
    <t>P29-20</t>
  </si>
  <si>
    <t>P29-21</t>
  </si>
  <si>
    <t>P29-22</t>
  </si>
  <si>
    <t>P29-23</t>
  </si>
  <si>
    <t>P29-24</t>
  </si>
  <si>
    <t>P29-25</t>
  </si>
  <si>
    <t>P29-26</t>
  </si>
  <si>
    <t>P29-27</t>
  </si>
  <si>
    <t>P29-28</t>
  </si>
  <si>
    <t>P29-29</t>
  </si>
  <si>
    <t>P29-30</t>
  </si>
  <si>
    <t>P29-31</t>
  </si>
  <si>
    <t>P29-32</t>
  </si>
  <si>
    <t>P29-33</t>
  </si>
  <si>
    <t>P29-34</t>
  </si>
  <si>
    <t>P29-35</t>
  </si>
  <si>
    <t>P29-36</t>
  </si>
  <si>
    <t>P29-37</t>
  </si>
  <si>
    <t>P29-38</t>
  </si>
  <si>
    <t>P29-39</t>
  </si>
  <si>
    <t>P29-40</t>
  </si>
  <si>
    <t>P29-41</t>
  </si>
  <si>
    <t>P29-42</t>
  </si>
  <si>
    <t>P29-43</t>
  </si>
  <si>
    <t>P29-44</t>
  </si>
  <si>
    <t>P29-45</t>
  </si>
  <si>
    <t>P29-46</t>
  </si>
  <si>
    <t>P29-47</t>
  </si>
  <si>
    <t>P29-48</t>
  </si>
  <si>
    <t>P29-49</t>
  </si>
  <si>
    <t>P29-50</t>
  </si>
  <si>
    <t>P30-1</t>
  </si>
  <si>
    <t>P30-2</t>
  </si>
  <si>
    <t>P30-3</t>
  </si>
  <si>
    <t>P30-4</t>
  </si>
  <si>
    <t>P30-5</t>
  </si>
  <si>
    <t>P30-6</t>
  </si>
  <si>
    <t>P30-7</t>
  </si>
  <si>
    <t>P30-8</t>
  </si>
  <si>
    <t>P30-9</t>
  </si>
  <si>
    <t>P30-10</t>
  </si>
  <si>
    <t>P30-11</t>
  </si>
  <si>
    <t>P30-12</t>
  </si>
  <si>
    <t>P30-13</t>
  </si>
  <si>
    <t>P30-14</t>
  </si>
  <si>
    <t>P30-15</t>
  </si>
  <si>
    <t>P30-16</t>
  </si>
  <si>
    <t>P30-17</t>
  </si>
  <si>
    <t>P30-18</t>
  </si>
  <si>
    <t>P30-19</t>
  </si>
  <si>
    <t>P30-20</t>
  </si>
  <si>
    <t>P30-21</t>
  </si>
  <si>
    <t>P30-22</t>
  </si>
  <si>
    <t>P30-23</t>
  </si>
  <si>
    <t>P30-24</t>
  </si>
  <si>
    <t>P30-25</t>
  </si>
  <si>
    <t>P30-26</t>
  </si>
  <si>
    <t>P30-27</t>
  </si>
  <si>
    <t>P30-28</t>
  </si>
  <si>
    <t>P30-29</t>
  </si>
  <si>
    <t>P30-30</t>
  </si>
  <si>
    <t>P30-31</t>
  </si>
  <si>
    <t>P30-32</t>
  </si>
  <si>
    <t>P30-33</t>
  </si>
  <si>
    <t>P30-34</t>
  </si>
  <si>
    <t>P30-35</t>
  </si>
  <si>
    <t>P30-36</t>
  </si>
  <si>
    <t>P30-37</t>
  </si>
  <si>
    <t>P30-38</t>
  </si>
  <si>
    <t>P30-39</t>
  </si>
  <si>
    <t>P30-40</t>
  </si>
  <si>
    <t>P30-41</t>
  </si>
  <si>
    <t>P30-42</t>
  </si>
  <si>
    <t>P30-43</t>
  </si>
  <si>
    <t>P30-44</t>
  </si>
  <si>
    <t>P30-45</t>
  </si>
  <si>
    <t>P30-46</t>
  </si>
  <si>
    <t>P30-47</t>
  </si>
  <si>
    <t>P30-48</t>
  </si>
  <si>
    <t>P30-49</t>
  </si>
  <si>
    <t>P30-50</t>
  </si>
  <si>
    <t>P31-1</t>
  </si>
  <si>
    <t>P31-2</t>
  </si>
  <si>
    <t>P31-3</t>
  </si>
  <si>
    <t>P31-4</t>
  </si>
  <si>
    <t>P31-5</t>
  </si>
  <si>
    <t>P31-6</t>
  </si>
  <si>
    <t>P31-7</t>
  </si>
  <si>
    <t>P31-8</t>
  </si>
  <si>
    <t>P31-9</t>
  </si>
  <si>
    <t>P31-10</t>
  </si>
  <si>
    <t>P31-11</t>
  </si>
  <si>
    <t>P31-12</t>
  </si>
  <si>
    <t>P31-13</t>
  </si>
  <si>
    <t>P31-14</t>
  </si>
  <si>
    <t>P31-15</t>
  </si>
  <si>
    <t>P31-16</t>
  </si>
  <si>
    <t>P31-17</t>
  </si>
  <si>
    <t>P31-18</t>
  </si>
  <si>
    <t>P31-19</t>
  </si>
  <si>
    <t>P31-20</t>
  </si>
  <si>
    <t>P31-21</t>
  </si>
  <si>
    <t>P31-22</t>
  </si>
  <si>
    <t>P31-23</t>
  </si>
  <si>
    <t>P31-24</t>
  </si>
  <si>
    <t>P31-25</t>
  </si>
  <si>
    <t>P31-26</t>
  </si>
  <si>
    <t>P31-27</t>
  </si>
  <si>
    <t>P31-28</t>
  </si>
  <si>
    <t>P31-29</t>
  </si>
  <si>
    <t>P31-30</t>
  </si>
  <si>
    <t>P31-31</t>
  </si>
  <si>
    <t>P31-32</t>
  </si>
  <si>
    <t>P31-33</t>
  </si>
  <si>
    <t>P31-34</t>
  </si>
  <si>
    <t>P31-35</t>
  </si>
  <si>
    <t>P31-36</t>
  </si>
  <si>
    <t>P31-37</t>
  </si>
  <si>
    <t>P31-38</t>
  </si>
  <si>
    <t>P31-39</t>
  </si>
  <si>
    <t>P31-40</t>
  </si>
  <si>
    <t>P31-41</t>
  </si>
  <si>
    <t>P31-42</t>
  </si>
  <si>
    <t>P31-43</t>
  </si>
  <si>
    <t>P31-44</t>
  </si>
  <si>
    <t>P31-45</t>
  </si>
  <si>
    <t>P31-46</t>
  </si>
  <si>
    <t>P31-47</t>
  </si>
  <si>
    <t>P31-48</t>
  </si>
  <si>
    <t>P31-49</t>
  </si>
  <si>
    <t>P31-50</t>
  </si>
  <si>
    <t>P32-1</t>
  </si>
  <si>
    <t>P32-2</t>
  </si>
  <si>
    <t>P32-3</t>
  </si>
  <si>
    <t>P32-4</t>
  </si>
  <si>
    <t>P32-5</t>
  </si>
  <si>
    <t>P32-6</t>
  </si>
  <si>
    <t>P32-7</t>
  </si>
  <si>
    <t>P32-8</t>
  </si>
  <si>
    <t>P32-9</t>
  </si>
  <si>
    <t>P32-10</t>
  </si>
  <si>
    <t>P32-11</t>
  </si>
  <si>
    <t>P32-12</t>
  </si>
  <si>
    <t>P32-13</t>
  </si>
  <si>
    <t>P32-14</t>
  </si>
  <si>
    <t>P32-15</t>
  </si>
  <si>
    <t>P32-16</t>
  </si>
  <si>
    <t>P32-17</t>
  </si>
  <si>
    <t>P32-18</t>
  </si>
  <si>
    <t>P32-19</t>
  </si>
  <si>
    <t>P32-20</t>
  </si>
  <si>
    <t>P32-21</t>
  </si>
  <si>
    <t>P32-22</t>
  </si>
  <si>
    <t>P32-23</t>
  </si>
  <si>
    <t>P32-24</t>
  </si>
  <si>
    <t>P32-25</t>
  </si>
  <si>
    <t>P32-26</t>
  </si>
  <si>
    <t>P32-27</t>
  </si>
  <si>
    <t>P32-28</t>
  </si>
  <si>
    <t>P32-29</t>
  </si>
  <si>
    <t>P32-30</t>
  </si>
  <si>
    <t>P32-31</t>
  </si>
  <si>
    <t>P32-32</t>
  </si>
  <si>
    <t>P32-33</t>
  </si>
  <si>
    <t>P32-34</t>
  </si>
  <si>
    <t>P32-35</t>
  </si>
  <si>
    <t>P32-36</t>
  </si>
  <si>
    <t>P32-37</t>
  </si>
  <si>
    <t>P32-38</t>
  </si>
  <si>
    <t>P32-39</t>
  </si>
  <si>
    <t>P32-40</t>
  </si>
  <si>
    <t>P32-41</t>
  </si>
  <si>
    <t>P32-42</t>
  </si>
  <si>
    <t>P32-43</t>
  </si>
  <si>
    <t>P32-44</t>
  </si>
  <si>
    <t>P32-45</t>
  </si>
  <si>
    <t>P32-46</t>
  </si>
  <si>
    <t>P32-47</t>
  </si>
  <si>
    <t>P32-48</t>
  </si>
  <si>
    <t>P32-49</t>
  </si>
  <si>
    <t>P32-50</t>
  </si>
  <si>
    <t>P33-1</t>
  </si>
  <si>
    <t>P33-2</t>
  </si>
  <si>
    <t>P33-3</t>
  </si>
  <si>
    <t>P33-4</t>
  </si>
  <si>
    <t>P33-5</t>
  </si>
  <si>
    <t>P33-6</t>
  </si>
  <si>
    <t>P33-7</t>
  </si>
  <si>
    <t>P33-8</t>
  </si>
  <si>
    <t>P33-9</t>
  </si>
  <si>
    <t>P33-10</t>
  </si>
  <si>
    <t>P33-11</t>
  </si>
  <si>
    <t>P33-12</t>
  </si>
  <si>
    <t>P33-13</t>
  </si>
  <si>
    <t>P33-14</t>
  </si>
  <si>
    <t>P33-15</t>
  </si>
  <si>
    <t>P33-16</t>
  </si>
  <si>
    <t>P33-17</t>
  </si>
  <si>
    <t>P33-18</t>
  </si>
  <si>
    <t>P33-19</t>
  </si>
  <si>
    <t>P33-20</t>
  </si>
  <si>
    <t>P33-21</t>
  </si>
  <si>
    <t>P33-22</t>
  </si>
  <si>
    <t>P33-23</t>
  </si>
  <si>
    <t>P33-24</t>
  </si>
  <si>
    <t>P33-25</t>
  </si>
  <si>
    <t>P33-26</t>
  </si>
  <si>
    <t>P33-27</t>
  </si>
  <si>
    <t>P33-28</t>
  </si>
  <si>
    <t>P33-29</t>
  </si>
  <si>
    <t>P33-30</t>
  </si>
  <si>
    <t>P33-31</t>
  </si>
  <si>
    <t>P33-32</t>
  </si>
  <si>
    <t>P33-33</t>
  </si>
  <si>
    <t>P33-34</t>
  </si>
  <si>
    <t>P33-35</t>
  </si>
  <si>
    <t>P33-36</t>
  </si>
  <si>
    <t>P33-37</t>
  </si>
  <si>
    <t>P33-38</t>
  </si>
  <si>
    <t>P33-39</t>
  </si>
  <si>
    <t>P33-40</t>
  </si>
  <si>
    <t>P33-41</t>
  </si>
  <si>
    <t>P33-42</t>
  </si>
  <si>
    <t>P33-43</t>
  </si>
  <si>
    <t>P33-44</t>
  </si>
  <si>
    <t>P33-45</t>
  </si>
  <si>
    <t>P33-46</t>
  </si>
  <si>
    <t>P33-47</t>
  </si>
  <si>
    <t>P33-48</t>
  </si>
  <si>
    <t>P33-49</t>
  </si>
  <si>
    <t>P33-50</t>
  </si>
  <si>
    <t>P34-1</t>
  </si>
  <si>
    <t>P34-2</t>
  </si>
  <si>
    <t>P34-3</t>
  </si>
  <si>
    <t>P34-4</t>
  </si>
  <si>
    <t>P34-5</t>
  </si>
  <si>
    <t>P34-6</t>
  </si>
  <si>
    <t>P34-7</t>
  </si>
  <si>
    <t>P34-8</t>
  </si>
  <si>
    <t>P34-9</t>
  </si>
  <si>
    <t>P34-10</t>
  </si>
  <si>
    <t>P34-11</t>
  </si>
  <si>
    <t>P34-12</t>
  </si>
  <si>
    <t>P34-13</t>
  </si>
  <si>
    <t>P34-14</t>
  </si>
  <si>
    <t>P34-15</t>
  </si>
  <si>
    <t>P34-16</t>
  </si>
  <si>
    <t>P34-17</t>
  </si>
  <si>
    <t>P34-18</t>
  </si>
  <si>
    <t>P34-19</t>
  </si>
  <si>
    <t>P34-20</t>
  </si>
  <si>
    <t>P34-21</t>
  </si>
  <si>
    <t>P34-22</t>
  </si>
  <si>
    <t>P34-23</t>
  </si>
  <si>
    <t>P34-24</t>
  </si>
  <si>
    <t>P34-25</t>
  </si>
  <si>
    <t>P34-26</t>
  </si>
  <si>
    <t>P34-27</t>
  </si>
  <si>
    <t>P34-28</t>
  </si>
  <si>
    <t>P34-29</t>
  </si>
  <si>
    <t>P34-30</t>
  </si>
  <si>
    <t>P34-31</t>
  </si>
  <si>
    <t>P34-32</t>
  </si>
  <si>
    <t>P34-33</t>
  </si>
  <si>
    <t>P34-34</t>
  </si>
  <si>
    <t>P34-35</t>
  </si>
  <si>
    <t>P34-36</t>
  </si>
  <si>
    <t>P34-37</t>
  </si>
  <si>
    <t>P34-38</t>
  </si>
  <si>
    <t>P34-39</t>
  </si>
  <si>
    <t>P34-40</t>
  </si>
  <si>
    <t>P34-41</t>
  </si>
  <si>
    <t>P34-42</t>
  </si>
  <si>
    <t>P34-43</t>
  </si>
  <si>
    <t>P34-44</t>
  </si>
  <si>
    <t>P34-45</t>
  </si>
  <si>
    <t>P34-46</t>
  </si>
  <si>
    <t>P34-47</t>
  </si>
  <si>
    <t>P34-48</t>
  </si>
  <si>
    <t>P34-49</t>
  </si>
  <si>
    <t>P34-50</t>
  </si>
  <si>
    <t>P35-1</t>
  </si>
  <si>
    <t>P35-2</t>
  </si>
  <si>
    <t>P35-3</t>
  </si>
  <si>
    <t>P35-4</t>
  </si>
  <si>
    <t>P35-5</t>
  </si>
  <si>
    <t>P35-6</t>
  </si>
  <si>
    <t>P35-7</t>
  </si>
  <si>
    <t>P35-8</t>
  </si>
  <si>
    <t>P35-9</t>
  </si>
  <si>
    <t>P35-10</t>
  </si>
  <si>
    <t>P35-11</t>
  </si>
  <si>
    <t>P35-12</t>
  </si>
  <si>
    <t>P35-13</t>
  </si>
  <si>
    <t>P35-14</t>
  </si>
  <si>
    <t>P35-15</t>
  </si>
  <si>
    <t>P35-16</t>
  </si>
  <si>
    <t>P35-17</t>
  </si>
  <si>
    <t>P35-18</t>
  </si>
  <si>
    <t>P35-19</t>
  </si>
  <si>
    <t>P35-20</t>
  </si>
  <si>
    <t>P35-21</t>
  </si>
  <si>
    <t>P35-22</t>
  </si>
  <si>
    <t>P35-23</t>
  </si>
  <si>
    <t>P35-24</t>
  </si>
  <si>
    <t>P35-25</t>
  </si>
  <si>
    <t>P35-26</t>
  </si>
  <si>
    <t>P35-27</t>
  </si>
  <si>
    <t>P35-28</t>
  </si>
  <si>
    <t>P35-29</t>
  </si>
  <si>
    <t>P35-30</t>
  </si>
  <si>
    <t>P35-31</t>
  </si>
  <si>
    <t>P35-32</t>
  </si>
  <si>
    <t>P35-33</t>
  </si>
  <si>
    <t>P35-34</t>
  </si>
  <si>
    <t>P35-35</t>
  </si>
  <si>
    <t>P35-36</t>
  </si>
  <si>
    <t>P35-37</t>
  </si>
  <si>
    <t>P35-38</t>
  </si>
  <si>
    <t>P35-39</t>
  </si>
  <si>
    <t>P35-40</t>
  </si>
  <si>
    <t>P35-41</t>
  </si>
  <si>
    <t>P35-42</t>
  </si>
  <si>
    <t>P35-43</t>
  </si>
  <si>
    <t>P35-44</t>
  </si>
  <si>
    <t>P35-45</t>
  </si>
  <si>
    <t>P35-46</t>
  </si>
  <si>
    <t>P35-47</t>
  </si>
  <si>
    <t>P35-48</t>
  </si>
  <si>
    <t>P35-49</t>
  </si>
  <si>
    <t>P35-50</t>
  </si>
  <si>
    <t>P36-1</t>
  </si>
  <si>
    <t>P36-2</t>
  </si>
  <si>
    <t>P36-3</t>
  </si>
  <si>
    <t>P36-4</t>
  </si>
  <si>
    <t>P36-5</t>
  </si>
  <si>
    <t>P36-6</t>
  </si>
  <si>
    <t>P36-7</t>
  </si>
  <si>
    <t>P36-8</t>
  </si>
  <si>
    <t>P36-9</t>
  </si>
  <si>
    <t>P36-10</t>
  </si>
  <si>
    <t>P36-11</t>
  </si>
  <si>
    <t>P36-12</t>
  </si>
  <si>
    <t>P36-13</t>
  </si>
  <si>
    <t>P36-14</t>
  </si>
  <si>
    <t>P36-15</t>
  </si>
  <si>
    <t>P36-16</t>
  </si>
  <si>
    <t>P36-17</t>
  </si>
  <si>
    <t>P36-18</t>
  </si>
  <si>
    <t>P36-19</t>
  </si>
  <si>
    <t>P36-20</t>
  </si>
  <si>
    <t>P36-21</t>
  </si>
  <si>
    <t>P36-22</t>
  </si>
  <si>
    <t>P36-23</t>
  </si>
  <si>
    <t>P36-24</t>
  </si>
  <si>
    <t>P36-25</t>
  </si>
  <si>
    <t>P36-26</t>
  </si>
  <si>
    <t>P36-27</t>
  </si>
  <si>
    <t>P36-28</t>
  </si>
  <si>
    <t>P36-29</t>
  </si>
  <si>
    <t>P36-30</t>
  </si>
  <si>
    <t>P36-31</t>
  </si>
  <si>
    <t>P36-32</t>
  </si>
  <si>
    <t>P36-33</t>
  </si>
  <si>
    <t>P36-34</t>
  </si>
  <si>
    <t>P36-35</t>
  </si>
  <si>
    <t>P36-36</t>
  </si>
  <si>
    <t>P36-37</t>
  </si>
  <si>
    <t>P36-38</t>
  </si>
  <si>
    <t>P36-39</t>
  </si>
  <si>
    <t>P36-40</t>
  </si>
  <si>
    <t>P36-41</t>
  </si>
  <si>
    <t>P36-42</t>
  </si>
  <si>
    <t>P36-43</t>
  </si>
  <si>
    <t>P36-44</t>
  </si>
  <si>
    <t>P36-45</t>
  </si>
  <si>
    <t>P36-46</t>
  </si>
  <si>
    <t>P36-47</t>
  </si>
  <si>
    <t>P36-48</t>
  </si>
  <si>
    <t>P36-49</t>
  </si>
  <si>
    <t>P36-50</t>
  </si>
  <si>
    <t>P37-1</t>
  </si>
  <si>
    <t>P37-2</t>
  </si>
  <si>
    <t>P37-3</t>
  </si>
  <si>
    <t>P37-4</t>
  </si>
  <si>
    <t>P37-5</t>
  </si>
  <si>
    <t>P37-6</t>
  </si>
  <si>
    <t>P37-7</t>
  </si>
  <si>
    <t>P37-8</t>
  </si>
  <si>
    <t>P37-9</t>
  </si>
  <si>
    <t>P37-10</t>
  </si>
  <si>
    <t>P37-11</t>
  </si>
  <si>
    <t>P37-12</t>
  </si>
  <si>
    <t>P37-13</t>
  </si>
  <si>
    <t>P37-14</t>
  </si>
  <si>
    <t>P37-15</t>
  </si>
  <si>
    <t>P37-16</t>
  </si>
  <si>
    <t>P37-17</t>
  </si>
  <si>
    <t>P37-18</t>
  </si>
  <si>
    <t>P37-19</t>
  </si>
  <si>
    <t>P37-20</t>
  </si>
  <si>
    <t>P37-21</t>
  </si>
  <si>
    <t>P37-22</t>
  </si>
  <si>
    <t>P37-23</t>
  </si>
  <si>
    <t>P37-24</t>
  </si>
  <si>
    <t>P37-25</t>
  </si>
  <si>
    <t>P37-26</t>
  </si>
  <si>
    <t>P37-27</t>
  </si>
  <si>
    <t>P37-28</t>
  </si>
  <si>
    <t>P37-29</t>
  </si>
  <si>
    <t>P37-30</t>
  </si>
  <si>
    <t>P37-31</t>
  </si>
  <si>
    <t>P37-32</t>
  </si>
  <si>
    <t>P37-33</t>
  </si>
  <si>
    <t>P37-34</t>
  </si>
  <si>
    <t>P37-35</t>
  </si>
  <si>
    <t>P37-36</t>
  </si>
  <si>
    <t>P37-37</t>
  </si>
  <si>
    <t>P37-38</t>
  </si>
  <si>
    <t>P37-39</t>
  </si>
  <si>
    <t>P37-40</t>
  </si>
  <si>
    <t>P37-41</t>
  </si>
  <si>
    <t>P37-42</t>
  </si>
  <si>
    <t>P37-43</t>
  </si>
  <si>
    <t>P37-44</t>
  </si>
  <si>
    <t>P37-45</t>
  </si>
  <si>
    <t>P37-46</t>
  </si>
  <si>
    <t>P37-47</t>
  </si>
  <si>
    <t>P37-48</t>
  </si>
  <si>
    <t>P37-49</t>
  </si>
  <si>
    <t>P37-50</t>
  </si>
  <si>
    <t>P38-1</t>
  </si>
  <si>
    <t>P38-2</t>
  </si>
  <si>
    <t>P38-3</t>
  </si>
  <si>
    <t>P38-4</t>
  </si>
  <si>
    <t>P38-5</t>
  </si>
  <si>
    <t>P38-6</t>
  </si>
  <si>
    <t>P38-7</t>
  </si>
  <si>
    <t>P38-8</t>
  </si>
  <si>
    <t>P38-9</t>
  </si>
  <si>
    <t>P38-10</t>
  </si>
  <si>
    <t>P38-11</t>
  </si>
  <si>
    <t>P38-12</t>
  </si>
  <si>
    <t>P38-13</t>
  </si>
  <si>
    <t>P38-14</t>
  </si>
  <si>
    <t>P38-15</t>
  </si>
  <si>
    <t>P38-16</t>
  </si>
  <si>
    <t>P38-17</t>
  </si>
  <si>
    <t>P38-18</t>
  </si>
  <si>
    <t>P38-19</t>
  </si>
  <si>
    <t>P38-20</t>
  </si>
  <si>
    <t>P38-21</t>
  </si>
  <si>
    <t>P38-22</t>
  </si>
  <si>
    <t>P38-23</t>
  </si>
  <si>
    <t>P38-24</t>
  </si>
  <si>
    <t>P38-25</t>
  </si>
  <si>
    <t>P38-26</t>
  </si>
  <si>
    <t>P38-27</t>
  </si>
  <si>
    <t>P38-28</t>
  </si>
  <si>
    <t>P38-29</t>
  </si>
  <si>
    <t>P38-30</t>
  </si>
  <si>
    <t>P38-31</t>
  </si>
  <si>
    <t>P38-32</t>
  </si>
  <si>
    <t>P38-33</t>
  </si>
  <si>
    <t>P38-34</t>
  </si>
  <si>
    <t>P38-35</t>
  </si>
  <si>
    <t>P38-36</t>
  </si>
  <si>
    <t>P38-37</t>
  </si>
  <si>
    <t>P38-38</t>
  </si>
  <si>
    <t>P38-39</t>
  </si>
  <si>
    <t>P38-40</t>
  </si>
  <si>
    <t>P38-41</t>
  </si>
  <si>
    <t>P38-42</t>
  </si>
  <si>
    <t>P38-43</t>
  </si>
  <si>
    <t>P38-44</t>
  </si>
  <si>
    <t>P38-45</t>
  </si>
  <si>
    <t>P38-46</t>
  </si>
  <si>
    <t>P38-47</t>
  </si>
  <si>
    <t>P38-48</t>
  </si>
  <si>
    <t>P38-49</t>
  </si>
  <si>
    <t>P38-50</t>
  </si>
  <si>
    <t>P39-1</t>
  </si>
  <si>
    <t>P39-2</t>
  </si>
  <si>
    <t>P39-3</t>
  </si>
  <si>
    <t>P39-4</t>
  </si>
  <si>
    <t>P39-5</t>
  </si>
  <si>
    <t>P39-6</t>
  </si>
  <si>
    <t>P39-7</t>
  </si>
  <si>
    <t>P39-8</t>
  </si>
  <si>
    <t>P39-9</t>
  </si>
  <si>
    <t>P39-10</t>
  </si>
  <si>
    <t>P39-11</t>
  </si>
  <si>
    <t>P39-12</t>
  </si>
  <si>
    <t>P39-13</t>
  </si>
  <si>
    <t>P39-14</t>
  </si>
  <si>
    <t>P39-15</t>
  </si>
  <si>
    <t>P39-16</t>
  </si>
  <si>
    <t>P39-17</t>
  </si>
  <si>
    <t>P39-18</t>
  </si>
  <si>
    <t>P39-19</t>
  </si>
  <si>
    <t>P39-20</t>
  </si>
  <si>
    <t>P39-21</t>
  </si>
  <si>
    <t>P39-22</t>
  </si>
  <si>
    <t>P39-23</t>
  </si>
  <si>
    <t>P39-24</t>
  </si>
  <si>
    <t>P39-25</t>
  </si>
  <si>
    <t>P39-26</t>
  </si>
  <si>
    <t>P39-27</t>
  </si>
  <si>
    <t>P39-28</t>
  </si>
  <si>
    <t>P39-29</t>
  </si>
  <si>
    <t>P39-30</t>
  </si>
  <si>
    <t>P39-31</t>
  </si>
  <si>
    <t>P39-32</t>
  </si>
  <si>
    <t>P39-33</t>
  </si>
  <si>
    <t>P39-34</t>
  </si>
  <si>
    <t>P39-35</t>
  </si>
  <si>
    <t>P39-36</t>
  </si>
  <si>
    <t>P39-37</t>
  </si>
  <si>
    <t>P39-38</t>
  </si>
  <si>
    <t>P39-39</t>
  </si>
  <si>
    <t>P39-40</t>
  </si>
  <si>
    <t>P39-41</t>
  </si>
  <si>
    <t>P39-42</t>
  </si>
  <si>
    <t>P39-43</t>
  </si>
  <si>
    <t>P39-44</t>
  </si>
  <si>
    <t>P39-45</t>
  </si>
  <si>
    <t>P39-46</t>
  </si>
  <si>
    <t>P39-47</t>
  </si>
  <si>
    <t>P39-48</t>
  </si>
  <si>
    <t>P39-49</t>
  </si>
  <si>
    <t>P39-50</t>
  </si>
  <si>
    <t>P40-1</t>
  </si>
  <si>
    <t>P40-2</t>
  </si>
  <si>
    <t>P40-3</t>
  </si>
  <si>
    <t>P40-4</t>
  </si>
  <si>
    <t>P40-5</t>
  </si>
  <si>
    <t>P40-6</t>
  </si>
  <si>
    <t>P40-7</t>
  </si>
  <si>
    <t>P40-8</t>
  </si>
  <si>
    <t>P40-9</t>
  </si>
  <si>
    <t>P40-10</t>
  </si>
  <si>
    <t>P40-11</t>
  </si>
  <si>
    <t>P40-12</t>
  </si>
  <si>
    <t>P40-13</t>
  </si>
  <si>
    <t>P40-14</t>
  </si>
  <si>
    <t>P40-15</t>
  </si>
  <si>
    <t>P40-16</t>
  </si>
  <si>
    <t>P40-17</t>
  </si>
  <si>
    <t>P40-18</t>
  </si>
  <si>
    <t>P40-19</t>
  </si>
  <si>
    <t>P40-20</t>
  </si>
  <si>
    <t>P40-21</t>
  </si>
  <si>
    <t>P40-22</t>
  </si>
  <si>
    <t>P40-23</t>
  </si>
  <si>
    <t>P40-24</t>
  </si>
  <si>
    <t>P40-25</t>
  </si>
  <si>
    <t>P40-26</t>
  </si>
  <si>
    <t>P40-27</t>
  </si>
  <si>
    <t>P40-28</t>
  </si>
  <si>
    <t>P40-29</t>
  </si>
  <si>
    <t>P40-30</t>
  </si>
  <si>
    <t>P40-31</t>
  </si>
  <si>
    <t>P40-32</t>
  </si>
  <si>
    <t>P40-33</t>
  </si>
  <si>
    <t>P40-34</t>
  </si>
  <si>
    <t>P40-35</t>
  </si>
  <si>
    <t>P40-36</t>
  </si>
  <si>
    <t>P40-37</t>
  </si>
  <si>
    <t>P40-38</t>
  </si>
  <si>
    <t>P40-39</t>
  </si>
  <si>
    <t>P40-40</t>
  </si>
  <si>
    <t>P40-41</t>
  </si>
  <si>
    <t>P40-42</t>
  </si>
  <si>
    <t>P40-43</t>
  </si>
  <si>
    <t>P40-44</t>
  </si>
  <si>
    <t>P40-45</t>
  </si>
  <si>
    <t>P40-46</t>
  </si>
  <si>
    <t>P40-47</t>
  </si>
  <si>
    <t>P40-48</t>
  </si>
  <si>
    <t>P40-49</t>
  </si>
  <si>
    <t>P40-50</t>
  </si>
  <si>
    <t>P41-1</t>
  </si>
  <si>
    <t>P41-2</t>
  </si>
  <si>
    <t>P41-3</t>
  </si>
  <si>
    <t>P41-4</t>
  </si>
  <si>
    <t>P41-5</t>
  </si>
  <si>
    <t>P41-6</t>
  </si>
  <si>
    <t>P41-7</t>
  </si>
  <si>
    <t>P41-8</t>
  </si>
  <si>
    <t>P41-9</t>
  </si>
  <si>
    <t>P41-10</t>
  </si>
  <si>
    <t>P41-11</t>
  </si>
  <si>
    <t>P41-12</t>
  </si>
  <si>
    <t>P41-13</t>
  </si>
  <si>
    <t>P41-14</t>
  </si>
  <si>
    <t>P41-15</t>
  </si>
  <si>
    <t>P41-16</t>
  </si>
  <si>
    <t>P41-17</t>
  </si>
  <si>
    <t>P41-18</t>
  </si>
  <si>
    <t>P41-19</t>
  </si>
  <si>
    <t>P41-20</t>
  </si>
  <si>
    <t>P41-21</t>
  </si>
  <si>
    <t>P41-22</t>
  </si>
  <si>
    <t>P41-23</t>
  </si>
  <si>
    <t>P41-24</t>
  </si>
  <si>
    <t>P41-25</t>
  </si>
  <si>
    <t>P41-26</t>
  </si>
  <si>
    <t>P41-27</t>
  </si>
  <si>
    <t>P41-28</t>
  </si>
  <si>
    <t>P41-29</t>
  </si>
  <si>
    <t>P41-30</t>
  </si>
  <si>
    <t>P41-31</t>
  </si>
  <si>
    <t>P41-32</t>
  </si>
  <si>
    <t>P41-33</t>
  </si>
  <si>
    <t>P41-34</t>
  </si>
  <si>
    <t>P41-35</t>
  </si>
  <si>
    <t>P41-36</t>
  </si>
  <si>
    <t>P41-37</t>
  </si>
  <si>
    <t>P41-38</t>
  </si>
  <si>
    <t>P41-39</t>
  </si>
  <si>
    <t>P41-40</t>
  </si>
  <si>
    <t>P41-41</t>
  </si>
  <si>
    <t>P41-42</t>
  </si>
  <si>
    <t>P41-43</t>
  </si>
  <si>
    <t>P41-44</t>
  </si>
  <si>
    <t>P41-45</t>
  </si>
  <si>
    <t>P41-46</t>
  </si>
  <si>
    <t>P41-47</t>
  </si>
  <si>
    <t>P41-48</t>
  </si>
  <si>
    <t>P41-49</t>
  </si>
  <si>
    <t>P41-50</t>
  </si>
  <si>
    <t>P42-1</t>
  </si>
  <si>
    <t>P42-2</t>
  </si>
  <si>
    <t>P42-3</t>
  </si>
  <si>
    <t>P42-4</t>
  </si>
  <si>
    <t>P42-5</t>
  </si>
  <si>
    <t>P42-6</t>
  </si>
  <si>
    <t>P42-7</t>
  </si>
  <si>
    <t>P42-8</t>
  </si>
  <si>
    <t>P42-9</t>
  </si>
  <si>
    <t>P42-10</t>
  </si>
  <si>
    <t>P42-11</t>
  </si>
  <si>
    <t>P42-12</t>
  </si>
  <si>
    <t>P42-13</t>
  </si>
  <si>
    <t>P42-14</t>
  </si>
  <si>
    <t>P42-15</t>
  </si>
  <si>
    <t>P42-16</t>
  </si>
  <si>
    <t>P42-17</t>
  </si>
  <si>
    <t>P42-18</t>
  </si>
  <si>
    <t>P42-19</t>
  </si>
  <si>
    <t>P42-20</t>
  </si>
  <si>
    <t>P42-21</t>
  </si>
  <si>
    <t>P42-22</t>
  </si>
  <si>
    <t>P42-23</t>
  </si>
  <si>
    <t>P42-24</t>
  </si>
  <si>
    <t>P42-25</t>
  </si>
  <si>
    <t>P42-26</t>
  </si>
  <si>
    <t>P42-27</t>
  </si>
  <si>
    <t>P42-28</t>
  </si>
  <si>
    <t>P42-29</t>
  </si>
  <si>
    <t>P42-30</t>
  </si>
  <si>
    <t>P42-31</t>
  </si>
  <si>
    <t>P42-32</t>
  </si>
  <si>
    <t>P42-33</t>
  </si>
  <si>
    <t>P42-34</t>
  </si>
  <si>
    <t>P42-35</t>
  </si>
  <si>
    <t>P42-36</t>
  </si>
  <si>
    <t>P42-37</t>
  </si>
  <si>
    <t>P42-38</t>
  </si>
  <si>
    <t>P42-39</t>
  </si>
  <si>
    <t>P42-40</t>
  </si>
  <si>
    <t>P42-41</t>
  </si>
  <si>
    <t>P42-42</t>
  </si>
  <si>
    <t>P42-43</t>
  </si>
  <si>
    <t>P42-44</t>
  </si>
  <si>
    <t>P42-45</t>
  </si>
  <si>
    <t>P42-46</t>
  </si>
  <si>
    <t>P42-47</t>
  </si>
  <si>
    <t>P42-48</t>
  </si>
  <si>
    <t>P42-49</t>
  </si>
  <si>
    <t>P42-50</t>
  </si>
  <si>
    <t>P43-1</t>
  </si>
  <si>
    <t>P43-2</t>
  </si>
  <si>
    <t>P43-3</t>
  </si>
  <si>
    <t>P43-4</t>
  </si>
  <si>
    <t>P43-5</t>
  </si>
  <si>
    <t>P43-6</t>
  </si>
  <si>
    <t>P43-7</t>
  </si>
  <si>
    <t>P43-8</t>
  </si>
  <si>
    <t>P43-9</t>
  </si>
  <si>
    <t>P43-10</t>
  </si>
  <si>
    <t>P43-11</t>
  </si>
  <si>
    <t>P43-12</t>
  </si>
  <si>
    <t>P43-13</t>
  </si>
  <si>
    <t>P43-14</t>
  </si>
  <si>
    <t>P43-15</t>
  </si>
  <si>
    <t>P43-16</t>
  </si>
  <si>
    <t>P43-17</t>
  </si>
  <si>
    <t>P43-18</t>
  </si>
  <si>
    <t>P43-19</t>
  </si>
  <si>
    <t>P43-20</t>
  </si>
  <si>
    <t>P43-21</t>
  </si>
  <si>
    <t>P43-22</t>
  </si>
  <si>
    <t>P43-23</t>
  </si>
  <si>
    <t>P43-24</t>
  </si>
  <si>
    <t>P43-25</t>
  </si>
  <si>
    <t>P43-26</t>
  </si>
  <si>
    <t>P43-27</t>
  </si>
  <si>
    <t>P43-28</t>
  </si>
  <si>
    <t>P43-29</t>
  </si>
  <si>
    <t>P43-30</t>
  </si>
  <si>
    <t>P43-31</t>
  </si>
  <si>
    <t>P43-32</t>
  </si>
  <si>
    <t>P43-33</t>
  </si>
  <si>
    <t>P43-34</t>
  </si>
  <si>
    <t>P43-35</t>
  </si>
  <si>
    <t>P43-36</t>
  </si>
  <si>
    <t>P43-37</t>
  </si>
  <si>
    <t>P43-38</t>
  </si>
  <si>
    <t>P43-39</t>
  </si>
  <si>
    <t>P43-40</t>
  </si>
  <si>
    <t>P43-41</t>
  </si>
  <si>
    <t>P43-42</t>
  </si>
  <si>
    <t>P43-43</t>
  </si>
  <si>
    <t>P43-44</t>
  </si>
  <si>
    <t>P43-45</t>
  </si>
  <si>
    <t>P43-46</t>
  </si>
  <si>
    <t>P43-47</t>
  </si>
  <si>
    <t>P43-48</t>
  </si>
  <si>
    <t>P43-49</t>
  </si>
  <si>
    <t>P43-50</t>
  </si>
  <si>
    <t>P44-1</t>
  </si>
  <si>
    <t>P44-2</t>
  </si>
  <si>
    <t>P44-3</t>
  </si>
  <si>
    <t>P44-4</t>
  </si>
  <si>
    <t>P44-5</t>
  </si>
  <si>
    <t>P44-6</t>
  </si>
  <si>
    <t>P44-7</t>
  </si>
  <si>
    <t>P44-8</t>
  </si>
  <si>
    <t>P44-9</t>
  </si>
  <si>
    <t>P44-10</t>
  </si>
  <si>
    <t>P44-11</t>
  </si>
  <si>
    <t>P44-12</t>
  </si>
  <si>
    <t>P44-13</t>
  </si>
  <si>
    <t>P44-14</t>
  </si>
  <si>
    <t>P44-15</t>
  </si>
  <si>
    <t>P44-16</t>
  </si>
  <si>
    <t>P44-17</t>
  </si>
  <si>
    <t>P44-18</t>
  </si>
  <si>
    <t>P44-19</t>
  </si>
  <si>
    <t>P44-20</t>
  </si>
  <si>
    <t>P44-21</t>
  </si>
  <si>
    <t>P44-22</t>
  </si>
  <si>
    <t>P44-23</t>
  </si>
  <si>
    <t>P44-24</t>
  </si>
  <si>
    <t>P44-25</t>
  </si>
  <si>
    <t>P44-26</t>
  </si>
  <si>
    <t>P44-27</t>
  </si>
  <si>
    <t>P44-28</t>
  </si>
  <si>
    <t>P44-29</t>
  </si>
  <si>
    <t>P44-30</t>
  </si>
  <si>
    <t>P44-31</t>
  </si>
  <si>
    <t>P44-32</t>
  </si>
  <si>
    <t>P44-33</t>
  </si>
  <si>
    <t>P44-34</t>
  </si>
  <si>
    <t>P44-35</t>
  </si>
  <si>
    <t>P44-36</t>
  </si>
  <si>
    <t>P44-37</t>
  </si>
  <si>
    <t>P44-38</t>
  </si>
  <si>
    <t>P44-39</t>
  </si>
  <si>
    <t>P44-40</t>
  </si>
  <si>
    <t>P44-41</t>
  </si>
  <si>
    <t>P44-42</t>
  </si>
  <si>
    <t>P44-43</t>
  </si>
  <si>
    <t>P44-44</t>
  </si>
  <si>
    <t>P44-45</t>
  </si>
  <si>
    <t>P44-46</t>
  </si>
  <si>
    <t>P44-47</t>
  </si>
  <si>
    <t>P44-48</t>
  </si>
  <si>
    <t>P44-49</t>
  </si>
  <si>
    <t>P44-50</t>
  </si>
  <si>
    <t>P45-1</t>
  </si>
  <si>
    <t>P45-2</t>
  </si>
  <si>
    <t>P45-3</t>
  </si>
  <si>
    <t>P45-4</t>
  </si>
  <si>
    <t>P45-5</t>
  </si>
  <si>
    <t>P45-6</t>
  </si>
  <si>
    <t>P45-7</t>
  </si>
  <si>
    <t>P45-8</t>
  </si>
  <si>
    <t>P45-9</t>
  </si>
  <si>
    <t>P45-10</t>
  </si>
  <si>
    <t>P45-11</t>
  </si>
  <si>
    <t>P45-12</t>
  </si>
  <si>
    <t>P45-13</t>
  </si>
  <si>
    <t>P45-14</t>
  </si>
  <si>
    <t>P45-15</t>
  </si>
  <si>
    <t>P45-16</t>
  </si>
  <si>
    <t>P45-17</t>
  </si>
  <si>
    <t>P45-18</t>
  </si>
  <si>
    <t>P45-19</t>
  </si>
  <si>
    <t>P45-20</t>
  </si>
  <si>
    <t>P45-21</t>
  </si>
  <si>
    <t>P45-22</t>
  </si>
  <si>
    <t>P45-23</t>
  </si>
  <si>
    <t>P45-24</t>
  </si>
  <si>
    <t>P45-25</t>
  </si>
  <si>
    <t>P45-26</t>
  </si>
  <si>
    <t>P45-27</t>
  </si>
  <si>
    <t>P45-28</t>
  </si>
  <si>
    <t>P45-29</t>
  </si>
  <si>
    <t>P45-30</t>
  </si>
  <si>
    <t>P45-31</t>
  </si>
  <si>
    <t>P45-32</t>
  </si>
  <si>
    <t>P45-33</t>
  </si>
  <si>
    <t>P45-34</t>
  </si>
  <si>
    <t>P45-35</t>
  </si>
  <si>
    <t>P45-36</t>
  </si>
  <si>
    <t>P45-37</t>
  </si>
  <si>
    <t>P45-38</t>
  </si>
  <si>
    <t>P45-39</t>
  </si>
  <si>
    <t>P45-40</t>
  </si>
  <si>
    <t>P45-41</t>
  </si>
  <si>
    <t>P45-42</t>
  </si>
  <si>
    <t>P45-43</t>
  </si>
  <si>
    <t>P45-44</t>
  </si>
  <si>
    <t>P45-45</t>
  </si>
  <si>
    <t>P45-46</t>
  </si>
  <si>
    <t>P45-47</t>
  </si>
  <si>
    <t>P45-48</t>
  </si>
  <si>
    <t>P45-49</t>
  </si>
  <si>
    <t>P45-50</t>
  </si>
  <si>
    <t>P46-1</t>
  </si>
  <si>
    <t>P46-2</t>
  </si>
  <si>
    <t>P46-3</t>
  </si>
  <si>
    <t>P46-4</t>
  </si>
  <si>
    <t>P46-5</t>
  </si>
  <si>
    <t>P46-6</t>
  </si>
  <si>
    <t>P46-7</t>
  </si>
  <si>
    <t>P46-8</t>
  </si>
  <si>
    <t>P46-9</t>
  </si>
  <si>
    <t>P46-10</t>
  </si>
  <si>
    <t>P46-11</t>
  </si>
  <si>
    <t>P46-12</t>
  </si>
  <si>
    <t>P46-13</t>
  </si>
  <si>
    <t>P46-14</t>
  </si>
  <si>
    <t>P46-15</t>
  </si>
  <si>
    <t>P46-16</t>
  </si>
  <si>
    <t>P46-17</t>
  </si>
  <si>
    <t>P46-18</t>
  </si>
  <si>
    <t>P46-19</t>
  </si>
  <si>
    <t>P46-20</t>
  </si>
  <si>
    <t>P46-21</t>
  </si>
  <si>
    <t>P46-22</t>
  </si>
  <si>
    <t>P46-23</t>
  </si>
  <si>
    <t>P46-24</t>
  </si>
  <si>
    <t>P46-25</t>
  </si>
  <si>
    <t>P46-26</t>
  </si>
  <si>
    <t>P46-27</t>
  </si>
  <si>
    <t>P46-28</t>
  </si>
  <si>
    <t>P46-29</t>
  </si>
  <si>
    <t>P46-30</t>
  </si>
  <si>
    <t>P46-31</t>
  </si>
  <si>
    <t>P46-32</t>
  </si>
  <si>
    <t>P46-33</t>
  </si>
  <si>
    <t>P46-34</t>
  </si>
  <si>
    <t>P46-35</t>
  </si>
  <si>
    <t>P46-36</t>
  </si>
  <si>
    <t>P46-37</t>
  </si>
  <si>
    <t>P46-38</t>
  </si>
  <si>
    <t>P46-39</t>
  </si>
  <si>
    <t>P46-40</t>
  </si>
  <si>
    <t>P46-41</t>
  </si>
  <si>
    <t>P46-42</t>
  </si>
  <si>
    <t>P46-43</t>
  </si>
  <si>
    <t>P46-44</t>
  </si>
  <si>
    <t>P46-45</t>
  </si>
  <si>
    <t>P46-46</t>
  </si>
  <si>
    <t>P46-47</t>
  </si>
  <si>
    <t>P46-48</t>
  </si>
  <si>
    <t>P46-49</t>
  </si>
  <si>
    <t>P46-50</t>
  </si>
  <si>
    <t>P47-1</t>
  </si>
  <si>
    <t>P47-2</t>
  </si>
  <si>
    <t>P47-3</t>
  </si>
  <si>
    <t>P47-4</t>
  </si>
  <si>
    <t>P47-5</t>
  </si>
  <si>
    <t>P47-6</t>
  </si>
  <si>
    <t>P47-7</t>
  </si>
  <si>
    <t>P47-8</t>
  </si>
  <si>
    <t>P47-9</t>
  </si>
  <si>
    <t>P47-10</t>
  </si>
  <si>
    <t>P47-11</t>
  </si>
  <si>
    <t>P47-12</t>
  </si>
  <si>
    <t>P47-13</t>
  </si>
  <si>
    <t>P47-14</t>
  </si>
  <si>
    <t>P47-15</t>
  </si>
  <si>
    <t>P47-16</t>
  </si>
  <si>
    <t>P47-17</t>
  </si>
  <si>
    <t>P47-18</t>
  </si>
  <si>
    <t>P47-19</t>
  </si>
  <si>
    <t>P47-20</t>
  </si>
  <si>
    <t>P47-21</t>
  </si>
  <si>
    <t>P47-22</t>
  </si>
  <si>
    <t>P47-23</t>
  </si>
  <si>
    <t>P47-24</t>
  </si>
  <si>
    <t>P47-25</t>
  </si>
  <si>
    <t>P47-26</t>
  </si>
  <si>
    <t>P47-27</t>
  </si>
  <si>
    <t>P47-28</t>
  </si>
  <si>
    <t>P47-29</t>
  </si>
  <si>
    <t>P47-30</t>
  </si>
  <si>
    <t>P47-31</t>
  </si>
  <si>
    <t>P47-32</t>
  </si>
  <si>
    <t>P47-33</t>
  </si>
  <si>
    <t>P47-34</t>
  </si>
  <si>
    <t>P47-35</t>
  </si>
  <si>
    <t>P47-36</t>
  </si>
  <si>
    <t>P47-37</t>
  </si>
  <si>
    <t>P47-38</t>
  </si>
  <si>
    <t>P47-39</t>
  </si>
  <si>
    <t>P47-40</t>
  </si>
  <si>
    <t>P47-41</t>
  </si>
  <si>
    <t>P47-42</t>
  </si>
  <si>
    <t>P47-43</t>
  </si>
  <si>
    <t>P47-44</t>
  </si>
  <si>
    <t>P47-45</t>
  </si>
  <si>
    <t>P47-46</t>
  </si>
  <si>
    <t>P47-47</t>
  </si>
  <si>
    <t>P47-48</t>
  </si>
  <si>
    <t>P47-49</t>
  </si>
  <si>
    <t>P47-50</t>
  </si>
  <si>
    <t>P48-1</t>
  </si>
  <si>
    <t>P48-2</t>
  </si>
  <si>
    <t>P48-3</t>
  </si>
  <si>
    <t>P48-4</t>
  </si>
  <si>
    <t>P48-5</t>
  </si>
  <si>
    <t>P48-6</t>
  </si>
  <si>
    <t>P48-7</t>
  </si>
  <si>
    <t>P48-8</t>
  </si>
  <si>
    <t>P48-9</t>
  </si>
  <si>
    <t>P48-10</t>
  </si>
  <si>
    <t>P48-11</t>
  </si>
  <si>
    <t>P48-12</t>
  </si>
  <si>
    <t>P48-13</t>
  </si>
  <si>
    <t>P48-14</t>
  </si>
  <si>
    <t>P48-15</t>
  </si>
  <si>
    <t>P48-16</t>
  </si>
  <si>
    <t>P48-17</t>
  </si>
  <si>
    <t>P48-18</t>
  </si>
  <si>
    <t>P48-19</t>
  </si>
  <si>
    <t>P48-20</t>
  </si>
  <si>
    <t>P48-21</t>
  </si>
  <si>
    <t>P48-22</t>
  </si>
  <si>
    <t>P48-23</t>
  </si>
  <si>
    <t>P48-24</t>
  </si>
  <si>
    <t>P48-25</t>
  </si>
  <si>
    <t>P48-26</t>
  </si>
  <si>
    <t>P48-27</t>
  </si>
  <si>
    <t>P48-28</t>
  </si>
  <si>
    <t>P48-29</t>
  </si>
  <si>
    <t>P48-30</t>
  </si>
  <si>
    <t>P48-31</t>
  </si>
  <si>
    <t>P48-32</t>
  </si>
  <si>
    <t>P48-33</t>
  </si>
  <si>
    <t>P48-34</t>
  </si>
  <si>
    <t>P48-35</t>
  </si>
  <si>
    <t>P48-36</t>
  </si>
  <si>
    <t>P48-37</t>
  </si>
  <si>
    <t>P48-38</t>
  </si>
  <si>
    <t>P48-39</t>
  </si>
  <si>
    <t>P48-40</t>
  </si>
  <si>
    <t>P48-41</t>
  </si>
  <si>
    <t>P48-42</t>
  </si>
  <si>
    <t>P48-43</t>
  </si>
  <si>
    <t>P48-44</t>
  </si>
  <si>
    <t>P48-45</t>
  </si>
  <si>
    <t>P48-46</t>
  </si>
  <si>
    <t>P48-47</t>
  </si>
  <si>
    <t>P48-48</t>
  </si>
  <si>
    <t>P48-49</t>
  </si>
  <si>
    <t>P48-50</t>
  </si>
  <si>
    <t>P49-1</t>
  </si>
  <si>
    <t>P49-2</t>
  </si>
  <si>
    <t>P49-3</t>
  </si>
  <si>
    <t>P49-4</t>
  </si>
  <si>
    <t>P49-5</t>
  </si>
  <si>
    <t>P49-6</t>
  </si>
  <si>
    <t>P49-7</t>
  </si>
  <si>
    <t>P49-8</t>
  </si>
  <si>
    <t>P49-9</t>
  </si>
  <si>
    <t>P49-10</t>
  </si>
  <si>
    <t>P49-11</t>
  </si>
  <si>
    <t>P49-12</t>
  </si>
  <si>
    <t>P49-13</t>
  </si>
  <si>
    <t>P49-14</t>
  </si>
  <si>
    <t>P49-15</t>
  </si>
  <si>
    <t>P49-16</t>
  </si>
  <si>
    <t>P49-17</t>
  </si>
  <si>
    <t>P49-18</t>
  </si>
  <si>
    <t>P49-19</t>
  </si>
  <si>
    <t>P49-20</t>
  </si>
  <si>
    <t>P49-21</t>
  </si>
  <si>
    <t>P49-22</t>
  </si>
  <si>
    <t>P49-23</t>
  </si>
  <si>
    <t>P49-24</t>
  </si>
  <si>
    <t>P49-25</t>
  </si>
  <si>
    <t>P49-26</t>
  </si>
  <si>
    <t>P49-27</t>
  </si>
  <si>
    <t>P49-28</t>
  </si>
  <si>
    <t>P49-29</t>
  </si>
  <si>
    <t>P49-30</t>
  </si>
  <si>
    <t>P49-31</t>
  </si>
  <si>
    <t>P49-32</t>
  </si>
  <si>
    <t>P49-33</t>
  </si>
  <si>
    <t>P49-34</t>
  </si>
  <si>
    <t>P49-35</t>
  </si>
  <si>
    <t>P49-36</t>
  </si>
  <si>
    <t>P49-37</t>
  </si>
  <si>
    <t>P49-38</t>
  </si>
  <si>
    <t>P49-39</t>
  </si>
  <si>
    <t>P49-40</t>
  </si>
  <si>
    <t>P49-41</t>
  </si>
  <si>
    <t>P49-42</t>
  </si>
  <si>
    <t>P49-43</t>
  </si>
  <si>
    <t>P49-44</t>
  </si>
  <si>
    <t>P49-45</t>
  </si>
  <si>
    <t>P49-46</t>
  </si>
  <si>
    <t>P49-47</t>
  </si>
  <si>
    <t>P49-48</t>
  </si>
  <si>
    <t>P49-49</t>
  </si>
  <si>
    <t>P49-50</t>
  </si>
  <si>
    <t>P56-1</t>
  </si>
  <si>
    <t>P56-2</t>
  </si>
  <si>
    <t>P56-3</t>
  </si>
  <si>
    <t>P56-4</t>
  </si>
  <si>
    <t>P56-5</t>
  </si>
  <si>
    <t>P56-6</t>
  </si>
  <si>
    <t>P56-7</t>
  </si>
  <si>
    <t>P56-8</t>
  </si>
  <si>
    <t>P56-9</t>
  </si>
  <si>
    <t>P56-10</t>
  </si>
  <si>
    <t>P56-11</t>
  </si>
  <si>
    <t>P56-12</t>
  </si>
  <si>
    <t>P56-13</t>
  </si>
  <si>
    <t>P56-14</t>
  </si>
  <si>
    <t>P56-15</t>
  </si>
  <si>
    <t>P56-16</t>
  </si>
  <si>
    <t>P56-17</t>
  </si>
  <si>
    <t>P56-18</t>
  </si>
  <si>
    <t>P56-19</t>
  </si>
  <si>
    <t>P56-20</t>
  </si>
  <si>
    <t>P56-21</t>
  </si>
  <si>
    <t>P56-22</t>
  </si>
  <si>
    <t>P56-23</t>
  </si>
  <si>
    <t>P56-24</t>
  </si>
  <si>
    <t>P56-25</t>
  </si>
  <si>
    <t>P56-26</t>
  </si>
  <si>
    <t>P56-27</t>
  </si>
  <si>
    <t>P56-28</t>
  </si>
  <si>
    <t>P56-29</t>
  </si>
  <si>
    <t>P56-30</t>
  </si>
  <si>
    <t>P56-31</t>
  </si>
  <si>
    <t>P56-32</t>
  </si>
  <si>
    <t>P56-33</t>
  </si>
  <si>
    <t>P56-34</t>
  </si>
  <si>
    <t>P56-35</t>
  </si>
  <si>
    <t>P56-36</t>
  </si>
  <si>
    <t>P56-37</t>
  </si>
  <si>
    <t>P56-38</t>
  </si>
  <si>
    <t>P56-39</t>
  </si>
  <si>
    <t>P56-40</t>
  </si>
  <si>
    <t>P56-41</t>
  </si>
  <si>
    <t>P56-42</t>
  </si>
  <si>
    <t>P56-43</t>
  </si>
  <si>
    <t>P56-44</t>
  </si>
  <si>
    <t>P56-45</t>
  </si>
  <si>
    <t>P56-46</t>
  </si>
  <si>
    <t>P56-47</t>
  </si>
  <si>
    <t>P56-48</t>
  </si>
  <si>
    <t>P56-49</t>
  </si>
  <si>
    <t>P56-50</t>
  </si>
  <si>
    <t>P57-1</t>
  </si>
  <si>
    <t>P57-2</t>
  </si>
  <si>
    <t>P57-3</t>
  </si>
  <si>
    <t>P57-4</t>
  </si>
  <si>
    <t>P57-5</t>
  </si>
  <si>
    <t>P57-6</t>
  </si>
  <si>
    <t>P57-7</t>
  </si>
  <si>
    <t>P57-8</t>
  </si>
  <si>
    <t>P57-9</t>
  </si>
  <si>
    <t>P57-10</t>
  </si>
  <si>
    <t>P57-11</t>
  </si>
  <si>
    <t>P57-12</t>
  </si>
  <si>
    <t>P57-13</t>
  </si>
  <si>
    <t>P57-14</t>
  </si>
  <si>
    <t>P57-15</t>
  </si>
  <si>
    <t>P57-16</t>
  </si>
  <si>
    <t>P57-17</t>
  </si>
  <si>
    <t>P57-18</t>
  </si>
  <si>
    <t>P57-19</t>
  </si>
  <si>
    <t>P57-20</t>
  </si>
  <si>
    <t>P57-21</t>
  </si>
  <si>
    <t>P57-22</t>
  </si>
  <si>
    <t>P57-23</t>
  </si>
  <si>
    <t>P57-24</t>
  </si>
  <si>
    <t>P57-25</t>
  </si>
  <si>
    <t>P57-26</t>
  </si>
  <si>
    <t>P57-27</t>
  </si>
  <si>
    <t>P57-28</t>
  </si>
  <si>
    <t>P57-29</t>
  </si>
  <si>
    <t>P57-30</t>
  </si>
  <si>
    <t>P57-31</t>
  </si>
  <si>
    <t>P57-32</t>
  </si>
  <si>
    <t>P57-33</t>
  </si>
  <si>
    <t>P57-34</t>
  </si>
  <si>
    <t>P57-35</t>
  </si>
  <si>
    <t>P57-36</t>
  </si>
  <si>
    <t>P57-37</t>
  </si>
  <si>
    <t>P57-38</t>
  </si>
  <si>
    <t>P57-39</t>
  </si>
  <si>
    <t>P57-40</t>
  </si>
  <si>
    <t>P57-41</t>
  </si>
  <si>
    <t>P57-42</t>
  </si>
  <si>
    <t>P57-43</t>
  </si>
  <si>
    <t>P57-44</t>
  </si>
  <si>
    <t>P57-45</t>
  </si>
  <si>
    <t>P57-46</t>
  </si>
  <si>
    <t>P57-47</t>
  </si>
  <si>
    <t>P57-48</t>
  </si>
  <si>
    <t>P57-49</t>
  </si>
  <si>
    <t>P57-50</t>
  </si>
  <si>
    <t>P58-1</t>
  </si>
  <si>
    <t>P58-2</t>
  </si>
  <si>
    <t>P58-3</t>
  </si>
  <si>
    <t>P58-4</t>
  </si>
  <si>
    <t>P58-5</t>
  </si>
  <si>
    <t>P58-6</t>
  </si>
  <si>
    <t>P58-7</t>
  </si>
  <si>
    <t>P58-8</t>
  </si>
  <si>
    <t>P58-9</t>
  </si>
  <si>
    <t>P58-10</t>
  </si>
  <si>
    <t>P58-11</t>
  </si>
  <si>
    <t>P58-12</t>
  </si>
  <si>
    <t>P58-13</t>
  </si>
  <si>
    <t>P58-14</t>
  </si>
  <si>
    <t>P58-15</t>
  </si>
  <si>
    <t>P58-16</t>
  </si>
  <si>
    <t>P58-17</t>
  </si>
  <si>
    <t>P58-18</t>
  </si>
  <si>
    <t>P58-19</t>
  </si>
  <si>
    <t>P58-20</t>
  </si>
  <si>
    <t>P58-21</t>
  </si>
  <si>
    <t>P58-22</t>
  </si>
  <si>
    <t>P58-23</t>
  </si>
  <si>
    <t>P58-24</t>
  </si>
  <si>
    <t>P58-25</t>
  </si>
  <si>
    <t>P58-26</t>
  </si>
  <si>
    <t>P58-27</t>
  </si>
  <si>
    <t>P58-28</t>
  </si>
  <si>
    <t>P58-29</t>
  </si>
  <si>
    <t>P58-30</t>
  </si>
  <si>
    <t>P58-31</t>
  </si>
  <si>
    <t>P58-32</t>
  </si>
  <si>
    <t>P58-33</t>
  </si>
  <si>
    <t>P58-34</t>
  </si>
  <si>
    <t>P58-35</t>
  </si>
  <si>
    <t>P58-36</t>
  </si>
  <si>
    <t>P58-37</t>
  </si>
  <si>
    <t>P58-38</t>
  </si>
  <si>
    <t>P58-39</t>
  </si>
  <si>
    <t>P58-40</t>
  </si>
  <si>
    <t>P58-41</t>
  </si>
  <si>
    <t>P58-42</t>
  </si>
  <si>
    <t>P58-43</t>
  </si>
  <si>
    <t>P58-44</t>
  </si>
  <si>
    <t>P58-45</t>
  </si>
  <si>
    <t>P58-46</t>
  </si>
  <si>
    <t>P58-47</t>
  </si>
  <si>
    <t>P58-48</t>
  </si>
  <si>
    <t>P58-49</t>
  </si>
  <si>
    <t>P58-50</t>
  </si>
  <si>
    <t>P59-1</t>
  </si>
  <si>
    <t>P59-2</t>
  </si>
  <si>
    <t>P59-3</t>
  </si>
  <si>
    <t>P59-4</t>
  </si>
  <si>
    <t>P59-5</t>
  </si>
  <si>
    <t>P59-6</t>
  </si>
  <si>
    <t>P59-7</t>
  </si>
  <si>
    <t>P59-8</t>
  </si>
  <si>
    <t>P59-9</t>
  </si>
  <si>
    <t>P59-10</t>
  </si>
  <si>
    <t>P59-11</t>
  </si>
  <si>
    <t>P59-12</t>
  </si>
  <si>
    <t>P59-13</t>
  </si>
  <si>
    <t>P59-14</t>
  </si>
  <si>
    <t>P59-15</t>
  </si>
  <si>
    <t>P59-16</t>
  </si>
  <si>
    <t>P59-17</t>
  </si>
  <si>
    <t>P59-18</t>
  </si>
  <si>
    <t>P59-19</t>
  </si>
  <si>
    <t>P59-20</t>
  </si>
  <si>
    <t>P59-21</t>
  </si>
  <si>
    <t>P59-22</t>
  </si>
  <si>
    <t>P59-23</t>
  </si>
  <si>
    <t>P59-24</t>
  </si>
  <si>
    <t>P59-25</t>
  </si>
  <si>
    <t>P59-26</t>
  </si>
  <si>
    <t>P59-27</t>
  </si>
  <si>
    <t>P59-28</t>
  </si>
  <si>
    <t>P59-29</t>
  </si>
  <si>
    <t>P59-30</t>
  </si>
  <si>
    <t>P59-31</t>
  </si>
  <si>
    <t>P59-32</t>
  </si>
  <si>
    <t>P59-33</t>
  </si>
  <si>
    <t>P59-34</t>
  </si>
  <si>
    <t>P59-35</t>
  </si>
  <si>
    <t>P59-36</t>
  </si>
  <si>
    <t>P59-37</t>
  </si>
  <si>
    <t>P59-38</t>
  </si>
  <si>
    <t>P59-39</t>
  </si>
  <si>
    <t>P59-40</t>
  </si>
  <si>
    <t>P59-41</t>
  </si>
  <si>
    <t>P59-42</t>
  </si>
  <si>
    <t>P59-43</t>
  </si>
  <si>
    <t>P59-44</t>
  </si>
  <si>
    <t>P59-45</t>
  </si>
  <si>
    <t>P59-46</t>
  </si>
  <si>
    <t>P59-47</t>
  </si>
  <si>
    <t>P59-48</t>
  </si>
  <si>
    <t>P59-49</t>
  </si>
  <si>
    <t>P59-50</t>
  </si>
  <si>
    <t>P60-1</t>
  </si>
  <si>
    <t>P60-2</t>
  </si>
  <si>
    <t>P60-3</t>
  </si>
  <si>
    <t>P60-4</t>
  </si>
  <si>
    <t>P60-5</t>
  </si>
  <si>
    <t>P60-6</t>
  </si>
  <si>
    <t>P60-7</t>
  </si>
  <si>
    <t>P60-8</t>
  </si>
  <si>
    <t>P60-9</t>
  </si>
  <si>
    <t>P60-10</t>
  </si>
  <si>
    <t>P60-11</t>
  </si>
  <si>
    <t>P60-12</t>
  </si>
  <si>
    <t>P60-13</t>
  </si>
  <si>
    <t>P60-14</t>
  </si>
  <si>
    <t>P60-15</t>
  </si>
  <si>
    <t>P60-16</t>
  </si>
  <si>
    <t>P60-17</t>
  </si>
  <si>
    <t>P60-18</t>
  </si>
  <si>
    <t>P60-19</t>
  </si>
  <si>
    <t>P60-20</t>
  </si>
  <si>
    <t>P60-21</t>
  </si>
  <si>
    <t>P60-22</t>
  </si>
  <si>
    <t>P60-23</t>
  </si>
  <si>
    <t>P60-24</t>
  </si>
  <si>
    <t>P60-25</t>
  </si>
  <si>
    <t>P60-26</t>
  </si>
  <si>
    <t>P60-27</t>
  </si>
  <si>
    <t>P60-28</t>
  </si>
  <si>
    <t>P60-29</t>
  </si>
  <si>
    <t>P60-30</t>
  </si>
  <si>
    <t>P60-31</t>
  </si>
  <si>
    <t>P60-32</t>
  </si>
  <si>
    <t>P60-33</t>
  </si>
  <si>
    <t>P60-34</t>
  </si>
  <si>
    <t>P60-35</t>
  </si>
  <si>
    <t>P60-36</t>
  </si>
  <si>
    <t>P60-37</t>
  </si>
  <si>
    <t>P60-38</t>
  </si>
  <si>
    <t>P60-39</t>
  </si>
  <si>
    <t>P60-40</t>
  </si>
  <si>
    <t>P60-41</t>
  </si>
  <si>
    <t>P60-42</t>
  </si>
  <si>
    <t>P60-43</t>
  </si>
  <si>
    <t>P60-44</t>
  </si>
  <si>
    <t>P60-45</t>
  </si>
  <si>
    <t>P60-46</t>
  </si>
  <si>
    <t>P60-47</t>
  </si>
  <si>
    <t>P60-48</t>
  </si>
  <si>
    <t>P60-49</t>
  </si>
  <si>
    <t>P60-50</t>
  </si>
  <si>
    <t>P61-1</t>
  </si>
  <si>
    <t>P61-2</t>
  </si>
  <si>
    <t>P61-3</t>
  </si>
  <si>
    <t>P61-4</t>
  </si>
  <si>
    <t>P61-5</t>
  </si>
  <si>
    <t>P61-6</t>
  </si>
  <si>
    <t>P61-7</t>
  </si>
  <si>
    <t>P61-8</t>
  </si>
  <si>
    <t>P61-9</t>
  </si>
  <si>
    <t>P61-10</t>
  </si>
  <si>
    <t>P61-11</t>
  </si>
  <si>
    <t>P61-12</t>
  </si>
  <si>
    <t>P61-13</t>
  </si>
  <si>
    <t>P61-14</t>
  </si>
  <si>
    <t>P61-15</t>
  </si>
  <si>
    <t>P61-16</t>
  </si>
  <si>
    <t>P61-17</t>
  </si>
  <si>
    <t>P61-18</t>
  </si>
  <si>
    <t>P61-19</t>
  </si>
  <si>
    <t>P61-20</t>
  </si>
  <si>
    <t>P61-21</t>
  </si>
  <si>
    <t>P61-22</t>
  </si>
  <si>
    <t>P61-23</t>
  </si>
  <si>
    <t>P61-24</t>
  </si>
  <si>
    <t>P61-25</t>
  </si>
  <si>
    <t>P61-26</t>
  </si>
  <si>
    <t>P61-27</t>
  </si>
  <si>
    <t>P61-28</t>
  </si>
  <si>
    <t>P61-29</t>
  </si>
  <si>
    <t>P61-30</t>
  </si>
  <si>
    <t>P61-31</t>
  </si>
  <si>
    <t>P61-32</t>
  </si>
  <si>
    <t>P61-33</t>
  </si>
  <si>
    <t>P61-34</t>
  </si>
  <si>
    <t>P61-35</t>
  </si>
  <si>
    <t>P61-36</t>
  </si>
  <si>
    <t>P61-37</t>
  </si>
  <si>
    <t>P61-38</t>
  </si>
  <si>
    <t>P61-39</t>
  </si>
  <si>
    <t>P61-40</t>
  </si>
  <si>
    <t>P61-41</t>
  </si>
  <si>
    <t>P61-42</t>
  </si>
  <si>
    <t>P61-43</t>
  </si>
  <si>
    <t>P61-44</t>
  </si>
  <si>
    <t>P61-45</t>
  </si>
  <si>
    <t>P61-46</t>
  </si>
  <si>
    <t>P61-47</t>
  </si>
  <si>
    <t>P61-48</t>
  </si>
  <si>
    <t>P61-49</t>
  </si>
  <si>
    <t>P61-50</t>
  </si>
  <si>
    <t>P62-1</t>
  </si>
  <si>
    <t>P62-2</t>
  </si>
  <si>
    <t>P62-3</t>
  </si>
  <si>
    <t>P62-4</t>
  </si>
  <si>
    <t>P62-5</t>
  </si>
  <si>
    <t>P62-6</t>
  </si>
  <si>
    <t>P62-7</t>
  </si>
  <si>
    <t>P62-8</t>
  </si>
  <si>
    <t>P62-9</t>
  </si>
  <si>
    <t>P62-10</t>
  </si>
  <si>
    <t>P62-11</t>
  </si>
  <si>
    <t>P62-12</t>
  </si>
  <si>
    <t>P62-13</t>
  </si>
  <si>
    <t>P62-14</t>
  </si>
  <si>
    <t>P62-15</t>
  </si>
  <si>
    <t>P62-16</t>
  </si>
  <si>
    <t>P62-17</t>
  </si>
  <si>
    <t>P62-18</t>
  </si>
  <si>
    <t>P62-19</t>
  </si>
  <si>
    <t>P62-20</t>
  </si>
  <si>
    <t>P62-21</t>
  </si>
  <si>
    <t>P62-22</t>
  </si>
  <si>
    <t>P62-23</t>
  </si>
  <si>
    <t>P62-24</t>
  </si>
  <si>
    <t>P62-25</t>
  </si>
  <si>
    <t>P62-26</t>
  </si>
  <si>
    <t>P62-27</t>
  </si>
  <si>
    <t>P62-28</t>
  </si>
  <si>
    <t>P62-29</t>
  </si>
  <si>
    <t>P62-30</t>
  </si>
  <si>
    <t>P62-31</t>
  </si>
  <si>
    <t>P62-32</t>
  </si>
  <si>
    <t>P62-33</t>
  </si>
  <si>
    <t>P62-34</t>
  </si>
  <si>
    <t>P62-35</t>
  </si>
  <si>
    <t>P62-36</t>
  </si>
  <si>
    <t>P62-37</t>
  </si>
  <si>
    <t>P62-38</t>
  </si>
  <si>
    <t>P62-39</t>
  </si>
  <si>
    <t>P62-40</t>
  </si>
  <si>
    <t>P62-41</t>
  </si>
  <si>
    <t>P62-42</t>
  </si>
  <si>
    <t>P62-43</t>
  </si>
  <si>
    <t>P62-44</t>
  </si>
  <si>
    <t>P62-45</t>
  </si>
  <si>
    <t>P62-46</t>
  </si>
  <si>
    <t>P62-47</t>
  </si>
  <si>
    <t>P62-48</t>
  </si>
  <si>
    <t>P62-49</t>
  </si>
  <si>
    <t>P62-50</t>
  </si>
  <si>
    <t>-</t>
  </si>
  <si>
    <t>■ Item Analysis</t>
  </si>
  <si>
    <t>Weakest Sub-Categories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</si>
</sst>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;@"/>
    <numFmt numFmtId="165" formatCode="0_);[Red]\(0\)"/>
    <numFmt numFmtId="166" formatCode="mm/dd/yy;@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7" tint="-0.249977111117893"/>
      <name val="Arial"/>
      <family val="2"/>
    </font>
    <font>
      <sz val="11"/>
      <color theme="1"/>
      <name val="Arial"/>
      <family val="2"/>
    </font>
    <font>
      <b/>
      <sz val="10"/>
      <color theme="0"/>
      <name val="Arial"/>
      <family val="2"/>
    </font>
    <font>
      <b/>
      <sz val="10"/>
      <color theme="7" tint="-0.249977111117893"/>
      <name val="Arial"/>
      <family val="2"/>
    </font>
    <font>
      <b/>
      <sz val="8"/>
      <color theme="7" tint="-0.249977111117893"/>
      <name val="Arial"/>
      <family val="2"/>
    </font>
    <font>
      <b/>
      <sz val="9"/>
      <color theme="7" tint="-0.249977111117893"/>
      <name val="Arial"/>
      <family val="2"/>
    </font>
    <font>
      <sz val="8"/>
      <color theme="0" tint="-0.499984740745262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rgb="FF006FE0"/>
      <name val="Inherit"/>
    </font>
    <font>
      <b/>
      <sz val="9"/>
      <color theme="0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7"/>
      <color theme="1"/>
      <name val="Arial"/>
      <family val="2"/>
    </font>
    <font>
      <sz val="8"/>
      <color theme="7" tint="-0.249977111117893"/>
      <name val="Arial"/>
      <family val="2"/>
    </font>
    <font>
      <sz val="8"/>
      <name val="Arial"/>
      <family val="2"/>
    </font>
    <font>
      <b/>
      <sz val="14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117">
    <border>
      <left/>
      <right/>
      <top/>
      <bottom/>
      <diagonal/>
    </border>
    <border>
      <left style="thin">
        <color theme="7" tint="-0.24994659260841701"/>
      </left>
      <right/>
      <top style="thin">
        <color theme="7" tint="-0.24994659260841701"/>
      </top>
      <bottom/>
      <diagonal/>
    </border>
    <border>
      <left style="thin">
        <color theme="7" tint="0.39991454817346722"/>
      </left>
      <right/>
      <top style="thick">
        <color theme="7" tint="-0.24994659260841701"/>
      </top>
      <bottom/>
      <diagonal/>
    </border>
    <border>
      <left/>
      <right/>
      <top style="thick">
        <color theme="7" tint="-0.24994659260841701"/>
      </top>
      <bottom/>
      <diagonal/>
    </border>
    <border>
      <left/>
      <right/>
      <top/>
      <bottom style="thick">
        <color theme="7" tint="-0.24994659260841701"/>
      </bottom>
      <diagonal/>
    </border>
    <border>
      <left/>
      <right style="thin">
        <color theme="7" tint="0.39991454817346722"/>
      </right>
      <top style="thin">
        <color theme="7" tint="0.59999389629810485"/>
      </top>
      <bottom style="thin">
        <color theme="7" tint="0.39991454817346722"/>
      </bottom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88402966399123"/>
      </top>
      <bottom style="thin">
        <color theme="7" tint="0.39991454817346722"/>
      </bottom>
      <diagonal/>
    </border>
    <border>
      <left style="thin">
        <color theme="7" tint="0.59999389629810485"/>
      </left>
      <right/>
      <top style="thick">
        <color theme="7" tint="-0.24994659260841701"/>
      </top>
      <bottom/>
      <diagonal/>
    </border>
    <border>
      <left style="thin">
        <color theme="7" tint="0.59999389629810485"/>
      </left>
      <right style="thin">
        <color theme="7" tint="0.59999389629810485"/>
      </right>
      <top style="thick">
        <color theme="7" tint="-0.24994659260841701"/>
      </top>
      <bottom style="thin">
        <color theme="7" tint="0.39991454817346722"/>
      </bottom>
      <diagonal/>
    </border>
    <border>
      <left/>
      <right/>
      <top style="thin">
        <color theme="7" tint="0.39991454817346722"/>
      </top>
      <bottom/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91454817346722"/>
      </top>
      <bottom/>
      <diagonal/>
    </border>
    <border>
      <left style="thin">
        <color theme="7" tint="0.39991454817346722"/>
      </left>
      <right/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59999389629810485"/>
      </left>
      <right/>
      <top style="thick">
        <color theme="7" tint="-0.24994659260841701"/>
      </top>
      <bottom style="thin">
        <color theme="7" tint="0.39985351115451523"/>
      </bottom>
      <diagonal/>
    </border>
    <border>
      <left style="thin">
        <color theme="7" tint="0.39988402966399123"/>
      </left>
      <right style="thin">
        <color theme="7" tint="0.39985351115451523"/>
      </right>
      <top style="thin">
        <color theme="7" tint="0.39985351115451523"/>
      </top>
      <bottom style="thin">
        <color theme="7" tint="0.39985351115451523"/>
      </bottom>
      <diagonal/>
    </border>
    <border>
      <left style="thin">
        <color theme="7" tint="0.39985351115451523"/>
      </left>
      <right style="thin">
        <color theme="7" tint="0.39985351115451523"/>
      </right>
      <top style="thin">
        <color theme="7" tint="0.39985351115451523"/>
      </top>
      <bottom style="thin">
        <color theme="7" tint="0.39985351115451523"/>
      </bottom>
      <diagonal/>
    </border>
    <border>
      <left style="thin">
        <color theme="7" tint="0.39988402966399123"/>
      </left>
      <right/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91454817346722"/>
      </left>
      <right/>
      <top style="thin">
        <color theme="7" tint="0.39985351115451523"/>
      </top>
      <bottom style="thin">
        <color theme="7" tint="0.3999145481734672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/>
      <bottom style="thick">
        <color theme="7" tint="-0.249977111117893"/>
      </bottom>
      <diagonal/>
    </border>
    <border>
      <left style="thin">
        <color theme="7" tint="-0.249977111117893"/>
      </left>
      <right/>
      <top style="thin">
        <color theme="7" tint="-0.249977111117893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77111117893"/>
      </top>
      <bottom style="thin">
        <color theme="7" tint="-0.24994659260841701"/>
      </bottom>
      <diagonal/>
    </border>
    <border>
      <left style="thin">
        <color theme="7" tint="-0.249977111117893"/>
      </left>
      <right/>
      <top style="thin">
        <color theme="7" tint="-0.24994659260841701"/>
      </top>
      <bottom/>
      <diagonal/>
    </border>
    <border>
      <left style="medium">
        <color theme="7" tint="0.39997558519241921"/>
      </left>
      <right/>
      <top style="medium">
        <color theme="7" tint="0.39994506668294322"/>
      </top>
      <bottom style="medium">
        <color theme="7" tint="0.39997558519241921"/>
      </bottom>
      <diagonal/>
    </border>
    <border>
      <left/>
      <right/>
      <top style="thin">
        <color theme="7" tint="0.39997558519241921"/>
      </top>
      <bottom/>
      <diagonal/>
    </border>
    <border>
      <left style="thin">
        <color theme="7" tint="0.39991454817346722"/>
      </left>
      <right/>
      <top style="thin">
        <color theme="7" tint="0.39991454817346722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7" tint="-0.249977111117893"/>
      </left>
      <right/>
      <top style="thin">
        <color theme="7" tint="-0.24994659260841701"/>
      </top>
      <bottom style="thin">
        <color theme="7" tint="-0.249977111117893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77111117893"/>
      </bottom>
      <diagonal/>
    </border>
    <border>
      <left style="thin">
        <color theme="7" tint="0.39997558519241921"/>
      </left>
      <right/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1454817346722"/>
      </right>
      <top style="thin">
        <color theme="7" tint="0.39991454817346722"/>
      </top>
      <bottom/>
      <diagonal/>
    </border>
    <border>
      <left style="medium">
        <color theme="7" tint="0.39988402966399123"/>
      </left>
      <right/>
      <top style="medium">
        <color theme="7" tint="0.39991454817346722"/>
      </top>
      <bottom style="medium">
        <color theme="7" tint="0.39991454817346722"/>
      </bottom>
      <diagonal/>
    </border>
    <border>
      <left style="medium">
        <color theme="7" tint="0.39997558519241921"/>
      </left>
      <right style="medium">
        <color theme="7" tint="0.39994506668294322"/>
      </right>
      <top style="medium">
        <color theme="7" tint="0.39994506668294322"/>
      </top>
      <bottom style="medium">
        <color theme="7" tint="0.39997558519241921"/>
      </bottom>
      <diagonal/>
    </border>
    <border>
      <left style="thin">
        <color theme="7" tint="0.59999389629810485"/>
      </left>
      <right style="thin">
        <color theme="7" tint="0.39994506668294322"/>
      </right>
      <top style="thick">
        <color theme="7" tint="-0.24994659260841701"/>
      </top>
      <bottom style="thin">
        <color theme="7" tint="0.39985351115451523"/>
      </bottom>
      <diagonal/>
    </border>
    <border>
      <left style="thin">
        <color theme="7" tint="0.39985351115451523"/>
      </left>
      <right style="thin">
        <color theme="7" tint="0.39994506668294322"/>
      </right>
      <top style="thin">
        <color theme="7" tint="0.39985351115451523"/>
      </top>
      <bottom style="thin">
        <color theme="7" tint="0.39985351115451523"/>
      </bottom>
      <diagonal/>
    </border>
    <border>
      <left style="thin">
        <color theme="7" tint="0.39991454817346722"/>
      </left>
      <right style="thin">
        <color theme="7" tint="0.39994506668294322"/>
      </right>
      <top style="thin">
        <color theme="7" tint="0.39985351115451523"/>
      </top>
      <bottom style="thin">
        <color theme="7" tint="0.39991454817346722"/>
      </bottom>
      <diagonal/>
    </border>
    <border>
      <left style="thin">
        <color theme="7" tint="0.39997558519241921"/>
      </left>
      <right style="thin">
        <color theme="7" tint="0.39994506668294322"/>
      </right>
      <top style="thin">
        <color theme="7" tint="0.39997558519241921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7558519241921"/>
      </top>
      <bottom style="thin">
        <color theme="7" tint="0.39994506668294322"/>
      </bottom>
      <diagonal/>
    </border>
    <border>
      <left style="thin">
        <color theme="7" tint="0.39997558519241921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 style="thin">
        <color theme="7" tint="0.39994506668294322"/>
      </left>
      <right style="thin">
        <color theme="7" tint="0.39994506668294322"/>
      </right>
      <top style="thin">
        <color theme="7" tint="0.39994506668294322"/>
      </top>
      <bottom style="thin">
        <color theme="7" tint="0.39994506668294322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7" tint="0.39994506668294322"/>
      </left>
      <right/>
      <top style="thin">
        <color theme="7" tint="0.39997558519241921"/>
      </top>
      <bottom style="thin">
        <color theme="7" tint="0.39994506668294322"/>
      </bottom>
      <diagonal/>
    </border>
    <border>
      <left/>
      <right style="thin">
        <color theme="7" tint="0.39994506668294322"/>
      </right>
      <top style="thin">
        <color theme="7" tint="0.39997558519241921"/>
      </top>
      <bottom style="thin">
        <color theme="7" tint="0.39994506668294322"/>
      </bottom>
      <diagonal/>
    </border>
    <border>
      <left style="thin">
        <color theme="7" tint="0.39994506668294322"/>
      </left>
      <right/>
      <top/>
      <bottom style="thin">
        <color theme="7" tint="0.39994506668294322"/>
      </bottom>
      <diagonal/>
    </border>
    <border>
      <left/>
      <right/>
      <top style="thin">
        <color theme="7" tint="0.39997558519241921"/>
      </top>
      <bottom style="thin">
        <color theme="7" tint="0.39994506668294322"/>
      </bottom>
      <diagonal/>
    </border>
    <border>
      <left/>
      <right/>
      <top/>
      <bottom style="thin">
        <color theme="7" tint="0.39994506668294322"/>
      </bottom>
      <diagonal/>
    </border>
    <border>
      <left/>
      <right/>
      <top style="thin">
        <color theme="7" tint="0.39994506668294322"/>
      </top>
      <bottom/>
      <diagonal/>
    </border>
    <border>
      <left style="thin">
        <color theme="7" tint="0.39994506668294322"/>
      </left>
      <right/>
      <top style="thin">
        <color theme="7" tint="0.39994506668294322"/>
      </top>
      <bottom/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 style="thin">
        <color theme="7" tint="0.39997558519241921"/>
      </right>
      <top style="thin">
        <color theme="7" tint="0.39997558519241921"/>
      </top>
      <bottom/>
      <diagonal/>
    </border>
    <border>
      <left/>
      <right style="thin">
        <color theme="7" tint="0.39991454817346722"/>
      </right>
      <top style="thin">
        <color theme="7" tint="0.39988402966399123"/>
      </top>
      <bottom/>
      <diagonal/>
    </border>
    <border>
      <left/>
      <right/>
      <top style="thin">
        <color theme="7" tint="0.39988402966399123"/>
      </top>
      <bottom/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88402966399123"/>
      </top>
      <bottom/>
      <diagonal/>
    </border>
    <border>
      <left/>
      <right style="thin">
        <color theme="7" tint="0.39991454817346722"/>
      </right>
      <top style="thin">
        <color theme="7" tint="0.39991454817346722"/>
      </top>
      <bottom style="thin">
        <color theme="7" tint="0.39997558519241921"/>
      </bottom>
      <diagonal/>
    </border>
    <border>
      <left/>
      <right/>
      <top style="thin">
        <color theme="7" tint="0.39991454817346722"/>
      </top>
      <bottom style="thin">
        <color theme="7" tint="0.39997558519241921"/>
      </bottom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91454817346722"/>
      </top>
      <bottom style="thin">
        <color theme="7" tint="0.3999755851924192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/>
      <diagonal/>
    </border>
    <border>
      <left/>
      <right/>
      <top style="thin">
        <color theme="7" tint="-0.249977111117893"/>
      </top>
      <bottom/>
      <diagonal/>
    </border>
    <border>
      <left style="medium">
        <color theme="7" tint="0.39988402966399123"/>
      </left>
      <right style="medium">
        <color theme="7" tint="0.39985351115451523"/>
      </right>
      <top style="medium">
        <color theme="7" tint="0.39991454817346722"/>
      </top>
      <bottom style="medium">
        <color theme="7" tint="0.39991454817346722"/>
      </bottom>
      <diagonal/>
    </border>
    <border>
      <left style="thin">
        <color theme="7" tint="0.39991454817346722"/>
      </left>
      <right/>
      <top style="thin">
        <color theme="7" tint="0.39994506668294322"/>
      </top>
      <bottom/>
      <diagonal/>
    </border>
    <border>
      <left/>
      <right style="thin">
        <color theme="7" tint="0.39991454817346722"/>
      </right>
      <top style="thin">
        <color theme="7" tint="0.39994506668294322"/>
      </top>
      <bottom/>
      <diagonal/>
    </border>
    <border>
      <left style="thin">
        <color theme="7" tint="0.39991454817346722"/>
      </left>
      <right/>
      <top/>
      <bottom style="thin">
        <color theme="7" tint="0.39991454817346722"/>
      </bottom>
      <diagonal/>
    </border>
    <border>
      <left/>
      <right/>
      <top/>
      <bottom style="thin">
        <color theme="7" tint="0.39991454817346722"/>
      </bottom>
      <diagonal/>
    </border>
    <border>
      <left/>
      <right style="thin">
        <color theme="7" tint="0.39991454817346722"/>
      </right>
      <top/>
      <bottom style="thin">
        <color theme="7" tint="0.39991454817346722"/>
      </bottom>
      <diagonal/>
    </border>
    <border>
      <left style="thin">
        <color theme="7" tint="0.39997558519241921"/>
      </left>
      <right/>
      <top style="thin">
        <color theme="7" tint="0.39994506668294322"/>
      </top>
      <bottom style="thin">
        <color theme="7" tint="0.39997558519241921"/>
      </bottom>
      <diagonal/>
    </border>
    <border>
      <left/>
      <right/>
      <top style="thin">
        <color theme="7" tint="0.39994506668294322"/>
      </top>
      <bottom style="thin">
        <color theme="7" tint="0.3999755851924192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77111117893"/>
      </top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77111117893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7" tint="0.39991454817346722"/>
      </top>
      <bottom style="thin">
        <color theme="7" tint="0.39991454817346722"/>
      </bottom>
      <diagonal/>
    </border>
    <border>
      <left/>
      <right style="thin">
        <color theme="7" tint="0.39991454817346722"/>
      </right>
      <top style="thin">
        <color theme="7" tint="0.39991454817346722"/>
      </top>
      <bottom style="thin">
        <color theme="7" tint="0.39991454817346722"/>
      </bottom>
      <diagonal/>
    </border>
    <border>
      <left style="thin">
        <color theme="7" tint="0.39988402966399123"/>
      </left>
      <right/>
      <top style="thin">
        <color theme="7" tint="0.39991454817346722"/>
      </top>
      <bottom/>
      <diagonal/>
    </border>
    <border>
      <left/>
      <right style="thin">
        <color theme="7" tint="0.39988402966399123"/>
      </right>
      <top style="thin">
        <color theme="7" tint="0.39991454817346722"/>
      </top>
      <bottom/>
      <diagonal/>
    </border>
    <border>
      <left style="thin">
        <color theme="7" tint="0.39988402966399123"/>
      </left>
      <right/>
      <top/>
      <bottom/>
      <diagonal/>
    </border>
    <border>
      <left/>
      <right style="thin">
        <color theme="7" tint="0.39988402966399123"/>
      </right>
      <top/>
      <bottom/>
      <diagonal/>
    </border>
    <border>
      <left style="thin">
        <color theme="7" tint="0.39988402966399123"/>
      </left>
      <right/>
      <top/>
      <bottom style="thin">
        <color theme="7" tint="0.39991454817346722"/>
      </bottom>
      <diagonal/>
    </border>
    <border>
      <left/>
      <right style="thin">
        <color theme="7" tint="0.39988402966399123"/>
      </right>
      <top/>
      <bottom style="thin">
        <color theme="7" tint="0.39991454817346722"/>
      </bottom>
      <diagonal/>
    </border>
    <border>
      <left style="thin">
        <color theme="7" tint="0.39988402966399123"/>
      </left>
      <right/>
      <top/>
      <bottom style="thin">
        <color theme="7" tint="0.39988402966399123"/>
      </bottom>
      <diagonal/>
    </border>
    <border>
      <left/>
      <right/>
      <top/>
      <bottom style="thin">
        <color theme="7" tint="0.39988402966399123"/>
      </bottom>
      <diagonal/>
    </border>
    <border>
      <left/>
      <right style="thin">
        <color theme="7" tint="0.39988402966399123"/>
      </right>
      <top/>
      <bottom style="thin">
        <color theme="7" tint="0.39988402966399123"/>
      </bottom>
      <diagonal/>
    </border>
    <border>
      <left style="thin">
        <color theme="7" tint="0.39988402966399123"/>
      </left>
      <right/>
      <top style="thin">
        <color theme="7" tint="0.39988402966399123"/>
      </top>
      <bottom/>
      <diagonal/>
    </border>
    <border>
      <left/>
      <right style="thin">
        <color theme="7" tint="0.39988402966399123"/>
      </right>
      <top style="thin">
        <color theme="7" tint="0.39988402966399123"/>
      </top>
      <bottom/>
      <diagonal/>
    </border>
    <border>
      <left style="thin">
        <color theme="7" tint="0.39994506668294322"/>
      </left>
      <right/>
      <top style="thick">
        <color theme="7" tint="-0.24994659260841701"/>
      </top>
      <bottom style="thin">
        <color theme="7" tint="0.39991454817346722"/>
      </bottom>
      <diagonal/>
    </border>
    <border>
      <left style="thin">
        <color theme="7" tint="0.39994506668294322"/>
      </left>
      <right/>
      <top style="thick">
        <color theme="7" tint="-0.24994659260841701"/>
      </top>
      <bottom/>
      <diagonal/>
    </border>
    <border>
      <left/>
      <right/>
      <top style="thick">
        <color theme="7" tint="-0.24994659260841701"/>
      </top>
      <bottom style="thin">
        <color theme="7" tint="0.39991454817346722"/>
      </bottom>
      <diagonal/>
    </border>
    <border>
      <left style="thin">
        <color theme="7" tint="0.39994506668294322"/>
      </left>
      <right style="thin">
        <color theme="7" tint="0.39991454817346722"/>
      </right>
      <top style="thick">
        <color theme="7" tint="-0.24994659260841701"/>
      </top>
      <bottom style="thin">
        <color theme="7" tint="0.39991454817346722"/>
      </bottom>
      <diagonal/>
    </border>
    <border>
      <left/>
      <right style="thin">
        <color theme="7" tint="0.39991454817346722"/>
      </right>
      <top style="thick">
        <color theme="7" tint="-0.24994659260841701"/>
      </top>
      <bottom style="thin">
        <color theme="7" tint="0.39991454817346722"/>
      </bottom>
      <diagonal/>
    </border>
    <border>
      <left style="thin">
        <color theme="7" tint="0.39994506668294322"/>
      </left>
      <right/>
      <top style="thin">
        <color theme="7" tint="0.39991454817346722"/>
      </top>
      <bottom/>
      <diagonal/>
    </border>
    <border>
      <left style="thin">
        <color theme="7" tint="0.39994506668294322"/>
      </left>
      <right/>
      <top style="thin">
        <color theme="7" tint="0.39991454817346722"/>
      </top>
      <bottom style="thin">
        <color theme="7" tint="0.39997558519241921"/>
      </bottom>
      <diagonal/>
    </border>
    <border>
      <left style="thin">
        <color theme="7" tint="-0.249977111117893"/>
      </left>
      <right/>
      <top/>
      <bottom/>
      <diagonal/>
    </border>
    <border>
      <left style="thin">
        <color theme="7" tint="0.39991454817346722"/>
      </left>
      <right style="thin">
        <color theme="7" tint="0.39988402966399123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88402966399123"/>
      </left>
      <right style="thin">
        <color theme="7" tint="0.39988402966399123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88402966399123"/>
      </left>
      <right style="thin">
        <color theme="7" tint="0.39991454817346722"/>
      </right>
      <top style="thin">
        <color theme="7" tint="0.39988402966399123"/>
      </top>
      <bottom style="thin">
        <color theme="7" tint="0.39988402966399123"/>
      </bottom>
      <diagonal/>
    </border>
    <border>
      <left style="thin">
        <color theme="7" tint="0.39991454817346722"/>
      </left>
      <right style="thin">
        <color theme="7" tint="0.39994506668294322"/>
      </right>
      <top style="thin">
        <color theme="7" tint="0.39994506668294322"/>
      </top>
      <bottom style="thin">
        <color theme="7" tint="0.39997558519241921"/>
      </bottom>
      <diagonal/>
    </border>
    <border>
      <left style="thin">
        <color theme="7" tint="0.39997558519241921"/>
      </left>
      <right style="thin">
        <color theme="7" tint="0.39994506668294322"/>
      </right>
      <top style="thin">
        <color theme="7" tint="0.39997558519241921"/>
      </top>
      <bottom style="thin">
        <color theme="7" tint="0.39997558519241921"/>
      </bottom>
      <diagonal/>
    </border>
    <border>
      <left/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0.39988402966399123"/>
      </left>
      <right/>
      <top/>
      <bottom style="thin">
        <color theme="7" tint="0.39985351115451523"/>
      </bottom>
      <diagonal/>
    </border>
    <border>
      <left/>
      <right/>
      <top/>
      <bottom style="thin">
        <color theme="7" tint="0.39985351115451523"/>
      </bottom>
      <diagonal/>
    </border>
    <border>
      <left/>
      <right style="thin">
        <color theme="7" tint="0.39988402966399123"/>
      </right>
      <top/>
      <bottom style="thin">
        <color theme="7" tint="0.39985351115451523"/>
      </bottom>
      <diagonal/>
    </border>
    <border>
      <left style="thin">
        <color theme="7" tint="0.39988402966399123"/>
      </left>
      <right/>
      <top style="thin">
        <color theme="7" tint="0.39991454817346722"/>
      </top>
      <bottom style="thin">
        <color theme="7" tint="0.39985351115451523"/>
      </bottom>
      <diagonal/>
    </border>
    <border>
      <left/>
      <right/>
      <top style="thin">
        <color theme="7" tint="0.39991454817346722"/>
      </top>
      <bottom style="thin">
        <color theme="7" tint="0.39985351115451523"/>
      </bottom>
      <diagonal/>
    </border>
    <border>
      <left/>
      <right style="thin">
        <color theme="7" tint="0.39991454817346722"/>
      </right>
      <top style="thin">
        <color theme="7" tint="0.39991454817346722"/>
      </top>
      <bottom style="thin">
        <color theme="7" tint="0.39985351115451523"/>
      </bottom>
      <diagonal/>
    </border>
    <border>
      <left style="thin">
        <color theme="7" tint="0.39991454817346722"/>
      </left>
      <right/>
      <top style="thin">
        <color theme="7" tint="0.39985351115451523"/>
      </top>
      <bottom style="thin">
        <color theme="7" tint="0.39985351115451523"/>
      </bottom>
      <diagonal/>
    </border>
    <border>
      <left style="thin">
        <color theme="7" tint="0.39991454817346722"/>
      </left>
      <right/>
      <top style="thin">
        <color theme="7" tint="0.39991454817346722"/>
      </top>
      <bottom style="thin">
        <color theme="7" tint="0.39985351115451523"/>
      </bottom>
      <diagonal/>
    </border>
    <border>
      <left style="thin">
        <color theme="7" tint="0.39991454817346722"/>
      </left>
      <right style="thin">
        <color theme="7" tint="0.39991454817346722"/>
      </right>
      <top style="thin">
        <color theme="7" tint="0.39991454817346722"/>
      </top>
      <bottom style="thin">
        <color theme="7" tint="0.39985351115451523"/>
      </bottom>
      <diagonal/>
    </border>
    <border>
      <left style="thin">
        <color theme="7" tint="0.39991454817346722"/>
      </left>
      <right style="thin">
        <color theme="7" tint="0.39994506668294322"/>
      </right>
      <top style="thin">
        <color theme="7" tint="0.39985351115451523"/>
      </top>
      <bottom style="thin">
        <color theme="7" tint="0.39985351115451523"/>
      </bottom>
      <diagonal/>
    </border>
    <border>
      <left/>
      <right/>
      <top style="thin">
        <color theme="7" tint="0.39985351115451523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8">
    <xf numFmtId="0" fontId="0" fillId="0" borderId="0" xfId="0"/>
    <xf numFmtId="0" fontId="4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 vertical="center"/>
      <protection hidden="1"/>
    </xf>
    <xf numFmtId="0" fontId="0" fillId="0" borderId="0" xfId="0" applyBorder="1" applyProtection="1">
      <protection hidden="1"/>
    </xf>
    <xf numFmtId="2" fontId="0" fillId="0" borderId="0" xfId="0" applyNumberFormat="1" applyProtection="1">
      <protection hidden="1"/>
    </xf>
    <xf numFmtId="2" fontId="12" fillId="0" borderId="0" xfId="0" applyNumberFormat="1" applyFont="1" applyProtection="1">
      <protection hidden="1"/>
    </xf>
    <xf numFmtId="0" fontId="0" fillId="8" borderId="17" xfId="0" applyFont="1" applyFill="1" applyBorder="1" applyProtection="1">
      <protection hidden="1"/>
    </xf>
    <xf numFmtId="0" fontId="0" fillId="0" borderId="17" xfId="0" applyFont="1" applyBorder="1" applyProtection="1">
      <protection hidden="1"/>
    </xf>
    <xf numFmtId="0" fontId="2" fillId="7" borderId="0" xfId="0" applyFont="1" applyFill="1" applyBorder="1" applyProtection="1">
      <protection locked="0"/>
    </xf>
    <xf numFmtId="0" fontId="0" fillId="8" borderId="18" xfId="0" applyFont="1" applyFill="1" applyBorder="1" applyProtection="1">
      <protection locked="0"/>
    </xf>
    <xf numFmtId="0" fontId="0" fillId="0" borderId="18" xfId="0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NumberFormat="1" applyFill="1" applyAlignment="1" applyProtection="1">
      <alignment horizontal="center" vertical="center"/>
      <protection hidden="1"/>
    </xf>
    <xf numFmtId="0" fontId="0" fillId="0" borderId="19" xfId="0" applyFont="1" applyFill="1" applyBorder="1" applyAlignment="1" applyProtection="1">
      <alignment horizontal="center" vertical="center"/>
      <protection hidden="1"/>
    </xf>
    <xf numFmtId="0" fontId="4" fillId="0" borderId="20" xfId="0" applyFont="1" applyBorder="1" applyAlignment="1" applyProtection="1">
      <alignment vertical="center"/>
      <protection hidden="1"/>
    </xf>
    <xf numFmtId="0" fontId="0" fillId="0" borderId="27" xfId="0" applyBorder="1"/>
    <xf numFmtId="0" fontId="0" fillId="0" borderId="28" xfId="0" applyBorder="1"/>
    <xf numFmtId="0" fontId="0" fillId="0" borderId="28" xfId="0" applyBorder="1" applyAlignment="1">
      <alignment horizontal="center" vertical="center"/>
    </xf>
    <xf numFmtId="0" fontId="5" fillId="0" borderId="20" xfId="0" applyFont="1" applyFill="1" applyBorder="1" applyAlignment="1" applyProtection="1">
      <alignment vertical="center"/>
      <protection hidden="1"/>
    </xf>
    <xf numFmtId="0" fontId="0" fillId="0" borderId="0" xfId="0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3" fillId="0" borderId="29" xfId="0" applyFont="1" applyBorder="1"/>
    <xf numFmtId="2" fontId="12" fillId="0" borderId="0" xfId="0" applyNumberFormat="1" applyFont="1" applyBorder="1" applyProtection="1">
      <protection hidden="1"/>
    </xf>
    <xf numFmtId="0" fontId="4" fillId="0" borderId="0" xfId="0" applyFont="1" applyAlignment="1" applyProtection="1">
      <alignment horizontal="left" vertical="center"/>
      <protection hidden="1"/>
    </xf>
    <xf numFmtId="0" fontId="0" fillId="9" borderId="0" xfId="0" applyFill="1" applyProtection="1">
      <protection hidden="1"/>
    </xf>
    <xf numFmtId="9" fontId="0" fillId="0" borderId="0" xfId="1" applyNumberFormat="1" applyFont="1" applyProtection="1">
      <protection hidden="1"/>
    </xf>
    <xf numFmtId="0" fontId="10" fillId="0" borderId="25" xfId="0" applyFont="1" applyBorder="1" applyAlignment="1" applyProtection="1">
      <alignment horizontal="center" vertical="center" shrinkToFit="1"/>
      <protection hidden="1"/>
    </xf>
    <xf numFmtId="0" fontId="0" fillId="0" borderId="0" xfId="0" applyBorder="1"/>
    <xf numFmtId="0" fontId="14" fillId="0" borderId="0" xfId="0" applyFont="1" applyAlignment="1">
      <alignment horizontal="left" vertical="center"/>
    </xf>
    <xf numFmtId="0" fontId="11" fillId="0" borderId="0" xfId="0" applyFont="1" applyAlignment="1" applyProtection="1">
      <alignment horizontal="center" vertical="center" shrinkToFit="1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164" fontId="10" fillId="0" borderId="0" xfId="0" applyNumberFormat="1" applyFont="1" applyAlignment="1" applyProtection="1">
      <alignment horizontal="center" vertical="center" shrinkToFit="1"/>
      <protection hidden="1"/>
    </xf>
    <xf numFmtId="0" fontId="10" fillId="0" borderId="0" xfId="0" applyFont="1" applyAlignment="1" applyProtection="1">
      <alignment horizontal="center" vertical="center" shrinkToFi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7" fillId="0" borderId="25" xfId="0" applyFont="1" applyBorder="1" applyAlignment="1" applyProtection="1">
      <alignment horizontal="center" vertical="center"/>
      <protection hidden="1"/>
    </xf>
    <xf numFmtId="164" fontId="10" fillId="0" borderId="25" xfId="0" applyNumberFormat="1" applyFont="1" applyBorder="1" applyAlignment="1" applyProtection="1">
      <alignment horizontal="center" vertical="center" shrinkToFit="1"/>
      <protection hidden="1"/>
    </xf>
    <xf numFmtId="0" fontId="8" fillId="0" borderId="25" xfId="0" applyFont="1" applyBorder="1" applyAlignment="1" applyProtection="1">
      <alignment horizontal="center" vertical="center"/>
      <protection hidden="1"/>
    </xf>
    <xf numFmtId="0" fontId="0" fillId="0" borderId="28" xfId="0" applyFont="1" applyBorder="1"/>
    <xf numFmtId="0" fontId="0" fillId="0" borderId="45" xfId="0" applyBorder="1"/>
    <xf numFmtId="0" fontId="0" fillId="0" borderId="44" xfId="0" applyBorder="1"/>
    <xf numFmtId="0" fontId="0" fillId="0" borderId="0" xfId="0" applyFill="1"/>
    <xf numFmtId="0" fontId="0" fillId="0" borderId="0" xfId="0" applyNumberFormat="1"/>
    <xf numFmtId="0" fontId="2" fillId="7" borderId="19" xfId="0" applyFont="1" applyFill="1" applyBorder="1" applyProtection="1">
      <protection hidden="1"/>
    </xf>
    <xf numFmtId="0" fontId="2" fillId="7" borderId="18" xfId="0" applyFont="1" applyFill="1" applyBorder="1" applyProtection="1">
      <protection hidden="1"/>
    </xf>
    <xf numFmtId="0" fontId="2" fillId="7" borderId="0" xfId="0" applyFont="1" applyFill="1" applyProtection="1">
      <protection hidden="1"/>
    </xf>
    <xf numFmtId="0" fontId="0" fillId="0" borderId="0" xfId="0" applyFill="1" applyProtection="1">
      <protection hidden="1"/>
    </xf>
    <xf numFmtId="0" fontId="0" fillId="0" borderId="19" xfId="0" applyFont="1" applyFill="1" applyBorder="1" applyProtection="1">
      <protection hidden="1"/>
    </xf>
    <xf numFmtId="0" fontId="0" fillId="0" borderId="18" xfId="0" applyFont="1" applyFill="1" applyBorder="1" applyProtection="1">
      <protection hidden="1"/>
    </xf>
    <xf numFmtId="0" fontId="0" fillId="0" borderId="18" xfId="0" applyNumberFormat="1" applyFont="1" applyFill="1" applyBorder="1" applyProtection="1">
      <protection hidden="1"/>
    </xf>
    <xf numFmtId="0" fontId="1" fillId="0" borderId="0" xfId="0" applyNumberFormat="1" applyFont="1" applyFill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0" borderId="0" xfId="0" applyNumberFormat="1" applyFill="1" applyProtection="1">
      <protection hidden="1"/>
    </xf>
    <xf numFmtId="0" fontId="1" fillId="0" borderId="19" xfId="0" applyFont="1" applyFill="1" applyBorder="1" applyProtection="1">
      <protection hidden="1"/>
    </xf>
    <xf numFmtId="0" fontId="1" fillId="0" borderId="18" xfId="0" applyFont="1" applyFill="1" applyBorder="1" applyProtection="1">
      <protection hidden="1"/>
    </xf>
    <xf numFmtId="0" fontId="1" fillId="0" borderId="18" xfId="0" applyNumberFormat="1" applyFont="1" applyFill="1" applyBorder="1" applyProtection="1">
      <protection hidden="1"/>
    </xf>
    <xf numFmtId="0" fontId="1" fillId="0" borderId="73" xfId="0" applyFont="1" applyFill="1" applyBorder="1" applyProtection="1">
      <protection hidden="1"/>
    </xf>
    <xf numFmtId="0" fontId="1" fillId="0" borderId="75" xfId="0" applyFont="1" applyFill="1" applyBorder="1" applyProtection="1">
      <protection hidden="1"/>
    </xf>
    <xf numFmtId="0" fontId="1" fillId="0" borderId="75" xfId="0" applyNumberFormat="1" applyFont="1" applyFill="1" applyBorder="1" applyProtection="1">
      <protection hidden="1"/>
    </xf>
    <xf numFmtId="0" fontId="1" fillId="6" borderId="0" xfId="0" applyNumberFormat="1" applyFont="1" applyFill="1" applyBorder="1" applyProtection="1">
      <protection hidden="1"/>
    </xf>
    <xf numFmtId="0" fontId="0" fillId="0" borderId="0" xfId="0" applyNumberFormat="1" applyFont="1" applyFill="1" applyBorder="1" applyProtection="1">
      <protection hidden="1"/>
    </xf>
    <xf numFmtId="0" fontId="1" fillId="0" borderId="19" xfId="0" applyFont="1" applyFill="1" applyBorder="1" applyAlignment="1" applyProtection="1">
      <alignment horizontal="center" vertical="center"/>
      <protection hidden="1"/>
    </xf>
    <xf numFmtId="0" fontId="1" fillId="0" borderId="18" xfId="0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18" xfId="0" applyNumberFormat="1" applyFont="1" applyFill="1" applyBorder="1" applyAlignment="1" applyProtection="1">
      <alignment horizontal="center" vertical="center"/>
      <protection hidden="1"/>
    </xf>
    <xf numFmtId="0" fontId="1" fillId="0" borderId="18" xfId="0" applyNumberFormat="1" applyFont="1" applyFill="1" applyBorder="1" applyAlignment="1" applyProtection="1">
      <alignment horizontal="left" vertical="center"/>
      <protection hidden="1"/>
    </xf>
    <xf numFmtId="0" fontId="0" fillId="0" borderId="18" xfId="0" applyNumberFormat="1" applyFont="1" applyFill="1" applyBorder="1" applyAlignment="1" applyProtection="1">
      <alignment horizontal="left" vertical="center"/>
      <protection hidden="1"/>
    </xf>
    <xf numFmtId="0" fontId="1" fillId="0" borderId="74" xfId="0" applyFont="1" applyFill="1" applyBorder="1" applyAlignment="1" applyProtection="1">
      <alignment horizontal="center" vertical="center"/>
      <protection hidden="1"/>
    </xf>
    <xf numFmtId="0" fontId="0" fillId="0" borderId="74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left" vertical="center"/>
      <protection hidden="1"/>
    </xf>
    <xf numFmtId="0" fontId="0" fillId="0" borderId="0" xfId="0" applyNumberFormat="1" applyFont="1" applyFill="1" applyBorder="1" applyAlignment="1" applyProtection="1">
      <alignment horizontal="left" vertical="center"/>
      <protection hidden="1"/>
    </xf>
    <xf numFmtId="49" fontId="0" fillId="0" borderId="0" xfId="0" applyNumberFormat="1" applyBorder="1" applyProtection="1">
      <protection hidden="1"/>
    </xf>
    <xf numFmtId="0" fontId="0" fillId="0" borderId="96" xfId="0" applyBorder="1" applyProtection="1">
      <protection hidden="1"/>
    </xf>
    <xf numFmtId="0" fontId="12" fillId="0" borderId="28" xfId="0" applyFont="1" applyBorder="1"/>
    <xf numFmtId="2" fontId="12" fillId="0" borderId="28" xfId="0" applyNumberFormat="1" applyFont="1" applyBorder="1" applyProtection="1">
      <protection hidden="1"/>
    </xf>
    <xf numFmtId="10" fontId="0" fillId="0" borderId="0" xfId="0" applyNumberFormat="1" applyProtection="1">
      <protection hidden="1"/>
    </xf>
    <xf numFmtId="0" fontId="13" fillId="0" borderId="28" xfId="0" applyFont="1" applyBorder="1" applyAlignment="1" applyProtection="1">
      <alignment horizontal="center" vertical="center"/>
    </xf>
    <xf numFmtId="0" fontId="13" fillId="0" borderId="29" xfId="0" applyFont="1" applyBorder="1" applyAlignment="1" applyProtection="1">
      <alignment horizontal="center" vertical="center"/>
    </xf>
    <xf numFmtId="0" fontId="0" fillId="0" borderId="28" xfId="0" applyBorder="1" applyAlignment="1" applyProtection="1">
      <alignment horizontal="center" vertical="center"/>
    </xf>
    <xf numFmtId="164" fontId="0" fillId="0" borderId="0" xfId="0" applyNumberFormat="1" applyAlignment="1">
      <alignment horizontal="center" vertical="center"/>
    </xf>
    <xf numFmtId="0" fontId="4" fillId="0" borderId="0" xfId="0" applyFont="1" applyProtection="1">
      <protection hidden="1"/>
    </xf>
    <xf numFmtId="0" fontId="4" fillId="0" borderId="0" xfId="0" applyFont="1" applyBorder="1" applyProtection="1">
      <protection hidden="1"/>
    </xf>
    <xf numFmtId="0" fontId="4" fillId="0" borderId="0" xfId="0" applyFont="1" applyBorder="1"/>
    <xf numFmtId="0" fontId="4" fillId="0" borderId="20" xfId="0" applyFont="1" applyBorder="1" applyProtection="1">
      <protection hidden="1"/>
    </xf>
    <xf numFmtId="0" fontId="11" fillId="0" borderId="20" xfId="0" applyFont="1" applyBorder="1" applyProtection="1">
      <protection hidden="1"/>
    </xf>
    <xf numFmtId="0" fontId="4" fillId="0" borderId="0" xfId="0" applyFont="1"/>
    <xf numFmtId="0" fontId="4" fillId="0" borderId="20" xfId="0" applyFont="1" applyBorder="1"/>
    <xf numFmtId="0" fontId="4" fillId="0" borderId="0" xfId="0" applyFont="1" applyAlignment="1" applyProtection="1">
      <alignment horizontal="left"/>
      <protection hidden="1"/>
    </xf>
    <xf numFmtId="0" fontId="11" fillId="0" borderId="20" xfId="0" applyFont="1" applyBorder="1" applyAlignment="1" applyProtection="1">
      <alignment vertical="center"/>
      <protection hidden="1"/>
    </xf>
    <xf numFmtId="0" fontId="4" fillId="0" borderId="62" xfId="0" applyFont="1" applyBorder="1" applyProtection="1">
      <protection hidden="1"/>
    </xf>
    <xf numFmtId="0" fontId="11" fillId="0" borderId="0" xfId="0" applyFont="1" applyAlignment="1" applyProtection="1">
      <alignment vertical="center"/>
      <protection hidden="1"/>
    </xf>
    <xf numFmtId="0" fontId="11" fillId="6" borderId="10" xfId="0" applyNumberFormat="1" applyFont="1" applyFill="1" applyBorder="1" applyAlignment="1" applyProtection="1">
      <alignment horizontal="center" vertical="center" shrinkToFit="1"/>
      <protection hidden="1"/>
    </xf>
    <xf numFmtId="0" fontId="11" fillId="6" borderId="26" xfId="0" applyNumberFormat="1" applyFont="1" applyFill="1" applyBorder="1" applyAlignment="1" applyProtection="1">
      <alignment horizontal="center" vertical="center" shrinkToFit="1"/>
      <protection hidden="1"/>
    </xf>
    <xf numFmtId="9" fontId="11" fillId="6" borderId="34" xfId="1" applyNumberFormat="1" applyFont="1" applyFill="1" applyBorder="1" applyAlignment="1" applyProtection="1">
      <alignment horizontal="center" vertical="center" shrinkToFit="1"/>
      <protection hidden="1"/>
    </xf>
    <xf numFmtId="9" fontId="11" fillId="6" borderId="55" xfId="1" applyNumberFormat="1" applyFont="1" applyFill="1" applyBorder="1" applyAlignment="1" applyProtection="1">
      <alignment horizontal="center" vertical="center" shrinkToFit="1"/>
      <protection hidden="1"/>
    </xf>
    <xf numFmtId="0" fontId="11" fillId="6" borderId="57" xfId="0" applyNumberFormat="1" applyFont="1" applyFill="1" applyBorder="1" applyAlignment="1" applyProtection="1">
      <alignment horizontal="center" vertical="center" shrinkToFit="1"/>
      <protection hidden="1"/>
    </xf>
    <xf numFmtId="9" fontId="11" fillId="6" borderId="58" xfId="1" applyNumberFormat="1" applyFont="1" applyFill="1" applyBorder="1" applyAlignment="1" applyProtection="1">
      <alignment horizontal="center" vertical="center" shrinkToFit="1"/>
      <protection hidden="1"/>
    </xf>
    <xf numFmtId="0" fontId="11" fillId="6" borderId="60" xfId="0" applyNumberFormat="1" applyFont="1" applyFill="1" applyBorder="1" applyAlignment="1" applyProtection="1">
      <alignment horizontal="center" vertical="center" shrinkToFit="1"/>
      <protection hidden="1"/>
    </xf>
    <xf numFmtId="164" fontId="11" fillId="6" borderId="10" xfId="0" applyNumberFormat="1" applyFont="1" applyFill="1" applyBorder="1" applyAlignment="1" applyProtection="1">
      <alignment horizontal="center" vertical="center" shrinkToFit="1"/>
      <protection hidden="1"/>
    </xf>
    <xf numFmtId="0" fontId="11" fillId="6" borderId="98" xfId="0" applyNumberFormat="1" applyFont="1" applyFill="1" applyBorder="1" applyAlignment="1" applyProtection="1">
      <alignment horizontal="center" vertical="center" shrinkToFit="1"/>
      <protection hidden="1"/>
    </xf>
    <xf numFmtId="164" fontId="11" fillId="6" borderId="60" xfId="0" applyNumberFormat="1" applyFont="1" applyFill="1" applyBorder="1" applyAlignment="1" applyProtection="1">
      <alignment horizontal="center" vertical="center" shrinkToFit="1"/>
      <protection hidden="1"/>
    </xf>
    <xf numFmtId="9" fontId="11" fillId="6" borderId="10" xfId="1" applyNumberFormat="1" applyFont="1" applyFill="1" applyBorder="1" applyAlignment="1" applyProtection="1">
      <alignment horizontal="center" vertical="center" shrinkToFit="1"/>
      <protection hidden="1"/>
    </xf>
    <xf numFmtId="164" fontId="11" fillId="6" borderId="99" xfId="0" applyNumberFormat="1" applyFont="1" applyFill="1" applyBorder="1" applyAlignment="1" applyProtection="1">
      <alignment horizontal="center" vertical="center" shrinkToFit="1"/>
      <protection hidden="1"/>
    </xf>
    <xf numFmtId="0" fontId="7" fillId="5" borderId="92" xfId="0" applyFont="1" applyFill="1" applyBorder="1" applyAlignment="1" applyProtection="1">
      <alignment horizontal="center" vertical="center" shrinkToFit="1"/>
      <protection hidden="1"/>
    </xf>
    <xf numFmtId="0" fontId="7" fillId="5" borderId="93" xfId="0" applyFont="1" applyFill="1" applyBorder="1" applyAlignment="1" applyProtection="1">
      <alignment horizontal="center" vertical="center" shrinkToFit="1"/>
      <protection hidden="1"/>
    </xf>
    <xf numFmtId="0" fontId="7" fillId="5" borderId="5" xfId="0" applyFont="1" applyFill="1" applyBorder="1" applyAlignment="1" applyProtection="1">
      <alignment horizontal="center" vertical="center" shrinkToFit="1"/>
      <protection hidden="1"/>
    </xf>
    <xf numFmtId="0" fontId="7" fillId="5" borderId="6" xfId="0" applyFont="1" applyFill="1" applyBorder="1" applyAlignment="1" applyProtection="1">
      <alignment horizontal="center" vertical="center" shrinkToFit="1"/>
      <protection hidden="1"/>
    </xf>
    <xf numFmtId="0" fontId="7" fillId="5" borderId="7" xfId="0" applyFont="1" applyFill="1" applyBorder="1" applyAlignment="1" applyProtection="1">
      <alignment horizontal="center" vertical="center" shrinkToFit="1"/>
      <protection hidden="1"/>
    </xf>
    <xf numFmtId="0" fontId="7" fillId="5" borderId="8" xfId="0" applyFont="1" applyFill="1" applyBorder="1" applyAlignment="1" applyProtection="1">
      <alignment horizontal="center" vertical="center" shrinkToFit="1"/>
      <protection hidden="1"/>
    </xf>
    <xf numFmtId="0" fontId="7" fillId="3" borderId="94" xfId="0" applyFont="1" applyFill="1" applyBorder="1" applyAlignment="1" applyProtection="1">
      <alignment horizontal="center" vertical="center" shrinkToFit="1"/>
      <protection hidden="1"/>
    </xf>
    <xf numFmtId="0" fontId="7" fillId="3" borderId="9" xfId="0" applyFont="1" applyFill="1" applyBorder="1" applyAlignment="1" applyProtection="1">
      <alignment horizontal="center" vertical="center" shrinkToFit="1"/>
      <protection hidden="1"/>
    </xf>
    <xf numFmtId="0" fontId="7" fillId="3" borderId="11" xfId="0" applyFont="1" applyFill="1" applyBorder="1" applyAlignment="1" applyProtection="1">
      <alignment horizontal="center" vertical="center" shrinkToFit="1"/>
      <protection hidden="1"/>
    </xf>
    <xf numFmtId="0" fontId="7" fillId="3" borderId="56" xfId="0" applyFont="1" applyFill="1" applyBorder="1" applyAlignment="1" applyProtection="1">
      <alignment horizontal="center" vertical="center" shrinkToFit="1"/>
      <protection hidden="1"/>
    </xf>
    <xf numFmtId="0" fontId="7" fillId="3" borderId="26" xfId="0" applyFont="1" applyFill="1" applyBorder="1" applyAlignment="1" applyProtection="1">
      <alignment horizontal="center" vertical="center" shrinkToFit="1"/>
      <protection hidden="1"/>
    </xf>
    <xf numFmtId="0" fontId="7" fillId="3" borderId="97" xfId="0" applyFont="1" applyFill="1" applyBorder="1" applyAlignment="1" applyProtection="1">
      <alignment horizontal="center" vertical="center" shrinkToFit="1"/>
      <protection hidden="1"/>
    </xf>
    <xf numFmtId="0" fontId="7" fillId="3" borderId="95" xfId="0" applyFont="1" applyFill="1" applyBorder="1" applyAlignment="1" applyProtection="1">
      <alignment horizontal="center" vertical="center" shrinkToFit="1"/>
      <protection hidden="1"/>
    </xf>
    <xf numFmtId="0" fontId="7" fillId="3" borderId="59" xfId="0" applyFont="1" applyFill="1" applyBorder="1" applyAlignment="1" applyProtection="1">
      <alignment horizontal="center" vertical="center" shrinkToFit="1"/>
      <protection hidden="1"/>
    </xf>
    <xf numFmtId="0" fontId="19" fillId="5" borderId="33" xfId="0" applyFont="1" applyFill="1" applyBorder="1" applyAlignment="1" applyProtection="1">
      <alignment horizontal="center" vertical="center" shrinkToFit="1"/>
      <protection hidden="1"/>
    </xf>
    <xf numFmtId="9" fontId="20" fillId="0" borderId="33" xfId="1" applyFont="1" applyBorder="1" applyAlignment="1" applyProtection="1">
      <alignment horizontal="center" vertical="center" shrinkToFit="1"/>
      <protection hidden="1"/>
    </xf>
    <xf numFmtId="9" fontId="11" fillId="0" borderId="33" xfId="0" applyNumberFormat="1" applyFont="1" applyBorder="1" applyAlignment="1" applyProtection="1">
      <alignment horizontal="center" vertical="center" shrinkToFit="1"/>
      <protection hidden="1"/>
    </xf>
    <xf numFmtId="0" fontId="19" fillId="5" borderId="100" xfId="0" applyFont="1" applyFill="1" applyBorder="1" applyAlignment="1">
      <alignment horizontal="center" vertical="center" shrinkToFit="1"/>
    </xf>
    <xf numFmtId="9" fontId="11" fillId="0" borderId="101" xfId="1" applyFont="1" applyBorder="1" applyAlignment="1" applyProtection="1">
      <alignment horizontal="center" vertical="center" shrinkToFit="1"/>
      <protection hidden="1"/>
    </xf>
    <xf numFmtId="165" fontId="11" fillId="6" borderId="15" xfId="0" applyNumberFormat="1" applyFont="1" applyFill="1" applyBorder="1" applyAlignment="1" applyProtection="1">
      <alignment horizontal="center" vertical="center" shrinkToFit="1"/>
      <protection hidden="1"/>
    </xf>
    <xf numFmtId="165" fontId="11" fillId="6" borderId="76" xfId="0" applyNumberFormat="1" applyFont="1" applyFill="1" applyBorder="1" applyAlignment="1" applyProtection="1">
      <alignment horizontal="center" vertical="center" shrinkToFit="1"/>
      <protection hidden="1"/>
    </xf>
    <xf numFmtId="165" fontId="11" fillId="6" borderId="77" xfId="0" applyNumberFormat="1" applyFont="1" applyFill="1" applyBorder="1" applyAlignment="1" applyProtection="1">
      <alignment horizontal="center" vertical="center" shrinkToFit="1"/>
      <protection hidden="1"/>
    </xf>
    <xf numFmtId="165" fontId="11" fillId="6" borderId="16" xfId="0" applyNumberFormat="1" applyFont="1" applyFill="1" applyBorder="1" applyAlignment="1" applyProtection="1">
      <alignment horizontal="center" vertical="center" shrinkToFit="1"/>
      <protection hidden="1"/>
    </xf>
    <xf numFmtId="9" fontId="11" fillId="6" borderId="16" xfId="1" applyNumberFormat="1" applyFont="1" applyFill="1" applyBorder="1" applyAlignment="1" applyProtection="1">
      <alignment horizontal="center" vertical="center" shrinkToFit="1"/>
      <protection hidden="1"/>
    </xf>
    <xf numFmtId="9" fontId="11" fillId="6" borderId="39" xfId="1" applyNumberFormat="1" applyFont="1" applyFill="1" applyBorder="1" applyAlignment="1" applyProtection="1">
      <alignment horizontal="center" vertical="center" shrinkToFit="1"/>
      <protection hidden="1"/>
    </xf>
    <xf numFmtId="165" fontId="11" fillId="6" borderId="109" xfId="0" applyNumberFormat="1" applyFont="1" applyFill="1" applyBorder="1" applyAlignment="1" applyProtection="1">
      <alignment horizontal="center" vertical="center" shrinkToFit="1"/>
      <protection hidden="1"/>
    </xf>
    <xf numFmtId="165" fontId="11" fillId="6" borderId="110" xfId="0" applyNumberFormat="1" applyFont="1" applyFill="1" applyBorder="1" applyAlignment="1" applyProtection="1">
      <alignment horizontal="center" vertical="center" shrinkToFit="1"/>
      <protection hidden="1"/>
    </xf>
    <xf numFmtId="165" fontId="11" fillId="6" borderId="111" xfId="0" applyNumberFormat="1" applyFont="1" applyFill="1" applyBorder="1" applyAlignment="1" applyProtection="1">
      <alignment horizontal="center" vertical="center" shrinkToFit="1"/>
      <protection hidden="1"/>
    </xf>
    <xf numFmtId="165" fontId="11" fillId="6" borderId="112" xfId="0" applyNumberFormat="1" applyFont="1" applyFill="1" applyBorder="1" applyAlignment="1" applyProtection="1">
      <alignment horizontal="center" vertical="center" shrinkToFit="1"/>
      <protection hidden="1"/>
    </xf>
    <xf numFmtId="9" fontId="11" fillId="6" borderId="113" xfId="1" applyNumberFormat="1" applyFont="1" applyFill="1" applyBorder="1" applyAlignment="1" applyProtection="1">
      <alignment horizontal="center" vertical="center" shrinkToFit="1"/>
      <protection hidden="1"/>
    </xf>
    <xf numFmtId="9" fontId="11" fillId="6" borderId="114" xfId="1" applyNumberFormat="1" applyFont="1" applyFill="1" applyBorder="1" applyAlignment="1" applyProtection="1">
      <alignment horizontal="center" vertical="center" shrinkToFit="1"/>
      <protection hidden="1"/>
    </xf>
    <xf numFmtId="9" fontId="11" fillId="6" borderId="112" xfId="1" applyNumberFormat="1" applyFont="1" applyFill="1" applyBorder="1" applyAlignment="1" applyProtection="1">
      <alignment horizontal="center" vertical="center" shrinkToFit="1"/>
      <protection hidden="1"/>
    </xf>
    <xf numFmtId="9" fontId="11" fillId="6" borderId="115" xfId="1" applyNumberFormat="1" applyFont="1" applyFill="1" applyBorder="1" applyAlignment="1" applyProtection="1">
      <alignment horizontal="center" vertical="center" shrinkToFit="1"/>
      <protection hidden="1"/>
    </xf>
    <xf numFmtId="0" fontId="7" fillId="5" borderId="90" xfId="0" applyFont="1" applyFill="1" applyBorder="1" applyAlignment="1" applyProtection="1">
      <alignment horizontal="center" vertical="center"/>
      <protection hidden="1"/>
    </xf>
    <xf numFmtId="0" fontId="7" fillId="5" borderId="3" xfId="0" applyFont="1" applyFill="1" applyBorder="1" applyAlignment="1" applyProtection="1">
      <alignment horizontal="center" vertical="center"/>
      <protection hidden="1"/>
    </xf>
    <xf numFmtId="0" fontId="7" fillId="5" borderId="89" xfId="0" applyFont="1" applyFill="1" applyBorder="1" applyAlignment="1" applyProtection="1">
      <alignment horizontal="center" vertical="center"/>
      <protection hidden="1"/>
    </xf>
    <xf numFmtId="0" fontId="7" fillId="5" borderId="91" xfId="0" applyFont="1" applyFill="1" applyBorder="1" applyAlignment="1" applyProtection="1">
      <alignment horizontal="center" vertical="center"/>
      <protection hidden="1"/>
    </xf>
    <xf numFmtId="0" fontId="15" fillId="4" borderId="4" xfId="0" applyFont="1" applyFill="1" applyBorder="1" applyAlignment="1" applyProtection="1">
      <alignment horizontal="left" vertical="center"/>
      <protection hidden="1"/>
    </xf>
    <xf numFmtId="0" fontId="11" fillId="0" borderId="4" xfId="0" applyNumberFormat="1" applyFont="1" applyBorder="1" applyAlignment="1" applyProtection="1">
      <alignment horizontal="center" vertical="center"/>
      <protection hidden="1"/>
    </xf>
    <xf numFmtId="0" fontId="16" fillId="0" borderId="42" xfId="0" applyNumberFormat="1" applyFont="1" applyBorder="1" applyAlignment="1" applyProtection="1">
      <alignment horizontal="center" vertical="center"/>
      <protection hidden="1"/>
    </xf>
    <xf numFmtId="0" fontId="16" fillId="0" borderId="43" xfId="0" applyNumberFormat="1" applyFont="1" applyBorder="1" applyAlignment="1" applyProtection="1">
      <alignment horizontal="center" vertical="center"/>
      <protection hidden="1"/>
    </xf>
    <xf numFmtId="0" fontId="16" fillId="0" borderId="43" xfId="0" applyFont="1" applyBorder="1" applyAlignment="1" applyProtection="1">
      <alignment horizontal="center" vertical="center"/>
      <protection hidden="1"/>
    </xf>
    <xf numFmtId="0" fontId="16" fillId="0" borderId="43" xfId="0" applyNumberFormat="1" applyFont="1" applyFill="1" applyBorder="1" applyAlignment="1" applyProtection="1">
      <alignment horizontal="center" vertical="center"/>
      <protection hidden="1"/>
    </xf>
    <xf numFmtId="0" fontId="21" fillId="0" borderId="43" xfId="0" applyNumberFormat="1" applyFont="1" applyFill="1" applyBorder="1" applyAlignment="1" applyProtection="1">
      <alignment horizontal="center" vertical="center"/>
      <protection hidden="1"/>
    </xf>
    <xf numFmtId="0" fontId="15" fillId="4" borderId="20" xfId="0" applyFont="1" applyFill="1" applyBorder="1" applyAlignment="1" applyProtection="1">
      <alignment horizontal="left" vertical="center"/>
      <protection hidden="1"/>
    </xf>
    <xf numFmtId="0" fontId="3" fillId="0" borderId="24" xfId="0" applyFont="1" applyBorder="1" applyAlignment="1" applyProtection="1">
      <alignment horizontal="center" vertical="center"/>
      <protection hidden="1"/>
    </xf>
    <xf numFmtId="0" fontId="3" fillId="0" borderId="36" xfId="0" applyFont="1" applyBorder="1" applyAlignment="1" applyProtection="1">
      <alignment horizontal="center" vertical="center"/>
      <protection hidden="1"/>
    </xf>
    <xf numFmtId="0" fontId="7" fillId="5" borderId="33" xfId="0" applyFont="1" applyFill="1" applyBorder="1" applyAlignment="1">
      <alignment horizontal="center" vertical="center" shrinkToFit="1"/>
    </xf>
    <xf numFmtId="0" fontId="11" fillId="0" borderId="32" xfId="0" applyFont="1" applyBorder="1" applyAlignment="1" applyProtection="1">
      <alignment horizontal="center" vertical="center" shrinkToFit="1"/>
      <protection hidden="1"/>
    </xf>
    <xf numFmtId="0" fontId="11" fillId="0" borderId="53" xfId="0" applyFont="1" applyBorder="1" applyAlignment="1" applyProtection="1">
      <alignment horizontal="center" vertical="center" shrinkToFit="1"/>
      <protection hidden="1"/>
    </xf>
    <xf numFmtId="0" fontId="11" fillId="0" borderId="102" xfId="0" applyFont="1" applyBorder="1" applyAlignment="1" applyProtection="1">
      <alignment horizontal="center" vertical="center" shrinkToFit="1"/>
      <protection hidden="1"/>
    </xf>
    <xf numFmtId="0" fontId="8" fillId="5" borderId="40" xfId="0" applyFont="1" applyFill="1" applyBorder="1" applyAlignment="1" applyProtection="1">
      <alignment horizontal="center" vertical="center"/>
      <protection hidden="1"/>
    </xf>
    <xf numFmtId="0" fontId="8" fillId="5" borderId="41" xfId="0" applyFont="1" applyFill="1" applyBorder="1" applyAlignment="1" applyProtection="1">
      <alignment horizontal="center" vertical="center"/>
      <protection hidden="1"/>
    </xf>
    <xf numFmtId="0" fontId="8" fillId="5" borderId="41" xfId="0" applyFont="1" applyFill="1" applyBorder="1" applyAlignment="1" applyProtection="1">
      <alignment horizontal="center" vertical="center" wrapText="1"/>
      <protection hidden="1"/>
    </xf>
    <xf numFmtId="0" fontId="3" fillId="0" borderId="35" xfId="0" applyFont="1" applyBorder="1" applyAlignment="1" applyProtection="1">
      <alignment horizontal="center" vertical="center"/>
      <protection hidden="1"/>
    </xf>
    <xf numFmtId="0" fontId="3" fillId="0" borderId="63" xfId="0" applyFont="1" applyBorder="1" applyAlignment="1" applyProtection="1">
      <alignment horizontal="center" vertical="center"/>
      <protection hidden="1"/>
    </xf>
    <xf numFmtId="0" fontId="16" fillId="2" borderId="21" xfId="0" applyFont="1" applyFill="1" applyBorder="1" applyAlignment="1" applyProtection="1">
      <alignment horizontal="center" vertical="center"/>
      <protection hidden="1"/>
    </xf>
    <xf numFmtId="0" fontId="16" fillId="2" borderId="22" xfId="0" applyFont="1" applyFill="1" applyBorder="1" applyAlignment="1" applyProtection="1">
      <alignment horizontal="center" vertical="center"/>
      <protection hidden="1"/>
    </xf>
    <xf numFmtId="0" fontId="16" fillId="2" borderId="71" xfId="0" applyFont="1" applyFill="1" applyBorder="1" applyAlignment="1" applyProtection="1">
      <alignment horizontal="center" vertical="center"/>
      <protection hidden="1"/>
    </xf>
    <xf numFmtId="0" fontId="10" fillId="3" borderId="23" xfId="0" applyFont="1" applyFill="1" applyBorder="1" applyAlignment="1" applyProtection="1">
      <alignment horizontal="center" vertical="center" shrinkToFit="1"/>
      <protection locked="0" hidden="1"/>
    </xf>
    <xf numFmtId="0" fontId="10" fillId="3" borderId="30" xfId="0" applyFont="1" applyFill="1" applyBorder="1" applyAlignment="1" applyProtection="1">
      <alignment horizontal="center" vertical="center" shrinkToFit="1"/>
      <protection locked="0" hidden="1"/>
    </xf>
    <xf numFmtId="0" fontId="10" fillId="3" borderId="1" xfId="0" applyNumberFormat="1" applyFont="1" applyFill="1" applyBorder="1" applyAlignment="1" applyProtection="1">
      <alignment horizontal="center" vertical="center" shrinkToFit="1"/>
      <protection hidden="1"/>
    </xf>
    <xf numFmtId="0" fontId="10" fillId="3" borderId="31" xfId="0" applyNumberFormat="1" applyFont="1" applyFill="1" applyBorder="1" applyAlignment="1" applyProtection="1">
      <alignment horizontal="center" vertical="center" shrinkToFit="1"/>
      <protection hidden="1"/>
    </xf>
    <xf numFmtId="49" fontId="10" fillId="3" borderId="1" xfId="0" applyNumberFormat="1" applyFont="1" applyFill="1" applyBorder="1" applyAlignment="1" applyProtection="1">
      <alignment horizontal="center" vertical="center" shrinkToFit="1"/>
      <protection locked="0" hidden="1"/>
    </xf>
    <xf numFmtId="49" fontId="10" fillId="3" borderId="61" xfId="0" applyNumberFormat="1" applyFont="1" applyFill="1" applyBorder="1" applyAlignment="1" applyProtection="1">
      <alignment horizontal="center" vertical="center" shrinkToFit="1"/>
      <protection locked="0" hidden="1"/>
    </xf>
    <xf numFmtId="49" fontId="10" fillId="3" borderId="31" xfId="0" applyNumberFormat="1" applyFont="1" applyFill="1" applyBorder="1" applyAlignment="1" applyProtection="1">
      <alignment horizontal="center" vertical="center" shrinkToFit="1"/>
      <protection locked="0" hidden="1"/>
    </xf>
    <xf numFmtId="49" fontId="10" fillId="3" borderId="72" xfId="0" applyNumberFormat="1" applyFont="1" applyFill="1" applyBorder="1" applyAlignment="1" applyProtection="1">
      <alignment horizontal="center" vertical="center" shrinkToFit="1"/>
      <protection locked="0" hidden="1"/>
    </xf>
    <xf numFmtId="0" fontId="16" fillId="2" borderId="103" xfId="0" applyFont="1" applyFill="1" applyBorder="1" applyAlignment="1" applyProtection="1">
      <alignment horizontal="center" vertical="center"/>
      <protection hidden="1"/>
    </xf>
    <xf numFmtId="0" fontId="16" fillId="2" borderId="104" xfId="0" applyFont="1" applyFill="1" applyBorder="1" applyAlignment="1" applyProtection="1">
      <alignment horizontal="center" vertical="center"/>
      <protection hidden="1"/>
    </xf>
    <xf numFmtId="0" fontId="16" fillId="2" borderId="105" xfId="0" applyFont="1" applyFill="1" applyBorder="1" applyAlignment="1" applyProtection="1">
      <alignment horizontal="center" vertical="center"/>
      <protection hidden="1"/>
    </xf>
    <xf numFmtId="166" fontId="10" fillId="3" borderId="103" xfId="0" applyNumberFormat="1" applyFont="1" applyFill="1" applyBorder="1" applyAlignment="1" applyProtection="1">
      <alignment horizontal="center" vertical="center" shrinkToFit="1"/>
      <protection locked="0" hidden="1"/>
    </xf>
    <xf numFmtId="166" fontId="10" fillId="3" borderId="104" xfId="0" applyNumberFormat="1" applyFont="1" applyFill="1" applyBorder="1" applyAlignment="1" applyProtection="1">
      <alignment horizontal="center" vertical="center" shrinkToFit="1"/>
      <protection locked="0" hidden="1"/>
    </xf>
    <xf numFmtId="166" fontId="10" fillId="3" borderId="105" xfId="0" applyNumberFormat="1" applyFont="1" applyFill="1" applyBorder="1" applyAlignment="1" applyProtection="1">
      <alignment horizontal="center" vertical="center" shrinkToFit="1"/>
      <protection locked="0" hidden="1"/>
    </xf>
    <xf numFmtId="0" fontId="8" fillId="5" borderId="46" xfId="0" applyFont="1" applyFill="1" applyBorder="1" applyAlignment="1" applyProtection="1">
      <alignment horizontal="center" vertical="center" wrapText="1"/>
      <protection hidden="1"/>
    </xf>
    <xf numFmtId="0" fontId="8" fillId="5" borderId="49" xfId="0" applyFont="1" applyFill="1" applyBorder="1" applyAlignment="1" applyProtection="1">
      <alignment horizontal="center" vertical="center" wrapText="1"/>
      <protection hidden="1"/>
    </xf>
    <xf numFmtId="0" fontId="8" fillId="5" borderId="47" xfId="0" applyFont="1" applyFill="1" applyBorder="1" applyAlignment="1" applyProtection="1">
      <alignment horizontal="center" vertical="center" wrapText="1"/>
      <protection hidden="1"/>
    </xf>
    <xf numFmtId="9" fontId="17" fillId="0" borderId="64" xfId="1" applyNumberFormat="1" applyFont="1" applyBorder="1" applyAlignment="1" applyProtection="1">
      <alignment horizontal="center" vertical="center"/>
      <protection hidden="1"/>
    </xf>
    <xf numFmtId="9" fontId="17" fillId="0" borderId="51" xfId="1" applyNumberFormat="1" applyFont="1" applyBorder="1" applyAlignment="1" applyProtection="1">
      <alignment horizontal="center" vertical="center"/>
      <protection hidden="1"/>
    </xf>
    <xf numFmtId="9" fontId="17" fillId="0" borderId="65" xfId="1" applyNumberFormat="1" applyFont="1" applyBorder="1" applyAlignment="1" applyProtection="1">
      <alignment horizontal="center" vertical="center"/>
      <protection hidden="1"/>
    </xf>
    <xf numFmtId="9" fontId="17" fillId="0" borderId="66" xfId="1" applyNumberFormat="1" applyFont="1" applyBorder="1" applyAlignment="1" applyProtection="1">
      <alignment horizontal="center" vertical="center"/>
      <protection hidden="1"/>
    </xf>
    <xf numFmtId="9" fontId="17" fillId="0" borderId="67" xfId="1" applyNumberFormat="1" applyFont="1" applyBorder="1" applyAlignment="1" applyProtection="1">
      <alignment horizontal="center" vertical="center"/>
      <protection hidden="1"/>
    </xf>
    <xf numFmtId="9" fontId="17" fillId="0" borderId="68" xfId="1" applyNumberFormat="1" applyFont="1" applyBorder="1" applyAlignment="1" applyProtection="1">
      <alignment horizontal="center" vertical="center"/>
      <protection hidden="1"/>
    </xf>
    <xf numFmtId="0" fontId="16" fillId="0" borderId="52" xfId="0" applyNumberFormat="1" applyFont="1" applyBorder="1" applyAlignment="1" applyProtection="1">
      <alignment horizontal="center" vertical="center"/>
      <protection hidden="1"/>
    </xf>
    <xf numFmtId="0" fontId="16" fillId="0" borderId="51" xfId="0" applyNumberFormat="1" applyFont="1" applyBorder="1" applyAlignment="1" applyProtection="1">
      <alignment horizontal="center" vertical="center"/>
      <protection hidden="1"/>
    </xf>
    <xf numFmtId="0" fontId="16" fillId="0" borderId="48" xfId="0" applyNumberFormat="1" applyFont="1" applyBorder="1" applyAlignment="1" applyProtection="1">
      <alignment horizontal="center" vertical="center"/>
      <protection hidden="1"/>
    </xf>
    <xf numFmtId="0" fontId="16" fillId="0" borderId="50" xfId="0" applyNumberFormat="1" applyFont="1" applyBorder="1" applyAlignment="1" applyProtection="1">
      <alignment horizontal="center" vertical="center"/>
      <protection hidden="1"/>
    </xf>
    <xf numFmtId="0" fontId="7" fillId="5" borderId="69" xfId="0" applyFont="1" applyFill="1" applyBorder="1" applyAlignment="1">
      <alignment horizontal="center" vertical="center" shrinkToFit="1"/>
    </xf>
    <xf numFmtId="0" fontId="7" fillId="5" borderId="70" xfId="0" applyFont="1" applyFill="1" applyBorder="1" applyAlignment="1">
      <alignment horizontal="center" vertical="center" shrinkToFit="1"/>
    </xf>
    <xf numFmtId="0" fontId="18" fillId="0" borderId="54" xfId="0" applyNumberFormat="1" applyFont="1" applyBorder="1" applyAlignment="1" applyProtection="1">
      <alignment horizontal="center" shrinkToFit="1"/>
      <protection hidden="1"/>
    </xf>
    <xf numFmtId="0" fontId="18" fillId="0" borderId="33" xfId="0" applyNumberFormat="1" applyFont="1" applyBorder="1" applyAlignment="1" applyProtection="1">
      <alignment horizontal="center" shrinkToFit="1"/>
      <protection hidden="1"/>
    </xf>
    <xf numFmtId="0" fontId="7" fillId="5" borderId="2" xfId="0" applyFont="1" applyFill="1" applyBorder="1" applyAlignment="1" applyProtection="1">
      <alignment horizontal="center" vertical="center" shrinkToFit="1"/>
      <protection hidden="1"/>
    </xf>
    <xf numFmtId="0" fontId="7" fillId="3" borderId="78" xfId="0" applyFont="1" applyFill="1" applyBorder="1" applyAlignment="1" applyProtection="1">
      <alignment horizontal="center" vertical="center" wrapText="1"/>
      <protection hidden="1"/>
    </xf>
    <xf numFmtId="0" fontId="7" fillId="3" borderId="9" xfId="0" applyFont="1" applyFill="1" applyBorder="1" applyAlignment="1" applyProtection="1">
      <alignment horizontal="center" vertical="center" wrapText="1"/>
      <protection hidden="1"/>
    </xf>
    <xf numFmtId="0" fontId="7" fillId="3" borderId="79" xfId="0" applyFont="1" applyFill="1" applyBorder="1" applyAlignment="1" applyProtection="1">
      <alignment horizontal="center" vertical="center" wrapText="1"/>
      <protection hidden="1"/>
    </xf>
    <xf numFmtId="0" fontId="7" fillId="3" borderId="80" xfId="0" applyFont="1" applyFill="1" applyBorder="1" applyAlignment="1" applyProtection="1">
      <alignment horizontal="center" vertical="center" wrapText="1"/>
      <protection hidden="1"/>
    </xf>
    <xf numFmtId="0" fontId="7" fillId="3" borderId="0" xfId="0" applyFont="1" applyFill="1" applyBorder="1" applyAlignment="1" applyProtection="1">
      <alignment horizontal="center" vertical="center" wrapText="1"/>
      <protection hidden="1"/>
    </xf>
    <xf numFmtId="0" fontId="7" fillId="3" borderId="81" xfId="0" applyFont="1" applyFill="1" applyBorder="1" applyAlignment="1" applyProtection="1">
      <alignment horizontal="center" vertical="center" wrapText="1"/>
      <protection hidden="1"/>
    </xf>
    <xf numFmtId="0" fontId="7" fillId="3" borderId="82" xfId="0" applyFont="1" applyFill="1" applyBorder="1" applyAlignment="1" applyProtection="1">
      <alignment horizontal="center" vertical="center" wrapText="1"/>
      <protection hidden="1"/>
    </xf>
    <xf numFmtId="0" fontId="7" fillId="3" borderId="67" xfId="0" applyFont="1" applyFill="1" applyBorder="1" applyAlignment="1" applyProtection="1">
      <alignment horizontal="center" vertical="center" wrapText="1"/>
      <protection hidden="1"/>
    </xf>
    <xf numFmtId="0" fontId="7" fillId="3" borderId="83" xfId="0" applyFont="1" applyFill="1" applyBorder="1" applyAlignment="1" applyProtection="1">
      <alignment horizontal="center" vertical="center" wrapText="1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1" fillId="0" borderId="4" xfId="0" applyFont="1" applyBorder="1" applyAlignment="1" applyProtection="1">
      <alignment horizontal="center" vertical="center"/>
      <protection hidden="1"/>
    </xf>
    <xf numFmtId="0" fontId="7" fillId="3" borderId="84" xfId="0" applyFont="1" applyFill="1" applyBorder="1" applyAlignment="1" applyProtection="1">
      <alignment horizontal="center" vertical="center" wrapText="1"/>
      <protection hidden="1"/>
    </xf>
    <xf numFmtId="0" fontId="7" fillId="3" borderId="85" xfId="0" applyFont="1" applyFill="1" applyBorder="1" applyAlignment="1" applyProtection="1">
      <alignment horizontal="center" vertical="center" wrapText="1"/>
      <protection hidden="1"/>
    </xf>
    <xf numFmtId="0" fontId="7" fillId="3" borderId="86" xfId="0" applyFont="1" applyFill="1" applyBorder="1" applyAlignment="1" applyProtection="1">
      <alignment horizontal="center" vertical="center" wrapText="1"/>
      <protection hidden="1"/>
    </xf>
    <xf numFmtId="0" fontId="7" fillId="5" borderId="12" xfId="0" applyFont="1" applyFill="1" applyBorder="1" applyAlignment="1" applyProtection="1">
      <alignment horizontal="center" vertical="center"/>
      <protection hidden="1"/>
    </xf>
    <xf numFmtId="0" fontId="7" fillId="5" borderId="37" xfId="0" applyFont="1" applyFill="1" applyBorder="1" applyAlignment="1" applyProtection="1">
      <alignment horizontal="center" vertical="center"/>
      <protection hidden="1"/>
    </xf>
    <xf numFmtId="0" fontId="7" fillId="5" borderId="13" xfId="0" applyFont="1" applyFill="1" applyBorder="1" applyAlignment="1" applyProtection="1">
      <alignment horizontal="center" vertical="center"/>
      <protection hidden="1"/>
    </xf>
    <xf numFmtId="0" fontId="7" fillId="5" borderId="14" xfId="0" applyFont="1" applyFill="1" applyBorder="1" applyAlignment="1" applyProtection="1">
      <alignment horizontal="center" vertical="center"/>
      <protection hidden="1"/>
    </xf>
    <xf numFmtId="0" fontId="4" fillId="0" borderId="98" xfId="0" applyNumberFormat="1" applyFont="1" applyBorder="1" applyAlignment="1" applyProtection="1">
      <alignment horizontal="center" shrinkToFit="1"/>
      <protection hidden="1"/>
    </xf>
    <xf numFmtId="0" fontId="7" fillId="5" borderId="38" xfId="0" applyFont="1" applyFill="1" applyBorder="1" applyAlignment="1" applyProtection="1">
      <alignment horizontal="center" vertical="center"/>
      <protection hidden="1"/>
    </xf>
    <xf numFmtId="0" fontId="7" fillId="3" borderId="87" xfId="0" applyFont="1" applyFill="1" applyBorder="1" applyAlignment="1" applyProtection="1">
      <alignment horizontal="center" vertical="center" wrapText="1"/>
      <protection hidden="1"/>
    </xf>
    <xf numFmtId="0" fontId="7" fillId="3" borderId="56" xfId="0" applyFont="1" applyFill="1" applyBorder="1" applyAlignment="1" applyProtection="1">
      <alignment horizontal="center" vertical="center" wrapText="1"/>
      <protection hidden="1"/>
    </xf>
    <xf numFmtId="0" fontId="7" fillId="3" borderId="88" xfId="0" applyFont="1" applyFill="1" applyBorder="1" applyAlignment="1" applyProtection="1">
      <alignment horizontal="center" vertical="center" wrapText="1"/>
      <protection hidden="1"/>
    </xf>
    <xf numFmtId="0" fontId="7" fillId="3" borderId="106" xfId="0" applyFont="1" applyFill="1" applyBorder="1" applyAlignment="1" applyProtection="1">
      <alignment horizontal="center" vertical="center" wrapText="1"/>
      <protection hidden="1"/>
    </xf>
    <xf numFmtId="0" fontId="7" fillId="3" borderId="107" xfId="0" applyFont="1" applyFill="1" applyBorder="1" applyAlignment="1" applyProtection="1">
      <alignment horizontal="center" vertical="center" wrapText="1"/>
      <protection hidden="1"/>
    </xf>
    <xf numFmtId="0" fontId="7" fillId="3" borderId="108" xfId="0" applyFont="1" applyFill="1" applyBorder="1" applyAlignment="1" applyProtection="1">
      <alignment horizontal="center" vertical="center" wrapText="1"/>
      <protection hidden="1"/>
    </xf>
    <xf numFmtId="0" fontId="11" fillId="0" borderId="0" xfId="0" applyFont="1" applyAlignment="1">
      <alignment horizontal="center" shrinkToFit="1"/>
    </xf>
    <xf numFmtId="0" fontId="11" fillId="0" borderId="116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116" xfId="0" applyFont="1" applyBorder="1" applyAlignment="1">
      <alignment horizontal="center" shrinkToFit="1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1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0" hidden="0"/>
    </dxf>
    <dxf>
      <protection locked="0" hidden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protection locked="1" hidden="1"/>
    </dxf>
    <dxf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1" hidden="1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  <protection locked="1" hidden="1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  <protection locked="1" hidden="1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852843774653066E-2"/>
          <c:y val="5.7202288091523661E-2"/>
          <c:w val="0.8892358520349225"/>
          <c:h val="0.724164179165591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Report!$AD$7</c:f>
              <c:strCache>
                <c:ptCount val="1"/>
                <c:pt idx="0">
                  <c:v>Score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110000"/>
                    <a:satMod val="105000"/>
                    <a:tint val="67000"/>
                  </a:schemeClr>
                </a:gs>
                <a:gs pos="50000">
                  <a:schemeClr val="accent4">
                    <a:lumMod val="105000"/>
                    <a:satMod val="103000"/>
                    <a:tint val="73000"/>
                  </a:schemeClr>
                </a:gs>
                <a:gs pos="100000">
                  <a:schemeClr val="accent4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/>
          </c:spPr>
          <c:invertIfNegative val="0"/>
          <c:cat>
            <c:multiLvlStrRef>
              <c:f>Report!$AB$8:$AC$27</c:f>
            </c:multiLvlStrRef>
          </c:cat>
          <c:val>
            <c:numRef>
              <c:f>Report!$AD$8:$AD$27</c:f>
              <c:numCache>
                <c:formatCode>General</c:formatCode>
                <c:ptCount val="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F5-46A0-ABCA-364434AB1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36213176"/>
        <c:axId val="636212216"/>
      </c:barChart>
      <c:catAx>
        <c:axId val="636213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12216"/>
        <c:crosses val="autoZero"/>
        <c:auto val="1"/>
        <c:lblAlgn val="ctr"/>
        <c:lblOffset val="100"/>
        <c:noMultiLvlLbl val="0"/>
      </c:catAx>
      <c:valAx>
        <c:axId val="636212216"/>
        <c:scaling>
          <c:orientation val="minMax"/>
          <c:max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621317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 anchor="ctr" anchorCtr="0"/>
    <a:lstStyle/>
    <a:p>
      <a:pPr>
        <a:defRPr>
          <a:ln>
            <a:noFill/>
          </a:ln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39393090304141"/>
          <c:y val="0.13289125250866229"/>
          <c:w val="0.57262112649225294"/>
          <c:h val="0.660511811023622"/>
        </c:manualLayout>
      </c:layout>
      <c:radarChart>
        <c:radarStyle val="marker"/>
        <c:varyColors val="0"/>
        <c:ser>
          <c:idx val="0"/>
          <c:order val="0"/>
          <c:tx>
            <c:v>First</c:v>
          </c:tx>
          <c:spPr>
            <a:ln w="25400" cap="rnd">
              <a:solidFill>
                <a:schemeClr val="accent4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Report!$O$30:$O$35</c:f>
              <c:strCache>
                <c:ptCount val="6"/>
                <c:pt idx="0">
                  <c:v>Number &amp; Operations</c:v>
                </c:pt>
                <c:pt idx="1">
                  <c:v>Algebra &amp; Functions</c:v>
                </c:pt>
                <c:pt idx="2">
                  <c:v>Coordinate Geometry</c:v>
                </c:pt>
                <c:pt idx="3">
                  <c:v>Three-Dimensional</c:v>
                </c:pt>
                <c:pt idx="4">
                  <c:v>Trigonometric</c:v>
                </c:pt>
                <c:pt idx="5">
                  <c:v>Data Analysis</c:v>
                </c:pt>
              </c:strCache>
              <c:extLst/>
            </c:strRef>
          </c:cat>
          <c:val>
            <c:numRef>
              <c:f>Report!$W$30:$W$35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AB-4EC1-A50C-99C36A3C577D}"/>
            </c:ext>
          </c:extLst>
        </c:ser>
        <c:ser>
          <c:idx val="1"/>
          <c:order val="1"/>
          <c:tx>
            <c:v>Average</c:v>
          </c:tx>
          <c:spPr>
            <a:ln w="2540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Report!$X$30:$X$35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FDF-447C-ABB0-C3775DDCE7FF}"/>
            </c:ext>
          </c:extLst>
        </c:ser>
        <c:ser>
          <c:idx val="2"/>
          <c:order val="2"/>
          <c:tx>
            <c:v>Current</c:v>
          </c:tx>
          <c:spPr>
            <a:ln w="28575" cap="rnd">
              <a:solidFill>
                <a:schemeClr val="accent4">
                  <a:tint val="6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Report!$Y$30:$Y$35</c:f>
              <c:numCache>
                <c:formatCode>0%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FDF-447C-ABB0-C3775DDCE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8554168"/>
        <c:axId val="628550648"/>
      </c:radarChart>
      <c:catAx>
        <c:axId val="62855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8550648"/>
        <c:crosses val="autoZero"/>
        <c:auto val="1"/>
        <c:lblAlgn val="ctr"/>
        <c:lblOffset val="100"/>
        <c:noMultiLvlLbl val="0"/>
      </c:catAx>
      <c:valAx>
        <c:axId val="628550648"/>
        <c:scaling>
          <c:orientation val="minMax"/>
          <c:max val="1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62855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28576</xdr:colOff>
      <xdr:row>1</xdr:row>
      <xdr:rowOff>131445</xdr:rowOff>
    </xdr:from>
    <xdr:to>
      <xdr:col>13</xdr:col>
      <xdr:colOff>133350</xdr:colOff>
      <xdr:row>5</xdr:row>
      <xdr:rowOff>156210</xdr:rowOff>
    </xdr:to>
    <xdr:sp macro="" textlink="">
      <xdr:nvSpPr>
        <xdr:cNvPr id="9" name="Text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962151" y="464820"/>
          <a:ext cx="1781174" cy="777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A. </a:t>
          </a:r>
          <a:r>
            <a:rPr lang="en-US" sz="900"/>
            <a:t>101B Broad Ave.</a:t>
          </a:r>
        </a:p>
        <a:p>
          <a:r>
            <a:rPr lang="en-US" sz="900"/>
            <a:t>     Palisades Park , NJ 07650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T.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201.840.7737</a:t>
          </a:r>
          <a:endParaRPr lang="en-US" sz="900">
            <a:effectLst/>
          </a:endParaRPr>
        </a:p>
        <a:p>
          <a:r>
            <a:rPr lang="en-U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E.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info@prestigei.com</a:t>
          </a:r>
          <a:endParaRPr lang="en-US" sz="900">
            <a:effectLst/>
          </a:endParaRPr>
        </a:p>
      </xdr:txBody>
    </xdr:sp>
    <xdr:clientData/>
  </xdr:twoCellAnchor>
  <xdr:oneCellAnchor>
    <xdr:from>
      <xdr:col>0</xdr:col>
      <xdr:colOff>104774</xdr:colOff>
      <xdr:row>1</xdr:row>
      <xdr:rowOff>144779</xdr:rowOff>
    </xdr:from>
    <xdr:ext cx="1885951" cy="658277"/>
    <xdr:pic>
      <xdr:nvPicPr>
        <xdr:cNvPr id="10" name="Picture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4" y="478154"/>
          <a:ext cx="1885951" cy="658277"/>
        </a:xfrm>
        <a:prstGeom prst="rect">
          <a:avLst/>
        </a:prstGeom>
      </xdr:spPr>
    </xdr:pic>
    <xdr:clientData/>
  </xdr:oneCellAnchor>
  <xdr:twoCellAnchor>
    <xdr:from>
      <xdr:col>0</xdr:col>
      <xdr:colOff>28575</xdr:colOff>
      <xdr:row>11</xdr:row>
      <xdr:rowOff>175260</xdr:rowOff>
    </xdr:from>
    <xdr:to>
      <xdr:col>24</xdr:col>
      <xdr:colOff>247650</xdr:colOff>
      <xdr:row>25</xdr:row>
      <xdr:rowOff>57150</xdr:rowOff>
    </xdr:to>
    <xdr:graphicFrame macro="">
      <xdr:nvGraphicFramePr>
        <xdr:cNvPr id="27" name="BarChart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91440</xdr:colOff>
      <xdr:row>27</xdr:row>
      <xdr:rowOff>121920</xdr:rowOff>
    </xdr:from>
    <xdr:to>
      <xdr:col>13</xdr:col>
      <xdr:colOff>213360</xdr:colOff>
      <xdr:row>45</xdr:row>
      <xdr:rowOff>99060</xdr:rowOff>
    </xdr:to>
    <xdr:graphicFrame macro="">
      <xdr:nvGraphicFramePr>
        <xdr:cNvPr id="32" name="Chart 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28576</xdr:colOff>
      <xdr:row>47</xdr:row>
      <xdr:rowOff>131445</xdr:rowOff>
    </xdr:from>
    <xdr:to>
      <xdr:col>13</xdr:col>
      <xdr:colOff>133350</xdr:colOff>
      <xdr:row>51</xdr:row>
      <xdr:rowOff>156210</xdr:rowOff>
    </xdr:to>
    <xdr:sp macro="" textlink="">
      <xdr:nvSpPr>
        <xdr:cNvPr id="13" name="TextBox 1">
          <a:extLst>
            <a:ext uri="{FF2B5EF4-FFF2-40B4-BE49-F238E27FC236}">
              <a16:creationId xmlns:a16="http://schemas.microsoft.com/office/drawing/2014/main" id="{F85EF910-19C1-4DFE-AA7E-54B26EDD364F}"/>
            </a:ext>
          </a:extLst>
        </xdr:cNvPr>
        <xdr:cNvSpPr txBox="1"/>
      </xdr:nvSpPr>
      <xdr:spPr>
        <a:xfrm>
          <a:off x="1962151" y="9399270"/>
          <a:ext cx="1781174" cy="786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A. </a:t>
          </a:r>
          <a:r>
            <a:rPr lang="en-US" sz="900"/>
            <a:t>101B Broad Ave.</a:t>
          </a:r>
        </a:p>
        <a:p>
          <a:r>
            <a:rPr lang="en-US" sz="900"/>
            <a:t>     Palisades Park , NJ 07650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T.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201.840.7737</a:t>
          </a:r>
          <a:endParaRPr lang="en-US" sz="900">
            <a:effectLst/>
          </a:endParaRPr>
        </a:p>
        <a:p>
          <a:r>
            <a:rPr lang="en-U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E.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info@prestigei.com</a:t>
          </a:r>
          <a:endParaRPr lang="en-US" sz="900">
            <a:effectLst/>
          </a:endParaRPr>
        </a:p>
      </xdr:txBody>
    </xdr:sp>
    <xdr:clientData/>
  </xdr:twoCellAnchor>
  <xdr:oneCellAnchor>
    <xdr:from>
      <xdr:col>0</xdr:col>
      <xdr:colOff>104774</xdr:colOff>
      <xdr:row>47</xdr:row>
      <xdr:rowOff>144779</xdr:rowOff>
    </xdr:from>
    <xdr:ext cx="1885951" cy="658277"/>
    <xdr:pic>
      <xdr:nvPicPr>
        <xdr:cNvPr id="14" name="Picture 6">
          <a:extLst>
            <a:ext uri="{FF2B5EF4-FFF2-40B4-BE49-F238E27FC236}">
              <a16:creationId xmlns:a16="http://schemas.microsoft.com/office/drawing/2014/main" id="{2B15F537-484C-4037-8E09-FD42F9D3D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4" y="478154"/>
          <a:ext cx="1885951" cy="658277"/>
        </a:xfrm>
        <a:prstGeom prst="rect">
          <a:avLst/>
        </a:prstGeom>
      </xdr:spPr>
    </xdr:pic>
    <xdr:clientData/>
  </xdr:oneCellAnchor>
  <xdr:twoCellAnchor>
    <xdr:from>
      <xdr:col>7</xdr:col>
      <xdr:colOff>28576</xdr:colOff>
      <xdr:row>91</xdr:row>
      <xdr:rowOff>131445</xdr:rowOff>
    </xdr:from>
    <xdr:to>
      <xdr:col>13</xdr:col>
      <xdr:colOff>133350</xdr:colOff>
      <xdr:row>95</xdr:row>
      <xdr:rowOff>156210</xdr:rowOff>
    </xdr:to>
    <xdr:sp macro="" textlink="">
      <xdr:nvSpPr>
        <xdr:cNvPr id="15" name="TextBox 1">
          <a:extLst>
            <a:ext uri="{FF2B5EF4-FFF2-40B4-BE49-F238E27FC236}">
              <a16:creationId xmlns:a16="http://schemas.microsoft.com/office/drawing/2014/main" id="{089DC1F0-6FC7-4297-B2F8-11799E252077}"/>
            </a:ext>
          </a:extLst>
        </xdr:cNvPr>
        <xdr:cNvSpPr txBox="1"/>
      </xdr:nvSpPr>
      <xdr:spPr>
        <a:xfrm>
          <a:off x="1962151" y="18076545"/>
          <a:ext cx="1781174" cy="7867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 b="1"/>
            <a:t>A. </a:t>
          </a:r>
          <a:r>
            <a:rPr lang="en-US" sz="900"/>
            <a:t>101B Broad Ave.</a:t>
          </a:r>
        </a:p>
        <a:p>
          <a:r>
            <a:rPr lang="en-US" sz="900"/>
            <a:t>     Palisades Park , NJ 07650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T.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201.840.7737</a:t>
          </a:r>
          <a:endParaRPr lang="en-US" sz="900">
            <a:effectLst/>
          </a:endParaRPr>
        </a:p>
        <a:p>
          <a:r>
            <a:rPr lang="en-US" sz="900" b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E. </a:t>
          </a: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info@prestigei.com</a:t>
          </a:r>
          <a:endParaRPr lang="en-US" sz="900">
            <a:effectLst/>
          </a:endParaRPr>
        </a:p>
      </xdr:txBody>
    </xdr:sp>
    <xdr:clientData/>
  </xdr:twoCellAnchor>
  <xdr:oneCellAnchor>
    <xdr:from>
      <xdr:col>0</xdr:col>
      <xdr:colOff>104774</xdr:colOff>
      <xdr:row>91</xdr:row>
      <xdr:rowOff>144779</xdr:rowOff>
    </xdr:from>
    <xdr:ext cx="1885951" cy="658277"/>
    <xdr:pic>
      <xdr:nvPicPr>
        <xdr:cNvPr id="16" name="Picture 6">
          <a:extLst>
            <a:ext uri="{FF2B5EF4-FFF2-40B4-BE49-F238E27FC236}">
              <a16:creationId xmlns:a16="http://schemas.microsoft.com/office/drawing/2014/main" id="{6AA208ED-6F0B-48CC-906C-BA25D66C2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4" y="478154"/>
          <a:ext cx="1885951" cy="658277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cha\Downloads\Prestige%20Closter\Math%20IIC%20Score%20Report%20-%20Defaul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dbfa2a2d72ebea24/Documents/2018/Prestige/Math%20IIC%20Score%20Report%20-%20Most%20Recent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A1"/>
      <sheetName val="A2"/>
      <sheetName val="A3"/>
      <sheetName val="A4"/>
      <sheetName val="A5"/>
      <sheetName val="AK"/>
      <sheetName val="SID"/>
      <sheetName val="Math IIC Score Report - Default"/>
    </sheetNames>
    <sheetDataSet>
      <sheetData sheetId="0"/>
      <sheetData sheetId="1">
        <row r="1">
          <cell r="A1" t="str">
            <v>UID</v>
          </cell>
          <cell r="B1" t="str">
            <v>4-T1-11.22</v>
          </cell>
          <cell r="C1" t="str">
            <v>--</v>
          </cell>
          <cell r="D1" t="str">
            <v>--</v>
          </cell>
          <cell r="E1" t="str">
            <v>--</v>
          </cell>
          <cell r="F1" t="str">
            <v>--</v>
          </cell>
          <cell r="G1" t="str">
            <v>--</v>
          </cell>
          <cell r="H1" t="str">
            <v>--</v>
          </cell>
          <cell r="I1" t="str">
            <v>--</v>
          </cell>
          <cell r="J1" t="str">
            <v>--</v>
          </cell>
          <cell r="K1" t="str">
            <v>--</v>
          </cell>
          <cell r="L1" t="str">
            <v>--</v>
          </cell>
          <cell r="M1" t="str">
            <v>--</v>
          </cell>
          <cell r="N1" t="str">
            <v>--</v>
          </cell>
          <cell r="O1" t="str">
            <v>--</v>
          </cell>
          <cell r="P1" t="str">
            <v>--</v>
          </cell>
          <cell r="Q1" t="str">
            <v>--</v>
          </cell>
          <cell r="R1" t="str">
            <v>--</v>
          </cell>
          <cell r="S1" t="str">
            <v>--</v>
          </cell>
          <cell r="T1" t="str">
            <v>--</v>
          </cell>
          <cell r="U1" t="str">
            <v>--</v>
          </cell>
          <cell r="V1" t="str">
            <v>--</v>
          </cell>
          <cell r="W1" t="str">
            <v>--</v>
          </cell>
          <cell r="X1" t="str">
            <v>--</v>
          </cell>
          <cell r="Y1" t="str">
            <v>--</v>
          </cell>
          <cell r="Z1" t="str">
            <v>--</v>
          </cell>
          <cell r="AA1" t="str">
            <v>--</v>
          </cell>
          <cell r="AB1" t="str">
            <v>--</v>
          </cell>
          <cell r="AC1" t="str">
            <v>--</v>
          </cell>
          <cell r="AD1" t="str">
            <v>--</v>
          </cell>
          <cell r="AE1" t="str">
            <v>--</v>
          </cell>
          <cell r="AF1" t="str">
            <v>--</v>
          </cell>
          <cell r="AG1" t="str">
            <v>--</v>
          </cell>
          <cell r="AH1" t="str">
            <v>--</v>
          </cell>
          <cell r="AI1" t="str">
            <v>--</v>
          </cell>
          <cell r="AJ1" t="str">
            <v>--</v>
          </cell>
          <cell r="AK1" t="str">
            <v>--</v>
          </cell>
          <cell r="AL1" t="str">
            <v>--</v>
          </cell>
          <cell r="AM1" t="str">
            <v>--</v>
          </cell>
          <cell r="AN1" t="str">
            <v>--</v>
          </cell>
          <cell r="AO1" t="str">
            <v>--</v>
          </cell>
          <cell r="AP1" t="str">
            <v>--</v>
          </cell>
          <cell r="AQ1" t="str">
            <v>--</v>
          </cell>
          <cell r="AR1" t="str">
            <v>--</v>
          </cell>
          <cell r="AS1" t="str">
            <v>--</v>
          </cell>
          <cell r="AT1" t="str">
            <v>--</v>
          </cell>
          <cell r="AU1" t="str">
            <v>--</v>
          </cell>
          <cell r="AV1" t="str">
            <v>--</v>
          </cell>
          <cell r="AW1" t="str">
            <v>--</v>
          </cell>
          <cell r="AX1" t="str">
            <v>--</v>
          </cell>
          <cell r="AY1" t="str">
            <v>--</v>
          </cell>
          <cell r="AZ1" t="str">
            <v>--</v>
          </cell>
          <cell r="BA1" t="str">
            <v>--</v>
          </cell>
          <cell r="BB1" t="str">
            <v>--</v>
          </cell>
          <cell r="BC1" t="str">
            <v>--</v>
          </cell>
          <cell r="BD1" t="str">
            <v>--</v>
          </cell>
          <cell r="BE1" t="str">
            <v>--</v>
          </cell>
          <cell r="BF1" t="str">
            <v>--</v>
          </cell>
          <cell r="BG1" t="str">
            <v>--</v>
          </cell>
          <cell r="BH1" t="str">
            <v>--</v>
          </cell>
          <cell r="BI1" t="str">
            <v>--</v>
          </cell>
          <cell r="BJ1" t="str">
            <v>--</v>
          </cell>
          <cell r="BK1" t="str">
            <v>--</v>
          </cell>
          <cell r="BL1" t="str">
            <v>--</v>
          </cell>
          <cell r="BM1" t="str">
            <v>--</v>
          </cell>
          <cell r="BN1" t="str">
            <v>--</v>
          </cell>
          <cell r="BO1" t="str">
            <v>--</v>
          </cell>
          <cell r="BP1" t="str">
            <v>--</v>
          </cell>
          <cell r="BQ1" t="str">
            <v>--</v>
          </cell>
          <cell r="BR1" t="str">
            <v>--</v>
          </cell>
          <cell r="BS1" t="str">
            <v>--</v>
          </cell>
          <cell r="BT1" t="str">
            <v>--</v>
          </cell>
          <cell r="BU1" t="str">
            <v>--</v>
          </cell>
          <cell r="BV1" t="str">
            <v>--</v>
          </cell>
          <cell r="BW1" t="str">
            <v>--</v>
          </cell>
          <cell r="BX1" t="str">
            <v>--</v>
          </cell>
          <cell r="BY1" t="str">
            <v>--</v>
          </cell>
          <cell r="BZ1" t="str">
            <v>--</v>
          </cell>
          <cell r="CA1" t="str">
            <v>--</v>
          </cell>
          <cell r="CB1" t="str">
            <v>--</v>
          </cell>
          <cell r="CC1" t="str">
            <v>--</v>
          </cell>
          <cell r="CD1" t="str">
            <v>--</v>
          </cell>
          <cell r="CE1" t="str">
            <v>--</v>
          </cell>
          <cell r="CF1" t="str">
            <v>--</v>
          </cell>
          <cell r="CG1" t="str">
            <v>--</v>
          </cell>
          <cell r="CH1" t="str">
            <v>--</v>
          </cell>
          <cell r="CI1" t="str">
            <v>--</v>
          </cell>
          <cell r="CJ1" t="str">
            <v>--</v>
          </cell>
          <cell r="CK1" t="str">
            <v>--</v>
          </cell>
          <cell r="CL1" t="str">
            <v>--</v>
          </cell>
          <cell r="CM1" t="str">
            <v>--</v>
          </cell>
          <cell r="CN1" t="str">
            <v>--</v>
          </cell>
          <cell r="CO1" t="str">
            <v>--</v>
          </cell>
          <cell r="CP1" t="str">
            <v>--</v>
          </cell>
          <cell r="CQ1" t="str">
            <v>--</v>
          </cell>
          <cell r="CR1" t="str">
            <v>--</v>
          </cell>
          <cell r="CS1" t="str">
            <v>--</v>
          </cell>
          <cell r="CT1" t="str">
            <v>--</v>
          </cell>
          <cell r="CU1" t="str">
            <v>--</v>
          </cell>
          <cell r="CV1" t="str">
            <v>--</v>
          </cell>
          <cell r="CW1" t="str">
            <v>--</v>
          </cell>
          <cell r="CX1" t="str">
            <v>--</v>
          </cell>
          <cell r="CY1" t="str">
            <v>--</v>
          </cell>
          <cell r="CZ1" t="str">
            <v>--</v>
          </cell>
          <cell r="DA1" t="str">
            <v>--</v>
          </cell>
          <cell r="DB1" t="str">
            <v>--</v>
          </cell>
          <cell r="DC1" t="str">
            <v>--</v>
          </cell>
          <cell r="DD1" t="str">
            <v>--</v>
          </cell>
          <cell r="DE1" t="str">
            <v>--</v>
          </cell>
          <cell r="DF1" t="str">
            <v>--</v>
          </cell>
          <cell r="DG1" t="str">
            <v>--</v>
          </cell>
          <cell r="DH1" t="str">
            <v>--</v>
          </cell>
          <cell r="DI1" t="str">
            <v>--</v>
          </cell>
          <cell r="DJ1" t="str">
            <v>--</v>
          </cell>
          <cell r="DK1" t="str">
            <v>--</v>
          </cell>
          <cell r="DL1" t="str">
            <v>--</v>
          </cell>
          <cell r="DM1" t="str">
            <v>--</v>
          </cell>
          <cell r="DN1" t="str">
            <v>--</v>
          </cell>
          <cell r="DO1" t="str">
            <v>--</v>
          </cell>
          <cell r="DP1" t="str">
            <v>--</v>
          </cell>
          <cell r="DQ1" t="str">
            <v>--</v>
          </cell>
          <cell r="DR1" t="str">
            <v>--</v>
          </cell>
          <cell r="DS1" t="str">
            <v>--</v>
          </cell>
          <cell r="DT1" t="str">
            <v>--</v>
          </cell>
          <cell r="DU1" t="str">
            <v>--</v>
          </cell>
          <cell r="DV1" t="str">
            <v>--</v>
          </cell>
          <cell r="DW1" t="str">
            <v>--</v>
          </cell>
          <cell r="DX1" t="str">
            <v>--</v>
          </cell>
          <cell r="DY1" t="str">
            <v>--</v>
          </cell>
          <cell r="DZ1" t="str">
            <v>--</v>
          </cell>
          <cell r="EA1" t="str">
            <v>--</v>
          </cell>
          <cell r="EB1" t="str">
            <v>--</v>
          </cell>
          <cell r="EC1" t="str">
            <v>--</v>
          </cell>
          <cell r="ED1" t="str">
            <v>--</v>
          </cell>
          <cell r="EE1" t="str">
            <v>--</v>
          </cell>
          <cell r="EF1" t="str">
            <v>--</v>
          </cell>
          <cell r="EG1" t="str">
            <v>--</v>
          </cell>
          <cell r="EH1" t="str">
            <v>--</v>
          </cell>
          <cell r="EI1" t="str">
            <v>--</v>
          </cell>
          <cell r="EJ1" t="str">
            <v>--</v>
          </cell>
          <cell r="EK1" t="str">
            <v>--</v>
          </cell>
          <cell r="EL1" t="str">
            <v>--</v>
          </cell>
          <cell r="EM1" t="str">
            <v>--</v>
          </cell>
          <cell r="EN1" t="str">
            <v>--</v>
          </cell>
          <cell r="EO1" t="str">
            <v>--</v>
          </cell>
          <cell r="EP1" t="str">
            <v>--</v>
          </cell>
          <cell r="EQ1" t="str">
            <v>--</v>
          </cell>
          <cell r="ER1" t="str">
            <v>--</v>
          </cell>
          <cell r="ES1" t="str">
            <v>--</v>
          </cell>
          <cell r="ET1" t="str">
            <v>--</v>
          </cell>
          <cell r="EU1" t="str">
            <v>--</v>
          </cell>
          <cell r="EV1" t="str">
            <v>--</v>
          </cell>
          <cell r="EW1" t="str">
            <v>--</v>
          </cell>
          <cell r="EX1" t="str">
            <v>--</v>
          </cell>
          <cell r="EY1" t="str">
            <v>--</v>
          </cell>
          <cell r="EZ1" t="str">
            <v>--</v>
          </cell>
          <cell r="FA1" t="str">
            <v>--</v>
          </cell>
          <cell r="FB1" t="str">
            <v>--</v>
          </cell>
          <cell r="FC1" t="str">
            <v>--</v>
          </cell>
          <cell r="FD1" t="str">
            <v>--</v>
          </cell>
          <cell r="FE1" t="str">
            <v>--</v>
          </cell>
          <cell r="FF1" t="str">
            <v>--</v>
          </cell>
          <cell r="FG1" t="str">
            <v>--</v>
          </cell>
          <cell r="FH1" t="str">
            <v>--</v>
          </cell>
          <cell r="FI1" t="str">
            <v>--</v>
          </cell>
          <cell r="FJ1" t="str">
            <v>--</v>
          </cell>
          <cell r="FK1" t="str">
            <v>--</v>
          </cell>
          <cell r="FL1" t="str">
            <v>--</v>
          </cell>
          <cell r="FM1" t="str">
            <v>--</v>
          </cell>
          <cell r="FN1" t="str">
            <v>--</v>
          </cell>
          <cell r="FO1" t="str">
            <v>--</v>
          </cell>
          <cell r="FP1" t="str">
            <v>--</v>
          </cell>
          <cell r="FQ1" t="str">
            <v>--</v>
          </cell>
          <cell r="FR1" t="str">
            <v>--</v>
          </cell>
          <cell r="FS1" t="str">
            <v>--</v>
          </cell>
          <cell r="FT1" t="str">
            <v>--</v>
          </cell>
          <cell r="FU1" t="str">
            <v>--</v>
          </cell>
          <cell r="FV1" t="str">
            <v>--</v>
          </cell>
          <cell r="FW1" t="str">
            <v>--</v>
          </cell>
          <cell r="FX1" t="str">
            <v>--</v>
          </cell>
          <cell r="FY1" t="str">
            <v>--</v>
          </cell>
          <cell r="FZ1" t="str">
            <v>--</v>
          </cell>
          <cell r="GA1" t="str">
            <v>--</v>
          </cell>
          <cell r="GB1" t="str">
            <v>--</v>
          </cell>
          <cell r="GC1" t="str">
            <v>--</v>
          </cell>
          <cell r="GD1" t="str">
            <v>--</v>
          </cell>
          <cell r="GE1" t="str">
            <v>--</v>
          </cell>
          <cell r="GF1" t="str">
            <v>--</v>
          </cell>
          <cell r="GG1" t="str">
            <v>--</v>
          </cell>
          <cell r="GH1" t="str">
            <v>--</v>
          </cell>
          <cell r="GI1" t="str">
            <v>--</v>
          </cell>
          <cell r="GJ1" t="str">
            <v>--</v>
          </cell>
          <cell r="GK1" t="str">
            <v>--</v>
          </cell>
          <cell r="GL1" t="str">
            <v>--</v>
          </cell>
          <cell r="GM1" t="str">
            <v>--</v>
          </cell>
          <cell r="GN1" t="str">
            <v>--</v>
          </cell>
          <cell r="GO1" t="str">
            <v>--</v>
          </cell>
          <cell r="GP1" t="str">
            <v>--</v>
          </cell>
          <cell r="GQ1" t="str">
            <v>--</v>
          </cell>
          <cell r="GR1" t="str">
            <v>--</v>
          </cell>
          <cell r="GS1" t="str">
            <v>--</v>
          </cell>
          <cell r="GT1" t="str">
            <v>--</v>
          </cell>
          <cell r="GU1" t="str">
            <v>--</v>
          </cell>
          <cell r="GV1" t="str">
            <v>--</v>
          </cell>
          <cell r="GW1" t="str">
            <v>--</v>
          </cell>
          <cell r="GX1" t="str">
            <v>--</v>
          </cell>
          <cell r="GY1" t="str">
            <v>--</v>
          </cell>
          <cell r="GZ1" t="str">
            <v>--</v>
          </cell>
          <cell r="HA1" t="str">
            <v>--</v>
          </cell>
          <cell r="HB1" t="str">
            <v>--</v>
          </cell>
          <cell r="HC1" t="str">
            <v>--</v>
          </cell>
          <cell r="HD1" t="str">
            <v>--</v>
          </cell>
          <cell r="HE1" t="str">
            <v>--</v>
          </cell>
          <cell r="HF1" t="str">
            <v>--</v>
          </cell>
          <cell r="HG1" t="str">
            <v>--</v>
          </cell>
          <cell r="HH1" t="str">
            <v>--</v>
          </cell>
          <cell r="HI1" t="str">
            <v>--</v>
          </cell>
          <cell r="HJ1" t="str">
            <v>--</v>
          </cell>
          <cell r="HK1" t="str">
            <v>--</v>
          </cell>
          <cell r="HL1" t="str">
            <v>--</v>
          </cell>
          <cell r="HM1" t="str">
            <v>--</v>
          </cell>
          <cell r="HN1" t="str">
            <v>--</v>
          </cell>
          <cell r="HO1" t="str">
            <v>--</v>
          </cell>
          <cell r="HP1" t="str">
            <v>--</v>
          </cell>
          <cell r="HQ1" t="str">
            <v>--</v>
          </cell>
          <cell r="HR1" t="str">
            <v>--</v>
          </cell>
          <cell r="HS1" t="str">
            <v>--</v>
          </cell>
          <cell r="HT1" t="str">
            <v>--</v>
          </cell>
          <cell r="HU1" t="str">
            <v>--</v>
          </cell>
          <cell r="HV1" t="str">
            <v>--</v>
          </cell>
          <cell r="HW1" t="str">
            <v>--</v>
          </cell>
          <cell r="HX1" t="str">
            <v>--</v>
          </cell>
          <cell r="HY1" t="str">
            <v>--</v>
          </cell>
          <cell r="HZ1" t="str">
            <v>--</v>
          </cell>
          <cell r="IA1" t="str">
            <v>--</v>
          </cell>
          <cell r="IB1" t="str">
            <v>--</v>
          </cell>
          <cell r="IC1" t="str">
            <v>--</v>
          </cell>
          <cell r="ID1" t="str">
            <v>--</v>
          </cell>
          <cell r="IE1" t="str">
            <v>--</v>
          </cell>
          <cell r="IF1" t="str">
            <v>--</v>
          </cell>
          <cell r="IG1" t="str">
            <v>--</v>
          </cell>
          <cell r="IH1" t="str">
            <v>--</v>
          </cell>
          <cell r="II1" t="str">
            <v>--</v>
          </cell>
          <cell r="IJ1" t="str">
            <v>--</v>
          </cell>
          <cell r="IK1" t="str">
            <v>--</v>
          </cell>
          <cell r="IL1" t="str">
            <v>--</v>
          </cell>
          <cell r="IM1" t="str">
            <v>--</v>
          </cell>
          <cell r="IN1" t="str">
            <v>--</v>
          </cell>
          <cell r="IO1" t="str">
            <v>--</v>
          </cell>
          <cell r="IP1" t="str">
            <v>--</v>
          </cell>
          <cell r="IQ1" t="str">
            <v>--</v>
          </cell>
          <cell r="IR1" t="str">
            <v>--</v>
          </cell>
          <cell r="IS1" t="str">
            <v>--</v>
          </cell>
          <cell r="IT1" t="str">
            <v>--</v>
          </cell>
          <cell r="IU1" t="str">
            <v>--</v>
          </cell>
          <cell r="IV1" t="str">
            <v>--</v>
          </cell>
          <cell r="IW1" t="str">
            <v>--</v>
          </cell>
          <cell r="IX1" t="str">
            <v>--</v>
          </cell>
          <cell r="IY1" t="str">
            <v>--</v>
          </cell>
          <cell r="IZ1" t="str">
            <v>--</v>
          </cell>
          <cell r="JA1" t="str">
            <v>--</v>
          </cell>
          <cell r="JB1" t="str">
            <v>--</v>
          </cell>
          <cell r="JC1" t="str">
            <v>--</v>
          </cell>
          <cell r="JD1" t="str">
            <v>--</v>
          </cell>
          <cell r="JE1" t="str">
            <v>--</v>
          </cell>
          <cell r="JF1" t="str">
            <v>--</v>
          </cell>
          <cell r="JG1" t="str">
            <v>--</v>
          </cell>
          <cell r="JH1" t="str">
            <v>--</v>
          </cell>
          <cell r="JI1" t="str">
            <v>--</v>
          </cell>
          <cell r="JJ1" t="str">
            <v>--</v>
          </cell>
          <cell r="JK1" t="str">
            <v>--</v>
          </cell>
          <cell r="JL1" t="str">
            <v>--</v>
          </cell>
          <cell r="JM1" t="str">
            <v>--</v>
          </cell>
          <cell r="JN1" t="str">
            <v>--</v>
          </cell>
          <cell r="JO1" t="str">
            <v>--</v>
          </cell>
          <cell r="JP1" t="str">
            <v>--</v>
          </cell>
          <cell r="JQ1" t="str">
            <v>--</v>
          </cell>
          <cell r="JR1" t="str">
            <v>--</v>
          </cell>
          <cell r="JS1" t="str">
            <v>--</v>
          </cell>
          <cell r="JT1" t="str">
            <v>--</v>
          </cell>
          <cell r="JU1" t="str">
            <v>--</v>
          </cell>
          <cell r="JV1" t="str">
            <v>--</v>
          </cell>
          <cell r="JW1" t="str">
            <v>--</v>
          </cell>
          <cell r="JX1" t="str">
            <v>--</v>
          </cell>
          <cell r="JY1" t="str">
            <v>--</v>
          </cell>
          <cell r="JZ1" t="str">
            <v>--</v>
          </cell>
          <cell r="KA1" t="str">
            <v>--</v>
          </cell>
          <cell r="KB1" t="str">
            <v>--</v>
          </cell>
          <cell r="KC1" t="str">
            <v>--</v>
          </cell>
          <cell r="KD1" t="str">
            <v>--</v>
          </cell>
          <cell r="KE1" t="str">
            <v>--</v>
          </cell>
          <cell r="KF1" t="str">
            <v>--</v>
          </cell>
          <cell r="KG1" t="str">
            <v>--</v>
          </cell>
          <cell r="KH1" t="str">
            <v>--</v>
          </cell>
          <cell r="KI1" t="str">
            <v>--</v>
          </cell>
          <cell r="KJ1" t="str">
            <v>--</v>
          </cell>
          <cell r="KK1" t="str">
            <v>--</v>
          </cell>
          <cell r="KL1" t="str">
            <v>--</v>
          </cell>
          <cell r="KM1" t="str">
            <v>--</v>
          </cell>
          <cell r="KN1" t="str">
            <v>--</v>
          </cell>
          <cell r="KO1" t="str">
            <v>--</v>
          </cell>
          <cell r="KP1" t="str">
            <v>--</v>
          </cell>
          <cell r="KQ1" t="str">
            <v>--</v>
          </cell>
          <cell r="KR1" t="str">
            <v>--</v>
          </cell>
          <cell r="KS1" t="str">
            <v>--</v>
          </cell>
          <cell r="KT1" t="str">
            <v>--</v>
          </cell>
          <cell r="KU1" t="str">
            <v>--</v>
          </cell>
          <cell r="KV1" t="str">
            <v>--</v>
          </cell>
          <cell r="KW1" t="str">
            <v>--</v>
          </cell>
          <cell r="KX1" t="str">
            <v>--</v>
          </cell>
          <cell r="KY1" t="str">
            <v>--</v>
          </cell>
          <cell r="KZ1" t="str">
            <v>--</v>
          </cell>
          <cell r="LA1" t="str">
            <v>--</v>
          </cell>
          <cell r="LB1" t="str">
            <v>--</v>
          </cell>
          <cell r="LC1" t="str">
            <v>--</v>
          </cell>
          <cell r="LD1" t="str">
            <v>--</v>
          </cell>
          <cell r="LE1" t="str">
            <v>--</v>
          </cell>
          <cell r="LF1" t="str">
            <v>--</v>
          </cell>
          <cell r="LG1" t="str">
            <v>--</v>
          </cell>
          <cell r="LH1" t="str">
            <v>--</v>
          </cell>
          <cell r="LI1" t="str">
            <v>--</v>
          </cell>
          <cell r="LJ1" t="str">
            <v>--</v>
          </cell>
          <cell r="LK1" t="str">
            <v>--</v>
          </cell>
          <cell r="LL1" t="str">
            <v>--</v>
          </cell>
          <cell r="LM1" t="str">
            <v>--</v>
          </cell>
          <cell r="LN1" t="str">
            <v>--</v>
          </cell>
          <cell r="LO1" t="str">
            <v>--</v>
          </cell>
          <cell r="LP1" t="str">
            <v>--</v>
          </cell>
          <cell r="LQ1" t="str">
            <v>--</v>
          </cell>
          <cell r="LR1" t="str">
            <v>--</v>
          </cell>
          <cell r="LS1" t="str">
            <v>--</v>
          </cell>
          <cell r="LT1" t="str">
            <v>--</v>
          </cell>
          <cell r="LU1" t="str">
            <v>--</v>
          </cell>
          <cell r="LV1" t="str">
            <v>--</v>
          </cell>
          <cell r="LW1" t="str">
            <v>--</v>
          </cell>
          <cell r="LX1" t="str">
            <v>--</v>
          </cell>
          <cell r="LY1" t="str">
            <v>--</v>
          </cell>
          <cell r="LZ1" t="str">
            <v>--</v>
          </cell>
          <cell r="MA1" t="str">
            <v>--</v>
          </cell>
          <cell r="MB1" t="str">
            <v>--</v>
          </cell>
          <cell r="MC1" t="str">
            <v>--</v>
          </cell>
          <cell r="MD1" t="str">
            <v>--</v>
          </cell>
          <cell r="ME1" t="str">
            <v>--</v>
          </cell>
          <cell r="MF1" t="str">
            <v>--</v>
          </cell>
          <cell r="MG1" t="str">
            <v>--</v>
          </cell>
          <cell r="MH1" t="str">
            <v>--</v>
          </cell>
          <cell r="MI1" t="str">
            <v>--</v>
          </cell>
          <cell r="MJ1" t="str">
            <v>--</v>
          </cell>
          <cell r="MK1" t="str">
            <v>--</v>
          </cell>
          <cell r="ML1" t="str">
            <v>--</v>
          </cell>
          <cell r="MM1" t="str">
            <v>--</v>
          </cell>
          <cell r="MN1" t="str">
            <v>--</v>
          </cell>
          <cell r="MO1" t="str">
            <v>--</v>
          </cell>
          <cell r="MP1" t="str">
            <v>--</v>
          </cell>
          <cell r="MQ1" t="str">
            <v>--</v>
          </cell>
          <cell r="MR1" t="str">
            <v>--</v>
          </cell>
          <cell r="MS1" t="str">
            <v>--</v>
          </cell>
          <cell r="MT1" t="str">
            <v>--</v>
          </cell>
          <cell r="MU1" t="str">
            <v>--</v>
          </cell>
          <cell r="MV1" t="str">
            <v>--</v>
          </cell>
          <cell r="MW1" t="str">
            <v>--</v>
          </cell>
          <cell r="MX1" t="str">
            <v>--</v>
          </cell>
          <cell r="MY1" t="str">
            <v>--</v>
          </cell>
          <cell r="MZ1" t="str">
            <v>--</v>
          </cell>
          <cell r="NA1" t="str">
            <v>--</v>
          </cell>
          <cell r="NB1" t="str">
            <v>--</v>
          </cell>
          <cell r="NC1" t="str">
            <v>--</v>
          </cell>
          <cell r="ND1" t="str">
            <v>--</v>
          </cell>
          <cell r="NE1" t="str">
            <v>--</v>
          </cell>
          <cell r="NF1" t="str">
            <v>--</v>
          </cell>
          <cell r="NG1" t="str">
            <v>--</v>
          </cell>
          <cell r="NH1" t="str">
            <v>--</v>
          </cell>
          <cell r="NI1" t="str">
            <v>--</v>
          </cell>
          <cell r="NJ1" t="str">
            <v>--</v>
          </cell>
          <cell r="NK1" t="str">
            <v>--</v>
          </cell>
          <cell r="NL1" t="str">
            <v>--</v>
          </cell>
          <cell r="NM1" t="str">
            <v>--</v>
          </cell>
          <cell r="NN1" t="str">
            <v>--</v>
          </cell>
          <cell r="NO1" t="str">
            <v>--</v>
          </cell>
          <cell r="NP1" t="str">
            <v>--</v>
          </cell>
          <cell r="NQ1" t="str">
            <v>--</v>
          </cell>
          <cell r="NR1" t="str">
            <v>--</v>
          </cell>
          <cell r="NS1" t="str">
            <v>--</v>
          </cell>
          <cell r="NT1" t="str">
            <v>--</v>
          </cell>
          <cell r="NU1" t="str">
            <v>--</v>
          </cell>
          <cell r="NV1" t="str">
            <v>--</v>
          </cell>
          <cell r="NW1" t="str">
            <v>--</v>
          </cell>
          <cell r="NX1" t="str">
            <v>--</v>
          </cell>
          <cell r="NY1" t="str">
            <v>--</v>
          </cell>
          <cell r="NZ1" t="str">
            <v>--</v>
          </cell>
          <cell r="OA1" t="str">
            <v>--</v>
          </cell>
          <cell r="OB1" t="str">
            <v>--</v>
          </cell>
          <cell r="OC1" t="str">
            <v>--</v>
          </cell>
          <cell r="OD1" t="str">
            <v>--</v>
          </cell>
          <cell r="OE1" t="str">
            <v>--</v>
          </cell>
          <cell r="OF1" t="str">
            <v>--</v>
          </cell>
          <cell r="OG1" t="str">
            <v>--</v>
          </cell>
          <cell r="OH1" t="str">
            <v>--</v>
          </cell>
          <cell r="OI1" t="str">
            <v>--</v>
          </cell>
          <cell r="OJ1" t="str">
            <v>--</v>
          </cell>
          <cell r="OK1" t="str">
            <v>--</v>
          </cell>
          <cell r="OL1" t="str">
            <v>--</v>
          </cell>
          <cell r="OM1" t="str">
            <v>--</v>
          </cell>
          <cell r="ON1" t="str">
            <v>--</v>
          </cell>
          <cell r="OO1" t="str">
            <v>--</v>
          </cell>
          <cell r="OP1" t="str">
            <v>--</v>
          </cell>
          <cell r="OQ1" t="str">
            <v>--</v>
          </cell>
          <cell r="OR1" t="str">
            <v>--</v>
          </cell>
          <cell r="OS1" t="str">
            <v>--</v>
          </cell>
          <cell r="OT1" t="str">
            <v>--</v>
          </cell>
          <cell r="OU1" t="str">
            <v>--</v>
          </cell>
          <cell r="OV1" t="str">
            <v>--</v>
          </cell>
          <cell r="OW1" t="str">
            <v>--</v>
          </cell>
          <cell r="OX1" t="str">
            <v>--</v>
          </cell>
          <cell r="OY1" t="str">
            <v>--</v>
          </cell>
          <cell r="OZ1" t="str">
            <v>--</v>
          </cell>
          <cell r="PA1" t="str">
            <v>--</v>
          </cell>
          <cell r="PB1" t="str">
            <v>--</v>
          </cell>
          <cell r="PC1" t="str">
            <v>--</v>
          </cell>
          <cell r="PD1" t="str">
            <v>--</v>
          </cell>
          <cell r="PE1" t="str">
            <v>--</v>
          </cell>
          <cell r="PF1" t="str">
            <v>--</v>
          </cell>
          <cell r="PG1" t="str">
            <v>--</v>
          </cell>
          <cell r="PH1" t="str">
            <v>--</v>
          </cell>
          <cell r="PI1" t="str">
            <v>--</v>
          </cell>
          <cell r="PJ1" t="str">
            <v>--</v>
          </cell>
          <cell r="PK1" t="str">
            <v>--</v>
          </cell>
          <cell r="PL1" t="str">
            <v>--</v>
          </cell>
          <cell r="PM1" t="str">
            <v>--</v>
          </cell>
          <cell r="PN1" t="str">
            <v>--</v>
          </cell>
          <cell r="PO1" t="str">
            <v>--</v>
          </cell>
          <cell r="PP1" t="str">
            <v>--</v>
          </cell>
          <cell r="PQ1" t="str">
            <v>--</v>
          </cell>
          <cell r="PR1" t="str">
            <v>--</v>
          </cell>
          <cell r="PS1" t="str">
            <v>--</v>
          </cell>
          <cell r="PT1" t="str">
            <v>--</v>
          </cell>
          <cell r="PU1" t="str">
            <v>--</v>
          </cell>
          <cell r="PV1" t="str">
            <v>--</v>
          </cell>
          <cell r="PW1" t="str">
            <v>--</v>
          </cell>
          <cell r="PX1" t="str">
            <v>--</v>
          </cell>
          <cell r="PY1" t="str">
            <v>--</v>
          </cell>
          <cell r="PZ1" t="str">
            <v>--</v>
          </cell>
          <cell r="QA1" t="str">
            <v>--</v>
          </cell>
          <cell r="QB1" t="str">
            <v>--</v>
          </cell>
          <cell r="QC1" t="str">
            <v>--</v>
          </cell>
          <cell r="QD1" t="str">
            <v>--</v>
          </cell>
          <cell r="QE1" t="str">
            <v>--</v>
          </cell>
          <cell r="QF1" t="str">
            <v>--</v>
          </cell>
          <cell r="QG1" t="str">
            <v>--</v>
          </cell>
          <cell r="QH1" t="str">
            <v>--</v>
          </cell>
          <cell r="QI1" t="str">
            <v>--</v>
          </cell>
          <cell r="QJ1" t="str">
            <v>--</v>
          </cell>
          <cell r="QK1" t="str">
            <v>--</v>
          </cell>
          <cell r="QL1" t="str">
            <v>--</v>
          </cell>
          <cell r="QM1" t="str">
            <v>--</v>
          </cell>
          <cell r="QN1" t="str">
            <v>--</v>
          </cell>
          <cell r="QO1" t="str">
            <v>--</v>
          </cell>
          <cell r="QP1" t="str">
            <v>--</v>
          </cell>
          <cell r="QQ1" t="str">
            <v>--</v>
          </cell>
          <cell r="QR1" t="str">
            <v>--</v>
          </cell>
          <cell r="QS1" t="str">
            <v>--</v>
          </cell>
          <cell r="QT1" t="str">
            <v>--</v>
          </cell>
          <cell r="QU1" t="str">
            <v>--</v>
          </cell>
          <cell r="QV1" t="str">
            <v>--</v>
          </cell>
          <cell r="QW1" t="str">
            <v>--</v>
          </cell>
          <cell r="QX1" t="str">
            <v>--</v>
          </cell>
          <cell r="QY1" t="str">
            <v>--</v>
          </cell>
          <cell r="QZ1" t="str">
            <v>--</v>
          </cell>
          <cell r="RA1" t="str">
            <v>--</v>
          </cell>
          <cell r="RB1" t="str">
            <v>--</v>
          </cell>
          <cell r="RC1" t="str">
            <v>--</v>
          </cell>
          <cell r="RD1" t="str">
            <v>--</v>
          </cell>
          <cell r="RE1" t="str">
            <v>--</v>
          </cell>
          <cell r="RF1" t="str">
            <v>--</v>
          </cell>
          <cell r="RG1" t="str">
            <v>--</v>
          </cell>
          <cell r="RH1" t="str">
            <v>--</v>
          </cell>
          <cell r="RI1" t="str">
            <v>--</v>
          </cell>
          <cell r="RJ1" t="str">
            <v>--</v>
          </cell>
          <cell r="RK1" t="str">
            <v>--</v>
          </cell>
          <cell r="RL1" t="str">
            <v>--</v>
          </cell>
          <cell r="RM1" t="str">
            <v>--</v>
          </cell>
          <cell r="RN1" t="str">
            <v>--</v>
          </cell>
          <cell r="RO1" t="str">
            <v>--</v>
          </cell>
          <cell r="RP1" t="str">
            <v>--</v>
          </cell>
          <cell r="RQ1" t="str">
            <v>--</v>
          </cell>
          <cell r="RR1" t="str">
            <v>--</v>
          </cell>
          <cell r="RS1" t="str">
            <v>--</v>
          </cell>
          <cell r="RT1" t="str">
            <v>--</v>
          </cell>
          <cell r="RU1" t="str">
            <v>--</v>
          </cell>
          <cell r="RV1" t="str">
            <v>--</v>
          </cell>
          <cell r="RW1" t="str">
            <v>--</v>
          </cell>
          <cell r="RX1" t="str">
            <v>--</v>
          </cell>
          <cell r="RY1" t="str">
            <v>--</v>
          </cell>
          <cell r="RZ1" t="str">
            <v>--</v>
          </cell>
          <cell r="SA1" t="str">
            <v>--</v>
          </cell>
          <cell r="SB1" t="str">
            <v>--</v>
          </cell>
          <cell r="SC1" t="str">
            <v>--</v>
          </cell>
          <cell r="SD1" t="str">
            <v>--</v>
          </cell>
          <cell r="SE1" t="str">
            <v>--</v>
          </cell>
          <cell r="SF1" t="str">
            <v>--</v>
          </cell>
          <cell r="SG1" t="str">
            <v>--</v>
          </cell>
          <cell r="SH1" t="str">
            <v>--</v>
          </cell>
          <cell r="SI1" t="str">
            <v>--</v>
          </cell>
          <cell r="SJ1" t="str">
            <v>--</v>
          </cell>
          <cell r="SK1" t="str">
            <v>--</v>
          </cell>
          <cell r="SL1" t="str">
            <v>--</v>
          </cell>
          <cell r="SM1" t="str">
            <v>--</v>
          </cell>
          <cell r="SN1" t="str">
            <v>--</v>
          </cell>
          <cell r="SO1" t="str">
            <v>--</v>
          </cell>
          <cell r="SP1" t="str">
            <v>--</v>
          </cell>
          <cell r="SQ1" t="str">
            <v>--</v>
          </cell>
          <cell r="SR1" t="str">
            <v>--</v>
          </cell>
          <cell r="SS1" t="str">
            <v>--</v>
          </cell>
          <cell r="ST1" t="str">
            <v>--</v>
          </cell>
          <cell r="SU1" t="str">
            <v>--</v>
          </cell>
          <cell r="SV1" t="str">
            <v>--</v>
          </cell>
          <cell r="SW1" t="str">
            <v>--</v>
          </cell>
          <cell r="SX1" t="str">
            <v>--</v>
          </cell>
          <cell r="SY1" t="str">
            <v>--</v>
          </cell>
          <cell r="SZ1" t="str">
            <v>--</v>
          </cell>
          <cell r="TA1" t="str">
            <v>--</v>
          </cell>
          <cell r="TB1" t="str">
            <v>--</v>
          </cell>
          <cell r="TC1" t="str">
            <v>--</v>
          </cell>
          <cell r="TD1" t="str">
            <v>--</v>
          </cell>
          <cell r="TE1" t="str">
            <v>--</v>
          </cell>
          <cell r="TF1" t="str">
            <v>--</v>
          </cell>
          <cell r="TG1" t="str">
            <v>--</v>
          </cell>
          <cell r="TH1" t="str">
            <v>--</v>
          </cell>
          <cell r="TI1" t="str">
            <v>--</v>
          </cell>
          <cell r="TJ1" t="str">
            <v>--</v>
          </cell>
          <cell r="TK1" t="str">
            <v>--</v>
          </cell>
          <cell r="TL1" t="str">
            <v>--</v>
          </cell>
          <cell r="TM1" t="str">
            <v>--</v>
          </cell>
          <cell r="TN1" t="str">
            <v>--</v>
          </cell>
          <cell r="TO1" t="str">
            <v>--</v>
          </cell>
          <cell r="TP1" t="str">
            <v>--</v>
          </cell>
          <cell r="TQ1" t="str">
            <v>--</v>
          </cell>
          <cell r="TR1" t="str">
            <v>--</v>
          </cell>
          <cell r="TS1" t="str">
            <v>--</v>
          </cell>
          <cell r="TT1" t="str">
            <v>--</v>
          </cell>
          <cell r="TU1" t="str">
            <v>--</v>
          </cell>
          <cell r="TV1" t="str">
            <v>--</v>
          </cell>
          <cell r="TW1" t="str">
            <v>--</v>
          </cell>
          <cell r="TX1" t="str">
            <v>--</v>
          </cell>
          <cell r="TY1" t="str">
            <v>--</v>
          </cell>
          <cell r="TZ1" t="str">
            <v>--</v>
          </cell>
          <cell r="UA1" t="str">
            <v>--</v>
          </cell>
          <cell r="UB1" t="str">
            <v>--</v>
          </cell>
          <cell r="UC1" t="str">
            <v>--</v>
          </cell>
          <cell r="UD1" t="str">
            <v>--</v>
          </cell>
          <cell r="UE1" t="str">
            <v>--</v>
          </cell>
          <cell r="UF1" t="str">
            <v>--</v>
          </cell>
          <cell r="UG1" t="str">
            <v>--</v>
          </cell>
          <cell r="UH1" t="str">
            <v>--</v>
          </cell>
          <cell r="UI1" t="str">
            <v>--</v>
          </cell>
          <cell r="UJ1" t="str">
            <v>--</v>
          </cell>
          <cell r="UK1" t="str">
            <v>--</v>
          </cell>
          <cell r="UL1" t="str">
            <v>--</v>
          </cell>
          <cell r="UM1" t="str">
            <v>--</v>
          </cell>
          <cell r="UN1" t="str">
            <v>--</v>
          </cell>
          <cell r="UO1" t="str">
            <v>--</v>
          </cell>
          <cell r="UP1" t="str">
            <v>--</v>
          </cell>
          <cell r="UQ1" t="str">
            <v>--</v>
          </cell>
          <cell r="UR1" t="str">
            <v>--</v>
          </cell>
          <cell r="US1" t="str">
            <v>--</v>
          </cell>
          <cell r="UT1" t="str">
            <v>--</v>
          </cell>
          <cell r="UU1" t="str">
            <v>--</v>
          </cell>
          <cell r="UV1" t="str">
            <v>--</v>
          </cell>
          <cell r="UW1" t="str">
            <v>--</v>
          </cell>
          <cell r="UX1" t="str">
            <v>--</v>
          </cell>
          <cell r="UY1" t="str">
            <v>--</v>
          </cell>
          <cell r="UZ1" t="str">
            <v>--</v>
          </cell>
          <cell r="VA1" t="str">
            <v>--</v>
          </cell>
          <cell r="VB1" t="str">
            <v>--</v>
          </cell>
          <cell r="VC1" t="str">
            <v>--</v>
          </cell>
          <cell r="VD1" t="str">
            <v>--</v>
          </cell>
          <cell r="VE1" t="str">
            <v>--</v>
          </cell>
          <cell r="VF1" t="str">
            <v>--</v>
          </cell>
          <cell r="VG1" t="str">
            <v>--</v>
          </cell>
          <cell r="VH1" t="str">
            <v>--</v>
          </cell>
          <cell r="VI1" t="str">
            <v>--</v>
          </cell>
          <cell r="VJ1" t="str">
            <v>--</v>
          </cell>
          <cell r="VK1" t="str">
            <v>--</v>
          </cell>
          <cell r="VL1" t="str">
            <v>--</v>
          </cell>
          <cell r="VM1" t="str">
            <v>--</v>
          </cell>
          <cell r="VN1" t="str">
            <v>--</v>
          </cell>
          <cell r="VO1" t="str">
            <v>--</v>
          </cell>
          <cell r="VP1" t="str">
            <v>--</v>
          </cell>
          <cell r="VQ1" t="str">
            <v>--</v>
          </cell>
          <cell r="VR1" t="str">
            <v>--</v>
          </cell>
          <cell r="VS1" t="str">
            <v>--</v>
          </cell>
          <cell r="VT1" t="str">
            <v>--</v>
          </cell>
          <cell r="VU1" t="str">
            <v>--</v>
          </cell>
          <cell r="VV1" t="str">
            <v>--</v>
          </cell>
          <cell r="VW1" t="str">
            <v>--</v>
          </cell>
          <cell r="VX1" t="str">
            <v>--</v>
          </cell>
          <cell r="VY1" t="str">
            <v>--</v>
          </cell>
          <cell r="VZ1" t="str">
            <v>--</v>
          </cell>
          <cell r="WA1" t="str">
            <v>--</v>
          </cell>
          <cell r="WB1" t="str">
            <v>--</v>
          </cell>
          <cell r="WC1" t="str">
            <v>--</v>
          </cell>
          <cell r="WD1" t="str">
            <v>--</v>
          </cell>
          <cell r="WE1" t="str">
            <v>--</v>
          </cell>
          <cell r="WF1" t="str">
            <v>--</v>
          </cell>
          <cell r="WG1" t="str">
            <v>--</v>
          </cell>
          <cell r="WH1" t="str">
            <v>--</v>
          </cell>
          <cell r="WI1" t="str">
            <v>--</v>
          </cell>
          <cell r="WJ1" t="str">
            <v>--</v>
          </cell>
          <cell r="WK1" t="str">
            <v>--</v>
          </cell>
          <cell r="WL1" t="str">
            <v>--</v>
          </cell>
          <cell r="WM1" t="str">
            <v>--</v>
          </cell>
          <cell r="WN1" t="str">
            <v>--</v>
          </cell>
          <cell r="WO1" t="str">
            <v>--</v>
          </cell>
          <cell r="WP1" t="str">
            <v>--</v>
          </cell>
          <cell r="WQ1" t="str">
            <v>--</v>
          </cell>
          <cell r="WR1" t="str">
            <v>--</v>
          </cell>
          <cell r="WS1" t="str">
            <v>--</v>
          </cell>
          <cell r="WT1" t="str">
            <v>--</v>
          </cell>
          <cell r="WU1" t="str">
            <v>--</v>
          </cell>
          <cell r="WV1" t="str">
            <v>--</v>
          </cell>
          <cell r="WW1" t="str">
            <v>--</v>
          </cell>
          <cell r="WX1" t="str">
            <v>--</v>
          </cell>
          <cell r="WY1" t="str">
            <v>--</v>
          </cell>
          <cell r="WZ1" t="str">
            <v>--</v>
          </cell>
          <cell r="XA1" t="str">
            <v>--</v>
          </cell>
          <cell r="XB1" t="str">
            <v>--</v>
          </cell>
          <cell r="XC1" t="str">
            <v>--</v>
          </cell>
          <cell r="XD1" t="str">
            <v>--</v>
          </cell>
          <cell r="XE1" t="str">
            <v>--</v>
          </cell>
          <cell r="XF1" t="str">
            <v>--</v>
          </cell>
          <cell r="XG1" t="str">
            <v>--</v>
          </cell>
          <cell r="XH1" t="str">
            <v>--</v>
          </cell>
          <cell r="XI1" t="str">
            <v>--</v>
          </cell>
          <cell r="XJ1" t="str">
            <v>--</v>
          </cell>
          <cell r="XK1" t="str">
            <v>--</v>
          </cell>
          <cell r="XL1" t="str">
            <v>--</v>
          </cell>
          <cell r="XM1" t="str">
            <v>--</v>
          </cell>
          <cell r="XN1" t="str">
            <v>--</v>
          </cell>
          <cell r="XO1" t="str">
            <v>--</v>
          </cell>
          <cell r="XP1" t="str">
            <v>--</v>
          </cell>
          <cell r="XQ1" t="str">
            <v>--</v>
          </cell>
          <cell r="XR1" t="str">
            <v>--</v>
          </cell>
          <cell r="XS1" t="str">
            <v>--</v>
          </cell>
          <cell r="XT1" t="str">
            <v>--</v>
          </cell>
          <cell r="XU1" t="str">
            <v>--</v>
          </cell>
          <cell r="XV1" t="str">
            <v>--</v>
          </cell>
          <cell r="XW1" t="str">
            <v>--</v>
          </cell>
          <cell r="XX1" t="str">
            <v>--</v>
          </cell>
          <cell r="XY1" t="str">
            <v>--</v>
          </cell>
          <cell r="XZ1" t="str">
            <v>--</v>
          </cell>
          <cell r="YA1" t="str">
            <v>--</v>
          </cell>
          <cell r="YB1" t="str">
            <v>--</v>
          </cell>
          <cell r="YC1" t="str">
            <v>--</v>
          </cell>
          <cell r="YD1" t="str">
            <v>--</v>
          </cell>
          <cell r="YE1" t="str">
            <v>--</v>
          </cell>
          <cell r="YF1" t="str">
            <v>--</v>
          </cell>
          <cell r="YG1" t="str">
            <v>--</v>
          </cell>
          <cell r="YH1" t="str">
            <v>--</v>
          </cell>
          <cell r="YI1" t="str">
            <v>--</v>
          </cell>
          <cell r="YJ1" t="str">
            <v>--</v>
          </cell>
          <cell r="YK1" t="str">
            <v>--</v>
          </cell>
          <cell r="YL1" t="str">
            <v>--</v>
          </cell>
          <cell r="YM1" t="str">
            <v>--</v>
          </cell>
          <cell r="YN1" t="str">
            <v>--</v>
          </cell>
          <cell r="YO1" t="str">
            <v>--</v>
          </cell>
          <cell r="YP1" t="str">
            <v>--</v>
          </cell>
          <cell r="YQ1" t="str">
            <v>--</v>
          </cell>
          <cell r="YR1" t="str">
            <v>--</v>
          </cell>
          <cell r="YS1" t="str">
            <v>--</v>
          </cell>
          <cell r="YT1" t="str">
            <v>--</v>
          </cell>
          <cell r="YU1" t="str">
            <v>--</v>
          </cell>
          <cell r="YV1" t="str">
            <v>--</v>
          </cell>
          <cell r="YW1" t="str">
            <v>--</v>
          </cell>
          <cell r="YX1" t="str">
            <v>--</v>
          </cell>
          <cell r="YY1" t="str">
            <v>--</v>
          </cell>
          <cell r="YZ1" t="str">
            <v>--</v>
          </cell>
          <cell r="ZA1" t="str">
            <v>--</v>
          </cell>
          <cell r="ZB1" t="str">
            <v>--</v>
          </cell>
          <cell r="ZC1" t="str">
            <v>--</v>
          </cell>
          <cell r="ZD1" t="str">
            <v>--</v>
          </cell>
          <cell r="ZE1" t="str">
            <v>--</v>
          </cell>
          <cell r="ZF1" t="str">
            <v>--</v>
          </cell>
          <cell r="ZG1" t="str">
            <v>--</v>
          </cell>
          <cell r="ZH1" t="str">
            <v>--</v>
          </cell>
          <cell r="ZI1" t="str">
            <v>--</v>
          </cell>
          <cell r="ZJ1" t="str">
            <v>--</v>
          </cell>
          <cell r="ZK1" t="str">
            <v>--</v>
          </cell>
          <cell r="ZL1" t="str">
            <v>--</v>
          </cell>
          <cell r="ZM1" t="str">
            <v>--</v>
          </cell>
          <cell r="ZN1" t="str">
            <v>--</v>
          </cell>
          <cell r="ZO1" t="str">
            <v>--</v>
          </cell>
          <cell r="ZP1" t="str">
            <v>--</v>
          </cell>
          <cell r="ZQ1" t="str">
            <v>--</v>
          </cell>
          <cell r="ZR1" t="str">
            <v>--</v>
          </cell>
          <cell r="ZS1" t="str">
            <v>--</v>
          </cell>
          <cell r="ZT1" t="str">
            <v>--</v>
          </cell>
          <cell r="ZU1" t="str">
            <v>--</v>
          </cell>
          <cell r="ZV1" t="str">
            <v>--</v>
          </cell>
          <cell r="ZW1" t="str">
            <v>--</v>
          </cell>
          <cell r="ZX1" t="str">
            <v>--</v>
          </cell>
          <cell r="ZY1" t="str">
            <v>--</v>
          </cell>
          <cell r="ZZ1" t="str">
            <v>--</v>
          </cell>
          <cell r="AAA1" t="str">
            <v>--</v>
          </cell>
          <cell r="AAB1" t="str">
            <v>--</v>
          </cell>
          <cell r="AAC1" t="str">
            <v>--</v>
          </cell>
          <cell r="AAD1" t="str">
            <v>--</v>
          </cell>
          <cell r="AAE1" t="str">
            <v>--</v>
          </cell>
          <cell r="AAF1" t="str">
            <v>--</v>
          </cell>
          <cell r="AAG1" t="str">
            <v>--</v>
          </cell>
          <cell r="AAH1" t="str">
            <v>--</v>
          </cell>
          <cell r="AAI1" t="str">
            <v>--</v>
          </cell>
          <cell r="AAJ1" t="str">
            <v>--</v>
          </cell>
          <cell r="AAK1" t="str">
            <v>--</v>
          </cell>
          <cell r="AAL1" t="str">
            <v>--</v>
          </cell>
          <cell r="AAM1" t="str">
            <v>--</v>
          </cell>
          <cell r="AAN1" t="str">
            <v>--</v>
          </cell>
          <cell r="AAO1" t="str">
            <v>--</v>
          </cell>
          <cell r="AAP1" t="str">
            <v>--</v>
          </cell>
          <cell r="AAQ1" t="str">
            <v>--</v>
          </cell>
          <cell r="AAR1" t="str">
            <v>--</v>
          </cell>
          <cell r="AAS1" t="str">
            <v>--</v>
          </cell>
          <cell r="AAT1" t="str">
            <v>--</v>
          </cell>
          <cell r="AAU1" t="str">
            <v>--</v>
          </cell>
          <cell r="AAV1" t="str">
            <v>--</v>
          </cell>
          <cell r="AAW1" t="str">
            <v>--</v>
          </cell>
          <cell r="AAX1" t="str">
            <v>--</v>
          </cell>
          <cell r="AAY1" t="str">
            <v>--</v>
          </cell>
          <cell r="AAZ1" t="str">
            <v>--</v>
          </cell>
          <cell r="ABA1" t="str">
            <v>--</v>
          </cell>
          <cell r="ABB1" t="str">
            <v>--</v>
          </cell>
          <cell r="ABC1" t="str">
            <v>--</v>
          </cell>
          <cell r="ABD1" t="str">
            <v>--</v>
          </cell>
          <cell r="ABE1" t="str">
            <v>--</v>
          </cell>
          <cell r="ABF1" t="str">
            <v>--</v>
          </cell>
          <cell r="ABG1" t="str">
            <v>--</v>
          </cell>
          <cell r="ABH1" t="str">
            <v>--</v>
          </cell>
          <cell r="ABI1" t="str">
            <v>--</v>
          </cell>
          <cell r="ABJ1" t="str">
            <v>--</v>
          </cell>
          <cell r="ABK1" t="str">
            <v>--</v>
          </cell>
          <cell r="ABL1" t="str">
            <v>--</v>
          </cell>
          <cell r="ABM1" t="str">
            <v>--</v>
          </cell>
          <cell r="ABN1" t="str">
            <v>--</v>
          </cell>
          <cell r="ABO1" t="str">
            <v>--</v>
          </cell>
          <cell r="ABP1" t="str">
            <v>--</v>
          </cell>
          <cell r="ABQ1" t="str">
            <v>--</v>
          </cell>
          <cell r="ABR1" t="str">
            <v>--</v>
          </cell>
          <cell r="ABS1" t="str">
            <v>--</v>
          </cell>
          <cell r="ABT1" t="str">
            <v>--</v>
          </cell>
          <cell r="ABU1" t="str">
            <v>--</v>
          </cell>
          <cell r="ABV1" t="str">
            <v>--</v>
          </cell>
          <cell r="ABW1" t="str">
            <v>--</v>
          </cell>
          <cell r="ABX1" t="str">
            <v>--</v>
          </cell>
          <cell r="ABY1" t="str">
            <v>--</v>
          </cell>
          <cell r="ABZ1" t="str">
            <v>--</v>
          </cell>
          <cell r="ACA1" t="str">
            <v>--</v>
          </cell>
          <cell r="ACB1" t="str">
            <v>--</v>
          </cell>
          <cell r="ACC1" t="str">
            <v>--</v>
          </cell>
          <cell r="ACD1" t="str">
            <v>--</v>
          </cell>
          <cell r="ACE1" t="str">
            <v>--</v>
          </cell>
          <cell r="ACF1" t="str">
            <v>--</v>
          </cell>
          <cell r="ACG1" t="str">
            <v>--</v>
          </cell>
          <cell r="ACH1" t="str">
            <v>--</v>
          </cell>
          <cell r="ACI1" t="str">
            <v>--</v>
          </cell>
          <cell r="ACJ1" t="str">
            <v>--</v>
          </cell>
          <cell r="ACK1" t="str">
            <v>--</v>
          </cell>
          <cell r="ACL1" t="str">
            <v>--</v>
          </cell>
          <cell r="ACM1" t="str">
            <v>--</v>
          </cell>
          <cell r="ACN1" t="str">
            <v>--</v>
          </cell>
          <cell r="ACO1" t="str">
            <v>--</v>
          </cell>
          <cell r="ACP1" t="str">
            <v>--</v>
          </cell>
          <cell r="ACQ1" t="str">
            <v>--</v>
          </cell>
          <cell r="ACR1" t="str">
            <v>--</v>
          </cell>
          <cell r="ACS1" t="str">
            <v>--</v>
          </cell>
          <cell r="ACT1" t="str">
            <v>--</v>
          </cell>
          <cell r="ACU1" t="str">
            <v>--</v>
          </cell>
          <cell r="ACV1" t="str">
            <v>--</v>
          </cell>
          <cell r="ACW1" t="str">
            <v>--</v>
          </cell>
          <cell r="ACX1" t="str">
            <v>--</v>
          </cell>
          <cell r="ACY1" t="str">
            <v>--</v>
          </cell>
          <cell r="ACZ1" t="str">
            <v>--</v>
          </cell>
          <cell r="ADA1" t="str">
            <v>--</v>
          </cell>
          <cell r="ADB1" t="str">
            <v>--</v>
          </cell>
          <cell r="ADC1" t="str">
            <v>--</v>
          </cell>
          <cell r="ADD1" t="str">
            <v>--</v>
          </cell>
          <cell r="ADE1" t="str">
            <v>--</v>
          </cell>
          <cell r="ADF1" t="str">
            <v>--</v>
          </cell>
          <cell r="ADG1" t="str">
            <v>--</v>
          </cell>
          <cell r="ADH1" t="str">
            <v>--</v>
          </cell>
          <cell r="ADI1" t="str">
            <v>--</v>
          </cell>
          <cell r="ADJ1" t="str">
            <v>--</v>
          </cell>
          <cell r="ADK1" t="str">
            <v>--</v>
          </cell>
          <cell r="ADL1" t="str">
            <v>--</v>
          </cell>
          <cell r="ADM1" t="str">
            <v>--</v>
          </cell>
          <cell r="ADN1" t="str">
            <v>--</v>
          </cell>
          <cell r="ADO1" t="str">
            <v>--</v>
          </cell>
          <cell r="ADP1" t="str">
            <v>--</v>
          </cell>
          <cell r="ADQ1" t="str">
            <v>--</v>
          </cell>
          <cell r="ADR1" t="str">
            <v>--</v>
          </cell>
          <cell r="ADS1" t="str">
            <v>--</v>
          </cell>
          <cell r="ADT1" t="str">
            <v>--</v>
          </cell>
          <cell r="ADU1" t="str">
            <v>--</v>
          </cell>
          <cell r="ADV1" t="str">
            <v>--</v>
          </cell>
          <cell r="ADW1" t="str">
            <v>--</v>
          </cell>
          <cell r="ADX1" t="str">
            <v>--</v>
          </cell>
          <cell r="ADY1" t="str">
            <v>--</v>
          </cell>
          <cell r="ADZ1" t="str">
            <v>--</v>
          </cell>
          <cell r="AEA1" t="str">
            <v>--</v>
          </cell>
          <cell r="AEB1" t="str">
            <v>--</v>
          </cell>
          <cell r="AEC1" t="str">
            <v>--</v>
          </cell>
          <cell r="AED1" t="str">
            <v>--</v>
          </cell>
          <cell r="AEE1" t="str">
            <v>--</v>
          </cell>
          <cell r="AEF1" t="str">
            <v>--</v>
          </cell>
          <cell r="AEG1" t="str">
            <v>--</v>
          </cell>
          <cell r="AEH1" t="str">
            <v>--</v>
          </cell>
          <cell r="AEI1" t="str">
            <v>--</v>
          </cell>
          <cell r="AEJ1" t="str">
            <v>--</v>
          </cell>
          <cell r="AEK1" t="str">
            <v>--</v>
          </cell>
          <cell r="AEL1" t="str">
            <v>--</v>
          </cell>
          <cell r="AEM1" t="str">
            <v>--</v>
          </cell>
          <cell r="AEN1" t="str">
            <v>--</v>
          </cell>
          <cell r="AEO1" t="str">
            <v>--</v>
          </cell>
          <cell r="AEP1" t="str">
            <v>--</v>
          </cell>
          <cell r="AEQ1" t="str">
            <v>--</v>
          </cell>
          <cell r="AER1" t="str">
            <v>--</v>
          </cell>
          <cell r="AES1" t="str">
            <v>--</v>
          </cell>
          <cell r="AET1" t="str">
            <v>--</v>
          </cell>
          <cell r="AEU1" t="str">
            <v>--</v>
          </cell>
          <cell r="AEV1" t="str">
            <v>--</v>
          </cell>
          <cell r="AEW1" t="str">
            <v>--</v>
          </cell>
          <cell r="AEX1" t="str">
            <v>--</v>
          </cell>
          <cell r="AEY1" t="str">
            <v>--</v>
          </cell>
          <cell r="AEZ1" t="str">
            <v>--</v>
          </cell>
          <cell r="AFA1" t="str">
            <v>--</v>
          </cell>
          <cell r="AFB1" t="str">
            <v>--</v>
          </cell>
          <cell r="AFC1" t="str">
            <v>--</v>
          </cell>
          <cell r="AFD1" t="str">
            <v>--</v>
          </cell>
          <cell r="AFE1" t="str">
            <v>--</v>
          </cell>
          <cell r="AFF1" t="str">
            <v>--</v>
          </cell>
          <cell r="AFG1" t="str">
            <v>--</v>
          </cell>
          <cell r="AFH1" t="str">
            <v>--</v>
          </cell>
          <cell r="AFI1" t="str">
            <v>--</v>
          </cell>
          <cell r="AFJ1" t="str">
            <v>--</v>
          </cell>
          <cell r="AFK1" t="str">
            <v>--</v>
          </cell>
          <cell r="AFL1" t="str">
            <v>--</v>
          </cell>
          <cell r="AFM1" t="str">
            <v>--</v>
          </cell>
          <cell r="AFN1" t="str">
            <v>--</v>
          </cell>
          <cell r="AFO1" t="str">
            <v>--</v>
          </cell>
          <cell r="AFP1" t="str">
            <v>--</v>
          </cell>
          <cell r="AFQ1" t="str">
            <v>--</v>
          </cell>
          <cell r="AFR1" t="str">
            <v>--</v>
          </cell>
          <cell r="AFS1" t="str">
            <v>--</v>
          </cell>
          <cell r="AFT1" t="str">
            <v>--</v>
          </cell>
          <cell r="AFU1" t="str">
            <v>--</v>
          </cell>
          <cell r="AFV1" t="str">
            <v>--</v>
          </cell>
          <cell r="AFW1" t="str">
            <v>--</v>
          </cell>
          <cell r="AFX1" t="str">
            <v>--</v>
          </cell>
          <cell r="AFY1" t="str">
            <v>--</v>
          </cell>
          <cell r="AFZ1" t="str">
            <v>--</v>
          </cell>
          <cell r="AGA1" t="str">
            <v>--</v>
          </cell>
          <cell r="AGB1" t="str">
            <v>--</v>
          </cell>
          <cell r="AGC1" t="str">
            <v>--</v>
          </cell>
          <cell r="AGD1" t="str">
            <v>--</v>
          </cell>
          <cell r="AGE1" t="str">
            <v>--</v>
          </cell>
          <cell r="AGF1" t="str">
            <v>--</v>
          </cell>
          <cell r="AGG1" t="str">
            <v>--</v>
          </cell>
          <cell r="AGH1" t="str">
            <v>--</v>
          </cell>
          <cell r="AGI1" t="str">
            <v>--</v>
          </cell>
          <cell r="AGJ1" t="str">
            <v>--</v>
          </cell>
          <cell r="AGK1" t="str">
            <v>--</v>
          </cell>
          <cell r="AGL1" t="str">
            <v>--</v>
          </cell>
          <cell r="AGM1" t="str">
            <v>--</v>
          </cell>
          <cell r="AGN1" t="str">
            <v>--</v>
          </cell>
          <cell r="AGO1" t="str">
            <v>--</v>
          </cell>
          <cell r="AGP1" t="str">
            <v>--</v>
          </cell>
          <cell r="AGQ1" t="str">
            <v>--</v>
          </cell>
          <cell r="AGR1" t="str">
            <v>--</v>
          </cell>
          <cell r="AGS1" t="str">
            <v>--</v>
          </cell>
          <cell r="AGT1" t="str">
            <v>--</v>
          </cell>
          <cell r="AGU1" t="str">
            <v>--</v>
          </cell>
          <cell r="AGV1" t="str">
            <v>--</v>
          </cell>
          <cell r="AGW1" t="str">
            <v>--</v>
          </cell>
          <cell r="AGX1" t="str">
            <v>--</v>
          </cell>
          <cell r="AGY1" t="str">
            <v>--</v>
          </cell>
          <cell r="AGZ1" t="str">
            <v>--</v>
          </cell>
          <cell r="AHA1" t="str">
            <v>--</v>
          </cell>
          <cell r="AHB1" t="str">
            <v>--</v>
          </cell>
          <cell r="AHC1" t="str">
            <v>--</v>
          </cell>
          <cell r="AHD1" t="str">
            <v>--</v>
          </cell>
          <cell r="AHE1" t="str">
            <v>--</v>
          </cell>
          <cell r="AHF1" t="str">
            <v>--</v>
          </cell>
          <cell r="AHG1" t="str">
            <v>--</v>
          </cell>
          <cell r="AHH1" t="str">
            <v>--</v>
          </cell>
          <cell r="AHI1" t="str">
            <v>--</v>
          </cell>
          <cell r="AHJ1" t="str">
            <v>--</v>
          </cell>
          <cell r="AHK1" t="str">
            <v>--</v>
          </cell>
          <cell r="AHL1" t="str">
            <v>--</v>
          </cell>
          <cell r="AHM1" t="str">
            <v>--</v>
          </cell>
          <cell r="AHN1" t="str">
            <v>--</v>
          </cell>
          <cell r="AHO1" t="str">
            <v>--</v>
          </cell>
          <cell r="AHP1" t="str">
            <v>--</v>
          </cell>
          <cell r="AHQ1" t="str">
            <v>--</v>
          </cell>
          <cell r="AHR1" t="str">
            <v>--</v>
          </cell>
          <cell r="AHS1" t="str">
            <v>--</v>
          </cell>
          <cell r="AHT1" t="str">
            <v>--</v>
          </cell>
          <cell r="AHU1" t="str">
            <v>--</v>
          </cell>
          <cell r="AHV1" t="str">
            <v>--</v>
          </cell>
          <cell r="AHW1" t="str">
            <v>--</v>
          </cell>
          <cell r="AHX1" t="str">
            <v>--</v>
          </cell>
          <cell r="AHY1" t="str">
            <v>--</v>
          </cell>
          <cell r="AHZ1" t="str">
            <v>--</v>
          </cell>
          <cell r="AIA1" t="str">
            <v>--</v>
          </cell>
          <cell r="AIB1" t="str">
            <v>--</v>
          </cell>
          <cell r="AIC1" t="str">
            <v>--</v>
          </cell>
          <cell r="AID1" t="str">
            <v>--</v>
          </cell>
          <cell r="AIE1" t="str">
            <v>--</v>
          </cell>
          <cell r="AIF1" t="str">
            <v>--</v>
          </cell>
          <cell r="AIG1" t="str">
            <v>--</v>
          </cell>
          <cell r="AIH1" t="str">
            <v>--</v>
          </cell>
          <cell r="AII1" t="str">
            <v>--</v>
          </cell>
          <cell r="AIJ1" t="str">
            <v>--</v>
          </cell>
          <cell r="AIK1" t="str">
            <v>--</v>
          </cell>
          <cell r="AIL1" t="str">
            <v>--</v>
          </cell>
          <cell r="AIM1" t="str">
            <v>--</v>
          </cell>
          <cell r="AIN1" t="str">
            <v>--</v>
          </cell>
          <cell r="AIO1" t="str">
            <v>--</v>
          </cell>
          <cell r="AIP1" t="str">
            <v>--</v>
          </cell>
          <cell r="AIQ1" t="str">
            <v>--</v>
          </cell>
          <cell r="AIR1" t="str">
            <v>--</v>
          </cell>
          <cell r="AIS1" t="str">
            <v>--</v>
          </cell>
          <cell r="AIT1" t="str">
            <v>--</v>
          </cell>
          <cell r="AIU1" t="str">
            <v>--</v>
          </cell>
          <cell r="AIV1" t="str">
            <v>--</v>
          </cell>
          <cell r="AIW1" t="str">
            <v>--</v>
          </cell>
          <cell r="AIX1" t="str">
            <v>--</v>
          </cell>
          <cell r="AIY1" t="str">
            <v>--</v>
          </cell>
          <cell r="AIZ1" t="str">
            <v>--</v>
          </cell>
          <cell r="AJA1" t="str">
            <v>--</v>
          </cell>
          <cell r="AJB1" t="str">
            <v>--</v>
          </cell>
          <cell r="AJC1" t="str">
            <v>--</v>
          </cell>
          <cell r="AJD1" t="str">
            <v>--</v>
          </cell>
          <cell r="AJE1" t="str">
            <v>--</v>
          </cell>
          <cell r="AJF1" t="str">
            <v>--</v>
          </cell>
          <cell r="AJG1" t="str">
            <v>--</v>
          </cell>
          <cell r="AJH1" t="str">
            <v>--</v>
          </cell>
          <cell r="AJI1" t="str">
            <v>--</v>
          </cell>
          <cell r="AJJ1" t="str">
            <v>--</v>
          </cell>
          <cell r="AJK1" t="str">
            <v>--</v>
          </cell>
          <cell r="AJL1" t="str">
            <v>--</v>
          </cell>
          <cell r="AJM1" t="str">
            <v>--</v>
          </cell>
          <cell r="AJN1" t="str">
            <v>--</v>
          </cell>
          <cell r="AJO1" t="str">
            <v>--</v>
          </cell>
          <cell r="AJP1" t="str">
            <v>--</v>
          </cell>
          <cell r="AJQ1" t="str">
            <v>--</v>
          </cell>
          <cell r="AJR1" t="str">
            <v>--</v>
          </cell>
          <cell r="AJS1" t="str">
            <v>--</v>
          </cell>
          <cell r="AJT1" t="str">
            <v>--</v>
          </cell>
          <cell r="AJU1" t="str">
            <v>--</v>
          </cell>
          <cell r="AJV1" t="str">
            <v>--</v>
          </cell>
          <cell r="AJW1" t="str">
            <v>--</v>
          </cell>
          <cell r="AJX1" t="str">
            <v>--</v>
          </cell>
          <cell r="AJY1" t="str">
            <v>--</v>
          </cell>
          <cell r="AJZ1" t="str">
            <v>--</v>
          </cell>
          <cell r="AKA1" t="str">
            <v>--</v>
          </cell>
          <cell r="AKB1" t="str">
            <v>--</v>
          </cell>
          <cell r="AKC1" t="str">
            <v>--</v>
          </cell>
          <cell r="AKD1" t="str">
            <v>--</v>
          </cell>
          <cell r="AKE1" t="str">
            <v>--</v>
          </cell>
          <cell r="AKF1" t="str">
            <v>--</v>
          </cell>
          <cell r="AKG1" t="str">
            <v>--</v>
          </cell>
          <cell r="AKH1" t="str">
            <v>--</v>
          </cell>
          <cell r="AKI1" t="str">
            <v>--</v>
          </cell>
          <cell r="AKJ1" t="str">
            <v>--</v>
          </cell>
          <cell r="AKK1" t="str">
            <v>--</v>
          </cell>
          <cell r="AKL1" t="str">
            <v>--</v>
          </cell>
          <cell r="AKM1" t="str">
            <v>--</v>
          </cell>
          <cell r="AKN1" t="str">
            <v>--</v>
          </cell>
          <cell r="AKO1" t="str">
            <v>--</v>
          </cell>
          <cell r="AKP1" t="str">
            <v>--</v>
          </cell>
          <cell r="AKQ1" t="str">
            <v>--</v>
          </cell>
          <cell r="AKR1" t="str">
            <v>--</v>
          </cell>
          <cell r="AKS1" t="str">
            <v>--</v>
          </cell>
          <cell r="AKT1" t="str">
            <v>--</v>
          </cell>
          <cell r="AKU1" t="str">
            <v>--</v>
          </cell>
          <cell r="AKV1" t="str">
            <v>--</v>
          </cell>
          <cell r="AKW1" t="str">
            <v>--</v>
          </cell>
          <cell r="AKX1" t="str">
            <v>--</v>
          </cell>
          <cell r="AKY1" t="str">
            <v>--</v>
          </cell>
          <cell r="AKZ1" t="str">
            <v>--</v>
          </cell>
          <cell r="ALA1" t="str">
            <v>--</v>
          </cell>
          <cell r="ALB1" t="str">
            <v>--</v>
          </cell>
          <cell r="ALC1" t="str">
            <v>--</v>
          </cell>
          <cell r="ALD1" t="str">
            <v>--</v>
          </cell>
          <cell r="ALE1" t="str">
            <v>--</v>
          </cell>
          <cell r="ALF1" t="str">
            <v>--</v>
          </cell>
          <cell r="ALG1" t="str">
            <v>--</v>
          </cell>
          <cell r="ALH1" t="str">
            <v>--</v>
          </cell>
          <cell r="ALI1" t="str">
            <v>--</v>
          </cell>
          <cell r="ALJ1" t="str">
            <v>--</v>
          </cell>
          <cell r="ALK1" t="str">
            <v>--</v>
          </cell>
          <cell r="ALL1" t="str">
            <v>--</v>
          </cell>
          <cell r="ALM1" t="str">
            <v>--</v>
          </cell>
          <cell r="ALN1" t="str">
            <v>--</v>
          </cell>
          <cell r="ALO1" t="str">
            <v>--</v>
          </cell>
          <cell r="ALP1" t="str">
            <v>--</v>
          </cell>
          <cell r="ALQ1" t="str">
            <v>--</v>
          </cell>
          <cell r="ALR1" t="str">
            <v>--</v>
          </cell>
          <cell r="ALS1" t="str">
            <v>--</v>
          </cell>
          <cell r="ALT1" t="str">
            <v>--</v>
          </cell>
          <cell r="ALU1" t="str">
            <v>--</v>
          </cell>
          <cell r="ALV1" t="str">
            <v>--</v>
          </cell>
          <cell r="ALW1" t="str">
            <v>--</v>
          </cell>
          <cell r="ALX1" t="str">
            <v>--</v>
          </cell>
          <cell r="ALY1" t="str">
            <v>--</v>
          </cell>
          <cell r="ALZ1" t="str">
            <v>--</v>
          </cell>
          <cell r="AMA1" t="str">
            <v>--</v>
          </cell>
          <cell r="AMB1" t="str">
            <v>--</v>
          </cell>
          <cell r="AMC1" t="str">
            <v>--</v>
          </cell>
          <cell r="AMD1" t="str">
            <v>--</v>
          </cell>
          <cell r="AME1" t="str">
            <v>--</v>
          </cell>
          <cell r="AMF1" t="str">
            <v>--</v>
          </cell>
          <cell r="AMG1" t="str">
            <v>--</v>
          </cell>
          <cell r="AMH1" t="str">
            <v>--</v>
          </cell>
          <cell r="AMI1" t="str">
            <v>--</v>
          </cell>
          <cell r="AMJ1" t="str">
            <v>--</v>
          </cell>
          <cell r="AMK1" t="str">
            <v>--</v>
          </cell>
          <cell r="AML1" t="str">
            <v>--</v>
          </cell>
          <cell r="AMM1" t="str">
            <v>--</v>
          </cell>
          <cell r="AMN1" t="str">
            <v>--</v>
          </cell>
          <cell r="AMO1" t="str">
            <v>--</v>
          </cell>
          <cell r="AMP1" t="str">
            <v>--</v>
          </cell>
          <cell r="AMQ1" t="str">
            <v>--</v>
          </cell>
          <cell r="AMR1" t="str">
            <v>--</v>
          </cell>
          <cell r="AMS1" t="str">
            <v>--</v>
          </cell>
          <cell r="AMT1" t="str">
            <v>--</v>
          </cell>
          <cell r="AMU1" t="str">
            <v>--</v>
          </cell>
          <cell r="AMV1" t="str">
            <v>--</v>
          </cell>
          <cell r="AMW1" t="str">
            <v>--</v>
          </cell>
          <cell r="AMX1" t="str">
            <v>--</v>
          </cell>
          <cell r="AMY1" t="str">
            <v>--</v>
          </cell>
          <cell r="AMZ1" t="str">
            <v>--</v>
          </cell>
          <cell r="ANA1" t="str">
            <v>--</v>
          </cell>
          <cell r="ANB1" t="str">
            <v>--</v>
          </cell>
          <cell r="ANC1" t="str">
            <v>--</v>
          </cell>
          <cell r="AND1" t="str">
            <v>--</v>
          </cell>
          <cell r="ANE1" t="str">
            <v>--</v>
          </cell>
          <cell r="ANF1" t="str">
            <v>--</v>
          </cell>
          <cell r="ANG1" t="str">
            <v>--</v>
          </cell>
          <cell r="ANH1" t="str">
            <v>--</v>
          </cell>
          <cell r="ANI1" t="str">
            <v>--</v>
          </cell>
          <cell r="ANJ1" t="str">
            <v>--</v>
          </cell>
          <cell r="ANK1" t="str">
            <v>--</v>
          </cell>
          <cell r="ANL1" t="str">
            <v>--</v>
          </cell>
          <cell r="ANM1" t="str">
            <v>--</v>
          </cell>
          <cell r="ANN1" t="str">
            <v>--</v>
          </cell>
          <cell r="ANO1" t="str">
            <v>--</v>
          </cell>
          <cell r="ANP1" t="str">
            <v>--</v>
          </cell>
          <cell r="ANQ1" t="str">
            <v>--</v>
          </cell>
          <cell r="ANR1" t="str">
            <v>--</v>
          </cell>
          <cell r="ANS1" t="str">
            <v>--</v>
          </cell>
          <cell r="ANT1" t="str">
            <v>--</v>
          </cell>
          <cell r="ANU1" t="str">
            <v>--</v>
          </cell>
          <cell r="ANV1" t="str">
            <v>--</v>
          </cell>
          <cell r="ANW1" t="str">
            <v>--</v>
          </cell>
          <cell r="ANX1" t="str">
            <v>--</v>
          </cell>
          <cell r="ANY1" t="str">
            <v>--</v>
          </cell>
          <cell r="ANZ1" t="str">
            <v>--</v>
          </cell>
          <cell r="AOA1" t="str">
            <v>--</v>
          </cell>
          <cell r="AOB1" t="str">
            <v>--</v>
          </cell>
          <cell r="AOC1" t="str">
            <v>--</v>
          </cell>
          <cell r="AOD1" t="str">
            <v>--</v>
          </cell>
          <cell r="AOE1" t="str">
            <v>--</v>
          </cell>
          <cell r="AOF1" t="str">
            <v>--</v>
          </cell>
          <cell r="AOG1" t="str">
            <v>--</v>
          </cell>
          <cell r="AOH1" t="str">
            <v>--</v>
          </cell>
          <cell r="AOI1" t="str">
            <v>--</v>
          </cell>
          <cell r="AOJ1" t="str">
            <v>--</v>
          </cell>
          <cell r="AOK1" t="str">
            <v>--</v>
          </cell>
          <cell r="AOL1" t="str">
            <v>--</v>
          </cell>
          <cell r="AOM1" t="str">
            <v>--</v>
          </cell>
          <cell r="AON1" t="str">
            <v>--</v>
          </cell>
          <cell r="AOO1" t="str">
            <v>--</v>
          </cell>
          <cell r="AOP1" t="str">
            <v>--</v>
          </cell>
          <cell r="AOQ1" t="str">
            <v>--</v>
          </cell>
          <cell r="AOR1" t="str">
            <v>--</v>
          </cell>
          <cell r="AOS1" t="str">
            <v>--</v>
          </cell>
          <cell r="AOT1" t="str">
            <v>--</v>
          </cell>
          <cell r="AOU1" t="str">
            <v>--</v>
          </cell>
          <cell r="AOV1" t="str">
            <v>--</v>
          </cell>
          <cell r="AOW1" t="str">
            <v>--</v>
          </cell>
          <cell r="AOX1" t="str">
            <v>--</v>
          </cell>
          <cell r="AOY1" t="str">
            <v>--</v>
          </cell>
          <cell r="AOZ1" t="str">
            <v>--</v>
          </cell>
          <cell r="APA1" t="str">
            <v>--</v>
          </cell>
          <cell r="APB1" t="str">
            <v>--</v>
          </cell>
          <cell r="APC1" t="str">
            <v>--</v>
          </cell>
          <cell r="APD1" t="str">
            <v>--</v>
          </cell>
          <cell r="APE1" t="str">
            <v>--</v>
          </cell>
          <cell r="APF1" t="str">
            <v>--</v>
          </cell>
          <cell r="APG1" t="str">
            <v>--</v>
          </cell>
          <cell r="APH1" t="str">
            <v>--</v>
          </cell>
          <cell r="API1" t="str">
            <v>--</v>
          </cell>
          <cell r="APJ1" t="str">
            <v>--</v>
          </cell>
          <cell r="APK1" t="str">
            <v>--</v>
          </cell>
          <cell r="APL1" t="str">
            <v>--</v>
          </cell>
          <cell r="APM1" t="str">
            <v>--</v>
          </cell>
          <cell r="APN1" t="str">
            <v>--</v>
          </cell>
          <cell r="APO1" t="str">
            <v>--</v>
          </cell>
          <cell r="APP1" t="str">
            <v>--</v>
          </cell>
          <cell r="APQ1" t="str">
            <v>--</v>
          </cell>
          <cell r="APR1" t="str">
            <v>--</v>
          </cell>
          <cell r="APS1" t="str">
            <v>--</v>
          </cell>
          <cell r="APT1" t="str">
            <v>--</v>
          </cell>
          <cell r="APU1" t="str">
            <v>--</v>
          </cell>
          <cell r="APV1" t="str">
            <v>--</v>
          </cell>
          <cell r="APW1" t="str">
            <v>--</v>
          </cell>
          <cell r="APX1" t="str">
            <v>--</v>
          </cell>
          <cell r="APY1" t="str">
            <v>--</v>
          </cell>
          <cell r="APZ1" t="str">
            <v>--</v>
          </cell>
          <cell r="AQA1" t="str">
            <v>--</v>
          </cell>
          <cell r="AQB1" t="str">
            <v>--</v>
          </cell>
          <cell r="AQC1" t="str">
            <v>--</v>
          </cell>
          <cell r="AQD1" t="str">
            <v>--</v>
          </cell>
          <cell r="AQE1" t="str">
            <v>--</v>
          </cell>
          <cell r="AQF1" t="str">
            <v>--</v>
          </cell>
          <cell r="AQG1" t="str">
            <v>--</v>
          </cell>
          <cell r="AQH1" t="str">
            <v>--</v>
          </cell>
          <cell r="AQI1" t="str">
            <v>--</v>
          </cell>
          <cell r="AQJ1" t="str">
            <v>--</v>
          </cell>
          <cell r="AQK1" t="str">
            <v>--</v>
          </cell>
          <cell r="AQL1" t="str">
            <v>--</v>
          </cell>
          <cell r="AQM1" t="str">
            <v>--</v>
          </cell>
          <cell r="AQN1" t="str">
            <v>--</v>
          </cell>
          <cell r="AQO1" t="str">
            <v>--</v>
          </cell>
          <cell r="AQP1" t="str">
            <v>--</v>
          </cell>
          <cell r="AQQ1" t="str">
            <v>--</v>
          </cell>
          <cell r="AQR1" t="str">
            <v>--</v>
          </cell>
          <cell r="AQS1" t="str">
            <v>--</v>
          </cell>
          <cell r="AQT1" t="str">
            <v>--</v>
          </cell>
          <cell r="AQU1" t="str">
            <v>--</v>
          </cell>
          <cell r="AQV1" t="str">
            <v>--</v>
          </cell>
          <cell r="AQW1" t="str">
            <v>--</v>
          </cell>
          <cell r="AQX1" t="str">
            <v>--</v>
          </cell>
          <cell r="AQY1" t="str">
            <v>--</v>
          </cell>
          <cell r="AQZ1" t="str">
            <v>--</v>
          </cell>
          <cell r="ARA1" t="str">
            <v>--</v>
          </cell>
          <cell r="ARB1" t="str">
            <v>--</v>
          </cell>
          <cell r="ARC1" t="str">
            <v>--</v>
          </cell>
          <cell r="ARD1" t="str">
            <v>--</v>
          </cell>
          <cell r="ARE1" t="str">
            <v>--</v>
          </cell>
          <cell r="ARF1" t="str">
            <v>--</v>
          </cell>
          <cell r="ARG1" t="str">
            <v>--</v>
          </cell>
          <cell r="ARH1" t="str">
            <v>--</v>
          </cell>
          <cell r="ARI1" t="str">
            <v>--</v>
          </cell>
          <cell r="ARJ1" t="str">
            <v>--</v>
          </cell>
          <cell r="ARK1" t="str">
            <v>--</v>
          </cell>
          <cell r="ARL1" t="str">
            <v>--</v>
          </cell>
          <cell r="ARM1" t="str">
            <v>--</v>
          </cell>
          <cell r="ARN1" t="str">
            <v>--</v>
          </cell>
          <cell r="ARO1" t="str">
            <v>--</v>
          </cell>
          <cell r="ARP1" t="str">
            <v>--</v>
          </cell>
          <cell r="ARQ1" t="str">
            <v>--</v>
          </cell>
          <cell r="ARR1" t="str">
            <v>--</v>
          </cell>
          <cell r="ARS1" t="str">
            <v>--</v>
          </cell>
          <cell r="ART1" t="str">
            <v>--</v>
          </cell>
          <cell r="ARU1" t="str">
            <v>--</v>
          </cell>
          <cell r="ARV1" t="str">
            <v>--</v>
          </cell>
          <cell r="ARW1" t="str">
            <v>--</v>
          </cell>
          <cell r="ARX1" t="str">
            <v>--</v>
          </cell>
          <cell r="ARY1" t="str">
            <v>--</v>
          </cell>
          <cell r="ARZ1" t="str">
            <v>--</v>
          </cell>
          <cell r="ASA1" t="str">
            <v>--</v>
          </cell>
          <cell r="ASB1" t="str">
            <v>--</v>
          </cell>
          <cell r="ASC1" t="str">
            <v>--</v>
          </cell>
          <cell r="ASD1" t="str">
            <v>--</v>
          </cell>
          <cell r="ASE1" t="str">
            <v>--</v>
          </cell>
          <cell r="ASF1" t="str">
            <v>--</v>
          </cell>
          <cell r="ASG1" t="str">
            <v>--</v>
          </cell>
          <cell r="ASH1" t="str">
            <v>--</v>
          </cell>
          <cell r="ASI1" t="str">
            <v>--</v>
          </cell>
          <cell r="ASJ1" t="str">
            <v>--</v>
          </cell>
          <cell r="ASK1" t="str">
            <v>--</v>
          </cell>
          <cell r="ASL1" t="str">
            <v>--</v>
          </cell>
          <cell r="ASM1" t="str">
            <v>--</v>
          </cell>
          <cell r="ASN1" t="str">
            <v>--</v>
          </cell>
          <cell r="ASO1" t="str">
            <v>--</v>
          </cell>
          <cell r="ASP1" t="str">
            <v>--</v>
          </cell>
          <cell r="ASQ1" t="str">
            <v>--</v>
          </cell>
          <cell r="ASR1" t="str">
            <v>--</v>
          </cell>
          <cell r="ASS1" t="str">
            <v>--</v>
          </cell>
          <cell r="AST1" t="str">
            <v>--</v>
          </cell>
          <cell r="ASU1" t="str">
            <v>--</v>
          </cell>
          <cell r="ASV1" t="str">
            <v>--</v>
          </cell>
          <cell r="ASW1" t="str">
            <v>--</v>
          </cell>
          <cell r="ASX1" t="str">
            <v>--</v>
          </cell>
          <cell r="ASY1" t="str">
            <v>--</v>
          </cell>
          <cell r="ASZ1" t="str">
            <v>--</v>
          </cell>
          <cell r="ATA1" t="str">
            <v>--</v>
          </cell>
          <cell r="ATB1" t="str">
            <v>--</v>
          </cell>
          <cell r="ATC1" t="str">
            <v>--</v>
          </cell>
          <cell r="ATD1" t="str">
            <v>--</v>
          </cell>
          <cell r="ATE1" t="str">
            <v>--</v>
          </cell>
          <cell r="ATF1" t="str">
            <v>--</v>
          </cell>
          <cell r="ATG1" t="str">
            <v>--</v>
          </cell>
          <cell r="ATH1" t="str">
            <v>--</v>
          </cell>
          <cell r="ATI1" t="str">
            <v>--</v>
          </cell>
          <cell r="ATJ1" t="str">
            <v>--</v>
          </cell>
          <cell r="ATK1" t="str">
            <v>--</v>
          </cell>
          <cell r="ATL1" t="str">
            <v>--</v>
          </cell>
          <cell r="ATM1" t="str">
            <v>--</v>
          </cell>
          <cell r="ATN1" t="str">
            <v>--</v>
          </cell>
          <cell r="ATO1" t="str">
            <v>--</v>
          </cell>
          <cell r="ATP1" t="str">
            <v>--</v>
          </cell>
          <cell r="ATQ1" t="str">
            <v>--</v>
          </cell>
          <cell r="ATR1" t="str">
            <v>--</v>
          </cell>
          <cell r="ATS1" t="str">
            <v>--</v>
          </cell>
          <cell r="ATT1" t="str">
            <v>--</v>
          </cell>
          <cell r="ATU1" t="str">
            <v>--</v>
          </cell>
          <cell r="ATV1" t="str">
            <v>--</v>
          </cell>
          <cell r="ATW1" t="str">
            <v>--</v>
          </cell>
          <cell r="ATX1" t="str">
            <v>--</v>
          </cell>
          <cell r="ATY1" t="str">
            <v>--</v>
          </cell>
          <cell r="ATZ1" t="str">
            <v>--</v>
          </cell>
          <cell r="AUA1" t="str">
            <v>--</v>
          </cell>
          <cell r="AUB1" t="str">
            <v>--</v>
          </cell>
          <cell r="AUC1" t="str">
            <v>--</v>
          </cell>
          <cell r="AUD1" t="str">
            <v>--</v>
          </cell>
          <cell r="AUE1" t="str">
            <v>--</v>
          </cell>
          <cell r="AUF1" t="str">
            <v>--</v>
          </cell>
          <cell r="AUG1" t="str">
            <v>--</v>
          </cell>
          <cell r="AUH1" t="str">
            <v>--</v>
          </cell>
          <cell r="AUI1" t="str">
            <v>--</v>
          </cell>
          <cell r="AUJ1" t="str">
            <v>--</v>
          </cell>
          <cell r="AUK1" t="str">
            <v>--</v>
          </cell>
          <cell r="AUL1" t="str">
            <v>--</v>
          </cell>
          <cell r="AUM1" t="str">
            <v>--</v>
          </cell>
          <cell r="AUN1" t="str">
            <v>--</v>
          </cell>
          <cell r="AUO1" t="str">
            <v>--</v>
          </cell>
          <cell r="AUP1" t="str">
            <v>--</v>
          </cell>
          <cell r="AUQ1" t="str">
            <v>--</v>
          </cell>
          <cell r="AUR1" t="str">
            <v>--</v>
          </cell>
          <cell r="AUS1" t="str">
            <v>--</v>
          </cell>
          <cell r="AUT1" t="str">
            <v>--</v>
          </cell>
          <cell r="AUU1" t="str">
            <v>--</v>
          </cell>
          <cell r="AUV1" t="str">
            <v>--</v>
          </cell>
          <cell r="AUW1" t="str">
            <v>--</v>
          </cell>
          <cell r="AUX1" t="str">
            <v>--</v>
          </cell>
          <cell r="AUY1" t="str">
            <v>--</v>
          </cell>
          <cell r="AUZ1" t="str">
            <v>--</v>
          </cell>
          <cell r="AVA1" t="str">
            <v>--</v>
          </cell>
          <cell r="AVB1" t="str">
            <v>--</v>
          </cell>
          <cell r="AVC1" t="str">
            <v>--</v>
          </cell>
          <cell r="AVD1" t="str">
            <v>--</v>
          </cell>
          <cell r="AVE1" t="str">
            <v>--</v>
          </cell>
          <cell r="AVF1" t="str">
            <v>--</v>
          </cell>
          <cell r="AVG1" t="str">
            <v>--</v>
          </cell>
          <cell r="AVH1" t="str">
            <v>--</v>
          </cell>
          <cell r="AVI1" t="str">
            <v>--</v>
          </cell>
          <cell r="AVJ1" t="str">
            <v>--</v>
          </cell>
          <cell r="AVK1" t="str">
            <v>--</v>
          </cell>
          <cell r="AVL1" t="str">
            <v>--</v>
          </cell>
          <cell r="AVM1" t="str">
            <v>--</v>
          </cell>
          <cell r="AVN1" t="str">
            <v>--</v>
          </cell>
          <cell r="AVO1" t="str">
            <v>--</v>
          </cell>
          <cell r="AVP1" t="str">
            <v>--</v>
          </cell>
          <cell r="AVQ1" t="str">
            <v>--</v>
          </cell>
          <cell r="AVR1" t="str">
            <v>--</v>
          </cell>
          <cell r="AVS1" t="str">
            <v>--</v>
          </cell>
          <cell r="AVT1" t="str">
            <v>--</v>
          </cell>
          <cell r="AVU1" t="str">
            <v>--</v>
          </cell>
          <cell r="AVV1" t="str">
            <v>--</v>
          </cell>
          <cell r="AVW1" t="str">
            <v>--</v>
          </cell>
          <cell r="AVX1" t="str">
            <v>--</v>
          </cell>
          <cell r="AVY1" t="str">
            <v>--</v>
          </cell>
          <cell r="AVZ1" t="str">
            <v>--</v>
          </cell>
          <cell r="AWA1" t="str">
            <v>--</v>
          </cell>
          <cell r="AWB1" t="str">
            <v>--</v>
          </cell>
          <cell r="AWC1" t="str">
            <v>--</v>
          </cell>
          <cell r="AWD1" t="str">
            <v>--</v>
          </cell>
          <cell r="AWE1" t="str">
            <v>--</v>
          </cell>
          <cell r="AWF1" t="str">
            <v>--</v>
          </cell>
          <cell r="AWG1" t="str">
            <v>--</v>
          </cell>
          <cell r="AWH1" t="str">
            <v>--</v>
          </cell>
          <cell r="AWI1" t="str">
            <v>--</v>
          </cell>
          <cell r="AWJ1" t="str">
            <v>--</v>
          </cell>
          <cell r="AWK1" t="str">
            <v>--</v>
          </cell>
          <cell r="AWL1" t="str">
            <v>--</v>
          </cell>
          <cell r="AWM1" t="str">
            <v>--</v>
          </cell>
          <cell r="AWN1" t="str">
            <v>--</v>
          </cell>
          <cell r="AWO1" t="str">
            <v>--</v>
          </cell>
          <cell r="AWP1" t="str">
            <v>--</v>
          </cell>
          <cell r="AWQ1" t="str">
            <v>--</v>
          </cell>
          <cell r="AWR1" t="str">
            <v>--</v>
          </cell>
          <cell r="AWS1" t="str">
            <v>--</v>
          </cell>
          <cell r="AWT1" t="str">
            <v>--</v>
          </cell>
          <cell r="AWU1" t="str">
            <v>--</v>
          </cell>
          <cell r="AWV1" t="str">
            <v>--</v>
          </cell>
          <cell r="AWW1" t="str">
            <v>--</v>
          </cell>
          <cell r="AWX1" t="str">
            <v>--</v>
          </cell>
          <cell r="AWY1" t="str">
            <v>--</v>
          </cell>
          <cell r="AWZ1" t="str">
            <v>--</v>
          </cell>
          <cell r="AXA1" t="str">
            <v>--</v>
          </cell>
          <cell r="AXB1" t="str">
            <v>--</v>
          </cell>
          <cell r="AXC1" t="str">
            <v>--</v>
          </cell>
          <cell r="AXD1" t="str">
            <v>--</v>
          </cell>
          <cell r="AXE1" t="str">
            <v>--</v>
          </cell>
          <cell r="AXF1" t="str">
            <v>--</v>
          </cell>
          <cell r="AXG1" t="str">
            <v>--</v>
          </cell>
          <cell r="AXH1" t="str">
            <v>--</v>
          </cell>
          <cell r="AXI1" t="str">
            <v>--</v>
          </cell>
          <cell r="AXJ1" t="str">
            <v>--</v>
          </cell>
          <cell r="AXK1" t="str">
            <v>--</v>
          </cell>
          <cell r="AXL1" t="str">
            <v>--</v>
          </cell>
          <cell r="AXM1" t="str">
            <v>--</v>
          </cell>
          <cell r="AXN1" t="str">
            <v>--</v>
          </cell>
          <cell r="AXO1" t="str">
            <v>--</v>
          </cell>
          <cell r="AXP1" t="str">
            <v>--</v>
          </cell>
          <cell r="AXQ1" t="str">
            <v>--</v>
          </cell>
          <cell r="AXR1" t="str">
            <v>--</v>
          </cell>
          <cell r="AXS1" t="str">
            <v>--</v>
          </cell>
          <cell r="AXT1" t="str">
            <v>--</v>
          </cell>
          <cell r="AXU1" t="str">
            <v>--</v>
          </cell>
          <cell r="AXV1" t="str">
            <v>--</v>
          </cell>
          <cell r="AXW1" t="str">
            <v>--</v>
          </cell>
          <cell r="AXX1" t="str">
            <v>--</v>
          </cell>
          <cell r="AXY1" t="str">
            <v>--</v>
          </cell>
          <cell r="AXZ1" t="str">
            <v>--</v>
          </cell>
          <cell r="AYA1" t="str">
            <v>--</v>
          </cell>
          <cell r="AYB1" t="str">
            <v>--</v>
          </cell>
          <cell r="AYC1" t="str">
            <v>--</v>
          </cell>
          <cell r="AYD1" t="str">
            <v>--</v>
          </cell>
          <cell r="AYE1" t="str">
            <v>--</v>
          </cell>
          <cell r="AYF1" t="str">
            <v>--</v>
          </cell>
          <cell r="AYG1" t="str">
            <v>--</v>
          </cell>
          <cell r="AYH1" t="str">
            <v>--</v>
          </cell>
          <cell r="AYI1" t="str">
            <v>--</v>
          </cell>
          <cell r="AYJ1" t="str">
            <v>--</v>
          </cell>
          <cell r="AYK1" t="str">
            <v>--</v>
          </cell>
          <cell r="AYL1" t="str">
            <v>--</v>
          </cell>
          <cell r="AYM1" t="str">
            <v>--</v>
          </cell>
          <cell r="AYN1" t="str">
            <v>--</v>
          </cell>
          <cell r="AYO1" t="str">
            <v>--</v>
          </cell>
          <cell r="AYP1" t="str">
            <v>--</v>
          </cell>
          <cell r="AYQ1" t="str">
            <v>--</v>
          </cell>
          <cell r="AYR1" t="str">
            <v>--</v>
          </cell>
          <cell r="AYS1" t="str">
            <v>--</v>
          </cell>
          <cell r="AYT1" t="str">
            <v>--</v>
          </cell>
          <cell r="AYU1" t="str">
            <v>--</v>
          </cell>
          <cell r="AYV1" t="str">
            <v>--</v>
          </cell>
          <cell r="AYW1" t="str">
            <v>--</v>
          </cell>
          <cell r="AYX1" t="str">
            <v>--</v>
          </cell>
          <cell r="AYY1" t="str">
            <v>--</v>
          </cell>
          <cell r="AYZ1" t="str">
            <v>--</v>
          </cell>
          <cell r="AZA1" t="str">
            <v>--</v>
          </cell>
          <cell r="AZB1" t="str">
            <v>--</v>
          </cell>
          <cell r="AZC1" t="str">
            <v>--</v>
          </cell>
          <cell r="AZD1" t="str">
            <v>--</v>
          </cell>
          <cell r="AZE1" t="str">
            <v>--</v>
          </cell>
          <cell r="AZF1" t="str">
            <v>--</v>
          </cell>
          <cell r="AZG1" t="str">
            <v>--</v>
          </cell>
          <cell r="AZH1" t="str">
            <v>--</v>
          </cell>
          <cell r="AZI1" t="str">
            <v>--</v>
          </cell>
          <cell r="AZJ1" t="str">
            <v>--</v>
          </cell>
          <cell r="AZK1" t="str">
            <v>--</v>
          </cell>
          <cell r="AZL1" t="str">
            <v>--</v>
          </cell>
          <cell r="AZM1" t="str">
            <v>--</v>
          </cell>
          <cell r="AZN1" t="str">
            <v>--</v>
          </cell>
          <cell r="AZO1" t="str">
            <v>--</v>
          </cell>
          <cell r="AZP1" t="str">
            <v>--</v>
          </cell>
          <cell r="AZQ1" t="str">
            <v>--</v>
          </cell>
          <cell r="AZR1" t="str">
            <v>--</v>
          </cell>
          <cell r="AZS1" t="str">
            <v>--</v>
          </cell>
          <cell r="AZT1" t="str">
            <v>--</v>
          </cell>
          <cell r="AZU1" t="str">
            <v>--</v>
          </cell>
          <cell r="AZV1" t="str">
            <v>--</v>
          </cell>
          <cell r="AZW1" t="str">
            <v>--</v>
          </cell>
          <cell r="AZX1" t="str">
            <v>--</v>
          </cell>
          <cell r="AZY1" t="str">
            <v>--</v>
          </cell>
          <cell r="AZZ1" t="str">
            <v>--</v>
          </cell>
          <cell r="BAA1" t="str">
            <v>--</v>
          </cell>
          <cell r="BAB1" t="str">
            <v>--</v>
          </cell>
          <cell r="BAC1" t="str">
            <v>--</v>
          </cell>
          <cell r="BAD1" t="str">
            <v>--</v>
          </cell>
          <cell r="BAE1" t="str">
            <v>--</v>
          </cell>
          <cell r="BAF1" t="str">
            <v>--</v>
          </cell>
          <cell r="BAG1" t="str">
            <v>--</v>
          </cell>
          <cell r="BAH1" t="str">
            <v>--</v>
          </cell>
          <cell r="BAI1" t="str">
            <v>--</v>
          </cell>
          <cell r="BAJ1" t="str">
            <v>--</v>
          </cell>
          <cell r="BAK1" t="str">
            <v>--</v>
          </cell>
          <cell r="BAL1" t="str">
            <v>--</v>
          </cell>
          <cell r="BAM1" t="str">
            <v>--</v>
          </cell>
          <cell r="BAN1" t="str">
            <v>--</v>
          </cell>
          <cell r="BAO1" t="str">
            <v>--</v>
          </cell>
          <cell r="BAP1" t="str">
            <v>--</v>
          </cell>
          <cell r="BAQ1" t="str">
            <v>--</v>
          </cell>
          <cell r="BAR1" t="str">
            <v>--</v>
          </cell>
          <cell r="BAS1" t="str">
            <v>--</v>
          </cell>
          <cell r="BAT1" t="str">
            <v>--</v>
          </cell>
          <cell r="BAU1" t="str">
            <v>--</v>
          </cell>
          <cell r="BAV1" t="str">
            <v>--</v>
          </cell>
          <cell r="BAW1" t="str">
            <v>--</v>
          </cell>
          <cell r="BAX1" t="str">
            <v>--</v>
          </cell>
          <cell r="BAY1" t="str">
            <v>--</v>
          </cell>
          <cell r="BAZ1" t="str">
            <v>--</v>
          </cell>
          <cell r="BBA1" t="str">
            <v>--</v>
          </cell>
          <cell r="BBB1" t="str">
            <v>--</v>
          </cell>
          <cell r="BBC1" t="str">
            <v>--</v>
          </cell>
          <cell r="BBD1" t="str">
            <v>--</v>
          </cell>
          <cell r="BBE1" t="str">
            <v>--</v>
          </cell>
          <cell r="BBF1" t="str">
            <v>--</v>
          </cell>
          <cell r="BBG1" t="str">
            <v>--</v>
          </cell>
          <cell r="BBH1" t="str">
            <v>--</v>
          </cell>
          <cell r="BBI1" t="str">
            <v>--</v>
          </cell>
          <cell r="BBJ1" t="str">
            <v>--</v>
          </cell>
          <cell r="BBK1" t="str">
            <v>--</v>
          </cell>
          <cell r="BBL1" t="str">
            <v>--</v>
          </cell>
          <cell r="BBM1" t="str">
            <v>--</v>
          </cell>
          <cell r="BBN1" t="str">
            <v>--</v>
          </cell>
          <cell r="BBO1" t="str">
            <v>--</v>
          </cell>
          <cell r="BBP1" t="str">
            <v>--</v>
          </cell>
          <cell r="BBQ1" t="str">
            <v>--</v>
          </cell>
          <cell r="BBR1" t="str">
            <v>--</v>
          </cell>
          <cell r="BBS1" t="str">
            <v>--</v>
          </cell>
          <cell r="BBT1" t="str">
            <v>--</v>
          </cell>
          <cell r="BBU1" t="str">
            <v>--</v>
          </cell>
          <cell r="BBV1" t="str">
            <v>--</v>
          </cell>
          <cell r="BBW1" t="str">
            <v>--</v>
          </cell>
          <cell r="BBX1" t="str">
            <v>--</v>
          </cell>
          <cell r="BBY1" t="str">
            <v>--</v>
          </cell>
          <cell r="BBZ1" t="str">
            <v>--</v>
          </cell>
          <cell r="BCA1" t="str">
            <v>--</v>
          </cell>
          <cell r="BCB1" t="str">
            <v>--</v>
          </cell>
          <cell r="BCC1" t="str">
            <v>--</v>
          </cell>
          <cell r="BCD1" t="str">
            <v>--</v>
          </cell>
          <cell r="BCE1" t="str">
            <v>--</v>
          </cell>
          <cell r="BCF1" t="str">
            <v>--</v>
          </cell>
          <cell r="BCG1" t="str">
            <v>--</v>
          </cell>
          <cell r="BCH1" t="str">
            <v>--</v>
          </cell>
          <cell r="BCI1" t="str">
            <v>--</v>
          </cell>
          <cell r="BCJ1" t="str">
            <v>--</v>
          </cell>
          <cell r="BCK1" t="str">
            <v>--</v>
          </cell>
          <cell r="BCL1" t="str">
            <v>--</v>
          </cell>
          <cell r="BCM1" t="str">
            <v>--</v>
          </cell>
          <cell r="BCN1" t="str">
            <v>--</v>
          </cell>
          <cell r="BCO1" t="str">
            <v>--</v>
          </cell>
          <cell r="BCP1" t="str">
            <v>--</v>
          </cell>
          <cell r="BCQ1" t="str">
            <v>--</v>
          </cell>
          <cell r="BCR1" t="str">
            <v>--</v>
          </cell>
          <cell r="BCS1" t="str">
            <v>--</v>
          </cell>
          <cell r="BCT1" t="str">
            <v>--</v>
          </cell>
          <cell r="BCU1" t="str">
            <v>--</v>
          </cell>
          <cell r="BCV1" t="str">
            <v>--</v>
          </cell>
          <cell r="BCW1" t="str">
            <v>--</v>
          </cell>
          <cell r="BCX1" t="str">
            <v>--</v>
          </cell>
          <cell r="BCY1" t="str">
            <v>--</v>
          </cell>
          <cell r="BCZ1" t="str">
            <v>--</v>
          </cell>
          <cell r="BDA1" t="str">
            <v>--</v>
          </cell>
          <cell r="BDB1" t="str">
            <v>--</v>
          </cell>
          <cell r="BDC1" t="str">
            <v>--</v>
          </cell>
          <cell r="BDD1" t="str">
            <v>--</v>
          </cell>
          <cell r="BDE1" t="str">
            <v>--</v>
          </cell>
          <cell r="BDF1" t="str">
            <v>--</v>
          </cell>
          <cell r="BDG1" t="str">
            <v>--</v>
          </cell>
          <cell r="BDH1" t="str">
            <v>--</v>
          </cell>
          <cell r="BDI1" t="str">
            <v>--</v>
          </cell>
          <cell r="BDJ1" t="str">
            <v>--</v>
          </cell>
          <cell r="BDK1" t="str">
            <v>--</v>
          </cell>
          <cell r="BDL1" t="str">
            <v>--</v>
          </cell>
          <cell r="BDM1" t="str">
            <v>--</v>
          </cell>
          <cell r="BDN1" t="str">
            <v>--</v>
          </cell>
          <cell r="BDO1" t="str">
            <v>--</v>
          </cell>
          <cell r="BDP1" t="str">
            <v>--</v>
          </cell>
          <cell r="BDQ1" t="str">
            <v>--</v>
          </cell>
          <cell r="BDR1" t="str">
            <v>--</v>
          </cell>
          <cell r="BDS1" t="str">
            <v>--</v>
          </cell>
          <cell r="BDT1" t="str">
            <v>--</v>
          </cell>
          <cell r="BDU1" t="str">
            <v>--</v>
          </cell>
          <cell r="BDV1" t="str">
            <v>--</v>
          </cell>
          <cell r="BDW1" t="str">
            <v>--</v>
          </cell>
          <cell r="BDX1" t="str">
            <v>--</v>
          </cell>
          <cell r="BDY1" t="str">
            <v>--</v>
          </cell>
          <cell r="BDZ1" t="str">
            <v>--</v>
          </cell>
          <cell r="BEA1" t="str">
            <v>--</v>
          </cell>
          <cell r="BEB1" t="str">
            <v>--</v>
          </cell>
          <cell r="BEC1" t="str">
            <v>--</v>
          </cell>
          <cell r="BED1" t="str">
            <v>--</v>
          </cell>
          <cell r="BEE1" t="str">
            <v>--</v>
          </cell>
          <cell r="BEF1" t="str">
            <v>--</v>
          </cell>
          <cell r="BEG1" t="str">
            <v>--</v>
          </cell>
          <cell r="BEH1" t="str">
            <v>--</v>
          </cell>
          <cell r="BEI1" t="str">
            <v>--</v>
          </cell>
          <cell r="BEJ1" t="str">
            <v>--</v>
          </cell>
          <cell r="BEK1" t="str">
            <v>--</v>
          </cell>
          <cell r="BEL1" t="str">
            <v>--</v>
          </cell>
          <cell r="BEM1" t="str">
            <v>--</v>
          </cell>
          <cell r="BEN1" t="str">
            <v>--</v>
          </cell>
          <cell r="BEO1" t="str">
            <v>--</v>
          </cell>
          <cell r="BEP1" t="str">
            <v>--</v>
          </cell>
          <cell r="BEQ1" t="str">
            <v>--</v>
          </cell>
          <cell r="BER1" t="str">
            <v>--</v>
          </cell>
          <cell r="BES1" t="str">
            <v>--</v>
          </cell>
          <cell r="BET1" t="str">
            <v>--</v>
          </cell>
          <cell r="BEU1" t="str">
            <v>--</v>
          </cell>
          <cell r="BEV1" t="str">
            <v>--</v>
          </cell>
          <cell r="BEW1" t="str">
            <v>--</v>
          </cell>
          <cell r="BEX1" t="str">
            <v>--</v>
          </cell>
          <cell r="BEY1" t="str">
            <v>--</v>
          </cell>
          <cell r="BEZ1" t="str">
            <v>--</v>
          </cell>
          <cell r="BFA1" t="str">
            <v>--</v>
          </cell>
          <cell r="BFB1" t="str">
            <v>--</v>
          </cell>
          <cell r="BFC1" t="str">
            <v>--</v>
          </cell>
          <cell r="BFD1" t="str">
            <v>--</v>
          </cell>
          <cell r="BFE1" t="str">
            <v>--</v>
          </cell>
          <cell r="BFF1" t="str">
            <v>--</v>
          </cell>
          <cell r="BFG1" t="str">
            <v>--</v>
          </cell>
          <cell r="BFH1" t="str">
            <v>--</v>
          </cell>
          <cell r="BFI1" t="str">
            <v>--</v>
          </cell>
          <cell r="BFJ1" t="str">
            <v>--</v>
          </cell>
          <cell r="BFK1" t="str">
            <v>--</v>
          </cell>
          <cell r="BFL1" t="str">
            <v>--</v>
          </cell>
          <cell r="BFM1" t="str">
            <v>--</v>
          </cell>
          <cell r="BFN1" t="str">
            <v>--</v>
          </cell>
          <cell r="BFO1" t="str">
            <v>--</v>
          </cell>
          <cell r="BFP1" t="str">
            <v>--</v>
          </cell>
          <cell r="BFQ1" t="str">
            <v>--</v>
          </cell>
          <cell r="BFR1" t="str">
            <v>--</v>
          </cell>
          <cell r="BFS1" t="str">
            <v>--</v>
          </cell>
          <cell r="BFT1" t="str">
            <v>--</v>
          </cell>
          <cell r="BFU1" t="str">
            <v>--</v>
          </cell>
          <cell r="BFV1" t="str">
            <v>--</v>
          </cell>
          <cell r="BFW1" t="str">
            <v>--</v>
          </cell>
          <cell r="BFX1" t="str">
            <v>--</v>
          </cell>
          <cell r="BFY1" t="str">
            <v>--</v>
          </cell>
          <cell r="BFZ1" t="str">
            <v>--</v>
          </cell>
          <cell r="BGA1" t="str">
            <v>--</v>
          </cell>
          <cell r="BGB1" t="str">
            <v>--</v>
          </cell>
          <cell r="BGC1" t="str">
            <v>--</v>
          </cell>
          <cell r="BGD1" t="str">
            <v>--</v>
          </cell>
          <cell r="BGE1" t="str">
            <v>--</v>
          </cell>
          <cell r="BGF1" t="str">
            <v>--</v>
          </cell>
          <cell r="BGG1" t="str">
            <v>--</v>
          </cell>
          <cell r="BGH1" t="str">
            <v>--</v>
          </cell>
          <cell r="BGI1" t="str">
            <v>--</v>
          </cell>
          <cell r="BGJ1" t="str">
            <v>--</v>
          </cell>
          <cell r="BGK1" t="str">
            <v>--</v>
          </cell>
          <cell r="BGL1" t="str">
            <v>--</v>
          </cell>
          <cell r="BGM1" t="str">
            <v>--</v>
          </cell>
          <cell r="BGN1" t="str">
            <v>--</v>
          </cell>
          <cell r="BGO1" t="str">
            <v>--</v>
          </cell>
          <cell r="BGP1" t="str">
            <v>--</v>
          </cell>
          <cell r="BGQ1" t="str">
            <v>--</v>
          </cell>
          <cell r="BGR1" t="str">
            <v>--</v>
          </cell>
          <cell r="BGS1" t="str">
            <v>--</v>
          </cell>
          <cell r="BGT1" t="str">
            <v>--</v>
          </cell>
          <cell r="BGU1" t="str">
            <v>--</v>
          </cell>
          <cell r="BGV1" t="str">
            <v>--</v>
          </cell>
          <cell r="BGW1" t="str">
            <v>--</v>
          </cell>
          <cell r="BGX1" t="str">
            <v>--</v>
          </cell>
          <cell r="BGY1" t="str">
            <v>--</v>
          </cell>
          <cell r="BGZ1" t="str">
            <v>--</v>
          </cell>
          <cell r="BHA1" t="str">
            <v>--</v>
          </cell>
          <cell r="BHB1" t="str">
            <v>--</v>
          </cell>
          <cell r="BHC1" t="str">
            <v>--</v>
          </cell>
          <cell r="BHD1" t="str">
            <v>--</v>
          </cell>
          <cell r="BHE1" t="str">
            <v>--</v>
          </cell>
          <cell r="BHF1" t="str">
            <v>--</v>
          </cell>
          <cell r="BHG1" t="str">
            <v>--</v>
          </cell>
          <cell r="BHH1" t="str">
            <v>--</v>
          </cell>
          <cell r="BHI1" t="str">
            <v>--</v>
          </cell>
          <cell r="BHJ1" t="str">
            <v>--</v>
          </cell>
          <cell r="BHK1" t="str">
            <v>--</v>
          </cell>
          <cell r="BHL1" t="str">
            <v>--</v>
          </cell>
          <cell r="BHM1" t="str">
            <v>--</v>
          </cell>
          <cell r="BHN1" t="str">
            <v>--</v>
          </cell>
          <cell r="BHO1" t="str">
            <v>--</v>
          </cell>
          <cell r="BHP1" t="str">
            <v>--</v>
          </cell>
          <cell r="BHQ1" t="str">
            <v>--</v>
          </cell>
          <cell r="BHR1" t="str">
            <v>--</v>
          </cell>
          <cell r="BHS1" t="str">
            <v>--</v>
          </cell>
          <cell r="BHT1" t="str">
            <v>--</v>
          </cell>
          <cell r="BHU1" t="str">
            <v>--</v>
          </cell>
          <cell r="BHV1" t="str">
            <v>--</v>
          </cell>
          <cell r="BHW1" t="str">
            <v>--</v>
          </cell>
          <cell r="BHX1" t="str">
            <v>--</v>
          </cell>
          <cell r="BHY1" t="str">
            <v>--</v>
          </cell>
          <cell r="BHZ1" t="str">
            <v>--</v>
          </cell>
          <cell r="BIA1" t="str">
            <v>--</v>
          </cell>
          <cell r="BIB1" t="str">
            <v>--</v>
          </cell>
          <cell r="BIC1" t="str">
            <v>--</v>
          </cell>
          <cell r="BID1" t="str">
            <v>--</v>
          </cell>
          <cell r="BIE1" t="str">
            <v>--</v>
          </cell>
          <cell r="BIF1" t="str">
            <v>--</v>
          </cell>
          <cell r="BIG1" t="str">
            <v>--</v>
          </cell>
          <cell r="BIH1" t="str">
            <v>--</v>
          </cell>
          <cell r="BII1" t="str">
            <v>--</v>
          </cell>
          <cell r="BIJ1" t="str">
            <v>--</v>
          </cell>
          <cell r="BIK1" t="str">
            <v>--</v>
          </cell>
          <cell r="BIL1" t="str">
            <v>--</v>
          </cell>
          <cell r="BIM1" t="str">
            <v>--</v>
          </cell>
          <cell r="BIN1" t="str">
            <v>--</v>
          </cell>
          <cell r="BIO1" t="str">
            <v>--</v>
          </cell>
          <cell r="BIP1" t="str">
            <v>--</v>
          </cell>
          <cell r="BIQ1" t="str">
            <v>--</v>
          </cell>
          <cell r="BIR1" t="str">
            <v>--</v>
          </cell>
          <cell r="BIS1" t="str">
            <v>--</v>
          </cell>
          <cell r="BIT1" t="str">
            <v>--</v>
          </cell>
          <cell r="BIU1" t="str">
            <v>--</v>
          </cell>
          <cell r="BIV1" t="str">
            <v>--</v>
          </cell>
          <cell r="BIW1" t="str">
            <v>--</v>
          </cell>
          <cell r="BIX1" t="str">
            <v>--</v>
          </cell>
          <cell r="BIY1" t="str">
            <v>--</v>
          </cell>
          <cell r="BIZ1" t="str">
            <v>--</v>
          </cell>
          <cell r="BJA1" t="str">
            <v>--</v>
          </cell>
          <cell r="BJB1" t="str">
            <v>--</v>
          </cell>
          <cell r="BJC1" t="str">
            <v>--</v>
          </cell>
          <cell r="BJD1" t="str">
            <v>--</v>
          </cell>
          <cell r="BJE1" t="str">
            <v>--</v>
          </cell>
          <cell r="BJF1" t="str">
            <v>--</v>
          </cell>
          <cell r="BJG1" t="str">
            <v>--</v>
          </cell>
          <cell r="BJH1" t="str">
            <v>--</v>
          </cell>
          <cell r="BJI1" t="str">
            <v>--</v>
          </cell>
          <cell r="BJJ1" t="str">
            <v>--</v>
          </cell>
          <cell r="BJK1" t="str">
            <v>--</v>
          </cell>
          <cell r="BJL1" t="str">
            <v>--</v>
          </cell>
          <cell r="BJM1" t="str">
            <v>--</v>
          </cell>
          <cell r="BJN1" t="str">
            <v>--</v>
          </cell>
          <cell r="BJO1" t="str">
            <v>--</v>
          </cell>
          <cell r="BJP1" t="str">
            <v>--</v>
          </cell>
          <cell r="BJQ1" t="str">
            <v>--</v>
          </cell>
          <cell r="BJR1" t="str">
            <v>--</v>
          </cell>
          <cell r="BJS1" t="str">
            <v>--</v>
          </cell>
          <cell r="BJT1" t="str">
            <v>--</v>
          </cell>
          <cell r="BJU1" t="str">
            <v>--</v>
          </cell>
          <cell r="BJV1" t="str">
            <v>--</v>
          </cell>
          <cell r="BJW1" t="str">
            <v>--</v>
          </cell>
          <cell r="BJX1" t="str">
            <v>--</v>
          </cell>
          <cell r="BJY1" t="str">
            <v>--</v>
          </cell>
          <cell r="BJZ1" t="str">
            <v>--</v>
          </cell>
          <cell r="BKA1" t="str">
            <v>--</v>
          </cell>
          <cell r="BKB1" t="str">
            <v>--</v>
          </cell>
          <cell r="BKC1" t="str">
            <v>--</v>
          </cell>
          <cell r="BKD1" t="str">
            <v>--</v>
          </cell>
          <cell r="BKE1" t="str">
            <v>--</v>
          </cell>
          <cell r="BKF1" t="str">
            <v>--</v>
          </cell>
          <cell r="BKG1" t="str">
            <v>--</v>
          </cell>
          <cell r="BKH1" t="str">
            <v>--</v>
          </cell>
          <cell r="BKI1" t="str">
            <v>--</v>
          </cell>
          <cell r="BKJ1" t="str">
            <v>--</v>
          </cell>
          <cell r="BKK1" t="str">
            <v>--</v>
          </cell>
          <cell r="BKL1" t="str">
            <v>--</v>
          </cell>
          <cell r="BKM1" t="str">
            <v>--</v>
          </cell>
          <cell r="BKN1" t="str">
            <v>--</v>
          </cell>
          <cell r="BKO1" t="str">
            <v>--</v>
          </cell>
          <cell r="BKP1" t="str">
            <v>--</v>
          </cell>
          <cell r="BKQ1" t="str">
            <v>--</v>
          </cell>
          <cell r="BKR1" t="str">
            <v>--</v>
          </cell>
          <cell r="BKS1" t="str">
            <v>--</v>
          </cell>
          <cell r="BKT1" t="str">
            <v>--</v>
          </cell>
          <cell r="BKU1" t="str">
            <v>--</v>
          </cell>
          <cell r="BKV1" t="str">
            <v>--</v>
          </cell>
          <cell r="BKW1" t="str">
            <v>--</v>
          </cell>
          <cell r="BKX1" t="str">
            <v>--</v>
          </cell>
          <cell r="BKY1" t="str">
            <v>--</v>
          </cell>
          <cell r="BKZ1" t="str">
            <v>--</v>
          </cell>
          <cell r="BLA1" t="str">
            <v>--</v>
          </cell>
          <cell r="BLB1" t="str">
            <v>--</v>
          </cell>
          <cell r="BLC1" t="str">
            <v>--</v>
          </cell>
          <cell r="BLD1" t="str">
            <v>--</v>
          </cell>
          <cell r="BLE1" t="str">
            <v>--</v>
          </cell>
          <cell r="BLF1" t="str">
            <v>--</v>
          </cell>
          <cell r="BLG1" t="str">
            <v>--</v>
          </cell>
          <cell r="BLH1" t="str">
            <v>--</v>
          </cell>
          <cell r="BLI1" t="str">
            <v>--</v>
          </cell>
          <cell r="BLJ1" t="str">
            <v>--</v>
          </cell>
          <cell r="BLK1" t="str">
            <v>--</v>
          </cell>
          <cell r="BLL1" t="str">
            <v>--</v>
          </cell>
          <cell r="BLM1" t="str">
            <v>--</v>
          </cell>
          <cell r="BLN1" t="str">
            <v>--</v>
          </cell>
          <cell r="BLO1" t="str">
            <v>--</v>
          </cell>
          <cell r="BLP1" t="str">
            <v>--</v>
          </cell>
          <cell r="BLQ1" t="str">
            <v>--</v>
          </cell>
          <cell r="BLR1" t="str">
            <v>--</v>
          </cell>
          <cell r="BLS1" t="str">
            <v>--</v>
          </cell>
          <cell r="BLT1" t="str">
            <v>--</v>
          </cell>
          <cell r="BLU1" t="str">
            <v>--</v>
          </cell>
          <cell r="BLV1" t="str">
            <v>--</v>
          </cell>
          <cell r="BLW1" t="str">
            <v>--</v>
          </cell>
          <cell r="BLX1" t="str">
            <v>--</v>
          </cell>
          <cell r="BLY1" t="str">
            <v>--</v>
          </cell>
          <cell r="BLZ1" t="str">
            <v>--</v>
          </cell>
          <cell r="BMA1" t="str">
            <v>--</v>
          </cell>
          <cell r="BMB1" t="str">
            <v>--</v>
          </cell>
          <cell r="BMC1" t="str">
            <v>--</v>
          </cell>
          <cell r="BMD1" t="str">
            <v>--</v>
          </cell>
          <cell r="BME1" t="str">
            <v>--</v>
          </cell>
          <cell r="BMF1" t="str">
            <v>--</v>
          </cell>
          <cell r="BMG1" t="str">
            <v>--</v>
          </cell>
          <cell r="BMH1" t="str">
            <v>--</v>
          </cell>
          <cell r="BMI1" t="str">
            <v>--</v>
          </cell>
          <cell r="BMJ1" t="str">
            <v>--</v>
          </cell>
          <cell r="BMK1" t="str">
            <v>--</v>
          </cell>
          <cell r="BML1" t="str">
            <v>--</v>
          </cell>
          <cell r="BMM1" t="str">
            <v>--</v>
          </cell>
          <cell r="BMN1" t="str">
            <v>--</v>
          </cell>
          <cell r="BMO1" t="str">
            <v>--</v>
          </cell>
          <cell r="BMP1" t="str">
            <v>--</v>
          </cell>
          <cell r="BMQ1" t="str">
            <v>--</v>
          </cell>
          <cell r="BMR1" t="str">
            <v>--</v>
          </cell>
          <cell r="BMS1" t="str">
            <v>--</v>
          </cell>
          <cell r="BMT1" t="str">
            <v>--</v>
          </cell>
          <cell r="BMU1" t="str">
            <v>--</v>
          </cell>
          <cell r="BMV1" t="str">
            <v>--</v>
          </cell>
          <cell r="BMW1" t="str">
            <v>--</v>
          </cell>
          <cell r="BMX1" t="str">
            <v>--</v>
          </cell>
          <cell r="BMY1" t="str">
            <v>--</v>
          </cell>
          <cell r="BMZ1" t="str">
            <v>--</v>
          </cell>
          <cell r="BNA1" t="str">
            <v>--</v>
          </cell>
          <cell r="BNB1" t="str">
            <v>--</v>
          </cell>
          <cell r="BNC1" t="str">
            <v>--</v>
          </cell>
          <cell r="BND1" t="str">
            <v>--</v>
          </cell>
          <cell r="BNE1" t="str">
            <v>--</v>
          </cell>
          <cell r="BNF1" t="str">
            <v>--</v>
          </cell>
          <cell r="BNG1" t="str">
            <v>--</v>
          </cell>
          <cell r="BNH1" t="str">
            <v>--</v>
          </cell>
          <cell r="BNI1" t="str">
            <v>--</v>
          </cell>
          <cell r="BNJ1" t="str">
            <v>--</v>
          </cell>
          <cell r="BNK1" t="str">
            <v>--</v>
          </cell>
          <cell r="BNL1" t="str">
            <v>--</v>
          </cell>
          <cell r="BNM1" t="str">
            <v>--</v>
          </cell>
          <cell r="BNN1" t="str">
            <v>--</v>
          </cell>
          <cell r="BNO1" t="str">
            <v>--</v>
          </cell>
          <cell r="BNP1" t="str">
            <v>--</v>
          </cell>
          <cell r="BNQ1" t="str">
            <v>--</v>
          </cell>
          <cell r="BNR1" t="str">
            <v>--</v>
          </cell>
          <cell r="BNS1" t="str">
            <v>--</v>
          </cell>
          <cell r="BNT1" t="str">
            <v>--</v>
          </cell>
          <cell r="BNU1" t="str">
            <v>--</v>
          </cell>
          <cell r="BNV1" t="str">
            <v>--</v>
          </cell>
          <cell r="BNW1" t="str">
            <v>--</v>
          </cell>
          <cell r="BNX1" t="str">
            <v>--</v>
          </cell>
          <cell r="BNY1" t="str">
            <v>--</v>
          </cell>
          <cell r="BNZ1" t="str">
            <v>--</v>
          </cell>
          <cell r="BOA1" t="str">
            <v>--</v>
          </cell>
          <cell r="BOB1" t="str">
            <v>--</v>
          </cell>
          <cell r="BOC1" t="str">
            <v>--</v>
          </cell>
          <cell r="BOD1" t="str">
            <v>--</v>
          </cell>
          <cell r="BOE1" t="str">
            <v>--</v>
          </cell>
          <cell r="BOF1" t="str">
            <v>--</v>
          </cell>
          <cell r="BOG1" t="str">
            <v>--</v>
          </cell>
          <cell r="BOH1" t="str">
            <v>--</v>
          </cell>
          <cell r="BOI1" t="str">
            <v>--</v>
          </cell>
          <cell r="BOJ1" t="str">
            <v>--</v>
          </cell>
          <cell r="BOK1" t="str">
            <v>--</v>
          </cell>
          <cell r="BOL1" t="str">
            <v>--</v>
          </cell>
          <cell r="BOM1" t="str">
            <v>--</v>
          </cell>
          <cell r="BON1" t="str">
            <v>--</v>
          </cell>
          <cell r="BOO1" t="str">
            <v>--</v>
          </cell>
          <cell r="BOP1" t="str">
            <v>--</v>
          </cell>
          <cell r="BOQ1" t="str">
            <v>--</v>
          </cell>
          <cell r="BOR1" t="str">
            <v>--</v>
          </cell>
          <cell r="BOS1" t="str">
            <v>--</v>
          </cell>
          <cell r="BOT1" t="str">
            <v>--</v>
          </cell>
          <cell r="BOU1" t="str">
            <v>--</v>
          </cell>
          <cell r="BOV1" t="str">
            <v>--</v>
          </cell>
          <cell r="BOW1" t="str">
            <v>--</v>
          </cell>
          <cell r="BOX1" t="str">
            <v>--</v>
          </cell>
          <cell r="BOY1" t="str">
            <v>--</v>
          </cell>
          <cell r="BOZ1" t="str">
            <v>--</v>
          </cell>
          <cell r="BPA1" t="str">
            <v>--</v>
          </cell>
          <cell r="BPB1" t="str">
            <v>--</v>
          </cell>
          <cell r="BPC1" t="str">
            <v>--</v>
          </cell>
          <cell r="BPD1" t="str">
            <v>--</v>
          </cell>
          <cell r="BPE1" t="str">
            <v>--</v>
          </cell>
          <cell r="BPF1" t="str">
            <v>--</v>
          </cell>
          <cell r="BPG1" t="str">
            <v>--</v>
          </cell>
          <cell r="BPH1" t="str">
            <v>--</v>
          </cell>
          <cell r="BPI1" t="str">
            <v>--</v>
          </cell>
          <cell r="BPJ1" t="str">
            <v>--</v>
          </cell>
          <cell r="BPK1" t="str">
            <v>--</v>
          </cell>
          <cell r="BPL1" t="str">
            <v>--</v>
          </cell>
          <cell r="BPM1" t="str">
            <v>--</v>
          </cell>
          <cell r="BPN1" t="str">
            <v>--</v>
          </cell>
          <cell r="BPO1" t="str">
            <v>--</v>
          </cell>
          <cell r="BPP1" t="str">
            <v>--</v>
          </cell>
          <cell r="BPQ1" t="str">
            <v>--</v>
          </cell>
          <cell r="BPR1" t="str">
            <v>--</v>
          </cell>
          <cell r="BPS1" t="str">
            <v>--</v>
          </cell>
          <cell r="BPT1" t="str">
            <v>--</v>
          </cell>
          <cell r="BPU1" t="str">
            <v>--</v>
          </cell>
          <cell r="BPV1" t="str">
            <v>--</v>
          </cell>
          <cell r="BPW1" t="str">
            <v>--</v>
          </cell>
          <cell r="BPX1" t="str">
            <v>--</v>
          </cell>
          <cell r="BPY1" t="str">
            <v>--</v>
          </cell>
          <cell r="BPZ1" t="str">
            <v>--</v>
          </cell>
          <cell r="BQA1" t="str">
            <v>--</v>
          </cell>
          <cell r="BQB1" t="str">
            <v>--</v>
          </cell>
          <cell r="BQC1" t="str">
            <v>--</v>
          </cell>
          <cell r="BQD1" t="str">
            <v>--</v>
          </cell>
          <cell r="BQE1" t="str">
            <v>--</v>
          </cell>
          <cell r="BQF1" t="str">
            <v>--</v>
          </cell>
          <cell r="BQG1" t="str">
            <v>--</v>
          </cell>
          <cell r="BQH1" t="str">
            <v>--</v>
          </cell>
          <cell r="BQI1" t="str">
            <v>--</v>
          </cell>
          <cell r="BQJ1" t="str">
            <v>--</v>
          </cell>
          <cell r="BQK1" t="str">
            <v>--</v>
          </cell>
          <cell r="BQL1" t="str">
            <v>--</v>
          </cell>
          <cell r="BQM1" t="str">
            <v>--</v>
          </cell>
          <cell r="BQN1" t="str">
            <v>--</v>
          </cell>
          <cell r="BQO1" t="str">
            <v>--</v>
          </cell>
          <cell r="BQP1" t="str">
            <v>--</v>
          </cell>
          <cell r="BQQ1" t="str">
            <v>--</v>
          </cell>
          <cell r="BQR1" t="str">
            <v>--</v>
          </cell>
          <cell r="BQS1" t="str">
            <v>--</v>
          </cell>
          <cell r="BQT1" t="str">
            <v>--</v>
          </cell>
          <cell r="BQU1" t="str">
            <v>--</v>
          </cell>
          <cell r="BQV1" t="str">
            <v>--</v>
          </cell>
          <cell r="BQW1" t="str">
            <v>--</v>
          </cell>
          <cell r="BQX1" t="str">
            <v>--</v>
          </cell>
          <cell r="BQY1" t="str">
            <v>--</v>
          </cell>
          <cell r="BQZ1" t="str">
            <v>--</v>
          </cell>
          <cell r="BRA1" t="str">
            <v>--</v>
          </cell>
          <cell r="BRB1" t="str">
            <v>--</v>
          </cell>
          <cell r="BRC1" t="str">
            <v>--</v>
          </cell>
          <cell r="BRD1" t="str">
            <v>--</v>
          </cell>
          <cell r="BRE1" t="str">
            <v>--</v>
          </cell>
          <cell r="BRF1" t="str">
            <v>--</v>
          </cell>
          <cell r="BRG1" t="str">
            <v>--</v>
          </cell>
          <cell r="BRH1" t="str">
            <v>--</v>
          </cell>
          <cell r="BRI1" t="str">
            <v>--</v>
          </cell>
          <cell r="BRJ1" t="str">
            <v>--</v>
          </cell>
          <cell r="BRK1" t="str">
            <v>--</v>
          </cell>
          <cell r="BRL1" t="str">
            <v>--</v>
          </cell>
          <cell r="BRM1" t="str">
            <v>--</v>
          </cell>
          <cell r="BRN1" t="str">
            <v>--</v>
          </cell>
          <cell r="BRO1" t="str">
            <v>--</v>
          </cell>
          <cell r="BRP1" t="str">
            <v>--</v>
          </cell>
          <cell r="BRQ1" t="str">
            <v>--</v>
          </cell>
          <cell r="BRR1" t="str">
            <v>--</v>
          </cell>
          <cell r="BRS1" t="str">
            <v>--</v>
          </cell>
          <cell r="BRT1" t="str">
            <v>--</v>
          </cell>
          <cell r="BRU1" t="str">
            <v>--</v>
          </cell>
          <cell r="BRV1" t="str">
            <v>--</v>
          </cell>
          <cell r="BRW1" t="str">
            <v>--</v>
          </cell>
          <cell r="BRX1" t="str">
            <v>--</v>
          </cell>
          <cell r="BRY1" t="str">
            <v>--</v>
          </cell>
          <cell r="BRZ1" t="str">
            <v>--</v>
          </cell>
          <cell r="BSA1" t="str">
            <v>--</v>
          </cell>
          <cell r="BSB1" t="str">
            <v>--</v>
          </cell>
          <cell r="BSC1" t="str">
            <v>--</v>
          </cell>
          <cell r="BSD1" t="str">
            <v>--</v>
          </cell>
          <cell r="BSE1" t="str">
            <v>--</v>
          </cell>
          <cell r="BSF1" t="str">
            <v>--</v>
          </cell>
          <cell r="BSG1" t="str">
            <v>--</v>
          </cell>
          <cell r="BSH1" t="str">
            <v>--</v>
          </cell>
          <cell r="BSI1" t="str">
            <v>--</v>
          </cell>
          <cell r="BSJ1" t="str">
            <v>--</v>
          </cell>
          <cell r="BSK1" t="str">
            <v>--</v>
          </cell>
          <cell r="BSL1" t="str">
            <v>--</v>
          </cell>
          <cell r="BSM1" t="str">
            <v>--</v>
          </cell>
          <cell r="BSN1" t="str">
            <v>--</v>
          </cell>
          <cell r="BSO1" t="str">
            <v>--</v>
          </cell>
          <cell r="BSP1" t="str">
            <v>--</v>
          </cell>
          <cell r="BSQ1" t="str">
            <v>--</v>
          </cell>
          <cell r="BSR1" t="str">
            <v>--</v>
          </cell>
          <cell r="BSS1" t="str">
            <v>--</v>
          </cell>
          <cell r="BST1" t="str">
            <v>--</v>
          </cell>
          <cell r="BSU1" t="str">
            <v>--</v>
          </cell>
          <cell r="BSV1" t="str">
            <v>--</v>
          </cell>
          <cell r="BSW1" t="str">
            <v>--</v>
          </cell>
          <cell r="BSX1" t="str">
            <v>--</v>
          </cell>
          <cell r="BSY1" t="str">
            <v>--</v>
          </cell>
          <cell r="BSZ1" t="str">
            <v>--</v>
          </cell>
          <cell r="BTA1" t="str">
            <v>--</v>
          </cell>
          <cell r="BTB1" t="str">
            <v>--</v>
          </cell>
          <cell r="BTC1" t="str">
            <v>--</v>
          </cell>
          <cell r="BTD1" t="str">
            <v>--</v>
          </cell>
          <cell r="BTE1" t="str">
            <v>--</v>
          </cell>
          <cell r="BTF1" t="str">
            <v>--</v>
          </cell>
          <cell r="BTG1" t="str">
            <v>--</v>
          </cell>
          <cell r="BTH1" t="str">
            <v>--</v>
          </cell>
          <cell r="BTI1" t="str">
            <v>--</v>
          </cell>
          <cell r="BTJ1" t="str">
            <v>--</v>
          </cell>
          <cell r="BTK1" t="str">
            <v>--</v>
          </cell>
          <cell r="BTL1" t="str">
            <v>--</v>
          </cell>
          <cell r="BTM1" t="str">
            <v>--</v>
          </cell>
          <cell r="BTN1" t="str">
            <v>--</v>
          </cell>
          <cell r="BTO1" t="str">
            <v>--</v>
          </cell>
          <cell r="BTP1" t="str">
            <v>--</v>
          </cell>
          <cell r="BTQ1" t="str">
            <v>--</v>
          </cell>
          <cell r="BTR1" t="str">
            <v>--</v>
          </cell>
          <cell r="BTS1" t="str">
            <v>--</v>
          </cell>
          <cell r="BTT1" t="str">
            <v>--</v>
          </cell>
          <cell r="BTU1" t="str">
            <v>--</v>
          </cell>
          <cell r="BTV1" t="str">
            <v>--</v>
          </cell>
          <cell r="BTW1" t="str">
            <v>--</v>
          </cell>
          <cell r="BTX1" t="str">
            <v>--</v>
          </cell>
          <cell r="BTY1" t="str">
            <v>--</v>
          </cell>
          <cell r="BTZ1" t="str">
            <v>--</v>
          </cell>
          <cell r="BUA1" t="str">
            <v>--</v>
          </cell>
          <cell r="BUB1" t="str">
            <v>--</v>
          </cell>
          <cell r="BUC1" t="str">
            <v>--</v>
          </cell>
          <cell r="BUD1" t="str">
            <v>--</v>
          </cell>
          <cell r="BUE1" t="str">
            <v>--</v>
          </cell>
          <cell r="BUF1" t="str">
            <v>--</v>
          </cell>
          <cell r="BUG1" t="str">
            <v>--</v>
          </cell>
          <cell r="BUH1" t="str">
            <v>--</v>
          </cell>
          <cell r="BUI1" t="str">
            <v>--</v>
          </cell>
          <cell r="BUJ1" t="str">
            <v>--</v>
          </cell>
          <cell r="BUK1" t="str">
            <v>--</v>
          </cell>
          <cell r="BUL1" t="str">
            <v>--</v>
          </cell>
          <cell r="BUM1" t="str">
            <v>--</v>
          </cell>
          <cell r="BUN1" t="str">
            <v>--</v>
          </cell>
          <cell r="BUO1" t="str">
            <v>--</v>
          </cell>
          <cell r="BUP1" t="str">
            <v>--</v>
          </cell>
          <cell r="BUQ1" t="str">
            <v>--</v>
          </cell>
          <cell r="BUR1" t="str">
            <v>--</v>
          </cell>
          <cell r="BUS1" t="str">
            <v>--</v>
          </cell>
          <cell r="BUT1" t="str">
            <v>--</v>
          </cell>
          <cell r="BUU1" t="str">
            <v>--</v>
          </cell>
          <cell r="BUV1" t="str">
            <v>--</v>
          </cell>
          <cell r="BUW1" t="str">
            <v>--</v>
          </cell>
          <cell r="BUX1" t="str">
            <v>--</v>
          </cell>
          <cell r="BUY1" t="str">
            <v>--</v>
          </cell>
          <cell r="BUZ1" t="str">
            <v>--</v>
          </cell>
          <cell r="BVA1" t="str">
            <v>--</v>
          </cell>
          <cell r="BVB1" t="str">
            <v>--</v>
          </cell>
          <cell r="BVC1" t="str">
            <v>--</v>
          </cell>
          <cell r="BVD1" t="str">
            <v>--</v>
          </cell>
          <cell r="BVE1" t="str">
            <v>--</v>
          </cell>
          <cell r="BVF1" t="str">
            <v>--</v>
          </cell>
          <cell r="BVG1" t="str">
            <v>--</v>
          </cell>
          <cell r="BVH1" t="str">
            <v>--</v>
          </cell>
          <cell r="BVI1" t="str">
            <v>--</v>
          </cell>
          <cell r="BVJ1" t="str">
            <v>--</v>
          </cell>
          <cell r="BVK1" t="str">
            <v>--</v>
          </cell>
          <cell r="BVL1" t="str">
            <v>--</v>
          </cell>
          <cell r="BVM1" t="str">
            <v>--</v>
          </cell>
          <cell r="BVN1" t="str">
            <v>--</v>
          </cell>
          <cell r="BVO1" t="str">
            <v>--</v>
          </cell>
          <cell r="BVP1" t="str">
            <v>--</v>
          </cell>
          <cell r="BVQ1" t="str">
            <v>--</v>
          </cell>
          <cell r="BVR1" t="str">
            <v>--</v>
          </cell>
          <cell r="BVS1" t="str">
            <v>--</v>
          </cell>
          <cell r="BVT1" t="str">
            <v>--</v>
          </cell>
          <cell r="BVU1" t="str">
            <v>--</v>
          </cell>
          <cell r="BVV1" t="str">
            <v>--</v>
          </cell>
          <cell r="BVW1" t="str">
            <v>--</v>
          </cell>
          <cell r="BVX1" t="str">
            <v>--</v>
          </cell>
          <cell r="BVY1" t="str">
            <v>--</v>
          </cell>
          <cell r="BVZ1" t="str">
            <v>--</v>
          </cell>
          <cell r="BWA1" t="str">
            <v>--</v>
          </cell>
          <cell r="BWB1" t="str">
            <v>--</v>
          </cell>
          <cell r="BWC1" t="str">
            <v>--</v>
          </cell>
          <cell r="BWD1" t="str">
            <v>--</v>
          </cell>
          <cell r="BWE1" t="str">
            <v>--</v>
          </cell>
          <cell r="BWF1" t="str">
            <v>--</v>
          </cell>
          <cell r="BWG1" t="str">
            <v>--</v>
          </cell>
          <cell r="BWH1" t="str">
            <v>--</v>
          </cell>
          <cell r="BWI1" t="str">
            <v>--</v>
          </cell>
          <cell r="BWJ1" t="str">
            <v>--</v>
          </cell>
          <cell r="BWK1" t="str">
            <v>--</v>
          </cell>
          <cell r="BWL1" t="str">
            <v>--</v>
          </cell>
          <cell r="BWM1" t="str">
            <v>--</v>
          </cell>
          <cell r="BWN1" t="str">
            <v>--</v>
          </cell>
          <cell r="BWO1" t="str">
            <v>--</v>
          </cell>
          <cell r="BWP1" t="str">
            <v>--</v>
          </cell>
          <cell r="BWQ1" t="str">
            <v>--</v>
          </cell>
          <cell r="BWR1" t="str">
            <v>--</v>
          </cell>
          <cell r="BWS1" t="str">
            <v>--</v>
          </cell>
          <cell r="BWT1" t="str">
            <v>--</v>
          </cell>
          <cell r="BWU1" t="str">
            <v>--</v>
          </cell>
          <cell r="BWV1" t="str">
            <v>--</v>
          </cell>
          <cell r="BWW1" t="str">
            <v>--</v>
          </cell>
          <cell r="BWX1" t="str">
            <v>--</v>
          </cell>
          <cell r="BWY1" t="str">
            <v>--</v>
          </cell>
          <cell r="BWZ1" t="str">
            <v>--</v>
          </cell>
          <cell r="BXA1" t="str">
            <v>--</v>
          </cell>
          <cell r="BXB1" t="str">
            <v>--</v>
          </cell>
          <cell r="BXC1" t="str">
            <v>--</v>
          </cell>
          <cell r="BXD1" t="str">
            <v>--</v>
          </cell>
          <cell r="BXE1" t="str">
            <v>--</v>
          </cell>
          <cell r="BXF1" t="str">
            <v>--</v>
          </cell>
          <cell r="BXG1" t="str">
            <v>--</v>
          </cell>
          <cell r="BXH1" t="str">
            <v>--</v>
          </cell>
          <cell r="BXI1" t="str">
            <v>--</v>
          </cell>
          <cell r="BXJ1" t="str">
            <v>--</v>
          </cell>
          <cell r="BXK1" t="str">
            <v>--</v>
          </cell>
          <cell r="BXL1" t="str">
            <v>--</v>
          </cell>
          <cell r="BXM1" t="str">
            <v>--</v>
          </cell>
          <cell r="BXN1" t="str">
            <v>--</v>
          </cell>
          <cell r="BXO1" t="str">
            <v>--</v>
          </cell>
          <cell r="BXP1" t="str">
            <v>--</v>
          </cell>
          <cell r="BXQ1" t="str">
            <v>--</v>
          </cell>
          <cell r="BXR1" t="str">
            <v>--</v>
          </cell>
          <cell r="BXS1" t="str">
            <v>--</v>
          </cell>
          <cell r="BXT1" t="str">
            <v>--</v>
          </cell>
          <cell r="BXU1" t="str">
            <v>--</v>
          </cell>
          <cell r="BXV1" t="str">
            <v>--</v>
          </cell>
          <cell r="BXW1" t="str">
            <v>--</v>
          </cell>
          <cell r="BXX1" t="str">
            <v>--</v>
          </cell>
          <cell r="BXY1" t="str">
            <v>--</v>
          </cell>
          <cell r="BXZ1" t="str">
            <v>--</v>
          </cell>
          <cell r="BYA1" t="str">
            <v>--</v>
          </cell>
          <cell r="BYB1" t="str">
            <v>--</v>
          </cell>
          <cell r="BYC1" t="str">
            <v>--</v>
          </cell>
          <cell r="BYD1" t="str">
            <v>--</v>
          </cell>
          <cell r="BYE1" t="str">
            <v>--</v>
          </cell>
          <cell r="BYF1" t="str">
            <v>--</v>
          </cell>
          <cell r="BYG1" t="str">
            <v>--</v>
          </cell>
          <cell r="BYH1" t="str">
            <v>--</v>
          </cell>
          <cell r="BYI1" t="str">
            <v>--</v>
          </cell>
          <cell r="BYJ1" t="str">
            <v>--</v>
          </cell>
          <cell r="BYK1" t="str">
            <v>--</v>
          </cell>
          <cell r="BYL1" t="str">
            <v>--</v>
          </cell>
          <cell r="BYM1" t="str">
            <v>--</v>
          </cell>
          <cell r="BYN1" t="str">
            <v>--</v>
          </cell>
          <cell r="BYO1" t="str">
            <v>--</v>
          </cell>
          <cell r="BYP1" t="str">
            <v>--</v>
          </cell>
          <cell r="BYQ1" t="str">
            <v>--</v>
          </cell>
          <cell r="BYR1" t="str">
            <v>--</v>
          </cell>
          <cell r="BYS1" t="str">
            <v>--</v>
          </cell>
          <cell r="BYT1" t="str">
            <v>--</v>
          </cell>
          <cell r="BYU1" t="str">
            <v>--</v>
          </cell>
          <cell r="BYV1" t="str">
            <v>--</v>
          </cell>
          <cell r="BYW1" t="str">
            <v>--</v>
          </cell>
          <cell r="BYX1" t="str">
            <v>--</v>
          </cell>
          <cell r="BYY1" t="str">
            <v>--</v>
          </cell>
          <cell r="BYZ1" t="str">
            <v>--</v>
          </cell>
          <cell r="BZA1" t="str">
            <v>--</v>
          </cell>
          <cell r="BZB1" t="str">
            <v>--</v>
          </cell>
          <cell r="BZC1" t="str">
            <v>--</v>
          </cell>
          <cell r="BZD1" t="str">
            <v>--</v>
          </cell>
          <cell r="BZE1" t="str">
            <v>--</v>
          </cell>
          <cell r="BZF1" t="str">
            <v>--</v>
          </cell>
          <cell r="BZG1" t="str">
            <v>--</v>
          </cell>
          <cell r="BZH1" t="str">
            <v>--</v>
          </cell>
          <cell r="BZI1" t="str">
            <v>--</v>
          </cell>
          <cell r="BZJ1" t="str">
            <v>--</v>
          </cell>
          <cell r="BZK1" t="str">
            <v>--</v>
          </cell>
          <cell r="BZL1" t="str">
            <v>--</v>
          </cell>
          <cell r="BZM1" t="str">
            <v>--</v>
          </cell>
          <cell r="BZN1" t="str">
            <v>--</v>
          </cell>
          <cell r="BZO1" t="str">
            <v>--</v>
          </cell>
          <cell r="BZP1" t="str">
            <v>--</v>
          </cell>
          <cell r="BZQ1" t="str">
            <v>--</v>
          </cell>
          <cell r="BZR1" t="str">
            <v>--</v>
          </cell>
          <cell r="BZS1" t="str">
            <v>--</v>
          </cell>
          <cell r="BZT1" t="str">
            <v>--</v>
          </cell>
          <cell r="BZU1" t="str">
            <v>--</v>
          </cell>
          <cell r="BZV1" t="str">
            <v>--</v>
          </cell>
          <cell r="BZW1" t="str">
            <v>--</v>
          </cell>
          <cell r="BZX1" t="str">
            <v>--</v>
          </cell>
          <cell r="BZY1" t="str">
            <v>--</v>
          </cell>
          <cell r="BZZ1" t="str">
            <v>--</v>
          </cell>
          <cell r="CAA1" t="str">
            <v>--</v>
          </cell>
          <cell r="CAB1" t="str">
            <v>--</v>
          </cell>
          <cell r="CAC1" t="str">
            <v>--</v>
          </cell>
          <cell r="CAD1" t="str">
            <v>--</v>
          </cell>
          <cell r="CAE1" t="str">
            <v>--</v>
          </cell>
          <cell r="CAF1" t="str">
            <v>--</v>
          </cell>
          <cell r="CAG1" t="str">
            <v>--</v>
          </cell>
          <cell r="CAH1" t="str">
            <v>--</v>
          </cell>
          <cell r="CAI1" t="str">
            <v>--</v>
          </cell>
          <cell r="CAJ1" t="str">
            <v>--</v>
          </cell>
          <cell r="CAK1" t="str">
            <v>--</v>
          </cell>
          <cell r="CAL1" t="str">
            <v>--</v>
          </cell>
          <cell r="CAM1" t="str">
            <v>--</v>
          </cell>
          <cell r="CAN1" t="str">
            <v>--</v>
          </cell>
          <cell r="CAO1" t="str">
            <v>--</v>
          </cell>
          <cell r="CAP1" t="str">
            <v>--</v>
          </cell>
          <cell r="CAQ1" t="str">
            <v>--</v>
          </cell>
          <cell r="CAR1" t="str">
            <v>--</v>
          </cell>
          <cell r="CAS1" t="str">
            <v>--</v>
          </cell>
          <cell r="CAT1" t="str">
            <v>--</v>
          </cell>
          <cell r="CAU1" t="str">
            <v>--</v>
          </cell>
          <cell r="CAV1" t="str">
            <v>--</v>
          </cell>
          <cell r="CAW1" t="str">
            <v>--</v>
          </cell>
          <cell r="CAX1" t="str">
            <v>--</v>
          </cell>
          <cell r="CAY1" t="str">
            <v>--</v>
          </cell>
          <cell r="CAZ1" t="str">
            <v>--</v>
          </cell>
          <cell r="CBA1" t="str">
            <v>--</v>
          </cell>
          <cell r="CBB1" t="str">
            <v>--</v>
          </cell>
          <cell r="CBC1" t="str">
            <v>--</v>
          </cell>
          <cell r="CBD1" t="str">
            <v>--</v>
          </cell>
          <cell r="CBE1" t="str">
            <v>--</v>
          </cell>
          <cell r="CBF1" t="str">
            <v>--</v>
          </cell>
          <cell r="CBG1" t="str">
            <v>--</v>
          </cell>
          <cell r="CBH1" t="str">
            <v>--</v>
          </cell>
          <cell r="CBI1" t="str">
            <v>--</v>
          </cell>
          <cell r="CBJ1" t="str">
            <v>--</v>
          </cell>
          <cell r="CBK1" t="str">
            <v>--</v>
          </cell>
          <cell r="CBL1" t="str">
            <v>--</v>
          </cell>
          <cell r="CBM1" t="str">
            <v>--</v>
          </cell>
          <cell r="CBN1" t="str">
            <v>--</v>
          </cell>
          <cell r="CBO1" t="str">
            <v>--</v>
          </cell>
          <cell r="CBP1" t="str">
            <v>--</v>
          </cell>
          <cell r="CBQ1" t="str">
            <v>--</v>
          </cell>
          <cell r="CBR1" t="str">
            <v>--</v>
          </cell>
          <cell r="CBS1" t="str">
            <v>--</v>
          </cell>
          <cell r="CBT1" t="str">
            <v>--</v>
          </cell>
          <cell r="CBU1" t="str">
            <v>--</v>
          </cell>
          <cell r="CBV1" t="str">
            <v>--</v>
          </cell>
          <cell r="CBW1" t="str">
            <v>--</v>
          </cell>
          <cell r="CBX1" t="str">
            <v>--</v>
          </cell>
          <cell r="CBY1" t="str">
            <v>--</v>
          </cell>
          <cell r="CBZ1" t="str">
            <v>--</v>
          </cell>
          <cell r="CCA1" t="str">
            <v>--</v>
          </cell>
          <cell r="CCB1" t="str">
            <v>--</v>
          </cell>
          <cell r="CCC1" t="str">
            <v>--</v>
          </cell>
          <cell r="CCD1" t="str">
            <v>--</v>
          </cell>
          <cell r="CCE1" t="str">
            <v>--</v>
          </cell>
          <cell r="CCF1" t="str">
            <v>--</v>
          </cell>
          <cell r="CCG1" t="str">
            <v>--</v>
          </cell>
          <cell r="CCH1" t="str">
            <v>--</v>
          </cell>
          <cell r="CCI1" t="str">
            <v>--</v>
          </cell>
          <cell r="CCJ1" t="str">
            <v>--</v>
          </cell>
          <cell r="CCK1" t="str">
            <v>--</v>
          </cell>
          <cell r="CCL1" t="str">
            <v>--</v>
          </cell>
          <cell r="CCM1" t="str">
            <v>--</v>
          </cell>
          <cell r="CCN1" t="str">
            <v>--</v>
          </cell>
          <cell r="CCO1" t="str">
            <v>--</v>
          </cell>
          <cell r="CCP1" t="str">
            <v>--</v>
          </cell>
          <cell r="CCQ1" t="str">
            <v>--</v>
          </cell>
          <cell r="CCR1" t="str">
            <v>--</v>
          </cell>
          <cell r="CCS1" t="str">
            <v>--</v>
          </cell>
          <cell r="CCT1" t="str">
            <v>--</v>
          </cell>
          <cell r="CCU1" t="str">
            <v>--</v>
          </cell>
          <cell r="CCV1" t="str">
            <v>--</v>
          </cell>
          <cell r="CCW1" t="str">
            <v>--</v>
          </cell>
          <cell r="CCX1" t="str">
            <v>--</v>
          </cell>
          <cell r="CCY1" t="str">
            <v>--</v>
          </cell>
          <cell r="CCZ1" t="str">
            <v>--</v>
          </cell>
          <cell r="CDA1" t="str">
            <v>--</v>
          </cell>
          <cell r="CDB1" t="str">
            <v>--</v>
          </cell>
          <cell r="CDC1" t="str">
            <v>--</v>
          </cell>
          <cell r="CDD1" t="str">
            <v>--</v>
          </cell>
          <cell r="CDE1" t="str">
            <v>--</v>
          </cell>
          <cell r="CDF1" t="str">
            <v>--</v>
          </cell>
          <cell r="CDG1" t="str">
            <v>--</v>
          </cell>
          <cell r="CDH1" t="str">
            <v>--</v>
          </cell>
          <cell r="CDI1" t="str">
            <v>--</v>
          </cell>
          <cell r="CDJ1" t="str">
            <v>--</v>
          </cell>
          <cell r="CDK1" t="str">
            <v>--</v>
          </cell>
          <cell r="CDL1" t="str">
            <v>--</v>
          </cell>
          <cell r="CDM1" t="str">
            <v>--</v>
          </cell>
          <cell r="CDN1" t="str">
            <v>--</v>
          </cell>
          <cell r="CDO1" t="str">
            <v>--</v>
          </cell>
          <cell r="CDP1" t="str">
            <v>--</v>
          </cell>
          <cell r="CDQ1" t="str">
            <v>--</v>
          </cell>
          <cell r="CDR1" t="str">
            <v>--</v>
          </cell>
          <cell r="CDS1" t="str">
            <v>--</v>
          </cell>
          <cell r="CDT1" t="str">
            <v>--</v>
          </cell>
          <cell r="CDU1" t="str">
            <v>--</v>
          </cell>
          <cell r="CDV1" t="str">
            <v>--</v>
          </cell>
          <cell r="CDW1" t="str">
            <v>--</v>
          </cell>
          <cell r="CDX1" t="str">
            <v>--</v>
          </cell>
          <cell r="CDY1" t="str">
            <v>--</v>
          </cell>
          <cell r="CDZ1" t="str">
            <v>--</v>
          </cell>
          <cell r="CEA1" t="str">
            <v>--</v>
          </cell>
          <cell r="CEB1" t="str">
            <v>--</v>
          </cell>
          <cell r="CEC1" t="str">
            <v>--</v>
          </cell>
          <cell r="CED1" t="str">
            <v>--</v>
          </cell>
          <cell r="CEE1" t="str">
            <v>--</v>
          </cell>
          <cell r="CEF1" t="str">
            <v>--</v>
          </cell>
          <cell r="CEG1" t="str">
            <v>--</v>
          </cell>
          <cell r="CEH1" t="str">
            <v>--</v>
          </cell>
          <cell r="CEI1" t="str">
            <v>--</v>
          </cell>
          <cell r="CEJ1" t="str">
            <v>--</v>
          </cell>
          <cell r="CEK1" t="str">
            <v>--</v>
          </cell>
          <cell r="CEL1" t="str">
            <v>--</v>
          </cell>
          <cell r="CEM1" t="str">
            <v>--</v>
          </cell>
          <cell r="CEN1" t="str">
            <v>--</v>
          </cell>
          <cell r="CEO1" t="str">
            <v>--</v>
          </cell>
          <cell r="CEP1" t="str">
            <v>--</v>
          </cell>
          <cell r="CEQ1" t="str">
            <v>--</v>
          </cell>
          <cell r="CER1" t="str">
            <v>--</v>
          </cell>
          <cell r="CES1" t="str">
            <v>--</v>
          </cell>
          <cell r="CET1" t="str">
            <v>--</v>
          </cell>
          <cell r="CEU1" t="str">
            <v>--</v>
          </cell>
          <cell r="CEV1" t="str">
            <v>--</v>
          </cell>
          <cell r="CEW1" t="str">
            <v>--</v>
          </cell>
          <cell r="CEX1" t="str">
            <v>--</v>
          </cell>
          <cell r="CEY1" t="str">
            <v>--</v>
          </cell>
          <cell r="CEZ1" t="str">
            <v>--</v>
          </cell>
          <cell r="CFA1" t="str">
            <v>--</v>
          </cell>
          <cell r="CFB1" t="str">
            <v>--</v>
          </cell>
          <cell r="CFC1" t="str">
            <v>--</v>
          </cell>
          <cell r="CFD1" t="str">
            <v>--</v>
          </cell>
          <cell r="CFE1" t="str">
            <v>--</v>
          </cell>
          <cell r="CFF1" t="str">
            <v>--</v>
          </cell>
          <cell r="CFG1" t="str">
            <v>--</v>
          </cell>
          <cell r="CFH1" t="str">
            <v>--</v>
          </cell>
          <cell r="CFI1" t="str">
            <v>--</v>
          </cell>
          <cell r="CFJ1" t="str">
            <v>--</v>
          </cell>
          <cell r="CFK1" t="str">
            <v>--</v>
          </cell>
          <cell r="CFL1" t="str">
            <v>--</v>
          </cell>
          <cell r="CFM1" t="str">
            <v>--</v>
          </cell>
          <cell r="CFN1" t="str">
            <v>--</v>
          </cell>
          <cell r="CFO1" t="str">
            <v>--</v>
          </cell>
          <cell r="CFP1" t="str">
            <v>--</v>
          </cell>
          <cell r="CFQ1" t="str">
            <v>--</v>
          </cell>
          <cell r="CFR1" t="str">
            <v>--</v>
          </cell>
          <cell r="CFS1" t="str">
            <v>--</v>
          </cell>
          <cell r="CFT1" t="str">
            <v>--</v>
          </cell>
          <cell r="CFU1" t="str">
            <v>--</v>
          </cell>
          <cell r="CFV1" t="str">
            <v>--</v>
          </cell>
          <cell r="CFW1" t="str">
            <v>--</v>
          </cell>
          <cell r="CFX1" t="str">
            <v>--</v>
          </cell>
          <cell r="CFY1" t="str">
            <v>--</v>
          </cell>
          <cell r="CFZ1" t="str">
            <v>--</v>
          </cell>
          <cell r="CGA1" t="str">
            <v>--</v>
          </cell>
          <cell r="CGB1" t="str">
            <v>--</v>
          </cell>
          <cell r="CGC1" t="str">
            <v>--</v>
          </cell>
          <cell r="CGD1" t="str">
            <v>--</v>
          </cell>
          <cell r="CGE1" t="str">
            <v>--</v>
          </cell>
          <cell r="CGF1" t="str">
            <v>--</v>
          </cell>
          <cell r="CGG1" t="str">
            <v>--</v>
          </cell>
          <cell r="CGH1" t="str">
            <v>--</v>
          </cell>
          <cell r="CGI1" t="str">
            <v>--</v>
          </cell>
          <cell r="CGJ1" t="str">
            <v>--</v>
          </cell>
          <cell r="CGK1" t="str">
            <v>--</v>
          </cell>
          <cell r="CGL1" t="str">
            <v>--</v>
          </cell>
          <cell r="CGM1" t="str">
            <v>--</v>
          </cell>
          <cell r="CGN1" t="str">
            <v>--</v>
          </cell>
          <cell r="CGO1" t="str">
            <v>--</v>
          </cell>
          <cell r="CGP1" t="str">
            <v>--</v>
          </cell>
          <cell r="CGQ1" t="str">
            <v>--</v>
          </cell>
          <cell r="CGR1" t="str">
            <v>--</v>
          </cell>
          <cell r="CGS1" t="str">
            <v>--</v>
          </cell>
          <cell r="CGT1" t="str">
            <v>--</v>
          </cell>
          <cell r="CGU1" t="str">
            <v>--</v>
          </cell>
          <cell r="CGV1" t="str">
            <v>--</v>
          </cell>
          <cell r="CGW1" t="str">
            <v>--</v>
          </cell>
          <cell r="CGX1" t="str">
            <v>--</v>
          </cell>
          <cell r="CGY1" t="str">
            <v>--</v>
          </cell>
          <cell r="CGZ1" t="str">
            <v>--</v>
          </cell>
          <cell r="CHA1" t="str">
            <v>--</v>
          </cell>
          <cell r="CHB1" t="str">
            <v>--</v>
          </cell>
          <cell r="CHC1" t="str">
            <v>--</v>
          </cell>
          <cell r="CHD1" t="str">
            <v>--</v>
          </cell>
          <cell r="CHE1" t="str">
            <v>--</v>
          </cell>
          <cell r="CHF1" t="str">
            <v>--</v>
          </cell>
          <cell r="CHG1" t="str">
            <v>--</v>
          </cell>
          <cell r="CHH1" t="str">
            <v>--</v>
          </cell>
          <cell r="CHI1" t="str">
            <v>--</v>
          </cell>
          <cell r="CHJ1" t="str">
            <v>--</v>
          </cell>
          <cell r="CHK1" t="str">
            <v>--</v>
          </cell>
          <cell r="CHL1" t="str">
            <v>--</v>
          </cell>
          <cell r="CHM1" t="str">
            <v>--</v>
          </cell>
          <cell r="CHN1" t="str">
            <v>--</v>
          </cell>
          <cell r="CHO1" t="str">
            <v>--</v>
          </cell>
          <cell r="CHP1" t="str">
            <v>--</v>
          </cell>
          <cell r="CHQ1" t="str">
            <v>--</v>
          </cell>
          <cell r="CHR1" t="str">
            <v>--</v>
          </cell>
          <cell r="CHS1" t="str">
            <v>--</v>
          </cell>
          <cell r="CHT1" t="str">
            <v>--</v>
          </cell>
          <cell r="CHU1" t="str">
            <v>--</v>
          </cell>
          <cell r="CHV1" t="str">
            <v>--</v>
          </cell>
          <cell r="CHW1" t="str">
            <v>--</v>
          </cell>
          <cell r="CHX1" t="str">
            <v>--</v>
          </cell>
          <cell r="CHY1" t="str">
            <v>--</v>
          </cell>
          <cell r="CHZ1" t="str">
            <v>--</v>
          </cell>
          <cell r="CIA1" t="str">
            <v>--</v>
          </cell>
          <cell r="CIB1" t="str">
            <v>--</v>
          </cell>
          <cell r="CIC1" t="str">
            <v>--</v>
          </cell>
          <cell r="CID1" t="str">
            <v>--</v>
          </cell>
          <cell r="CIE1" t="str">
            <v>--</v>
          </cell>
          <cell r="CIF1" t="str">
            <v>--</v>
          </cell>
          <cell r="CIG1" t="str">
            <v>--</v>
          </cell>
          <cell r="CIH1" t="str">
            <v>--</v>
          </cell>
          <cell r="CII1" t="str">
            <v>--</v>
          </cell>
          <cell r="CIJ1" t="str">
            <v>--</v>
          </cell>
          <cell r="CIK1" t="str">
            <v>--</v>
          </cell>
          <cell r="CIL1" t="str">
            <v>--</v>
          </cell>
          <cell r="CIM1" t="str">
            <v>--</v>
          </cell>
          <cell r="CIN1" t="str">
            <v>--</v>
          </cell>
          <cell r="CIO1" t="str">
            <v>--</v>
          </cell>
          <cell r="CIP1" t="str">
            <v>--</v>
          </cell>
          <cell r="CIQ1" t="str">
            <v>--</v>
          </cell>
          <cell r="CIR1" t="str">
            <v>--</v>
          </cell>
          <cell r="CIS1" t="str">
            <v>--</v>
          </cell>
          <cell r="CIT1" t="str">
            <v>--</v>
          </cell>
          <cell r="CIU1" t="str">
            <v>--</v>
          </cell>
          <cell r="CIV1" t="str">
            <v>--</v>
          </cell>
          <cell r="CIW1" t="str">
            <v>--</v>
          </cell>
          <cell r="CIX1" t="str">
            <v>--</v>
          </cell>
          <cell r="CIY1" t="str">
            <v>--</v>
          </cell>
          <cell r="CIZ1" t="str">
            <v>--</v>
          </cell>
          <cell r="CJA1" t="str">
            <v>--</v>
          </cell>
          <cell r="CJB1" t="str">
            <v>--</v>
          </cell>
          <cell r="CJC1" t="str">
            <v>--</v>
          </cell>
          <cell r="CJD1" t="str">
            <v>--</v>
          </cell>
          <cell r="CJE1" t="str">
            <v>--</v>
          </cell>
          <cell r="CJF1" t="str">
            <v>--</v>
          </cell>
          <cell r="CJG1" t="str">
            <v>--</v>
          </cell>
          <cell r="CJH1" t="str">
            <v>--</v>
          </cell>
          <cell r="CJI1" t="str">
            <v>--</v>
          </cell>
          <cell r="CJJ1" t="str">
            <v>--</v>
          </cell>
          <cell r="CJK1" t="str">
            <v>--</v>
          </cell>
          <cell r="CJL1" t="str">
            <v>--</v>
          </cell>
          <cell r="CJM1" t="str">
            <v>--</v>
          </cell>
          <cell r="CJN1" t="str">
            <v>--</v>
          </cell>
          <cell r="CJO1" t="str">
            <v>--</v>
          </cell>
          <cell r="CJP1" t="str">
            <v>--</v>
          </cell>
          <cell r="CJQ1" t="str">
            <v>--</v>
          </cell>
          <cell r="CJR1" t="str">
            <v>--</v>
          </cell>
          <cell r="CJS1" t="str">
            <v>--</v>
          </cell>
          <cell r="CJT1" t="str">
            <v>--</v>
          </cell>
          <cell r="CJU1" t="str">
            <v>--</v>
          </cell>
          <cell r="CJV1" t="str">
            <v>--</v>
          </cell>
          <cell r="CJW1" t="str">
            <v>--</v>
          </cell>
          <cell r="CJX1" t="str">
            <v>--</v>
          </cell>
          <cell r="CJY1" t="str">
            <v>--</v>
          </cell>
          <cell r="CJZ1" t="str">
            <v>--</v>
          </cell>
          <cell r="CKA1" t="str">
            <v>--</v>
          </cell>
          <cell r="CKB1" t="str">
            <v>--</v>
          </cell>
          <cell r="CKC1" t="str">
            <v>--</v>
          </cell>
          <cell r="CKD1" t="str">
            <v>--</v>
          </cell>
          <cell r="CKE1" t="str">
            <v>--</v>
          </cell>
          <cell r="CKF1" t="str">
            <v>--</v>
          </cell>
          <cell r="CKG1" t="str">
            <v>--</v>
          </cell>
          <cell r="CKH1" t="str">
            <v>--</v>
          </cell>
          <cell r="CKI1" t="str">
            <v>--</v>
          </cell>
          <cell r="CKJ1" t="str">
            <v>--</v>
          </cell>
          <cell r="CKK1" t="str">
            <v>--</v>
          </cell>
          <cell r="CKL1" t="str">
            <v>--</v>
          </cell>
          <cell r="CKM1" t="str">
            <v>--</v>
          </cell>
          <cell r="CKN1" t="str">
            <v>--</v>
          </cell>
          <cell r="CKO1" t="str">
            <v>--</v>
          </cell>
          <cell r="CKP1" t="str">
            <v>--</v>
          </cell>
          <cell r="CKQ1" t="str">
            <v>--</v>
          </cell>
          <cell r="CKR1" t="str">
            <v>--</v>
          </cell>
          <cell r="CKS1" t="str">
            <v>--</v>
          </cell>
          <cell r="CKT1" t="str">
            <v>--</v>
          </cell>
          <cell r="CKU1" t="str">
            <v>--</v>
          </cell>
          <cell r="CKV1" t="str">
            <v>--</v>
          </cell>
          <cell r="CKW1" t="str">
            <v>--</v>
          </cell>
          <cell r="CKX1" t="str">
            <v>--</v>
          </cell>
          <cell r="CKY1" t="str">
            <v>--</v>
          </cell>
          <cell r="CKZ1" t="str">
            <v>--</v>
          </cell>
          <cell r="CLA1" t="str">
            <v>--</v>
          </cell>
          <cell r="CLB1" t="str">
            <v>--</v>
          </cell>
          <cell r="CLC1" t="str">
            <v>--</v>
          </cell>
          <cell r="CLD1" t="str">
            <v>--</v>
          </cell>
          <cell r="CLE1" t="str">
            <v>--</v>
          </cell>
          <cell r="CLF1" t="str">
            <v>--</v>
          </cell>
          <cell r="CLG1" t="str">
            <v>--</v>
          </cell>
          <cell r="CLH1" t="str">
            <v>--</v>
          </cell>
          <cell r="CLI1" t="str">
            <v>--</v>
          </cell>
          <cell r="CLJ1" t="str">
            <v>--</v>
          </cell>
          <cell r="CLK1" t="str">
            <v>--</v>
          </cell>
          <cell r="CLL1" t="str">
            <v>--</v>
          </cell>
          <cell r="CLM1" t="str">
            <v>--</v>
          </cell>
          <cell r="CLN1" t="str">
            <v>--</v>
          </cell>
          <cell r="CLO1" t="str">
            <v>--</v>
          </cell>
          <cell r="CLP1" t="str">
            <v>--</v>
          </cell>
          <cell r="CLQ1" t="str">
            <v>--</v>
          </cell>
          <cell r="CLR1" t="str">
            <v>--</v>
          </cell>
          <cell r="CLS1" t="str">
            <v>--</v>
          </cell>
          <cell r="CLT1" t="str">
            <v>--</v>
          </cell>
          <cell r="CLU1" t="str">
            <v>--</v>
          </cell>
          <cell r="CLV1" t="str">
            <v>--</v>
          </cell>
          <cell r="CLW1" t="str">
            <v>--</v>
          </cell>
          <cell r="CLX1" t="str">
            <v>--</v>
          </cell>
          <cell r="CLY1" t="str">
            <v>--</v>
          </cell>
          <cell r="CLZ1" t="str">
            <v>--</v>
          </cell>
          <cell r="CMA1" t="str">
            <v>--</v>
          </cell>
          <cell r="CMB1" t="str">
            <v>--</v>
          </cell>
          <cell r="CMC1" t="str">
            <v>--</v>
          </cell>
          <cell r="CMD1" t="str">
            <v>--</v>
          </cell>
          <cell r="CME1" t="str">
            <v>--</v>
          </cell>
          <cell r="CMF1" t="str">
            <v>--</v>
          </cell>
          <cell r="CMG1" t="str">
            <v>--</v>
          </cell>
          <cell r="CMH1" t="str">
            <v>--</v>
          </cell>
          <cell r="CMI1" t="str">
            <v>--</v>
          </cell>
          <cell r="CMJ1" t="str">
            <v>--</v>
          </cell>
          <cell r="CMK1" t="str">
            <v>--</v>
          </cell>
          <cell r="CML1" t="str">
            <v>--</v>
          </cell>
          <cell r="CMM1" t="str">
            <v>--</v>
          </cell>
          <cell r="CMN1" t="str">
            <v>--</v>
          </cell>
          <cell r="CMO1" t="str">
            <v>--</v>
          </cell>
          <cell r="CMP1" t="str">
            <v>--</v>
          </cell>
          <cell r="CMQ1" t="str">
            <v>--</v>
          </cell>
          <cell r="CMR1" t="str">
            <v>--</v>
          </cell>
          <cell r="CMS1" t="str">
            <v>--</v>
          </cell>
          <cell r="CMT1" t="str">
            <v>--</v>
          </cell>
          <cell r="CMU1" t="str">
            <v>--</v>
          </cell>
          <cell r="CMV1" t="str">
            <v>--</v>
          </cell>
          <cell r="CMW1" t="str">
            <v>--</v>
          </cell>
          <cell r="CMX1" t="str">
            <v>--</v>
          </cell>
          <cell r="CMY1" t="str">
            <v>--</v>
          </cell>
          <cell r="CMZ1" t="str">
            <v>--</v>
          </cell>
          <cell r="CNA1" t="str">
            <v>--</v>
          </cell>
          <cell r="CNB1" t="str">
            <v>--</v>
          </cell>
          <cell r="CNC1" t="str">
            <v>--</v>
          </cell>
          <cell r="CND1" t="str">
            <v>--</v>
          </cell>
          <cell r="CNE1" t="str">
            <v>--</v>
          </cell>
          <cell r="CNF1" t="str">
            <v>--</v>
          </cell>
          <cell r="CNG1" t="str">
            <v>--</v>
          </cell>
          <cell r="CNH1" t="str">
            <v>--</v>
          </cell>
          <cell r="CNI1" t="str">
            <v>--</v>
          </cell>
          <cell r="CNJ1" t="str">
            <v>--</v>
          </cell>
          <cell r="CNK1" t="str">
            <v>--</v>
          </cell>
          <cell r="CNL1" t="str">
            <v>--</v>
          </cell>
          <cell r="CNM1" t="str">
            <v>--</v>
          </cell>
          <cell r="CNN1" t="str">
            <v>--</v>
          </cell>
          <cell r="CNO1" t="str">
            <v>--</v>
          </cell>
          <cell r="CNP1" t="str">
            <v>--</v>
          </cell>
          <cell r="CNQ1" t="str">
            <v>--</v>
          </cell>
          <cell r="CNR1" t="str">
            <v>--</v>
          </cell>
          <cell r="CNS1" t="str">
            <v>--</v>
          </cell>
          <cell r="CNT1" t="str">
            <v>--</v>
          </cell>
          <cell r="CNU1" t="str">
            <v>--</v>
          </cell>
          <cell r="CNV1" t="str">
            <v>--</v>
          </cell>
          <cell r="CNW1" t="str">
            <v>--</v>
          </cell>
          <cell r="CNX1" t="str">
            <v>--</v>
          </cell>
          <cell r="CNY1" t="str">
            <v>--</v>
          </cell>
          <cell r="CNZ1" t="str">
            <v>--</v>
          </cell>
          <cell r="COA1" t="str">
            <v>--</v>
          </cell>
          <cell r="COB1" t="str">
            <v>--</v>
          </cell>
          <cell r="COC1" t="str">
            <v>--</v>
          </cell>
          <cell r="COD1" t="str">
            <v>--</v>
          </cell>
          <cell r="COE1" t="str">
            <v>--</v>
          </cell>
          <cell r="COF1" t="str">
            <v>--</v>
          </cell>
          <cell r="COG1" t="str">
            <v>--</v>
          </cell>
          <cell r="COH1" t="str">
            <v>--</v>
          </cell>
          <cell r="COI1" t="str">
            <v>--</v>
          </cell>
          <cell r="COJ1" t="str">
            <v>--</v>
          </cell>
          <cell r="COK1" t="str">
            <v>--</v>
          </cell>
          <cell r="COL1" t="str">
            <v>--</v>
          </cell>
          <cell r="COM1" t="str">
            <v>--</v>
          </cell>
          <cell r="CON1" t="str">
            <v>--</v>
          </cell>
          <cell r="COO1" t="str">
            <v>--</v>
          </cell>
          <cell r="COP1" t="str">
            <v>--</v>
          </cell>
          <cell r="COQ1" t="str">
            <v>--</v>
          </cell>
          <cell r="COR1" t="str">
            <v>--</v>
          </cell>
          <cell r="COS1" t="str">
            <v>--</v>
          </cell>
          <cell r="COT1" t="str">
            <v>--</v>
          </cell>
          <cell r="COU1" t="str">
            <v>--</v>
          </cell>
          <cell r="COV1" t="str">
            <v>--</v>
          </cell>
          <cell r="COW1" t="str">
            <v>--</v>
          </cell>
          <cell r="COX1" t="str">
            <v>--</v>
          </cell>
          <cell r="COY1" t="str">
            <v>--</v>
          </cell>
          <cell r="COZ1" t="str">
            <v>--</v>
          </cell>
          <cell r="CPA1" t="str">
            <v>--</v>
          </cell>
          <cell r="CPB1" t="str">
            <v>--</v>
          </cell>
          <cell r="CPC1" t="str">
            <v>--</v>
          </cell>
          <cell r="CPD1" t="str">
            <v>--</v>
          </cell>
          <cell r="CPE1" t="str">
            <v>--</v>
          </cell>
          <cell r="CPF1" t="str">
            <v>--</v>
          </cell>
          <cell r="CPG1" t="str">
            <v>--</v>
          </cell>
          <cell r="CPH1" t="str">
            <v>--</v>
          </cell>
          <cell r="CPI1" t="str">
            <v>--</v>
          </cell>
          <cell r="CPJ1" t="str">
            <v>--</v>
          </cell>
          <cell r="CPK1" t="str">
            <v>--</v>
          </cell>
          <cell r="CPL1" t="str">
            <v>--</v>
          </cell>
          <cell r="CPM1" t="str">
            <v>--</v>
          </cell>
          <cell r="CPN1" t="str">
            <v>--</v>
          </cell>
          <cell r="CPO1" t="str">
            <v>--</v>
          </cell>
          <cell r="CPP1" t="str">
            <v>--</v>
          </cell>
          <cell r="CPQ1" t="str">
            <v>--</v>
          </cell>
          <cell r="CPR1" t="str">
            <v>--</v>
          </cell>
          <cell r="CPS1" t="str">
            <v>--</v>
          </cell>
          <cell r="CPT1" t="str">
            <v>--</v>
          </cell>
          <cell r="CPU1" t="str">
            <v>--</v>
          </cell>
          <cell r="CPV1" t="str">
            <v>--</v>
          </cell>
          <cell r="CPW1" t="str">
            <v>--</v>
          </cell>
          <cell r="CPX1" t="str">
            <v>--</v>
          </cell>
          <cell r="CPY1" t="str">
            <v>--</v>
          </cell>
          <cell r="CPZ1" t="str">
            <v>--</v>
          </cell>
          <cell r="CQA1" t="str">
            <v>--</v>
          </cell>
          <cell r="CQB1" t="str">
            <v>--</v>
          </cell>
          <cell r="CQC1" t="str">
            <v>--</v>
          </cell>
          <cell r="CQD1" t="str">
            <v>--</v>
          </cell>
          <cell r="CQE1" t="str">
            <v>--</v>
          </cell>
          <cell r="CQF1" t="str">
            <v>--</v>
          </cell>
          <cell r="CQG1" t="str">
            <v>--</v>
          </cell>
          <cell r="CQH1" t="str">
            <v>--</v>
          </cell>
          <cell r="CQI1" t="str">
            <v>--</v>
          </cell>
          <cell r="CQJ1" t="str">
            <v>--</v>
          </cell>
          <cell r="CQK1" t="str">
            <v>--</v>
          </cell>
          <cell r="CQL1" t="str">
            <v>--</v>
          </cell>
          <cell r="CQM1" t="str">
            <v>--</v>
          </cell>
          <cell r="CQN1" t="str">
            <v>--</v>
          </cell>
          <cell r="CQO1" t="str">
            <v>--</v>
          </cell>
          <cell r="CQP1" t="str">
            <v>--</v>
          </cell>
          <cell r="CQQ1" t="str">
            <v>--</v>
          </cell>
          <cell r="CQR1" t="str">
            <v>--</v>
          </cell>
          <cell r="CQS1" t="str">
            <v>--</v>
          </cell>
          <cell r="CQT1" t="str">
            <v>--</v>
          </cell>
          <cell r="CQU1" t="str">
            <v>--</v>
          </cell>
          <cell r="CQV1" t="str">
            <v>--</v>
          </cell>
          <cell r="CQW1" t="str">
            <v>--</v>
          </cell>
          <cell r="CQX1" t="str">
            <v>--</v>
          </cell>
          <cell r="CQY1" t="str">
            <v>--</v>
          </cell>
          <cell r="CQZ1" t="str">
            <v>--</v>
          </cell>
          <cell r="CRA1" t="str">
            <v>--</v>
          </cell>
          <cell r="CRB1" t="str">
            <v>--</v>
          </cell>
          <cell r="CRC1" t="str">
            <v>--</v>
          </cell>
          <cell r="CRD1" t="str">
            <v>--</v>
          </cell>
          <cell r="CRE1" t="str">
            <v>--</v>
          </cell>
          <cell r="CRF1" t="str">
            <v>--</v>
          </cell>
          <cell r="CRG1" t="str">
            <v>--</v>
          </cell>
          <cell r="CRH1" t="str">
            <v>--</v>
          </cell>
          <cell r="CRI1" t="str">
            <v>--</v>
          </cell>
          <cell r="CRJ1" t="str">
            <v>--</v>
          </cell>
          <cell r="CRK1" t="str">
            <v>--</v>
          </cell>
          <cell r="CRL1" t="str">
            <v>--</v>
          </cell>
          <cell r="CRM1" t="str">
            <v>--</v>
          </cell>
          <cell r="CRN1" t="str">
            <v>--</v>
          </cell>
          <cell r="CRO1" t="str">
            <v>--</v>
          </cell>
          <cell r="CRP1" t="str">
            <v>--</v>
          </cell>
          <cell r="CRQ1" t="str">
            <v>--</v>
          </cell>
          <cell r="CRR1" t="str">
            <v>--</v>
          </cell>
          <cell r="CRS1" t="str">
            <v>--</v>
          </cell>
          <cell r="CRT1" t="str">
            <v>--</v>
          </cell>
          <cell r="CRU1" t="str">
            <v>--</v>
          </cell>
          <cell r="CRV1" t="str">
            <v>--</v>
          </cell>
          <cell r="CRW1" t="str">
            <v>--</v>
          </cell>
          <cell r="CRX1" t="str">
            <v>--</v>
          </cell>
          <cell r="CRY1" t="str">
            <v>--</v>
          </cell>
          <cell r="CRZ1" t="str">
            <v>--</v>
          </cell>
          <cell r="CSA1" t="str">
            <v>--</v>
          </cell>
          <cell r="CSB1" t="str">
            <v>--</v>
          </cell>
          <cell r="CSC1" t="str">
            <v>--</v>
          </cell>
          <cell r="CSD1" t="str">
            <v>--</v>
          </cell>
          <cell r="CSE1" t="str">
            <v>--</v>
          </cell>
          <cell r="CSF1" t="str">
            <v>--</v>
          </cell>
          <cell r="CSG1" t="str">
            <v>--</v>
          </cell>
          <cell r="CSH1" t="str">
            <v>--</v>
          </cell>
          <cell r="CSI1" t="str">
            <v>--</v>
          </cell>
          <cell r="CSJ1" t="str">
            <v>--</v>
          </cell>
          <cell r="CSK1" t="str">
            <v>--</v>
          </cell>
          <cell r="CSL1" t="str">
            <v>--</v>
          </cell>
          <cell r="CSM1" t="str">
            <v>--</v>
          </cell>
          <cell r="CSN1" t="str">
            <v>--</v>
          </cell>
          <cell r="CSO1" t="str">
            <v>--</v>
          </cell>
          <cell r="CSP1" t="str">
            <v>--</v>
          </cell>
          <cell r="CSQ1" t="str">
            <v>--</v>
          </cell>
          <cell r="CSR1" t="str">
            <v>--</v>
          </cell>
          <cell r="CSS1" t="str">
            <v>--</v>
          </cell>
          <cell r="CST1" t="str">
            <v>--</v>
          </cell>
          <cell r="CSU1" t="str">
            <v>--</v>
          </cell>
          <cell r="CSV1" t="str">
            <v>--</v>
          </cell>
          <cell r="CSW1" t="str">
            <v>--</v>
          </cell>
          <cell r="CSX1" t="str">
            <v>--</v>
          </cell>
          <cell r="CSY1" t="str">
            <v>--</v>
          </cell>
          <cell r="CSZ1" t="str">
            <v>--</v>
          </cell>
          <cell r="CTA1" t="str">
            <v>--</v>
          </cell>
          <cell r="CTB1" t="str">
            <v>--</v>
          </cell>
          <cell r="CTC1" t="str">
            <v>--</v>
          </cell>
          <cell r="CTD1" t="str">
            <v>--</v>
          </cell>
          <cell r="CTE1" t="str">
            <v>--</v>
          </cell>
          <cell r="CTF1" t="str">
            <v>--</v>
          </cell>
          <cell r="CTG1" t="str">
            <v>--</v>
          </cell>
          <cell r="CTH1" t="str">
            <v>--</v>
          </cell>
          <cell r="CTI1" t="str">
            <v>--</v>
          </cell>
          <cell r="CTJ1" t="str">
            <v>--</v>
          </cell>
          <cell r="CTK1" t="str">
            <v>--</v>
          </cell>
          <cell r="CTL1" t="str">
            <v>--</v>
          </cell>
          <cell r="CTM1" t="str">
            <v>--</v>
          </cell>
          <cell r="CTN1" t="str">
            <v>--</v>
          </cell>
          <cell r="CTO1" t="str">
            <v>--</v>
          </cell>
          <cell r="CTP1" t="str">
            <v>--</v>
          </cell>
          <cell r="CTQ1" t="str">
            <v>--</v>
          </cell>
          <cell r="CTR1" t="str">
            <v>--</v>
          </cell>
          <cell r="CTS1" t="str">
            <v>--</v>
          </cell>
          <cell r="CTT1" t="str">
            <v>--</v>
          </cell>
          <cell r="CTU1" t="str">
            <v>--</v>
          </cell>
          <cell r="CTV1" t="str">
            <v>--</v>
          </cell>
          <cell r="CTW1" t="str">
            <v>--</v>
          </cell>
          <cell r="CTX1" t="str">
            <v>--</v>
          </cell>
          <cell r="CTY1" t="str">
            <v>--</v>
          </cell>
          <cell r="CTZ1" t="str">
            <v>--</v>
          </cell>
          <cell r="CUA1" t="str">
            <v>--</v>
          </cell>
          <cell r="CUB1" t="str">
            <v>--</v>
          </cell>
          <cell r="CUC1" t="str">
            <v>--</v>
          </cell>
          <cell r="CUD1" t="str">
            <v>--</v>
          </cell>
          <cell r="CUE1" t="str">
            <v>--</v>
          </cell>
          <cell r="CUF1" t="str">
            <v>--</v>
          </cell>
          <cell r="CUG1" t="str">
            <v>--</v>
          </cell>
          <cell r="CUH1" t="str">
            <v>--</v>
          </cell>
          <cell r="CUI1" t="str">
            <v>--</v>
          </cell>
          <cell r="CUJ1" t="str">
            <v>--</v>
          </cell>
          <cell r="CUK1" t="str">
            <v>--</v>
          </cell>
          <cell r="CUL1" t="str">
            <v>--</v>
          </cell>
          <cell r="CUM1" t="str">
            <v>--</v>
          </cell>
          <cell r="CUN1" t="str">
            <v>--</v>
          </cell>
          <cell r="CUO1" t="str">
            <v>--</v>
          </cell>
          <cell r="CUP1" t="str">
            <v>--</v>
          </cell>
          <cell r="CUQ1" t="str">
            <v>--</v>
          </cell>
          <cell r="CUR1" t="str">
            <v>--</v>
          </cell>
          <cell r="CUS1" t="str">
            <v>--</v>
          </cell>
          <cell r="CUT1" t="str">
            <v>--</v>
          </cell>
          <cell r="CUU1" t="str">
            <v>--</v>
          </cell>
          <cell r="CUV1" t="str">
            <v>--</v>
          </cell>
          <cell r="CUW1" t="str">
            <v>--</v>
          </cell>
          <cell r="CUX1" t="str">
            <v>--</v>
          </cell>
          <cell r="CUY1" t="str">
            <v>--</v>
          </cell>
          <cell r="CUZ1" t="str">
            <v>--</v>
          </cell>
          <cell r="CVA1" t="str">
            <v>--</v>
          </cell>
          <cell r="CVB1" t="str">
            <v>--</v>
          </cell>
          <cell r="CVC1" t="str">
            <v>--</v>
          </cell>
          <cell r="CVD1" t="str">
            <v>--</v>
          </cell>
          <cell r="CVE1" t="str">
            <v>--</v>
          </cell>
          <cell r="CVF1" t="str">
            <v>--</v>
          </cell>
          <cell r="CVG1" t="str">
            <v>--</v>
          </cell>
          <cell r="CVH1" t="str">
            <v>--</v>
          </cell>
          <cell r="CVI1" t="str">
            <v>--</v>
          </cell>
          <cell r="CVJ1" t="str">
            <v>--</v>
          </cell>
          <cell r="CVK1" t="str">
            <v>--</v>
          </cell>
          <cell r="CVL1" t="str">
            <v>--</v>
          </cell>
          <cell r="CVM1" t="str">
            <v>--</v>
          </cell>
          <cell r="CVN1" t="str">
            <v>--</v>
          </cell>
          <cell r="CVO1" t="str">
            <v>--</v>
          </cell>
          <cell r="CVP1" t="str">
            <v>--</v>
          </cell>
          <cell r="CVQ1" t="str">
            <v>--</v>
          </cell>
          <cell r="CVR1" t="str">
            <v>--</v>
          </cell>
          <cell r="CVS1" t="str">
            <v>--</v>
          </cell>
          <cell r="CVT1" t="str">
            <v>--</v>
          </cell>
          <cell r="CVU1" t="str">
            <v>--</v>
          </cell>
          <cell r="CVV1" t="str">
            <v>--</v>
          </cell>
          <cell r="CVW1" t="str">
            <v>--</v>
          </cell>
          <cell r="CVX1" t="str">
            <v>--</v>
          </cell>
          <cell r="CVY1" t="str">
            <v>--</v>
          </cell>
          <cell r="CVZ1" t="str">
            <v>--</v>
          </cell>
          <cell r="CWA1" t="str">
            <v>--</v>
          </cell>
          <cell r="CWB1" t="str">
            <v>--</v>
          </cell>
          <cell r="CWC1" t="str">
            <v>--</v>
          </cell>
          <cell r="CWD1" t="str">
            <v>--</v>
          </cell>
          <cell r="CWE1" t="str">
            <v>--</v>
          </cell>
          <cell r="CWF1" t="str">
            <v>--</v>
          </cell>
          <cell r="CWG1" t="str">
            <v>--</v>
          </cell>
          <cell r="CWH1" t="str">
            <v>--</v>
          </cell>
          <cell r="CWI1" t="str">
            <v>--</v>
          </cell>
          <cell r="CWJ1" t="str">
            <v>--</v>
          </cell>
          <cell r="CWK1" t="str">
            <v>--</v>
          </cell>
          <cell r="CWL1" t="str">
            <v>--</v>
          </cell>
          <cell r="CWM1" t="str">
            <v>--</v>
          </cell>
          <cell r="CWN1" t="str">
            <v>--</v>
          </cell>
          <cell r="CWO1" t="str">
            <v>--</v>
          </cell>
          <cell r="CWP1" t="str">
            <v>--</v>
          </cell>
          <cell r="CWQ1" t="str">
            <v>--</v>
          </cell>
          <cell r="CWR1" t="str">
            <v>--</v>
          </cell>
          <cell r="CWS1" t="str">
            <v>--</v>
          </cell>
          <cell r="CWT1" t="str">
            <v>--</v>
          </cell>
          <cell r="CWU1" t="str">
            <v>--</v>
          </cell>
          <cell r="CWV1" t="str">
            <v>--</v>
          </cell>
          <cell r="CWW1" t="str">
            <v>--</v>
          </cell>
          <cell r="CWX1" t="str">
            <v>--</v>
          </cell>
          <cell r="CWY1" t="str">
            <v>--</v>
          </cell>
          <cell r="CWZ1" t="str">
            <v>--</v>
          </cell>
          <cell r="CXA1" t="str">
            <v>--</v>
          </cell>
          <cell r="CXB1" t="str">
            <v>--</v>
          </cell>
          <cell r="CXC1" t="str">
            <v>--</v>
          </cell>
          <cell r="CXD1" t="str">
            <v>--</v>
          </cell>
          <cell r="CXE1" t="str">
            <v>--</v>
          </cell>
          <cell r="CXF1" t="str">
            <v>--</v>
          </cell>
          <cell r="CXG1" t="str">
            <v>--</v>
          </cell>
          <cell r="CXH1" t="str">
            <v>--</v>
          </cell>
          <cell r="CXI1" t="str">
            <v>--</v>
          </cell>
          <cell r="CXJ1" t="str">
            <v>--</v>
          </cell>
          <cell r="CXK1" t="str">
            <v>--</v>
          </cell>
          <cell r="CXL1" t="str">
            <v>--</v>
          </cell>
          <cell r="CXM1" t="str">
            <v>--</v>
          </cell>
          <cell r="CXN1" t="str">
            <v>--</v>
          </cell>
          <cell r="CXO1" t="str">
            <v>--</v>
          </cell>
          <cell r="CXP1" t="str">
            <v>--</v>
          </cell>
          <cell r="CXQ1" t="str">
            <v>--</v>
          </cell>
          <cell r="CXR1" t="str">
            <v>--</v>
          </cell>
          <cell r="CXS1" t="str">
            <v>--</v>
          </cell>
          <cell r="CXT1" t="str">
            <v>--</v>
          </cell>
          <cell r="CXU1" t="str">
            <v>--</v>
          </cell>
          <cell r="CXV1" t="str">
            <v>--</v>
          </cell>
          <cell r="CXW1" t="str">
            <v>--</v>
          </cell>
          <cell r="CXX1" t="str">
            <v>--</v>
          </cell>
          <cell r="CXY1" t="str">
            <v>--</v>
          </cell>
          <cell r="CXZ1" t="str">
            <v>--</v>
          </cell>
          <cell r="CYA1" t="str">
            <v>--</v>
          </cell>
          <cell r="CYB1" t="str">
            <v>--</v>
          </cell>
          <cell r="CYC1" t="str">
            <v>--</v>
          </cell>
          <cell r="CYD1" t="str">
            <v>--</v>
          </cell>
          <cell r="CYE1" t="str">
            <v>--</v>
          </cell>
          <cell r="CYF1" t="str">
            <v>--</v>
          </cell>
          <cell r="CYG1" t="str">
            <v>--</v>
          </cell>
          <cell r="CYH1" t="str">
            <v>--</v>
          </cell>
          <cell r="CYI1" t="str">
            <v>--</v>
          </cell>
          <cell r="CYJ1" t="str">
            <v>--</v>
          </cell>
          <cell r="CYK1" t="str">
            <v>--</v>
          </cell>
          <cell r="CYL1" t="str">
            <v>--</v>
          </cell>
          <cell r="CYM1" t="str">
            <v>--</v>
          </cell>
          <cell r="CYN1" t="str">
            <v>--</v>
          </cell>
          <cell r="CYO1" t="str">
            <v>--</v>
          </cell>
          <cell r="CYP1" t="str">
            <v>--</v>
          </cell>
          <cell r="CYQ1" t="str">
            <v>--</v>
          </cell>
          <cell r="CYR1" t="str">
            <v>--</v>
          </cell>
          <cell r="CYS1" t="str">
            <v>--</v>
          </cell>
          <cell r="CYT1" t="str">
            <v>--</v>
          </cell>
          <cell r="CYU1" t="str">
            <v>--</v>
          </cell>
          <cell r="CYV1" t="str">
            <v>--</v>
          </cell>
          <cell r="CYW1" t="str">
            <v>--</v>
          </cell>
          <cell r="CYX1" t="str">
            <v>--</v>
          </cell>
          <cell r="CYY1" t="str">
            <v>--</v>
          </cell>
          <cell r="CYZ1" t="str">
            <v>--</v>
          </cell>
          <cell r="CZA1" t="str">
            <v>--</v>
          </cell>
          <cell r="CZB1" t="str">
            <v>--</v>
          </cell>
          <cell r="CZC1" t="str">
            <v>--</v>
          </cell>
          <cell r="CZD1" t="str">
            <v>--</v>
          </cell>
          <cell r="CZE1" t="str">
            <v>--</v>
          </cell>
          <cell r="CZF1" t="str">
            <v>--</v>
          </cell>
          <cell r="CZG1" t="str">
            <v>--</v>
          </cell>
          <cell r="CZH1" t="str">
            <v>--</v>
          </cell>
          <cell r="CZI1" t="str">
            <v>--</v>
          </cell>
          <cell r="CZJ1" t="str">
            <v>--</v>
          </cell>
          <cell r="CZK1" t="str">
            <v>--</v>
          </cell>
          <cell r="CZL1" t="str">
            <v>--</v>
          </cell>
          <cell r="CZM1" t="str">
            <v>--</v>
          </cell>
          <cell r="CZN1" t="str">
            <v>--</v>
          </cell>
          <cell r="CZO1" t="str">
            <v>--</v>
          </cell>
          <cell r="CZP1" t="str">
            <v>--</v>
          </cell>
          <cell r="CZQ1" t="str">
            <v>--</v>
          </cell>
          <cell r="CZR1" t="str">
            <v>--</v>
          </cell>
          <cell r="CZS1" t="str">
            <v>--</v>
          </cell>
          <cell r="CZT1" t="str">
            <v>--</v>
          </cell>
          <cell r="CZU1" t="str">
            <v>--</v>
          </cell>
          <cell r="CZV1" t="str">
            <v>--</v>
          </cell>
          <cell r="CZW1" t="str">
            <v>--</v>
          </cell>
          <cell r="CZX1" t="str">
            <v>--</v>
          </cell>
          <cell r="CZY1" t="str">
            <v>--</v>
          </cell>
          <cell r="CZZ1" t="str">
            <v>--</v>
          </cell>
          <cell r="DAA1" t="str">
            <v>--</v>
          </cell>
          <cell r="DAB1" t="str">
            <v>--</v>
          </cell>
          <cell r="DAC1" t="str">
            <v>--</v>
          </cell>
          <cell r="DAD1" t="str">
            <v>--</v>
          </cell>
          <cell r="DAE1" t="str">
            <v>--</v>
          </cell>
          <cell r="DAF1" t="str">
            <v>--</v>
          </cell>
          <cell r="DAG1" t="str">
            <v>--</v>
          </cell>
          <cell r="DAH1" t="str">
            <v>--</v>
          </cell>
          <cell r="DAI1" t="str">
            <v>--</v>
          </cell>
          <cell r="DAJ1" t="str">
            <v>--</v>
          </cell>
          <cell r="DAK1" t="str">
            <v>--</v>
          </cell>
          <cell r="DAL1" t="str">
            <v>--</v>
          </cell>
          <cell r="DAM1" t="str">
            <v>--</v>
          </cell>
          <cell r="DAN1" t="str">
            <v>--</v>
          </cell>
          <cell r="DAO1" t="str">
            <v>--</v>
          </cell>
          <cell r="DAP1" t="str">
            <v>--</v>
          </cell>
          <cell r="DAQ1" t="str">
            <v>--</v>
          </cell>
          <cell r="DAR1" t="str">
            <v>--</v>
          </cell>
          <cell r="DAS1" t="str">
            <v>--</v>
          </cell>
          <cell r="DAT1" t="str">
            <v>--</v>
          </cell>
          <cell r="DAU1" t="str">
            <v>--</v>
          </cell>
          <cell r="DAV1" t="str">
            <v>--</v>
          </cell>
          <cell r="DAW1" t="str">
            <v>--</v>
          </cell>
          <cell r="DAX1" t="str">
            <v>--</v>
          </cell>
          <cell r="DAY1" t="str">
            <v>--</v>
          </cell>
          <cell r="DAZ1" t="str">
            <v>--</v>
          </cell>
          <cell r="DBA1" t="str">
            <v>--</v>
          </cell>
          <cell r="DBB1" t="str">
            <v>--</v>
          </cell>
          <cell r="DBC1" t="str">
            <v>--</v>
          </cell>
          <cell r="DBD1" t="str">
            <v>--</v>
          </cell>
          <cell r="DBE1" t="str">
            <v>--</v>
          </cell>
          <cell r="DBF1" t="str">
            <v>--</v>
          </cell>
          <cell r="DBG1" t="str">
            <v>--</v>
          </cell>
          <cell r="DBH1" t="str">
            <v>--</v>
          </cell>
          <cell r="DBI1" t="str">
            <v>--</v>
          </cell>
          <cell r="DBJ1" t="str">
            <v>--</v>
          </cell>
          <cell r="DBK1" t="str">
            <v>--</v>
          </cell>
          <cell r="DBL1" t="str">
            <v>--</v>
          </cell>
          <cell r="DBM1" t="str">
            <v>--</v>
          </cell>
          <cell r="DBN1" t="str">
            <v>--</v>
          </cell>
          <cell r="DBO1" t="str">
            <v>--</v>
          </cell>
          <cell r="DBP1" t="str">
            <v>--</v>
          </cell>
          <cell r="DBQ1" t="str">
            <v>--</v>
          </cell>
          <cell r="DBR1" t="str">
            <v>--</v>
          </cell>
          <cell r="DBS1" t="str">
            <v>--</v>
          </cell>
          <cell r="DBT1" t="str">
            <v>--</v>
          </cell>
          <cell r="DBU1" t="str">
            <v>--</v>
          </cell>
          <cell r="DBV1" t="str">
            <v>--</v>
          </cell>
          <cell r="DBW1" t="str">
            <v>--</v>
          </cell>
          <cell r="DBX1" t="str">
            <v>--</v>
          </cell>
          <cell r="DBY1" t="str">
            <v>--</v>
          </cell>
          <cell r="DBZ1" t="str">
            <v>--</v>
          </cell>
          <cell r="DCA1" t="str">
            <v>--</v>
          </cell>
          <cell r="DCB1" t="str">
            <v>--</v>
          </cell>
          <cell r="DCC1" t="str">
            <v>--</v>
          </cell>
          <cell r="DCD1" t="str">
            <v>--</v>
          </cell>
          <cell r="DCE1" t="str">
            <v>--</v>
          </cell>
          <cell r="DCF1" t="str">
            <v>--</v>
          </cell>
          <cell r="DCG1" t="str">
            <v>--</v>
          </cell>
          <cell r="DCH1" t="str">
            <v>--</v>
          </cell>
          <cell r="DCI1" t="str">
            <v>--</v>
          </cell>
          <cell r="DCJ1" t="str">
            <v>--</v>
          </cell>
          <cell r="DCK1" t="str">
            <v>--</v>
          </cell>
          <cell r="DCL1" t="str">
            <v>--</v>
          </cell>
          <cell r="DCM1" t="str">
            <v>--</v>
          </cell>
          <cell r="DCN1" t="str">
            <v>--</v>
          </cell>
          <cell r="DCO1" t="str">
            <v>--</v>
          </cell>
          <cell r="DCP1" t="str">
            <v>--</v>
          </cell>
          <cell r="DCQ1" t="str">
            <v>--</v>
          </cell>
          <cell r="DCR1" t="str">
            <v>--</v>
          </cell>
          <cell r="DCS1" t="str">
            <v>--</v>
          </cell>
          <cell r="DCT1" t="str">
            <v>--</v>
          </cell>
          <cell r="DCU1" t="str">
            <v>--</v>
          </cell>
          <cell r="DCV1" t="str">
            <v>--</v>
          </cell>
          <cell r="DCW1" t="str">
            <v>--</v>
          </cell>
          <cell r="DCX1" t="str">
            <v>--</v>
          </cell>
          <cell r="DCY1" t="str">
            <v>--</v>
          </cell>
          <cell r="DCZ1" t="str">
            <v>--</v>
          </cell>
          <cell r="DDA1" t="str">
            <v>--</v>
          </cell>
          <cell r="DDB1" t="str">
            <v>--</v>
          </cell>
          <cell r="DDC1" t="str">
            <v>--</v>
          </cell>
          <cell r="DDD1" t="str">
            <v>--</v>
          </cell>
          <cell r="DDE1" t="str">
            <v>--</v>
          </cell>
          <cell r="DDF1" t="str">
            <v>--</v>
          </cell>
          <cell r="DDG1" t="str">
            <v>--</v>
          </cell>
          <cell r="DDH1" t="str">
            <v>--</v>
          </cell>
          <cell r="DDI1" t="str">
            <v>--</v>
          </cell>
          <cell r="DDJ1" t="str">
            <v>--</v>
          </cell>
          <cell r="DDK1" t="str">
            <v>--</v>
          </cell>
          <cell r="DDL1" t="str">
            <v>--</v>
          </cell>
          <cell r="DDM1" t="str">
            <v>--</v>
          </cell>
          <cell r="DDN1" t="str">
            <v>--</v>
          </cell>
          <cell r="DDO1" t="str">
            <v>--</v>
          </cell>
          <cell r="DDP1" t="str">
            <v>--</v>
          </cell>
          <cell r="DDQ1" t="str">
            <v>--</v>
          </cell>
          <cell r="DDR1" t="str">
            <v>--</v>
          </cell>
          <cell r="DDS1" t="str">
            <v>--</v>
          </cell>
          <cell r="DDT1" t="str">
            <v>--</v>
          </cell>
          <cell r="DDU1" t="str">
            <v>--</v>
          </cell>
          <cell r="DDV1" t="str">
            <v>--</v>
          </cell>
          <cell r="DDW1" t="str">
            <v>--</v>
          </cell>
          <cell r="DDX1" t="str">
            <v>--</v>
          </cell>
          <cell r="DDY1" t="str">
            <v>--</v>
          </cell>
          <cell r="DDZ1" t="str">
            <v>--</v>
          </cell>
          <cell r="DEA1" t="str">
            <v>--</v>
          </cell>
          <cell r="DEB1" t="str">
            <v>--</v>
          </cell>
          <cell r="DEC1" t="str">
            <v>--</v>
          </cell>
          <cell r="DED1" t="str">
            <v>--</v>
          </cell>
          <cell r="DEE1" t="str">
            <v>--</v>
          </cell>
          <cell r="DEF1" t="str">
            <v>--</v>
          </cell>
          <cell r="DEG1" t="str">
            <v>--</v>
          </cell>
          <cell r="DEH1" t="str">
            <v>--</v>
          </cell>
          <cell r="DEI1" t="str">
            <v>--</v>
          </cell>
          <cell r="DEJ1" t="str">
            <v>--</v>
          </cell>
          <cell r="DEK1" t="str">
            <v>--</v>
          </cell>
          <cell r="DEL1" t="str">
            <v>--</v>
          </cell>
          <cell r="DEM1" t="str">
            <v>--</v>
          </cell>
          <cell r="DEN1" t="str">
            <v>--</v>
          </cell>
          <cell r="DEO1" t="str">
            <v>--</v>
          </cell>
          <cell r="DEP1" t="str">
            <v>--</v>
          </cell>
          <cell r="DEQ1" t="str">
            <v>--</v>
          </cell>
          <cell r="DER1" t="str">
            <v>--</v>
          </cell>
          <cell r="DES1" t="str">
            <v>--</v>
          </cell>
          <cell r="DET1" t="str">
            <v>--</v>
          </cell>
          <cell r="DEU1" t="str">
            <v>--</v>
          </cell>
          <cell r="DEV1" t="str">
            <v>--</v>
          </cell>
          <cell r="DEW1" t="str">
            <v>--</v>
          </cell>
          <cell r="DEX1" t="str">
            <v>--</v>
          </cell>
          <cell r="DEY1" t="str">
            <v>--</v>
          </cell>
          <cell r="DEZ1" t="str">
            <v>--</v>
          </cell>
          <cell r="DFA1" t="str">
            <v>--</v>
          </cell>
          <cell r="DFB1" t="str">
            <v>--</v>
          </cell>
          <cell r="DFC1" t="str">
            <v>--</v>
          </cell>
          <cell r="DFD1" t="str">
            <v>--</v>
          </cell>
          <cell r="DFE1" t="str">
            <v>--</v>
          </cell>
          <cell r="DFF1" t="str">
            <v>--</v>
          </cell>
          <cell r="DFG1" t="str">
            <v>--</v>
          </cell>
          <cell r="DFH1" t="str">
            <v>--</v>
          </cell>
          <cell r="DFI1" t="str">
            <v>--</v>
          </cell>
          <cell r="DFJ1" t="str">
            <v>--</v>
          </cell>
          <cell r="DFK1" t="str">
            <v>--</v>
          </cell>
          <cell r="DFL1" t="str">
            <v>--</v>
          </cell>
          <cell r="DFM1" t="str">
            <v>--</v>
          </cell>
          <cell r="DFN1" t="str">
            <v>--</v>
          </cell>
          <cell r="DFO1" t="str">
            <v>--</v>
          </cell>
          <cell r="DFP1" t="str">
            <v>--</v>
          </cell>
          <cell r="DFQ1" t="str">
            <v>--</v>
          </cell>
          <cell r="DFR1" t="str">
            <v>--</v>
          </cell>
          <cell r="DFS1" t="str">
            <v>--</v>
          </cell>
          <cell r="DFT1" t="str">
            <v>--</v>
          </cell>
          <cell r="DFU1" t="str">
            <v>--</v>
          </cell>
          <cell r="DFV1" t="str">
            <v>--</v>
          </cell>
          <cell r="DFW1" t="str">
            <v>--</v>
          </cell>
          <cell r="DFX1" t="str">
            <v>--</v>
          </cell>
          <cell r="DFY1" t="str">
            <v>--</v>
          </cell>
          <cell r="DFZ1" t="str">
            <v>--</v>
          </cell>
          <cell r="DGA1" t="str">
            <v>--</v>
          </cell>
          <cell r="DGB1" t="str">
            <v>--</v>
          </cell>
          <cell r="DGC1" t="str">
            <v>--</v>
          </cell>
          <cell r="DGD1" t="str">
            <v>--</v>
          </cell>
          <cell r="DGE1" t="str">
            <v>--</v>
          </cell>
          <cell r="DGF1" t="str">
            <v>--</v>
          </cell>
          <cell r="DGG1" t="str">
            <v>--</v>
          </cell>
          <cell r="DGH1" t="str">
            <v>--</v>
          </cell>
          <cell r="DGI1" t="str">
            <v>--</v>
          </cell>
          <cell r="DGJ1" t="str">
            <v>--</v>
          </cell>
          <cell r="DGK1" t="str">
            <v>--</v>
          </cell>
          <cell r="DGL1" t="str">
            <v>--</v>
          </cell>
          <cell r="DGM1" t="str">
            <v>--</v>
          </cell>
          <cell r="DGN1" t="str">
            <v>--</v>
          </cell>
          <cell r="DGO1" t="str">
            <v>--</v>
          </cell>
          <cell r="DGP1" t="str">
            <v>--</v>
          </cell>
          <cell r="DGQ1" t="str">
            <v>--</v>
          </cell>
          <cell r="DGR1" t="str">
            <v>--</v>
          </cell>
          <cell r="DGS1" t="str">
            <v>--</v>
          </cell>
          <cell r="DGT1" t="str">
            <v>--</v>
          </cell>
          <cell r="DGU1" t="str">
            <v>--</v>
          </cell>
          <cell r="DGV1" t="str">
            <v>--</v>
          </cell>
          <cell r="DGW1" t="str">
            <v>--</v>
          </cell>
          <cell r="DGX1" t="str">
            <v>--</v>
          </cell>
          <cell r="DGY1" t="str">
            <v>--</v>
          </cell>
          <cell r="DGZ1" t="str">
            <v>--</v>
          </cell>
          <cell r="DHA1" t="str">
            <v>--</v>
          </cell>
          <cell r="DHB1" t="str">
            <v>--</v>
          </cell>
          <cell r="DHC1" t="str">
            <v>--</v>
          </cell>
          <cell r="DHD1" t="str">
            <v>--</v>
          </cell>
          <cell r="DHE1" t="str">
            <v>--</v>
          </cell>
          <cell r="DHF1" t="str">
            <v>--</v>
          </cell>
          <cell r="DHG1" t="str">
            <v>--</v>
          </cell>
          <cell r="DHH1" t="str">
            <v>--</v>
          </cell>
          <cell r="DHI1" t="str">
            <v>--</v>
          </cell>
          <cell r="DHJ1" t="str">
            <v>--</v>
          </cell>
          <cell r="DHK1" t="str">
            <v>--</v>
          </cell>
          <cell r="DHL1" t="str">
            <v>--</v>
          </cell>
          <cell r="DHM1" t="str">
            <v>--</v>
          </cell>
          <cell r="DHN1" t="str">
            <v>--</v>
          </cell>
          <cell r="DHO1" t="str">
            <v>--</v>
          </cell>
          <cell r="DHP1" t="str">
            <v>--</v>
          </cell>
          <cell r="DHQ1" t="str">
            <v>--</v>
          </cell>
          <cell r="DHR1" t="str">
            <v>--</v>
          </cell>
          <cell r="DHS1" t="str">
            <v>--</v>
          </cell>
          <cell r="DHT1" t="str">
            <v>--</v>
          </cell>
          <cell r="DHU1" t="str">
            <v>--</v>
          </cell>
          <cell r="DHV1" t="str">
            <v>--</v>
          </cell>
          <cell r="DHW1" t="str">
            <v>--</v>
          </cell>
          <cell r="DHX1" t="str">
            <v>--</v>
          </cell>
          <cell r="DHY1" t="str">
            <v>--</v>
          </cell>
          <cell r="DHZ1" t="str">
            <v>--</v>
          </cell>
          <cell r="DIA1" t="str">
            <v>--</v>
          </cell>
          <cell r="DIB1" t="str">
            <v>--</v>
          </cell>
          <cell r="DIC1" t="str">
            <v>--</v>
          </cell>
          <cell r="DID1" t="str">
            <v>--</v>
          </cell>
          <cell r="DIE1" t="str">
            <v>--</v>
          </cell>
          <cell r="DIF1" t="str">
            <v>--</v>
          </cell>
          <cell r="DIG1" t="str">
            <v>--</v>
          </cell>
          <cell r="DIH1" t="str">
            <v>--</v>
          </cell>
          <cell r="DII1" t="str">
            <v>--</v>
          </cell>
          <cell r="DIJ1" t="str">
            <v>--</v>
          </cell>
          <cell r="DIK1" t="str">
            <v>--</v>
          </cell>
          <cell r="DIL1" t="str">
            <v>--</v>
          </cell>
          <cell r="DIM1" t="str">
            <v>--</v>
          </cell>
          <cell r="DIN1" t="str">
            <v>--</v>
          </cell>
          <cell r="DIO1" t="str">
            <v>--</v>
          </cell>
          <cell r="DIP1" t="str">
            <v>--</v>
          </cell>
          <cell r="DIQ1" t="str">
            <v>--</v>
          </cell>
          <cell r="DIR1" t="str">
            <v>--</v>
          </cell>
          <cell r="DIS1" t="str">
            <v>--</v>
          </cell>
          <cell r="DIT1" t="str">
            <v>--</v>
          </cell>
          <cell r="DIU1" t="str">
            <v>--</v>
          </cell>
          <cell r="DIV1" t="str">
            <v>--</v>
          </cell>
          <cell r="DIW1" t="str">
            <v>--</v>
          </cell>
          <cell r="DIX1" t="str">
            <v>--</v>
          </cell>
          <cell r="DIY1" t="str">
            <v>--</v>
          </cell>
          <cell r="DIZ1" t="str">
            <v>--</v>
          </cell>
          <cell r="DJA1" t="str">
            <v>--</v>
          </cell>
          <cell r="DJB1" t="str">
            <v>--</v>
          </cell>
          <cell r="DJC1" t="str">
            <v>--</v>
          </cell>
          <cell r="DJD1" t="str">
            <v>--</v>
          </cell>
          <cell r="DJE1" t="str">
            <v>--</v>
          </cell>
          <cell r="DJF1" t="str">
            <v>--</v>
          </cell>
          <cell r="DJG1" t="str">
            <v>--</v>
          </cell>
          <cell r="DJH1" t="str">
            <v>--</v>
          </cell>
          <cell r="DJI1" t="str">
            <v>--</v>
          </cell>
          <cell r="DJJ1" t="str">
            <v>--</v>
          </cell>
          <cell r="DJK1" t="str">
            <v>--</v>
          </cell>
          <cell r="DJL1" t="str">
            <v>--</v>
          </cell>
          <cell r="DJM1" t="str">
            <v>--</v>
          </cell>
          <cell r="DJN1" t="str">
            <v>--</v>
          </cell>
          <cell r="DJO1" t="str">
            <v>--</v>
          </cell>
          <cell r="DJP1" t="str">
            <v>--</v>
          </cell>
          <cell r="DJQ1" t="str">
            <v>--</v>
          </cell>
          <cell r="DJR1" t="str">
            <v>--</v>
          </cell>
          <cell r="DJS1" t="str">
            <v>--</v>
          </cell>
          <cell r="DJT1" t="str">
            <v>--</v>
          </cell>
          <cell r="DJU1" t="str">
            <v>--</v>
          </cell>
          <cell r="DJV1" t="str">
            <v>--</v>
          </cell>
          <cell r="DJW1" t="str">
            <v>--</v>
          </cell>
          <cell r="DJX1" t="str">
            <v>--</v>
          </cell>
          <cell r="DJY1" t="str">
            <v>--</v>
          </cell>
          <cell r="DJZ1" t="str">
            <v>--</v>
          </cell>
          <cell r="DKA1" t="str">
            <v>--</v>
          </cell>
          <cell r="DKB1" t="str">
            <v>--</v>
          </cell>
          <cell r="DKC1" t="str">
            <v>--</v>
          </cell>
          <cell r="DKD1" t="str">
            <v>--</v>
          </cell>
          <cell r="DKE1" t="str">
            <v>--</v>
          </cell>
          <cell r="DKF1" t="str">
            <v>--</v>
          </cell>
          <cell r="DKG1" t="str">
            <v>--</v>
          </cell>
          <cell r="DKH1" t="str">
            <v>--</v>
          </cell>
          <cell r="DKI1" t="str">
            <v>--</v>
          </cell>
          <cell r="DKJ1" t="str">
            <v>--</v>
          </cell>
          <cell r="DKK1" t="str">
            <v>--</v>
          </cell>
          <cell r="DKL1" t="str">
            <v>--</v>
          </cell>
          <cell r="DKM1" t="str">
            <v>--</v>
          </cell>
          <cell r="DKN1" t="str">
            <v>--</v>
          </cell>
          <cell r="DKO1" t="str">
            <v>--</v>
          </cell>
          <cell r="DKP1" t="str">
            <v>--</v>
          </cell>
          <cell r="DKQ1" t="str">
            <v>--</v>
          </cell>
          <cell r="DKR1" t="str">
            <v>--</v>
          </cell>
          <cell r="DKS1" t="str">
            <v>--</v>
          </cell>
          <cell r="DKT1" t="str">
            <v>--</v>
          </cell>
          <cell r="DKU1" t="str">
            <v>--</v>
          </cell>
          <cell r="DKV1" t="str">
            <v>--</v>
          </cell>
          <cell r="DKW1" t="str">
            <v>--</v>
          </cell>
          <cell r="DKX1" t="str">
            <v>--</v>
          </cell>
          <cell r="DKY1" t="str">
            <v>--</v>
          </cell>
          <cell r="DKZ1" t="str">
            <v>--</v>
          </cell>
          <cell r="DLA1" t="str">
            <v>--</v>
          </cell>
          <cell r="DLB1" t="str">
            <v>--</v>
          </cell>
          <cell r="DLC1" t="str">
            <v>--</v>
          </cell>
          <cell r="DLD1" t="str">
            <v>--</v>
          </cell>
          <cell r="DLE1" t="str">
            <v>--</v>
          </cell>
          <cell r="DLF1" t="str">
            <v>--</v>
          </cell>
          <cell r="DLG1" t="str">
            <v>--</v>
          </cell>
          <cell r="DLH1" t="str">
            <v>--</v>
          </cell>
          <cell r="DLI1" t="str">
            <v>--</v>
          </cell>
          <cell r="DLJ1" t="str">
            <v>--</v>
          </cell>
          <cell r="DLK1" t="str">
            <v>--</v>
          </cell>
          <cell r="DLL1" t="str">
            <v>--</v>
          </cell>
          <cell r="DLM1" t="str">
            <v>--</v>
          </cell>
          <cell r="DLN1" t="str">
            <v>--</v>
          </cell>
          <cell r="DLO1" t="str">
            <v>--</v>
          </cell>
          <cell r="DLP1" t="str">
            <v>--</v>
          </cell>
          <cell r="DLQ1" t="str">
            <v>--</v>
          </cell>
          <cell r="DLR1" t="str">
            <v>--</v>
          </cell>
          <cell r="DLS1" t="str">
            <v>--</v>
          </cell>
          <cell r="DLT1" t="str">
            <v>--</v>
          </cell>
          <cell r="DLU1" t="str">
            <v>--</v>
          </cell>
          <cell r="DLV1" t="str">
            <v>--</v>
          </cell>
          <cell r="DLW1" t="str">
            <v>--</v>
          </cell>
          <cell r="DLX1" t="str">
            <v>--</v>
          </cell>
          <cell r="DLY1" t="str">
            <v>--</v>
          </cell>
          <cell r="DLZ1" t="str">
            <v>--</v>
          </cell>
          <cell r="DMA1" t="str">
            <v>--</v>
          </cell>
          <cell r="DMB1" t="str">
            <v>--</v>
          </cell>
          <cell r="DMC1" t="str">
            <v>--</v>
          </cell>
          <cell r="DMD1" t="str">
            <v>--</v>
          </cell>
          <cell r="DME1" t="str">
            <v>--</v>
          </cell>
          <cell r="DMF1" t="str">
            <v>--</v>
          </cell>
          <cell r="DMG1" t="str">
            <v>--</v>
          </cell>
          <cell r="DMH1" t="str">
            <v>--</v>
          </cell>
          <cell r="DMI1" t="str">
            <v>--</v>
          </cell>
          <cell r="DMJ1" t="str">
            <v>--</v>
          </cell>
          <cell r="DMK1" t="str">
            <v>--</v>
          </cell>
          <cell r="DML1" t="str">
            <v>--</v>
          </cell>
          <cell r="DMM1" t="str">
            <v>--</v>
          </cell>
          <cell r="DMN1" t="str">
            <v>--</v>
          </cell>
          <cell r="DMO1" t="str">
            <v>--</v>
          </cell>
          <cell r="DMP1" t="str">
            <v>--</v>
          </cell>
          <cell r="DMQ1" t="str">
            <v>--</v>
          </cell>
          <cell r="DMR1" t="str">
            <v>--</v>
          </cell>
          <cell r="DMS1" t="str">
            <v>--</v>
          </cell>
          <cell r="DMT1" t="str">
            <v>--</v>
          </cell>
          <cell r="DMU1" t="str">
            <v>--</v>
          </cell>
          <cell r="DMV1" t="str">
            <v>--</v>
          </cell>
          <cell r="DMW1" t="str">
            <v>--</v>
          </cell>
          <cell r="DMX1" t="str">
            <v>--</v>
          </cell>
          <cell r="DMY1" t="str">
            <v>--</v>
          </cell>
          <cell r="DMZ1" t="str">
            <v>--</v>
          </cell>
          <cell r="DNA1" t="str">
            <v>--</v>
          </cell>
          <cell r="DNB1" t="str">
            <v>--</v>
          </cell>
          <cell r="DNC1" t="str">
            <v>--</v>
          </cell>
          <cell r="DND1" t="str">
            <v>--</v>
          </cell>
          <cell r="DNE1" t="str">
            <v>--</v>
          </cell>
          <cell r="DNF1" t="str">
            <v>--</v>
          </cell>
          <cell r="DNG1" t="str">
            <v>--</v>
          </cell>
          <cell r="DNH1" t="str">
            <v>--</v>
          </cell>
          <cell r="DNI1" t="str">
            <v>--</v>
          </cell>
          <cell r="DNJ1" t="str">
            <v>--</v>
          </cell>
          <cell r="DNK1" t="str">
            <v>--</v>
          </cell>
          <cell r="DNL1" t="str">
            <v>--</v>
          </cell>
          <cell r="DNM1" t="str">
            <v>--</v>
          </cell>
          <cell r="DNN1" t="str">
            <v>--</v>
          </cell>
          <cell r="DNO1" t="str">
            <v>--</v>
          </cell>
          <cell r="DNP1" t="str">
            <v>--</v>
          </cell>
          <cell r="DNQ1" t="str">
            <v>--</v>
          </cell>
          <cell r="DNR1" t="str">
            <v>--</v>
          </cell>
          <cell r="DNS1" t="str">
            <v>--</v>
          </cell>
          <cell r="DNT1" t="str">
            <v>--</v>
          </cell>
          <cell r="DNU1" t="str">
            <v>--</v>
          </cell>
          <cell r="DNV1" t="str">
            <v>--</v>
          </cell>
          <cell r="DNW1" t="str">
            <v>--</v>
          </cell>
          <cell r="DNX1" t="str">
            <v>--</v>
          </cell>
          <cell r="DNY1" t="str">
            <v>--</v>
          </cell>
          <cell r="DNZ1" t="str">
            <v>--</v>
          </cell>
          <cell r="DOA1" t="str">
            <v>--</v>
          </cell>
          <cell r="DOB1" t="str">
            <v>--</v>
          </cell>
          <cell r="DOC1" t="str">
            <v>--</v>
          </cell>
          <cell r="DOD1" t="str">
            <v>--</v>
          </cell>
          <cell r="DOE1" t="str">
            <v>--</v>
          </cell>
          <cell r="DOF1" t="str">
            <v>--</v>
          </cell>
          <cell r="DOG1" t="str">
            <v>--</v>
          </cell>
          <cell r="DOH1" t="str">
            <v>--</v>
          </cell>
          <cell r="DOI1" t="str">
            <v>--</v>
          </cell>
          <cell r="DOJ1" t="str">
            <v>--</v>
          </cell>
          <cell r="DOK1" t="str">
            <v>--</v>
          </cell>
          <cell r="DOL1" t="str">
            <v>--</v>
          </cell>
          <cell r="DOM1" t="str">
            <v>--</v>
          </cell>
          <cell r="DON1" t="str">
            <v>--</v>
          </cell>
          <cell r="DOO1" t="str">
            <v>--</v>
          </cell>
          <cell r="DOP1" t="str">
            <v>--</v>
          </cell>
          <cell r="DOQ1" t="str">
            <v>--</v>
          </cell>
          <cell r="DOR1" t="str">
            <v>--</v>
          </cell>
          <cell r="DOS1" t="str">
            <v>--</v>
          </cell>
          <cell r="DOT1" t="str">
            <v>--</v>
          </cell>
          <cell r="DOU1" t="str">
            <v>--</v>
          </cell>
          <cell r="DOV1" t="str">
            <v>--</v>
          </cell>
          <cell r="DOW1" t="str">
            <v>--</v>
          </cell>
          <cell r="DOX1" t="str">
            <v>--</v>
          </cell>
          <cell r="DOY1" t="str">
            <v>--</v>
          </cell>
          <cell r="DOZ1" t="str">
            <v>--</v>
          </cell>
          <cell r="DPA1" t="str">
            <v>--</v>
          </cell>
          <cell r="DPB1" t="str">
            <v>--</v>
          </cell>
          <cell r="DPC1" t="str">
            <v>--</v>
          </cell>
          <cell r="DPD1" t="str">
            <v>--</v>
          </cell>
          <cell r="DPE1" t="str">
            <v>--</v>
          </cell>
          <cell r="DPF1" t="str">
            <v>--</v>
          </cell>
          <cell r="DPG1" t="str">
            <v>--</v>
          </cell>
          <cell r="DPH1" t="str">
            <v>--</v>
          </cell>
          <cell r="DPI1" t="str">
            <v>--</v>
          </cell>
          <cell r="DPJ1" t="str">
            <v>--</v>
          </cell>
          <cell r="DPK1" t="str">
            <v>--</v>
          </cell>
          <cell r="DPL1" t="str">
            <v>--</v>
          </cell>
          <cell r="DPM1" t="str">
            <v>--</v>
          </cell>
          <cell r="DPN1" t="str">
            <v>--</v>
          </cell>
          <cell r="DPO1" t="str">
            <v>--</v>
          </cell>
          <cell r="DPP1" t="str">
            <v>--</v>
          </cell>
          <cell r="DPQ1" t="str">
            <v>--</v>
          </cell>
          <cell r="DPR1" t="str">
            <v>--</v>
          </cell>
          <cell r="DPS1" t="str">
            <v>--</v>
          </cell>
          <cell r="DPT1" t="str">
            <v>--</v>
          </cell>
          <cell r="DPU1" t="str">
            <v>--</v>
          </cell>
          <cell r="DPV1" t="str">
            <v>--</v>
          </cell>
          <cell r="DPW1" t="str">
            <v>--</v>
          </cell>
          <cell r="DPX1" t="str">
            <v>--</v>
          </cell>
          <cell r="DPY1" t="str">
            <v>--</v>
          </cell>
          <cell r="DPZ1" t="str">
            <v>--</v>
          </cell>
          <cell r="DQA1" t="str">
            <v>--</v>
          </cell>
          <cell r="DQB1" t="str">
            <v>--</v>
          </cell>
          <cell r="DQC1" t="str">
            <v>--</v>
          </cell>
          <cell r="DQD1" t="str">
            <v>--</v>
          </cell>
          <cell r="DQE1" t="str">
            <v>--</v>
          </cell>
          <cell r="DQF1" t="str">
            <v>--</v>
          </cell>
          <cell r="DQG1" t="str">
            <v>--</v>
          </cell>
          <cell r="DQH1" t="str">
            <v>--</v>
          </cell>
          <cell r="DQI1" t="str">
            <v>--</v>
          </cell>
          <cell r="DQJ1" t="str">
            <v>--</v>
          </cell>
          <cell r="DQK1" t="str">
            <v>--</v>
          </cell>
          <cell r="DQL1" t="str">
            <v>--</v>
          </cell>
          <cell r="DQM1" t="str">
            <v>--</v>
          </cell>
          <cell r="DQN1" t="str">
            <v>--</v>
          </cell>
          <cell r="DQO1" t="str">
            <v>--</v>
          </cell>
          <cell r="DQP1" t="str">
            <v>--</v>
          </cell>
          <cell r="DQQ1" t="str">
            <v>--</v>
          </cell>
          <cell r="DQR1" t="str">
            <v>--</v>
          </cell>
          <cell r="DQS1" t="str">
            <v>--</v>
          </cell>
          <cell r="DQT1" t="str">
            <v>--</v>
          </cell>
          <cell r="DQU1" t="str">
            <v>--</v>
          </cell>
          <cell r="DQV1" t="str">
            <v>--</v>
          </cell>
          <cell r="DQW1" t="str">
            <v>--</v>
          </cell>
          <cell r="DQX1" t="str">
            <v>--</v>
          </cell>
          <cell r="DQY1" t="str">
            <v>--</v>
          </cell>
          <cell r="DQZ1" t="str">
            <v>--</v>
          </cell>
          <cell r="DRA1" t="str">
            <v>--</v>
          </cell>
          <cell r="DRB1" t="str">
            <v>--</v>
          </cell>
          <cell r="DRC1" t="str">
            <v>--</v>
          </cell>
          <cell r="DRD1" t="str">
            <v>--</v>
          </cell>
          <cell r="DRE1" t="str">
            <v>--</v>
          </cell>
          <cell r="DRF1" t="str">
            <v>--</v>
          </cell>
          <cell r="DRG1" t="str">
            <v>--</v>
          </cell>
          <cell r="DRH1" t="str">
            <v>--</v>
          </cell>
          <cell r="DRI1" t="str">
            <v>--</v>
          </cell>
          <cell r="DRJ1" t="str">
            <v>--</v>
          </cell>
          <cell r="DRK1" t="str">
            <v>--</v>
          </cell>
          <cell r="DRL1" t="str">
            <v>--</v>
          </cell>
          <cell r="DRM1" t="str">
            <v>--</v>
          </cell>
          <cell r="DRN1" t="str">
            <v>--</v>
          </cell>
          <cell r="DRO1" t="str">
            <v>--</v>
          </cell>
          <cell r="DRP1" t="str">
            <v>--</v>
          </cell>
          <cell r="DRQ1" t="str">
            <v>--</v>
          </cell>
          <cell r="DRR1" t="str">
            <v>--</v>
          </cell>
          <cell r="DRS1" t="str">
            <v>--</v>
          </cell>
          <cell r="DRT1" t="str">
            <v>--</v>
          </cell>
          <cell r="DRU1" t="str">
            <v>--</v>
          </cell>
          <cell r="DRV1" t="str">
            <v>--</v>
          </cell>
          <cell r="DRW1" t="str">
            <v>--</v>
          </cell>
          <cell r="DRX1" t="str">
            <v>--</v>
          </cell>
          <cell r="DRY1" t="str">
            <v>--</v>
          </cell>
          <cell r="DRZ1" t="str">
            <v>--</v>
          </cell>
          <cell r="DSA1" t="str">
            <v>--</v>
          </cell>
          <cell r="DSB1" t="str">
            <v>--</v>
          </cell>
          <cell r="DSC1" t="str">
            <v>--</v>
          </cell>
          <cell r="DSD1" t="str">
            <v>--</v>
          </cell>
          <cell r="DSE1" t="str">
            <v>--</v>
          </cell>
          <cell r="DSF1" t="str">
            <v>--</v>
          </cell>
          <cell r="DSG1" t="str">
            <v>--</v>
          </cell>
          <cell r="DSH1" t="str">
            <v>--</v>
          </cell>
          <cell r="DSI1" t="str">
            <v>--</v>
          </cell>
          <cell r="DSJ1" t="str">
            <v>--</v>
          </cell>
          <cell r="DSK1" t="str">
            <v>--</v>
          </cell>
          <cell r="DSL1" t="str">
            <v>--</v>
          </cell>
          <cell r="DSM1" t="str">
            <v>--</v>
          </cell>
          <cell r="DSN1" t="str">
            <v>--</v>
          </cell>
          <cell r="DSO1" t="str">
            <v>--</v>
          </cell>
          <cell r="DSP1" t="str">
            <v>--</v>
          </cell>
          <cell r="DSQ1" t="str">
            <v>--</v>
          </cell>
          <cell r="DSR1" t="str">
            <v>--</v>
          </cell>
          <cell r="DSS1" t="str">
            <v>--</v>
          </cell>
          <cell r="DST1" t="str">
            <v>--</v>
          </cell>
          <cell r="DSU1" t="str">
            <v>--</v>
          </cell>
          <cell r="DSV1" t="str">
            <v>--</v>
          </cell>
          <cell r="DSW1" t="str">
            <v>--</v>
          </cell>
          <cell r="DSX1" t="str">
            <v>--</v>
          </cell>
          <cell r="DSY1" t="str">
            <v>--</v>
          </cell>
          <cell r="DSZ1" t="str">
            <v>--</v>
          </cell>
          <cell r="DTA1" t="str">
            <v>--</v>
          </cell>
          <cell r="DTB1" t="str">
            <v>--</v>
          </cell>
          <cell r="DTC1" t="str">
            <v>--</v>
          </cell>
          <cell r="DTD1" t="str">
            <v>--</v>
          </cell>
          <cell r="DTE1" t="str">
            <v>--</v>
          </cell>
          <cell r="DTF1" t="str">
            <v>--</v>
          </cell>
          <cell r="DTG1" t="str">
            <v>--</v>
          </cell>
          <cell r="DTH1" t="str">
            <v>--</v>
          </cell>
          <cell r="DTI1" t="str">
            <v>--</v>
          </cell>
          <cell r="DTJ1" t="str">
            <v>--</v>
          </cell>
          <cell r="DTK1" t="str">
            <v>--</v>
          </cell>
          <cell r="DTL1" t="str">
            <v>--</v>
          </cell>
          <cell r="DTM1" t="str">
            <v>--</v>
          </cell>
          <cell r="DTN1" t="str">
            <v>--</v>
          </cell>
          <cell r="DTO1" t="str">
            <v>--</v>
          </cell>
          <cell r="DTP1" t="str">
            <v>--</v>
          </cell>
          <cell r="DTQ1" t="str">
            <v>--</v>
          </cell>
          <cell r="DTR1" t="str">
            <v>--</v>
          </cell>
          <cell r="DTS1" t="str">
            <v>--</v>
          </cell>
          <cell r="DTT1" t="str">
            <v>--</v>
          </cell>
          <cell r="DTU1" t="str">
            <v>--</v>
          </cell>
          <cell r="DTV1" t="str">
            <v>--</v>
          </cell>
          <cell r="DTW1" t="str">
            <v>--</v>
          </cell>
          <cell r="DTX1" t="str">
            <v>--</v>
          </cell>
          <cell r="DTY1" t="str">
            <v>--</v>
          </cell>
          <cell r="DTZ1" t="str">
            <v>--</v>
          </cell>
          <cell r="DUA1" t="str">
            <v>--</v>
          </cell>
          <cell r="DUB1" t="str">
            <v>--</v>
          </cell>
          <cell r="DUC1" t="str">
            <v>--</v>
          </cell>
          <cell r="DUD1" t="str">
            <v>--</v>
          </cell>
          <cell r="DUE1" t="str">
            <v>--</v>
          </cell>
          <cell r="DUF1" t="str">
            <v>--</v>
          </cell>
          <cell r="DUG1" t="str">
            <v>--</v>
          </cell>
          <cell r="DUH1" t="str">
            <v>--</v>
          </cell>
          <cell r="DUI1" t="str">
            <v>--</v>
          </cell>
          <cell r="DUJ1" t="str">
            <v>--</v>
          </cell>
          <cell r="DUK1" t="str">
            <v>--</v>
          </cell>
          <cell r="DUL1" t="str">
            <v>--</v>
          </cell>
          <cell r="DUM1" t="str">
            <v>--</v>
          </cell>
          <cell r="DUN1" t="str">
            <v>--</v>
          </cell>
          <cell r="DUO1" t="str">
            <v>--</v>
          </cell>
          <cell r="DUP1" t="str">
            <v>--</v>
          </cell>
          <cell r="DUQ1" t="str">
            <v>--</v>
          </cell>
          <cell r="DUR1" t="str">
            <v>--</v>
          </cell>
          <cell r="DUS1" t="str">
            <v>--</v>
          </cell>
          <cell r="DUT1" t="str">
            <v>--</v>
          </cell>
          <cell r="DUU1" t="str">
            <v>--</v>
          </cell>
          <cell r="DUV1" t="str">
            <v>--</v>
          </cell>
          <cell r="DUW1" t="str">
            <v>--</v>
          </cell>
          <cell r="DUX1" t="str">
            <v>--</v>
          </cell>
          <cell r="DUY1" t="str">
            <v>--</v>
          </cell>
          <cell r="DUZ1" t="str">
            <v>--</v>
          </cell>
          <cell r="DVA1" t="str">
            <v>--</v>
          </cell>
          <cell r="DVB1" t="str">
            <v>--</v>
          </cell>
          <cell r="DVC1" t="str">
            <v>--</v>
          </cell>
          <cell r="DVD1" t="str">
            <v>--</v>
          </cell>
          <cell r="DVE1" t="str">
            <v>--</v>
          </cell>
          <cell r="DVF1" t="str">
            <v>--</v>
          </cell>
          <cell r="DVG1" t="str">
            <v>--</v>
          </cell>
          <cell r="DVH1" t="str">
            <v>--</v>
          </cell>
          <cell r="DVI1" t="str">
            <v>--</v>
          </cell>
          <cell r="DVJ1" t="str">
            <v>--</v>
          </cell>
          <cell r="DVK1" t="str">
            <v>--</v>
          </cell>
          <cell r="DVL1" t="str">
            <v>--</v>
          </cell>
          <cell r="DVM1" t="str">
            <v>--</v>
          </cell>
          <cell r="DVN1" t="str">
            <v>--</v>
          </cell>
          <cell r="DVO1" t="str">
            <v>--</v>
          </cell>
          <cell r="DVP1" t="str">
            <v>--</v>
          </cell>
          <cell r="DVQ1" t="str">
            <v>--</v>
          </cell>
          <cell r="DVR1" t="str">
            <v>--</v>
          </cell>
          <cell r="DVS1" t="str">
            <v>--</v>
          </cell>
          <cell r="DVT1" t="str">
            <v>--</v>
          </cell>
          <cell r="DVU1" t="str">
            <v>--</v>
          </cell>
          <cell r="DVV1" t="str">
            <v>--</v>
          </cell>
          <cell r="DVW1" t="str">
            <v>--</v>
          </cell>
          <cell r="DVX1" t="str">
            <v>--</v>
          </cell>
          <cell r="DVY1" t="str">
            <v>--</v>
          </cell>
          <cell r="DVZ1" t="str">
            <v>--</v>
          </cell>
          <cell r="DWA1" t="str">
            <v>--</v>
          </cell>
          <cell r="DWB1" t="str">
            <v>--</v>
          </cell>
          <cell r="DWC1" t="str">
            <v>--</v>
          </cell>
          <cell r="DWD1" t="str">
            <v>--</v>
          </cell>
          <cell r="DWE1" t="str">
            <v>--</v>
          </cell>
          <cell r="DWF1" t="str">
            <v>--</v>
          </cell>
          <cell r="DWG1" t="str">
            <v>--</v>
          </cell>
          <cell r="DWH1" t="str">
            <v>--</v>
          </cell>
          <cell r="DWI1" t="str">
            <v>--</v>
          </cell>
          <cell r="DWJ1" t="str">
            <v>--</v>
          </cell>
          <cell r="DWK1" t="str">
            <v>--</v>
          </cell>
          <cell r="DWL1" t="str">
            <v>--</v>
          </cell>
          <cell r="DWM1" t="str">
            <v>--</v>
          </cell>
          <cell r="DWN1" t="str">
            <v>--</v>
          </cell>
          <cell r="DWO1" t="str">
            <v>--</v>
          </cell>
          <cell r="DWP1" t="str">
            <v>--</v>
          </cell>
          <cell r="DWQ1" t="str">
            <v>--</v>
          </cell>
          <cell r="DWR1" t="str">
            <v>--</v>
          </cell>
          <cell r="DWS1" t="str">
            <v>--</v>
          </cell>
          <cell r="DWT1" t="str">
            <v>--</v>
          </cell>
          <cell r="DWU1" t="str">
            <v>--</v>
          </cell>
          <cell r="DWV1" t="str">
            <v>--</v>
          </cell>
          <cell r="DWW1" t="str">
            <v>--</v>
          </cell>
          <cell r="DWX1" t="str">
            <v>--</v>
          </cell>
          <cell r="DWY1" t="str">
            <v>--</v>
          </cell>
          <cell r="DWZ1" t="str">
            <v>--</v>
          </cell>
          <cell r="DXA1" t="str">
            <v>--</v>
          </cell>
          <cell r="DXB1" t="str">
            <v>--</v>
          </cell>
          <cell r="DXC1" t="str">
            <v>--</v>
          </cell>
          <cell r="DXD1" t="str">
            <v>--</v>
          </cell>
          <cell r="DXE1" t="str">
            <v>--</v>
          </cell>
          <cell r="DXF1" t="str">
            <v>--</v>
          </cell>
          <cell r="DXG1" t="str">
            <v>--</v>
          </cell>
          <cell r="DXH1" t="str">
            <v>--</v>
          </cell>
          <cell r="DXI1" t="str">
            <v>--</v>
          </cell>
          <cell r="DXJ1" t="str">
            <v>--</v>
          </cell>
          <cell r="DXK1" t="str">
            <v>--</v>
          </cell>
          <cell r="DXL1" t="str">
            <v>--</v>
          </cell>
          <cell r="DXM1" t="str">
            <v>--</v>
          </cell>
          <cell r="DXN1" t="str">
            <v>--</v>
          </cell>
          <cell r="DXO1" t="str">
            <v>--</v>
          </cell>
          <cell r="DXP1" t="str">
            <v>--</v>
          </cell>
          <cell r="DXQ1" t="str">
            <v>--</v>
          </cell>
          <cell r="DXR1" t="str">
            <v>--</v>
          </cell>
          <cell r="DXS1" t="str">
            <v>--</v>
          </cell>
          <cell r="DXT1" t="str">
            <v>--</v>
          </cell>
          <cell r="DXU1" t="str">
            <v>--</v>
          </cell>
          <cell r="DXV1" t="str">
            <v>--</v>
          </cell>
          <cell r="DXW1" t="str">
            <v>--</v>
          </cell>
          <cell r="DXX1" t="str">
            <v>--</v>
          </cell>
          <cell r="DXY1" t="str">
            <v>--</v>
          </cell>
          <cell r="DXZ1" t="str">
            <v>--</v>
          </cell>
          <cell r="DYA1" t="str">
            <v>--</v>
          </cell>
          <cell r="DYB1" t="str">
            <v>--</v>
          </cell>
          <cell r="DYC1" t="str">
            <v>--</v>
          </cell>
          <cell r="DYD1" t="str">
            <v>--</v>
          </cell>
          <cell r="DYE1" t="str">
            <v>--</v>
          </cell>
          <cell r="DYF1" t="str">
            <v>--</v>
          </cell>
          <cell r="DYG1" t="str">
            <v>--</v>
          </cell>
          <cell r="DYH1" t="str">
            <v>--</v>
          </cell>
          <cell r="DYI1" t="str">
            <v>--</v>
          </cell>
          <cell r="DYJ1" t="str">
            <v>--</v>
          </cell>
          <cell r="DYK1" t="str">
            <v>--</v>
          </cell>
          <cell r="DYL1" t="str">
            <v>--</v>
          </cell>
          <cell r="DYM1" t="str">
            <v>--</v>
          </cell>
          <cell r="DYN1" t="str">
            <v>--</v>
          </cell>
          <cell r="DYO1" t="str">
            <v>--</v>
          </cell>
          <cell r="DYP1" t="str">
            <v>--</v>
          </cell>
          <cell r="DYQ1" t="str">
            <v>--</v>
          </cell>
          <cell r="DYR1" t="str">
            <v>--</v>
          </cell>
          <cell r="DYS1" t="str">
            <v>--</v>
          </cell>
          <cell r="DYT1" t="str">
            <v>--</v>
          </cell>
          <cell r="DYU1" t="str">
            <v>--</v>
          </cell>
          <cell r="DYV1" t="str">
            <v>--</v>
          </cell>
          <cell r="DYW1" t="str">
            <v>--</v>
          </cell>
          <cell r="DYX1" t="str">
            <v>--</v>
          </cell>
          <cell r="DYY1" t="str">
            <v>--</v>
          </cell>
          <cell r="DYZ1" t="str">
            <v>--</v>
          </cell>
          <cell r="DZA1" t="str">
            <v>--</v>
          </cell>
          <cell r="DZB1" t="str">
            <v>--</v>
          </cell>
          <cell r="DZC1" t="str">
            <v>--</v>
          </cell>
          <cell r="DZD1" t="str">
            <v>--</v>
          </cell>
          <cell r="DZE1" t="str">
            <v>--</v>
          </cell>
          <cell r="DZF1" t="str">
            <v>--</v>
          </cell>
          <cell r="DZG1" t="str">
            <v>--</v>
          </cell>
          <cell r="DZH1" t="str">
            <v>--</v>
          </cell>
          <cell r="DZI1" t="str">
            <v>--</v>
          </cell>
          <cell r="DZJ1" t="str">
            <v>--</v>
          </cell>
          <cell r="DZK1" t="str">
            <v>--</v>
          </cell>
          <cell r="DZL1" t="str">
            <v>--</v>
          </cell>
          <cell r="DZM1" t="str">
            <v>--</v>
          </cell>
          <cell r="DZN1" t="str">
            <v>--</v>
          </cell>
          <cell r="DZO1" t="str">
            <v>--</v>
          </cell>
          <cell r="DZP1" t="str">
            <v>--</v>
          </cell>
          <cell r="DZQ1" t="str">
            <v>--</v>
          </cell>
          <cell r="DZR1" t="str">
            <v>--</v>
          </cell>
          <cell r="DZS1" t="str">
            <v>--</v>
          </cell>
          <cell r="DZT1" t="str">
            <v>--</v>
          </cell>
          <cell r="DZU1" t="str">
            <v>--</v>
          </cell>
          <cell r="DZV1" t="str">
            <v>--</v>
          </cell>
          <cell r="DZW1" t="str">
            <v>--</v>
          </cell>
          <cell r="DZX1" t="str">
            <v>--</v>
          </cell>
          <cell r="DZY1" t="str">
            <v>--</v>
          </cell>
          <cell r="DZZ1" t="str">
            <v>--</v>
          </cell>
          <cell r="EAA1" t="str">
            <v>--</v>
          </cell>
          <cell r="EAB1" t="str">
            <v>--</v>
          </cell>
          <cell r="EAC1" t="str">
            <v>--</v>
          </cell>
          <cell r="EAD1" t="str">
            <v>--</v>
          </cell>
          <cell r="EAE1" t="str">
            <v>--</v>
          </cell>
          <cell r="EAF1" t="str">
            <v>--</v>
          </cell>
          <cell r="EAG1" t="str">
            <v>--</v>
          </cell>
          <cell r="EAH1" t="str">
            <v>--</v>
          </cell>
          <cell r="EAI1" t="str">
            <v>--</v>
          </cell>
          <cell r="EAJ1" t="str">
            <v>--</v>
          </cell>
          <cell r="EAK1" t="str">
            <v>--</v>
          </cell>
          <cell r="EAL1" t="str">
            <v>--</v>
          </cell>
          <cell r="EAM1" t="str">
            <v>--</v>
          </cell>
          <cell r="EAN1" t="str">
            <v>--</v>
          </cell>
          <cell r="EAO1" t="str">
            <v>--</v>
          </cell>
          <cell r="EAP1" t="str">
            <v>--</v>
          </cell>
          <cell r="EAQ1" t="str">
            <v>--</v>
          </cell>
          <cell r="EAR1" t="str">
            <v>--</v>
          </cell>
          <cell r="EAS1" t="str">
            <v>--</v>
          </cell>
          <cell r="EAT1" t="str">
            <v>--</v>
          </cell>
          <cell r="EAU1" t="str">
            <v>--</v>
          </cell>
          <cell r="EAV1" t="str">
            <v>--</v>
          </cell>
          <cell r="EAW1" t="str">
            <v>--</v>
          </cell>
          <cell r="EAX1" t="str">
            <v>--</v>
          </cell>
          <cell r="EAY1" t="str">
            <v>--</v>
          </cell>
          <cell r="EAZ1" t="str">
            <v>--</v>
          </cell>
          <cell r="EBA1" t="str">
            <v>--</v>
          </cell>
          <cell r="EBB1" t="str">
            <v>--</v>
          </cell>
          <cell r="EBC1" t="str">
            <v>--</v>
          </cell>
          <cell r="EBD1" t="str">
            <v>--</v>
          </cell>
          <cell r="EBE1" t="str">
            <v>--</v>
          </cell>
          <cell r="EBF1" t="str">
            <v>--</v>
          </cell>
          <cell r="EBG1" t="str">
            <v>--</v>
          </cell>
          <cell r="EBH1" t="str">
            <v>--</v>
          </cell>
          <cell r="EBI1" t="str">
            <v>--</v>
          </cell>
          <cell r="EBJ1" t="str">
            <v>--</v>
          </cell>
          <cell r="EBK1" t="str">
            <v>--</v>
          </cell>
          <cell r="EBL1" t="str">
            <v>--</v>
          </cell>
          <cell r="EBM1" t="str">
            <v>--</v>
          </cell>
          <cell r="EBN1" t="str">
            <v>--</v>
          </cell>
          <cell r="EBO1" t="str">
            <v>--</v>
          </cell>
          <cell r="EBP1" t="str">
            <v>--</v>
          </cell>
          <cell r="EBQ1" t="str">
            <v>--</v>
          </cell>
          <cell r="EBR1" t="str">
            <v>--</v>
          </cell>
          <cell r="EBS1" t="str">
            <v>--</v>
          </cell>
          <cell r="EBT1" t="str">
            <v>--</v>
          </cell>
          <cell r="EBU1" t="str">
            <v>--</v>
          </cell>
          <cell r="EBV1" t="str">
            <v>--</v>
          </cell>
          <cell r="EBW1" t="str">
            <v>--</v>
          </cell>
          <cell r="EBX1" t="str">
            <v>--</v>
          </cell>
          <cell r="EBY1" t="str">
            <v>--</v>
          </cell>
          <cell r="EBZ1" t="str">
            <v>--</v>
          </cell>
          <cell r="ECA1" t="str">
            <v>--</v>
          </cell>
          <cell r="ECB1" t="str">
            <v>--</v>
          </cell>
          <cell r="ECC1" t="str">
            <v>--</v>
          </cell>
          <cell r="ECD1" t="str">
            <v>--</v>
          </cell>
          <cell r="ECE1" t="str">
            <v>--</v>
          </cell>
          <cell r="ECF1" t="str">
            <v>--</v>
          </cell>
          <cell r="ECG1" t="str">
            <v>--</v>
          </cell>
          <cell r="ECH1" t="str">
            <v>--</v>
          </cell>
          <cell r="ECI1" t="str">
            <v>--</v>
          </cell>
          <cell r="ECJ1" t="str">
            <v>--</v>
          </cell>
          <cell r="ECK1" t="str">
            <v>--</v>
          </cell>
          <cell r="ECL1" t="str">
            <v>--</v>
          </cell>
          <cell r="ECM1" t="str">
            <v>--</v>
          </cell>
          <cell r="ECN1" t="str">
            <v>--</v>
          </cell>
          <cell r="ECO1" t="str">
            <v>--</v>
          </cell>
          <cell r="ECP1" t="str">
            <v>--</v>
          </cell>
          <cell r="ECQ1" t="str">
            <v>--</v>
          </cell>
          <cell r="ECR1" t="str">
            <v>--</v>
          </cell>
          <cell r="ECS1" t="str">
            <v>--</v>
          </cell>
          <cell r="ECT1" t="str">
            <v>--</v>
          </cell>
          <cell r="ECU1" t="str">
            <v>--</v>
          </cell>
          <cell r="ECV1" t="str">
            <v>--</v>
          </cell>
          <cell r="ECW1" t="str">
            <v>--</v>
          </cell>
          <cell r="ECX1" t="str">
            <v>--</v>
          </cell>
          <cell r="ECY1" t="str">
            <v>--</v>
          </cell>
          <cell r="ECZ1" t="str">
            <v>--</v>
          </cell>
          <cell r="EDA1" t="str">
            <v>--</v>
          </cell>
          <cell r="EDB1" t="str">
            <v>--</v>
          </cell>
          <cell r="EDC1" t="str">
            <v>--</v>
          </cell>
          <cell r="EDD1" t="str">
            <v>--</v>
          </cell>
          <cell r="EDE1" t="str">
            <v>--</v>
          </cell>
          <cell r="EDF1" t="str">
            <v>--</v>
          </cell>
          <cell r="EDG1" t="str">
            <v>--</v>
          </cell>
          <cell r="EDH1" t="str">
            <v>--</v>
          </cell>
          <cell r="EDI1" t="str">
            <v>--</v>
          </cell>
          <cell r="EDJ1" t="str">
            <v>--</v>
          </cell>
          <cell r="EDK1" t="str">
            <v>--</v>
          </cell>
          <cell r="EDL1" t="str">
            <v>--</v>
          </cell>
          <cell r="EDM1" t="str">
            <v>--</v>
          </cell>
          <cell r="EDN1" t="str">
            <v>--</v>
          </cell>
          <cell r="EDO1" t="str">
            <v>--</v>
          </cell>
          <cell r="EDP1" t="str">
            <v>--</v>
          </cell>
          <cell r="EDQ1" t="str">
            <v>--</v>
          </cell>
          <cell r="EDR1" t="str">
            <v>--</v>
          </cell>
          <cell r="EDS1" t="str">
            <v>--</v>
          </cell>
          <cell r="EDT1" t="str">
            <v>--</v>
          </cell>
          <cell r="EDU1" t="str">
            <v>--</v>
          </cell>
          <cell r="EDV1" t="str">
            <v>--</v>
          </cell>
          <cell r="EDW1" t="str">
            <v>--</v>
          </cell>
          <cell r="EDX1" t="str">
            <v>--</v>
          </cell>
          <cell r="EDY1" t="str">
            <v>--</v>
          </cell>
          <cell r="EDZ1" t="str">
            <v>--</v>
          </cell>
          <cell r="EEA1" t="str">
            <v>--</v>
          </cell>
          <cell r="EEB1" t="str">
            <v>--</v>
          </cell>
          <cell r="EEC1" t="str">
            <v>--</v>
          </cell>
          <cell r="EED1" t="str">
            <v>--</v>
          </cell>
          <cell r="EEE1" t="str">
            <v>--</v>
          </cell>
          <cell r="EEF1" t="str">
            <v>--</v>
          </cell>
          <cell r="EEG1" t="str">
            <v>--</v>
          </cell>
          <cell r="EEH1" t="str">
            <v>--</v>
          </cell>
          <cell r="EEI1" t="str">
            <v>--</v>
          </cell>
          <cell r="EEJ1" t="str">
            <v>--</v>
          </cell>
          <cell r="EEK1" t="str">
            <v>--</v>
          </cell>
          <cell r="EEL1" t="str">
            <v>--</v>
          </cell>
          <cell r="EEM1" t="str">
            <v>--</v>
          </cell>
          <cell r="EEN1" t="str">
            <v>--</v>
          </cell>
          <cell r="EEO1" t="str">
            <v>--</v>
          </cell>
          <cell r="EEP1" t="str">
            <v>--</v>
          </cell>
          <cell r="EEQ1" t="str">
            <v>--</v>
          </cell>
          <cell r="EER1" t="str">
            <v>--</v>
          </cell>
          <cell r="EES1" t="str">
            <v>--</v>
          </cell>
          <cell r="EET1" t="str">
            <v>--</v>
          </cell>
          <cell r="EEU1" t="str">
            <v>--</v>
          </cell>
          <cell r="EEV1" t="str">
            <v>--</v>
          </cell>
          <cell r="EEW1" t="str">
            <v>--</v>
          </cell>
          <cell r="EEX1" t="str">
            <v>--</v>
          </cell>
          <cell r="EEY1" t="str">
            <v>--</v>
          </cell>
          <cell r="EEZ1" t="str">
            <v>--</v>
          </cell>
          <cell r="EFA1" t="str">
            <v>--</v>
          </cell>
          <cell r="EFB1" t="str">
            <v>--</v>
          </cell>
          <cell r="EFC1" t="str">
            <v>--</v>
          </cell>
          <cell r="EFD1" t="str">
            <v>--</v>
          </cell>
          <cell r="EFE1" t="str">
            <v>--</v>
          </cell>
          <cell r="EFF1" t="str">
            <v>--</v>
          </cell>
          <cell r="EFG1" t="str">
            <v>--</v>
          </cell>
          <cell r="EFH1" t="str">
            <v>--</v>
          </cell>
          <cell r="EFI1" t="str">
            <v>--</v>
          </cell>
          <cell r="EFJ1" t="str">
            <v>--</v>
          </cell>
          <cell r="EFK1" t="str">
            <v>--</v>
          </cell>
          <cell r="EFL1" t="str">
            <v>--</v>
          </cell>
          <cell r="EFM1" t="str">
            <v>--</v>
          </cell>
          <cell r="EFN1" t="str">
            <v>--</v>
          </cell>
          <cell r="EFO1" t="str">
            <v>--</v>
          </cell>
          <cell r="EFP1" t="str">
            <v>--</v>
          </cell>
          <cell r="EFQ1" t="str">
            <v>--</v>
          </cell>
          <cell r="EFR1" t="str">
            <v>--</v>
          </cell>
          <cell r="EFS1" t="str">
            <v>--</v>
          </cell>
          <cell r="EFT1" t="str">
            <v>--</v>
          </cell>
          <cell r="EFU1" t="str">
            <v>--</v>
          </cell>
          <cell r="EFV1" t="str">
            <v>--</v>
          </cell>
          <cell r="EFW1" t="str">
            <v>--</v>
          </cell>
          <cell r="EFX1" t="str">
            <v>--</v>
          </cell>
          <cell r="EFY1" t="str">
            <v>--</v>
          </cell>
          <cell r="EFZ1" t="str">
            <v>--</v>
          </cell>
          <cell r="EGA1" t="str">
            <v>--</v>
          </cell>
          <cell r="EGB1" t="str">
            <v>--</v>
          </cell>
          <cell r="EGC1" t="str">
            <v>--</v>
          </cell>
          <cell r="EGD1" t="str">
            <v>--</v>
          </cell>
          <cell r="EGE1" t="str">
            <v>--</v>
          </cell>
          <cell r="EGF1" t="str">
            <v>--</v>
          </cell>
          <cell r="EGG1" t="str">
            <v>--</v>
          </cell>
          <cell r="EGH1" t="str">
            <v>--</v>
          </cell>
          <cell r="EGI1" t="str">
            <v>--</v>
          </cell>
          <cell r="EGJ1" t="str">
            <v>--</v>
          </cell>
          <cell r="EGK1" t="str">
            <v>--</v>
          </cell>
          <cell r="EGL1" t="str">
            <v>--</v>
          </cell>
          <cell r="EGM1" t="str">
            <v>--</v>
          </cell>
          <cell r="EGN1" t="str">
            <v>--</v>
          </cell>
          <cell r="EGO1" t="str">
            <v>--</v>
          </cell>
          <cell r="EGP1" t="str">
            <v>--</v>
          </cell>
          <cell r="EGQ1" t="str">
            <v>--</v>
          </cell>
          <cell r="EGR1" t="str">
            <v>--</v>
          </cell>
          <cell r="EGS1" t="str">
            <v>--</v>
          </cell>
          <cell r="EGT1" t="str">
            <v>--</v>
          </cell>
          <cell r="EGU1" t="str">
            <v>--</v>
          </cell>
          <cell r="EGV1" t="str">
            <v>--</v>
          </cell>
          <cell r="EGW1" t="str">
            <v>--</v>
          </cell>
          <cell r="EGX1" t="str">
            <v>--</v>
          </cell>
          <cell r="EGY1" t="str">
            <v>--</v>
          </cell>
          <cell r="EGZ1" t="str">
            <v>--</v>
          </cell>
          <cell r="EHA1" t="str">
            <v>--</v>
          </cell>
          <cell r="EHB1" t="str">
            <v>--</v>
          </cell>
          <cell r="EHC1" t="str">
            <v>--</v>
          </cell>
          <cell r="EHD1" t="str">
            <v>--</v>
          </cell>
          <cell r="EHE1" t="str">
            <v>--</v>
          </cell>
          <cell r="EHF1" t="str">
            <v>--</v>
          </cell>
          <cell r="EHG1" t="str">
            <v>--</v>
          </cell>
          <cell r="EHH1" t="str">
            <v>--</v>
          </cell>
          <cell r="EHI1" t="str">
            <v>--</v>
          </cell>
          <cell r="EHJ1" t="str">
            <v>--</v>
          </cell>
          <cell r="EHK1" t="str">
            <v>--</v>
          </cell>
          <cell r="EHL1" t="str">
            <v>--</v>
          </cell>
          <cell r="EHM1" t="str">
            <v>--</v>
          </cell>
          <cell r="EHN1" t="str">
            <v>--</v>
          </cell>
          <cell r="EHO1" t="str">
            <v>--</v>
          </cell>
          <cell r="EHP1" t="str">
            <v>--</v>
          </cell>
          <cell r="EHQ1" t="str">
            <v>--</v>
          </cell>
          <cell r="EHR1" t="str">
            <v>--</v>
          </cell>
          <cell r="EHS1" t="str">
            <v>--</v>
          </cell>
          <cell r="EHT1" t="str">
            <v>--</v>
          </cell>
          <cell r="EHU1" t="str">
            <v>--</v>
          </cell>
          <cell r="EHV1" t="str">
            <v>--</v>
          </cell>
          <cell r="EHW1" t="str">
            <v>--</v>
          </cell>
          <cell r="EHX1" t="str">
            <v>--</v>
          </cell>
          <cell r="EHY1" t="str">
            <v>--</v>
          </cell>
          <cell r="EHZ1" t="str">
            <v>--</v>
          </cell>
          <cell r="EIA1" t="str">
            <v>--</v>
          </cell>
          <cell r="EIB1" t="str">
            <v>--</v>
          </cell>
          <cell r="EIC1" t="str">
            <v>--</v>
          </cell>
          <cell r="EID1" t="str">
            <v>--</v>
          </cell>
          <cell r="EIE1" t="str">
            <v>--</v>
          </cell>
          <cell r="EIF1" t="str">
            <v>--</v>
          </cell>
          <cell r="EIG1" t="str">
            <v>--</v>
          </cell>
          <cell r="EIH1" t="str">
            <v>--</v>
          </cell>
          <cell r="EII1" t="str">
            <v>--</v>
          </cell>
          <cell r="EIJ1" t="str">
            <v>--</v>
          </cell>
          <cell r="EIK1" t="str">
            <v>--</v>
          </cell>
          <cell r="EIL1" t="str">
            <v>--</v>
          </cell>
          <cell r="EIM1" t="str">
            <v>--</v>
          </cell>
          <cell r="EIN1" t="str">
            <v>--</v>
          </cell>
          <cell r="EIO1" t="str">
            <v>--</v>
          </cell>
          <cell r="EIP1" t="str">
            <v>--</v>
          </cell>
          <cell r="EIQ1" t="str">
            <v>--</v>
          </cell>
          <cell r="EIR1" t="str">
            <v>--</v>
          </cell>
          <cell r="EIS1" t="str">
            <v>--</v>
          </cell>
          <cell r="EIT1" t="str">
            <v>--</v>
          </cell>
          <cell r="EIU1" t="str">
            <v>--</v>
          </cell>
          <cell r="EIV1" t="str">
            <v>--</v>
          </cell>
          <cell r="EIW1" t="str">
            <v>--</v>
          </cell>
          <cell r="EIX1" t="str">
            <v>--</v>
          </cell>
          <cell r="EIY1" t="str">
            <v>--</v>
          </cell>
          <cell r="EIZ1" t="str">
            <v>--</v>
          </cell>
          <cell r="EJA1" t="str">
            <v>--</v>
          </cell>
          <cell r="EJB1" t="str">
            <v>--</v>
          </cell>
          <cell r="EJC1" t="str">
            <v>--</v>
          </cell>
          <cell r="EJD1" t="str">
            <v>--</v>
          </cell>
          <cell r="EJE1" t="str">
            <v>--</v>
          </cell>
          <cell r="EJF1" t="str">
            <v>--</v>
          </cell>
          <cell r="EJG1" t="str">
            <v>--</v>
          </cell>
          <cell r="EJH1" t="str">
            <v>--</v>
          </cell>
          <cell r="EJI1" t="str">
            <v>--</v>
          </cell>
          <cell r="EJJ1" t="str">
            <v>--</v>
          </cell>
          <cell r="EJK1" t="str">
            <v>--</v>
          </cell>
          <cell r="EJL1" t="str">
            <v>--</v>
          </cell>
          <cell r="EJM1" t="str">
            <v>--</v>
          </cell>
          <cell r="EJN1" t="str">
            <v>--</v>
          </cell>
          <cell r="EJO1" t="str">
            <v>--</v>
          </cell>
          <cell r="EJP1" t="str">
            <v>--</v>
          </cell>
          <cell r="EJQ1" t="str">
            <v>--</v>
          </cell>
          <cell r="EJR1" t="str">
            <v>--</v>
          </cell>
          <cell r="EJS1" t="str">
            <v>--</v>
          </cell>
          <cell r="EJT1" t="str">
            <v>--</v>
          </cell>
          <cell r="EJU1" t="str">
            <v>--</v>
          </cell>
          <cell r="EJV1" t="str">
            <v>--</v>
          </cell>
          <cell r="EJW1" t="str">
            <v>--</v>
          </cell>
          <cell r="EJX1" t="str">
            <v>--</v>
          </cell>
          <cell r="EJY1" t="str">
            <v>--</v>
          </cell>
          <cell r="EJZ1" t="str">
            <v>--</v>
          </cell>
          <cell r="EKA1" t="str">
            <v>--</v>
          </cell>
          <cell r="EKB1" t="str">
            <v>--</v>
          </cell>
          <cell r="EKC1" t="str">
            <v>--</v>
          </cell>
          <cell r="EKD1" t="str">
            <v>--</v>
          </cell>
          <cell r="EKE1" t="str">
            <v>--</v>
          </cell>
          <cell r="EKF1" t="str">
            <v>--</v>
          </cell>
          <cell r="EKG1" t="str">
            <v>--</v>
          </cell>
          <cell r="EKH1" t="str">
            <v>--</v>
          </cell>
          <cell r="EKI1" t="str">
            <v>--</v>
          </cell>
          <cell r="EKJ1" t="str">
            <v>--</v>
          </cell>
          <cell r="EKK1" t="str">
            <v>--</v>
          </cell>
          <cell r="EKL1" t="str">
            <v>--</v>
          </cell>
          <cell r="EKM1" t="str">
            <v>--</v>
          </cell>
          <cell r="EKN1" t="str">
            <v>--</v>
          </cell>
          <cell r="EKO1" t="str">
            <v>--</v>
          </cell>
          <cell r="EKP1" t="str">
            <v>--</v>
          </cell>
          <cell r="EKQ1" t="str">
            <v>--</v>
          </cell>
          <cell r="EKR1" t="str">
            <v>--</v>
          </cell>
          <cell r="EKS1" t="str">
            <v>--</v>
          </cell>
          <cell r="EKT1" t="str">
            <v>--</v>
          </cell>
          <cell r="EKU1" t="str">
            <v>--</v>
          </cell>
          <cell r="EKV1" t="str">
            <v>--</v>
          </cell>
          <cell r="EKW1" t="str">
            <v>--</v>
          </cell>
          <cell r="EKX1" t="str">
            <v>--</v>
          </cell>
          <cell r="EKY1" t="str">
            <v>--</v>
          </cell>
          <cell r="EKZ1" t="str">
            <v>--</v>
          </cell>
          <cell r="ELA1" t="str">
            <v>--</v>
          </cell>
          <cell r="ELB1" t="str">
            <v>--</v>
          </cell>
          <cell r="ELC1" t="str">
            <v>--</v>
          </cell>
          <cell r="ELD1" t="str">
            <v>--</v>
          </cell>
          <cell r="ELE1" t="str">
            <v>--</v>
          </cell>
          <cell r="ELF1" t="str">
            <v>--</v>
          </cell>
          <cell r="ELG1" t="str">
            <v>--</v>
          </cell>
          <cell r="ELH1" t="str">
            <v>--</v>
          </cell>
          <cell r="ELI1" t="str">
            <v>--</v>
          </cell>
          <cell r="ELJ1" t="str">
            <v>--</v>
          </cell>
          <cell r="ELK1" t="str">
            <v>--</v>
          </cell>
          <cell r="ELL1" t="str">
            <v>--</v>
          </cell>
          <cell r="ELM1" t="str">
            <v>--</v>
          </cell>
          <cell r="ELN1" t="str">
            <v>--</v>
          </cell>
          <cell r="ELO1" t="str">
            <v>--</v>
          </cell>
          <cell r="ELP1" t="str">
            <v>--</v>
          </cell>
          <cell r="ELQ1" t="str">
            <v>--</v>
          </cell>
          <cell r="ELR1" t="str">
            <v>--</v>
          </cell>
          <cell r="ELS1" t="str">
            <v>--</v>
          </cell>
          <cell r="ELT1" t="str">
            <v>--</v>
          </cell>
          <cell r="ELU1" t="str">
            <v>--</v>
          </cell>
          <cell r="ELV1" t="str">
            <v>--</v>
          </cell>
          <cell r="ELW1" t="str">
            <v>--</v>
          </cell>
          <cell r="ELX1" t="str">
            <v>--</v>
          </cell>
          <cell r="ELY1" t="str">
            <v>--</v>
          </cell>
          <cell r="ELZ1" t="str">
            <v>--</v>
          </cell>
          <cell r="EMA1" t="str">
            <v>--</v>
          </cell>
          <cell r="EMB1" t="str">
            <v>--</v>
          </cell>
          <cell r="EMC1" t="str">
            <v>--</v>
          </cell>
          <cell r="EMD1" t="str">
            <v>--</v>
          </cell>
          <cell r="EME1" t="str">
            <v>--</v>
          </cell>
          <cell r="EMF1" t="str">
            <v>--</v>
          </cell>
          <cell r="EMG1" t="str">
            <v>--</v>
          </cell>
          <cell r="EMH1" t="str">
            <v>--</v>
          </cell>
          <cell r="EMI1" t="str">
            <v>--</v>
          </cell>
          <cell r="EMJ1" t="str">
            <v>--</v>
          </cell>
          <cell r="EMK1" t="str">
            <v>--</v>
          </cell>
          <cell r="EML1" t="str">
            <v>--</v>
          </cell>
          <cell r="EMM1" t="str">
            <v>--</v>
          </cell>
          <cell r="EMN1" t="str">
            <v>--</v>
          </cell>
          <cell r="EMO1" t="str">
            <v>--</v>
          </cell>
          <cell r="EMP1" t="str">
            <v>--</v>
          </cell>
          <cell r="EMQ1" t="str">
            <v>--</v>
          </cell>
          <cell r="EMR1" t="str">
            <v>--</v>
          </cell>
          <cell r="EMS1" t="str">
            <v>--</v>
          </cell>
          <cell r="EMT1" t="str">
            <v>--</v>
          </cell>
          <cell r="EMU1" t="str">
            <v>--</v>
          </cell>
          <cell r="EMV1" t="str">
            <v>--</v>
          </cell>
          <cell r="EMW1" t="str">
            <v>--</v>
          </cell>
          <cell r="EMX1" t="str">
            <v>--</v>
          </cell>
          <cell r="EMY1" t="str">
            <v>--</v>
          </cell>
          <cell r="EMZ1" t="str">
            <v>--</v>
          </cell>
          <cell r="ENA1" t="str">
            <v>--</v>
          </cell>
          <cell r="ENB1" t="str">
            <v>--</v>
          </cell>
          <cell r="ENC1" t="str">
            <v>--</v>
          </cell>
          <cell r="END1" t="str">
            <v>--</v>
          </cell>
          <cell r="ENE1" t="str">
            <v>--</v>
          </cell>
          <cell r="ENF1" t="str">
            <v>--</v>
          </cell>
          <cell r="ENG1" t="str">
            <v>--</v>
          </cell>
          <cell r="ENH1" t="str">
            <v>--</v>
          </cell>
          <cell r="ENI1" t="str">
            <v>--</v>
          </cell>
          <cell r="ENJ1" t="str">
            <v>--</v>
          </cell>
          <cell r="ENK1" t="str">
            <v>--</v>
          </cell>
          <cell r="ENL1" t="str">
            <v>--</v>
          </cell>
          <cell r="ENM1" t="str">
            <v>--</v>
          </cell>
          <cell r="ENN1" t="str">
            <v>--</v>
          </cell>
          <cell r="ENO1" t="str">
            <v>--</v>
          </cell>
          <cell r="ENP1" t="str">
            <v>--</v>
          </cell>
          <cell r="ENQ1" t="str">
            <v>--</v>
          </cell>
          <cell r="ENR1" t="str">
            <v>--</v>
          </cell>
          <cell r="ENS1" t="str">
            <v>--</v>
          </cell>
          <cell r="ENT1" t="str">
            <v>--</v>
          </cell>
          <cell r="ENU1" t="str">
            <v>--</v>
          </cell>
          <cell r="ENV1" t="str">
            <v>--</v>
          </cell>
          <cell r="ENW1" t="str">
            <v>--</v>
          </cell>
          <cell r="ENX1" t="str">
            <v>--</v>
          </cell>
          <cell r="ENY1" t="str">
            <v>--</v>
          </cell>
          <cell r="ENZ1" t="str">
            <v>--</v>
          </cell>
          <cell r="EOA1" t="str">
            <v>--</v>
          </cell>
          <cell r="EOB1" t="str">
            <v>--</v>
          </cell>
          <cell r="EOC1" t="str">
            <v>--</v>
          </cell>
          <cell r="EOD1" t="str">
            <v>--</v>
          </cell>
          <cell r="EOE1" t="str">
            <v>--</v>
          </cell>
          <cell r="EOF1" t="str">
            <v>--</v>
          </cell>
          <cell r="EOG1" t="str">
            <v>--</v>
          </cell>
          <cell r="EOH1" t="str">
            <v>--</v>
          </cell>
          <cell r="EOI1" t="str">
            <v>--</v>
          </cell>
          <cell r="EOJ1" t="str">
            <v>--</v>
          </cell>
          <cell r="EOK1" t="str">
            <v>--</v>
          </cell>
          <cell r="EOL1" t="str">
            <v>--</v>
          </cell>
          <cell r="EOM1" t="str">
            <v>--</v>
          </cell>
          <cell r="EON1" t="str">
            <v>--</v>
          </cell>
          <cell r="EOO1" t="str">
            <v>--</v>
          </cell>
          <cell r="EOP1" t="str">
            <v>--</v>
          </cell>
          <cell r="EOQ1" t="str">
            <v>--</v>
          </cell>
          <cell r="EOR1" t="str">
            <v>--</v>
          </cell>
          <cell r="EOS1" t="str">
            <v>--</v>
          </cell>
          <cell r="EOT1" t="str">
            <v>--</v>
          </cell>
          <cell r="EOU1" t="str">
            <v>--</v>
          </cell>
          <cell r="EOV1" t="str">
            <v>--</v>
          </cell>
          <cell r="EOW1" t="str">
            <v>--</v>
          </cell>
          <cell r="EOX1" t="str">
            <v>--</v>
          </cell>
          <cell r="EOY1" t="str">
            <v>--</v>
          </cell>
          <cell r="EOZ1" t="str">
            <v>--</v>
          </cell>
          <cell r="EPA1" t="str">
            <v>--</v>
          </cell>
          <cell r="EPB1" t="str">
            <v>--</v>
          </cell>
          <cell r="EPC1" t="str">
            <v>--</v>
          </cell>
          <cell r="EPD1" t="str">
            <v>--</v>
          </cell>
          <cell r="EPE1" t="str">
            <v>--</v>
          </cell>
          <cell r="EPF1" t="str">
            <v>--</v>
          </cell>
          <cell r="EPG1" t="str">
            <v>--</v>
          </cell>
          <cell r="EPH1" t="str">
            <v>--</v>
          </cell>
          <cell r="EPI1" t="str">
            <v>--</v>
          </cell>
          <cell r="EPJ1" t="str">
            <v>--</v>
          </cell>
          <cell r="EPK1" t="str">
            <v>--</v>
          </cell>
          <cell r="EPL1" t="str">
            <v>--</v>
          </cell>
          <cell r="EPM1" t="str">
            <v>--</v>
          </cell>
          <cell r="EPN1" t="str">
            <v>--</v>
          </cell>
          <cell r="EPO1" t="str">
            <v>--</v>
          </cell>
          <cell r="EPP1" t="str">
            <v>--</v>
          </cell>
          <cell r="EPQ1" t="str">
            <v>--</v>
          </cell>
          <cell r="EPR1" t="str">
            <v>--</v>
          </cell>
          <cell r="EPS1" t="str">
            <v>--</v>
          </cell>
          <cell r="EPT1" t="str">
            <v>--</v>
          </cell>
          <cell r="EPU1" t="str">
            <v>--</v>
          </cell>
          <cell r="EPV1" t="str">
            <v>--</v>
          </cell>
          <cell r="EPW1" t="str">
            <v>--</v>
          </cell>
          <cell r="EPX1" t="str">
            <v>--</v>
          </cell>
          <cell r="EPY1" t="str">
            <v>--</v>
          </cell>
          <cell r="EPZ1" t="str">
            <v>--</v>
          </cell>
          <cell r="EQA1" t="str">
            <v>--</v>
          </cell>
          <cell r="EQB1" t="str">
            <v>--</v>
          </cell>
          <cell r="EQC1" t="str">
            <v>--</v>
          </cell>
          <cell r="EQD1" t="str">
            <v>--</v>
          </cell>
          <cell r="EQE1" t="str">
            <v>--</v>
          </cell>
          <cell r="EQF1" t="str">
            <v>--</v>
          </cell>
          <cell r="EQG1" t="str">
            <v>--</v>
          </cell>
          <cell r="EQH1" t="str">
            <v>--</v>
          </cell>
          <cell r="EQI1" t="str">
            <v>--</v>
          </cell>
          <cell r="EQJ1" t="str">
            <v>--</v>
          </cell>
          <cell r="EQK1" t="str">
            <v>--</v>
          </cell>
          <cell r="EQL1" t="str">
            <v>--</v>
          </cell>
          <cell r="EQM1" t="str">
            <v>--</v>
          </cell>
          <cell r="EQN1" t="str">
            <v>--</v>
          </cell>
          <cell r="EQO1" t="str">
            <v>--</v>
          </cell>
          <cell r="EQP1" t="str">
            <v>--</v>
          </cell>
          <cell r="EQQ1" t="str">
            <v>--</v>
          </cell>
          <cell r="EQR1" t="str">
            <v>--</v>
          </cell>
          <cell r="EQS1" t="str">
            <v>--</v>
          </cell>
          <cell r="EQT1" t="str">
            <v>--</v>
          </cell>
          <cell r="EQU1" t="str">
            <v>--</v>
          </cell>
          <cell r="EQV1" t="str">
            <v>--</v>
          </cell>
          <cell r="EQW1" t="str">
            <v>--</v>
          </cell>
          <cell r="EQX1" t="str">
            <v>--</v>
          </cell>
          <cell r="EQY1" t="str">
            <v>--</v>
          </cell>
          <cell r="EQZ1" t="str">
            <v>--</v>
          </cell>
          <cell r="ERA1" t="str">
            <v>--</v>
          </cell>
          <cell r="ERB1" t="str">
            <v>--</v>
          </cell>
          <cell r="ERC1" t="str">
            <v>--</v>
          </cell>
          <cell r="ERD1" t="str">
            <v>--</v>
          </cell>
          <cell r="ERE1" t="str">
            <v>--</v>
          </cell>
          <cell r="ERF1" t="str">
            <v>--</v>
          </cell>
          <cell r="ERG1" t="str">
            <v>--</v>
          </cell>
          <cell r="ERH1" t="str">
            <v>--</v>
          </cell>
          <cell r="ERI1" t="str">
            <v>--</v>
          </cell>
          <cell r="ERJ1" t="str">
            <v>--</v>
          </cell>
          <cell r="ERK1" t="str">
            <v>--</v>
          </cell>
          <cell r="ERL1" t="str">
            <v>--</v>
          </cell>
          <cell r="ERM1" t="str">
            <v>--</v>
          </cell>
          <cell r="ERN1" t="str">
            <v>--</v>
          </cell>
          <cell r="ERO1" t="str">
            <v>--</v>
          </cell>
          <cell r="ERP1" t="str">
            <v>--</v>
          </cell>
          <cell r="ERQ1" t="str">
            <v>--</v>
          </cell>
          <cell r="ERR1" t="str">
            <v>--</v>
          </cell>
          <cell r="ERS1" t="str">
            <v>--</v>
          </cell>
          <cell r="ERT1" t="str">
            <v>--</v>
          </cell>
          <cell r="ERU1" t="str">
            <v>--</v>
          </cell>
          <cell r="ERV1" t="str">
            <v>--</v>
          </cell>
          <cell r="ERW1" t="str">
            <v>--</v>
          </cell>
          <cell r="ERX1" t="str">
            <v>--</v>
          </cell>
          <cell r="ERY1" t="str">
            <v>--</v>
          </cell>
          <cell r="ERZ1" t="str">
            <v>--</v>
          </cell>
          <cell r="ESA1" t="str">
            <v>--</v>
          </cell>
          <cell r="ESB1" t="str">
            <v>--</v>
          </cell>
          <cell r="ESC1" t="str">
            <v>--</v>
          </cell>
          <cell r="ESD1" t="str">
            <v>--</v>
          </cell>
          <cell r="ESE1" t="str">
            <v>--</v>
          </cell>
          <cell r="ESF1" t="str">
            <v>--</v>
          </cell>
          <cell r="ESG1" t="str">
            <v>--</v>
          </cell>
          <cell r="ESH1" t="str">
            <v>--</v>
          </cell>
          <cell r="ESI1" t="str">
            <v>--</v>
          </cell>
          <cell r="ESJ1" t="str">
            <v>--</v>
          </cell>
          <cell r="ESK1" t="str">
            <v>--</v>
          </cell>
          <cell r="ESL1" t="str">
            <v>--</v>
          </cell>
          <cell r="ESM1" t="str">
            <v>--</v>
          </cell>
          <cell r="ESN1" t="str">
            <v>--</v>
          </cell>
          <cell r="ESO1" t="str">
            <v>--</v>
          </cell>
          <cell r="ESP1" t="str">
            <v>--</v>
          </cell>
          <cell r="ESQ1" t="str">
            <v>--</v>
          </cell>
          <cell r="ESR1" t="str">
            <v>--</v>
          </cell>
          <cell r="ESS1" t="str">
            <v>--</v>
          </cell>
          <cell r="EST1" t="str">
            <v>--</v>
          </cell>
          <cell r="ESU1" t="str">
            <v>--</v>
          </cell>
          <cell r="ESV1" t="str">
            <v>--</v>
          </cell>
          <cell r="ESW1" t="str">
            <v>--</v>
          </cell>
          <cell r="ESX1" t="str">
            <v>--</v>
          </cell>
          <cell r="ESY1" t="str">
            <v>--</v>
          </cell>
          <cell r="ESZ1" t="str">
            <v>--</v>
          </cell>
          <cell r="ETA1" t="str">
            <v>--</v>
          </cell>
          <cell r="ETB1" t="str">
            <v>--</v>
          </cell>
          <cell r="ETC1" t="str">
            <v>--</v>
          </cell>
          <cell r="ETD1" t="str">
            <v>--</v>
          </cell>
          <cell r="ETE1" t="str">
            <v>--</v>
          </cell>
          <cell r="ETF1" t="str">
            <v>--</v>
          </cell>
          <cell r="ETG1" t="str">
            <v>--</v>
          </cell>
          <cell r="ETH1" t="str">
            <v>--</v>
          </cell>
          <cell r="ETI1" t="str">
            <v>--</v>
          </cell>
          <cell r="ETJ1" t="str">
            <v>--</v>
          </cell>
          <cell r="ETK1" t="str">
            <v>--</v>
          </cell>
          <cell r="ETL1" t="str">
            <v>--</v>
          </cell>
          <cell r="ETM1" t="str">
            <v>--</v>
          </cell>
          <cell r="ETN1" t="str">
            <v>--</v>
          </cell>
          <cell r="ETO1" t="str">
            <v>--</v>
          </cell>
          <cell r="ETP1" t="str">
            <v>--</v>
          </cell>
          <cell r="ETQ1" t="str">
            <v>--</v>
          </cell>
          <cell r="ETR1" t="str">
            <v>--</v>
          </cell>
          <cell r="ETS1" t="str">
            <v>--</v>
          </cell>
          <cell r="ETT1" t="str">
            <v>--</v>
          </cell>
          <cell r="ETU1" t="str">
            <v>--</v>
          </cell>
          <cell r="ETV1" t="str">
            <v>--</v>
          </cell>
          <cell r="ETW1" t="str">
            <v>--</v>
          </cell>
          <cell r="ETX1" t="str">
            <v>--</v>
          </cell>
          <cell r="ETY1" t="str">
            <v>--</v>
          </cell>
          <cell r="ETZ1" t="str">
            <v>--</v>
          </cell>
          <cell r="EUA1" t="str">
            <v>--</v>
          </cell>
          <cell r="EUB1" t="str">
            <v>--</v>
          </cell>
          <cell r="EUC1" t="str">
            <v>--</v>
          </cell>
          <cell r="EUD1" t="str">
            <v>--</v>
          </cell>
          <cell r="EUE1" t="str">
            <v>--</v>
          </cell>
          <cell r="EUF1" t="str">
            <v>--</v>
          </cell>
          <cell r="EUG1" t="str">
            <v>--</v>
          </cell>
          <cell r="EUH1" t="str">
            <v>--</v>
          </cell>
          <cell r="EUI1" t="str">
            <v>--</v>
          </cell>
          <cell r="EUJ1" t="str">
            <v>--</v>
          </cell>
          <cell r="EUK1" t="str">
            <v>--</v>
          </cell>
          <cell r="EUL1" t="str">
            <v>--</v>
          </cell>
          <cell r="EUM1" t="str">
            <v>--</v>
          </cell>
          <cell r="EUN1" t="str">
            <v>--</v>
          </cell>
          <cell r="EUO1" t="str">
            <v>--</v>
          </cell>
          <cell r="EUP1" t="str">
            <v>--</v>
          </cell>
          <cell r="EUQ1" t="str">
            <v>--</v>
          </cell>
          <cell r="EUR1" t="str">
            <v>--</v>
          </cell>
          <cell r="EUS1" t="str">
            <v>--</v>
          </cell>
          <cell r="EUT1" t="str">
            <v>--</v>
          </cell>
          <cell r="EUU1" t="str">
            <v>--</v>
          </cell>
          <cell r="EUV1" t="str">
            <v>--</v>
          </cell>
          <cell r="EUW1" t="str">
            <v>--</v>
          </cell>
          <cell r="EUX1" t="str">
            <v>--</v>
          </cell>
          <cell r="EUY1" t="str">
            <v>--</v>
          </cell>
          <cell r="EUZ1" t="str">
            <v>--</v>
          </cell>
          <cell r="EVA1" t="str">
            <v>--</v>
          </cell>
          <cell r="EVB1" t="str">
            <v>--</v>
          </cell>
          <cell r="EVC1" t="str">
            <v>--</v>
          </cell>
          <cell r="EVD1" t="str">
            <v>--</v>
          </cell>
          <cell r="EVE1" t="str">
            <v>--</v>
          </cell>
          <cell r="EVF1" t="str">
            <v>--</v>
          </cell>
          <cell r="EVG1" t="str">
            <v>--</v>
          </cell>
          <cell r="EVH1" t="str">
            <v>--</v>
          </cell>
          <cell r="EVI1" t="str">
            <v>--</v>
          </cell>
          <cell r="EVJ1" t="str">
            <v>--</v>
          </cell>
          <cell r="EVK1" t="str">
            <v>--</v>
          </cell>
          <cell r="EVL1" t="str">
            <v>--</v>
          </cell>
          <cell r="EVM1" t="str">
            <v>--</v>
          </cell>
          <cell r="EVN1" t="str">
            <v>--</v>
          </cell>
          <cell r="EVO1" t="str">
            <v>--</v>
          </cell>
          <cell r="EVP1" t="str">
            <v>--</v>
          </cell>
          <cell r="EVQ1" t="str">
            <v>--</v>
          </cell>
          <cell r="EVR1" t="str">
            <v>--</v>
          </cell>
          <cell r="EVS1" t="str">
            <v>--</v>
          </cell>
          <cell r="EVT1" t="str">
            <v>--</v>
          </cell>
          <cell r="EVU1" t="str">
            <v>--</v>
          </cell>
          <cell r="EVV1" t="str">
            <v>--</v>
          </cell>
          <cell r="EVW1" t="str">
            <v>--</v>
          </cell>
          <cell r="EVX1" t="str">
            <v>--</v>
          </cell>
          <cell r="EVY1" t="str">
            <v>--</v>
          </cell>
          <cell r="EVZ1" t="str">
            <v>--</v>
          </cell>
          <cell r="EWA1" t="str">
            <v>--</v>
          </cell>
          <cell r="EWB1" t="str">
            <v>--</v>
          </cell>
          <cell r="EWC1" t="str">
            <v>--</v>
          </cell>
          <cell r="EWD1" t="str">
            <v>--</v>
          </cell>
          <cell r="EWE1" t="str">
            <v>--</v>
          </cell>
          <cell r="EWF1" t="str">
            <v>--</v>
          </cell>
          <cell r="EWG1" t="str">
            <v>--</v>
          </cell>
          <cell r="EWH1" t="str">
            <v>--</v>
          </cell>
          <cell r="EWI1" t="str">
            <v>--</v>
          </cell>
          <cell r="EWJ1" t="str">
            <v>--</v>
          </cell>
          <cell r="EWK1" t="str">
            <v>--</v>
          </cell>
          <cell r="EWL1" t="str">
            <v>--</v>
          </cell>
          <cell r="EWM1" t="str">
            <v>--</v>
          </cell>
          <cell r="EWN1" t="str">
            <v>--</v>
          </cell>
          <cell r="EWO1" t="str">
            <v>--</v>
          </cell>
          <cell r="EWP1" t="str">
            <v>--</v>
          </cell>
          <cell r="EWQ1" t="str">
            <v>--</v>
          </cell>
          <cell r="EWR1" t="str">
            <v>--</v>
          </cell>
          <cell r="EWS1" t="str">
            <v>--</v>
          </cell>
          <cell r="EWT1" t="str">
            <v>--</v>
          </cell>
          <cell r="EWU1" t="str">
            <v>--</v>
          </cell>
          <cell r="EWV1" t="str">
            <v>--</v>
          </cell>
          <cell r="EWW1" t="str">
            <v>--</v>
          </cell>
          <cell r="EWX1" t="str">
            <v>--</v>
          </cell>
          <cell r="EWY1" t="str">
            <v>--</v>
          </cell>
          <cell r="EWZ1" t="str">
            <v>--</v>
          </cell>
          <cell r="EXA1" t="str">
            <v>--</v>
          </cell>
          <cell r="EXB1" t="str">
            <v>--</v>
          </cell>
          <cell r="EXC1" t="str">
            <v>--</v>
          </cell>
          <cell r="EXD1" t="str">
            <v>--</v>
          </cell>
          <cell r="EXE1" t="str">
            <v>--</v>
          </cell>
          <cell r="EXF1" t="str">
            <v>--</v>
          </cell>
          <cell r="EXG1" t="str">
            <v>--</v>
          </cell>
          <cell r="EXH1" t="str">
            <v>--</v>
          </cell>
          <cell r="EXI1" t="str">
            <v>--</v>
          </cell>
          <cell r="EXJ1" t="str">
            <v>--</v>
          </cell>
          <cell r="EXK1" t="str">
            <v>--</v>
          </cell>
          <cell r="EXL1" t="str">
            <v>--</v>
          </cell>
          <cell r="EXM1" t="str">
            <v>--</v>
          </cell>
          <cell r="EXN1" t="str">
            <v>--</v>
          </cell>
          <cell r="EXO1" t="str">
            <v>--</v>
          </cell>
          <cell r="EXP1" t="str">
            <v>--</v>
          </cell>
          <cell r="EXQ1" t="str">
            <v>--</v>
          </cell>
          <cell r="EXR1" t="str">
            <v>--</v>
          </cell>
          <cell r="EXS1" t="str">
            <v>--</v>
          </cell>
          <cell r="EXT1" t="str">
            <v>--</v>
          </cell>
          <cell r="EXU1" t="str">
            <v>--</v>
          </cell>
          <cell r="EXV1" t="str">
            <v>--</v>
          </cell>
          <cell r="EXW1" t="str">
            <v>--</v>
          </cell>
          <cell r="EXX1" t="str">
            <v>--</v>
          </cell>
          <cell r="EXY1" t="str">
            <v>--</v>
          </cell>
          <cell r="EXZ1" t="str">
            <v>--</v>
          </cell>
          <cell r="EYA1" t="str">
            <v>--</v>
          </cell>
          <cell r="EYB1" t="str">
            <v>--</v>
          </cell>
          <cell r="EYC1" t="str">
            <v>--</v>
          </cell>
          <cell r="EYD1" t="str">
            <v>--</v>
          </cell>
          <cell r="EYE1" t="str">
            <v>--</v>
          </cell>
          <cell r="EYF1" t="str">
            <v>--</v>
          </cell>
          <cell r="EYG1" t="str">
            <v>--</v>
          </cell>
          <cell r="EYH1" t="str">
            <v>--</v>
          </cell>
          <cell r="EYI1" t="str">
            <v>--</v>
          </cell>
          <cell r="EYJ1" t="str">
            <v>--</v>
          </cell>
          <cell r="EYK1" t="str">
            <v>--</v>
          </cell>
          <cell r="EYL1" t="str">
            <v>--</v>
          </cell>
          <cell r="EYM1" t="str">
            <v>--</v>
          </cell>
          <cell r="EYN1" t="str">
            <v>--</v>
          </cell>
          <cell r="EYO1" t="str">
            <v>--</v>
          </cell>
          <cell r="EYP1" t="str">
            <v>--</v>
          </cell>
          <cell r="EYQ1" t="str">
            <v>--</v>
          </cell>
          <cell r="EYR1" t="str">
            <v>--</v>
          </cell>
          <cell r="EYS1" t="str">
            <v>--</v>
          </cell>
          <cell r="EYT1" t="str">
            <v>--</v>
          </cell>
          <cell r="EYU1" t="str">
            <v>--</v>
          </cell>
          <cell r="EYV1" t="str">
            <v>--</v>
          </cell>
          <cell r="EYW1" t="str">
            <v>--</v>
          </cell>
          <cell r="EYX1" t="str">
            <v>--</v>
          </cell>
          <cell r="EYY1" t="str">
            <v>--</v>
          </cell>
          <cell r="EYZ1" t="str">
            <v>--</v>
          </cell>
          <cell r="EZA1" t="str">
            <v>--</v>
          </cell>
          <cell r="EZB1" t="str">
            <v>--</v>
          </cell>
          <cell r="EZC1" t="str">
            <v>--</v>
          </cell>
          <cell r="EZD1" t="str">
            <v>--</v>
          </cell>
          <cell r="EZE1" t="str">
            <v>--</v>
          </cell>
          <cell r="EZF1" t="str">
            <v>--</v>
          </cell>
          <cell r="EZG1" t="str">
            <v>--</v>
          </cell>
          <cell r="EZH1" t="str">
            <v>--</v>
          </cell>
          <cell r="EZI1" t="str">
            <v>--</v>
          </cell>
          <cell r="EZJ1" t="str">
            <v>--</v>
          </cell>
          <cell r="EZK1" t="str">
            <v>--</v>
          </cell>
          <cell r="EZL1" t="str">
            <v>--</v>
          </cell>
          <cell r="EZM1" t="str">
            <v>--</v>
          </cell>
          <cell r="EZN1" t="str">
            <v>--</v>
          </cell>
          <cell r="EZO1" t="str">
            <v>--</v>
          </cell>
          <cell r="EZP1" t="str">
            <v>--</v>
          </cell>
          <cell r="EZQ1" t="str">
            <v>--</v>
          </cell>
          <cell r="EZR1" t="str">
            <v>--</v>
          </cell>
          <cell r="EZS1" t="str">
            <v>--</v>
          </cell>
          <cell r="EZT1" t="str">
            <v>--</v>
          </cell>
          <cell r="EZU1" t="str">
            <v>--</v>
          </cell>
          <cell r="EZV1" t="str">
            <v>--</v>
          </cell>
          <cell r="EZW1" t="str">
            <v>--</v>
          </cell>
          <cell r="EZX1" t="str">
            <v>--</v>
          </cell>
          <cell r="EZY1" t="str">
            <v>--</v>
          </cell>
          <cell r="EZZ1" t="str">
            <v>--</v>
          </cell>
          <cell r="FAA1" t="str">
            <v>--</v>
          </cell>
          <cell r="FAB1" t="str">
            <v>--</v>
          </cell>
          <cell r="FAC1" t="str">
            <v>--</v>
          </cell>
          <cell r="FAD1" t="str">
            <v>--</v>
          </cell>
          <cell r="FAE1" t="str">
            <v>--</v>
          </cell>
          <cell r="FAF1" t="str">
            <v>--</v>
          </cell>
          <cell r="FAG1" t="str">
            <v>--</v>
          </cell>
          <cell r="FAH1" t="str">
            <v>--</v>
          </cell>
          <cell r="FAI1" t="str">
            <v>--</v>
          </cell>
          <cell r="FAJ1" t="str">
            <v>--</v>
          </cell>
          <cell r="FAK1" t="str">
            <v>--</v>
          </cell>
          <cell r="FAL1" t="str">
            <v>--</v>
          </cell>
          <cell r="FAM1" t="str">
            <v>--</v>
          </cell>
          <cell r="FAN1" t="str">
            <v>--</v>
          </cell>
          <cell r="FAO1" t="str">
            <v>--</v>
          </cell>
          <cell r="FAP1" t="str">
            <v>--</v>
          </cell>
          <cell r="FAQ1" t="str">
            <v>--</v>
          </cell>
          <cell r="FAR1" t="str">
            <v>--</v>
          </cell>
          <cell r="FAS1" t="str">
            <v>--</v>
          </cell>
          <cell r="FAT1" t="str">
            <v>--</v>
          </cell>
          <cell r="FAU1" t="str">
            <v>--</v>
          </cell>
          <cell r="FAV1" t="str">
            <v>--</v>
          </cell>
          <cell r="FAW1" t="str">
            <v>--</v>
          </cell>
          <cell r="FAX1" t="str">
            <v>--</v>
          </cell>
          <cell r="FAY1" t="str">
            <v>--</v>
          </cell>
          <cell r="FAZ1" t="str">
            <v>--</v>
          </cell>
          <cell r="FBA1" t="str">
            <v>--</v>
          </cell>
          <cell r="FBB1" t="str">
            <v>--</v>
          </cell>
          <cell r="FBC1" t="str">
            <v>--</v>
          </cell>
          <cell r="FBD1" t="str">
            <v>--</v>
          </cell>
          <cell r="FBE1" t="str">
            <v>--</v>
          </cell>
          <cell r="FBF1" t="str">
            <v>--</v>
          </cell>
          <cell r="FBG1" t="str">
            <v>--</v>
          </cell>
          <cell r="FBH1" t="str">
            <v>--</v>
          </cell>
          <cell r="FBI1" t="str">
            <v>--</v>
          </cell>
          <cell r="FBJ1" t="str">
            <v>--</v>
          </cell>
          <cell r="FBK1" t="str">
            <v>--</v>
          </cell>
          <cell r="FBL1" t="str">
            <v>--</v>
          </cell>
          <cell r="FBM1" t="str">
            <v>--</v>
          </cell>
          <cell r="FBN1" t="str">
            <v>--</v>
          </cell>
          <cell r="FBO1" t="str">
            <v>--</v>
          </cell>
          <cell r="FBP1" t="str">
            <v>--</v>
          </cell>
          <cell r="FBQ1" t="str">
            <v>--</v>
          </cell>
          <cell r="FBR1" t="str">
            <v>--</v>
          </cell>
          <cell r="FBS1" t="str">
            <v>--</v>
          </cell>
          <cell r="FBT1" t="str">
            <v>--</v>
          </cell>
          <cell r="FBU1" t="str">
            <v>--</v>
          </cell>
          <cell r="FBV1" t="str">
            <v>--</v>
          </cell>
          <cell r="FBW1" t="str">
            <v>--</v>
          </cell>
          <cell r="FBX1" t="str">
            <v>--</v>
          </cell>
          <cell r="FBY1" t="str">
            <v>--</v>
          </cell>
          <cell r="FBZ1" t="str">
            <v>--</v>
          </cell>
          <cell r="FCA1" t="str">
            <v>--</v>
          </cell>
          <cell r="FCB1" t="str">
            <v>--</v>
          </cell>
          <cell r="FCC1" t="str">
            <v>--</v>
          </cell>
          <cell r="FCD1" t="str">
            <v>--</v>
          </cell>
          <cell r="FCE1" t="str">
            <v>--</v>
          </cell>
          <cell r="FCF1" t="str">
            <v>--</v>
          </cell>
          <cell r="FCG1" t="str">
            <v>--</v>
          </cell>
          <cell r="FCH1" t="str">
            <v>--</v>
          </cell>
          <cell r="FCI1" t="str">
            <v>--</v>
          </cell>
          <cell r="FCJ1" t="str">
            <v>--</v>
          </cell>
          <cell r="FCK1" t="str">
            <v>--</v>
          </cell>
          <cell r="FCL1" t="str">
            <v>--</v>
          </cell>
          <cell r="FCM1" t="str">
            <v>--</v>
          </cell>
          <cell r="FCN1" t="str">
            <v>--</v>
          </cell>
          <cell r="FCO1" t="str">
            <v>--</v>
          </cell>
          <cell r="FCP1" t="str">
            <v>--</v>
          </cell>
          <cell r="FCQ1" t="str">
            <v>--</v>
          </cell>
          <cell r="FCR1" t="str">
            <v>--</v>
          </cell>
          <cell r="FCS1" t="str">
            <v>--</v>
          </cell>
          <cell r="FCT1" t="str">
            <v>--</v>
          </cell>
          <cell r="FCU1" t="str">
            <v>--</v>
          </cell>
          <cell r="FCV1" t="str">
            <v>--</v>
          </cell>
          <cell r="FCW1" t="str">
            <v>--</v>
          </cell>
          <cell r="FCX1" t="str">
            <v>--</v>
          </cell>
          <cell r="FCY1" t="str">
            <v>--</v>
          </cell>
          <cell r="FCZ1" t="str">
            <v>--</v>
          </cell>
          <cell r="FDA1" t="str">
            <v>--</v>
          </cell>
          <cell r="FDB1" t="str">
            <v>--</v>
          </cell>
          <cell r="FDC1" t="str">
            <v>--</v>
          </cell>
          <cell r="FDD1" t="str">
            <v>--</v>
          </cell>
          <cell r="FDE1" t="str">
            <v>--</v>
          </cell>
          <cell r="FDF1" t="str">
            <v>--</v>
          </cell>
          <cell r="FDG1" t="str">
            <v>--</v>
          </cell>
          <cell r="FDH1" t="str">
            <v>--</v>
          </cell>
          <cell r="FDI1" t="str">
            <v>--</v>
          </cell>
          <cell r="FDJ1" t="str">
            <v>--</v>
          </cell>
          <cell r="FDK1" t="str">
            <v>--</v>
          </cell>
          <cell r="FDL1" t="str">
            <v>--</v>
          </cell>
          <cell r="FDM1" t="str">
            <v>--</v>
          </cell>
          <cell r="FDN1" t="str">
            <v>--</v>
          </cell>
          <cell r="FDO1" t="str">
            <v>--</v>
          </cell>
          <cell r="FDP1" t="str">
            <v>--</v>
          </cell>
          <cell r="FDQ1" t="str">
            <v>--</v>
          </cell>
          <cell r="FDR1" t="str">
            <v>--</v>
          </cell>
          <cell r="FDS1" t="str">
            <v>--</v>
          </cell>
          <cell r="FDT1" t="str">
            <v>--</v>
          </cell>
          <cell r="FDU1" t="str">
            <v>--</v>
          </cell>
          <cell r="FDV1" t="str">
            <v>--</v>
          </cell>
          <cell r="FDW1" t="str">
            <v>--</v>
          </cell>
          <cell r="FDX1" t="str">
            <v>--</v>
          </cell>
          <cell r="FDY1" t="str">
            <v>--</v>
          </cell>
          <cell r="FDZ1" t="str">
            <v>--</v>
          </cell>
          <cell r="FEA1" t="str">
            <v>--</v>
          </cell>
          <cell r="FEB1" t="str">
            <v>--</v>
          </cell>
          <cell r="FEC1" t="str">
            <v>--</v>
          </cell>
          <cell r="FED1" t="str">
            <v>--</v>
          </cell>
          <cell r="FEE1" t="str">
            <v>--</v>
          </cell>
          <cell r="FEF1" t="str">
            <v>--</v>
          </cell>
          <cell r="FEG1" t="str">
            <v>--</v>
          </cell>
          <cell r="FEH1" t="str">
            <v>--</v>
          </cell>
          <cell r="FEI1" t="str">
            <v>--</v>
          </cell>
          <cell r="FEJ1" t="str">
            <v>--</v>
          </cell>
          <cell r="FEK1" t="str">
            <v>--</v>
          </cell>
          <cell r="FEL1" t="str">
            <v>--</v>
          </cell>
          <cell r="FEM1" t="str">
            <v>--</v>
          </cell>
          <cell r="FEN1" t="str">
            <v>--</v>
          </cell>
          <cell r="FEO1" t="str">
            <v>--</v>
          </cell>
          <cell r="FEP1" t="str">
            <v>--</v>
          </cell>
          <cell r="FEQ1" t="str">
            <v>--</v>
          </cell>
          <cell r="FER1" t="str">
            <v>--</v>
          </cell>
          <cell r="FES1" t="str">
            <v>--</v>
          </cell>
          <cell r="FET1" t="str">
            <v>--</v>
          </cell>
          <cell r="FEU1" t="str">
            <v>--</v>
          </cell>
          <cell r="FEV1" t="str">
            <v>--</v>
          </cell>
          <cell r="FEW1" t="str">
            <v>--</v>
          </cell>
          <cell r="FEX1" t="str">
            <v>--</v>
          </cell>
          <cell r="FEY1" t="str">
            <v>--</v>
          </cell>
          <cell r="FEZ1" t="str">
            <v>--</v>
          </cell>
          <cell r="FFA1" t="str">
            <v>--</v>
          </cell>
          <cell r="FFB1" t="str">
            <v>--</v>
          </cell>
          <cell r="FFC1" t="str">
            <v>--</v>
          </cell>
          <cell r="FFD1" t="str">
            <v>--</v>
          </cell>
          <cell r="FFE1" t="str">
            <v>--</v>
          </cell>
          <cell r="FFF1" t="str">
            <v>--</v>
          </cell>
          <cell r="FFG1" t="str">
            <v>--</v>
          </cell>
          <cell r="FFH1" t="str">
            <v>--</v>
          </cell>
          <cell r="FFI1" t="str">
            <v>--</v>
          </cell>
          <cell r="FFJ1" t="str">
            <v>--</v>
          </cell>
          <cell r="FFK1" t="str">
            <v>--</v>
          </cell>
          <cell r="FFL1" t="str">
            <v>--</v>
          </cell>
          <cell r="FFM1" t="str">
            <v>--</v>
          </cell>
          <cell r="FFN1" t="str">
            <v>--</v>
          </cell>
          <cell r="FFO1" t="str">
            <v>--</v>
          </cell>
          <cell r="FFP1" t="str">
            <v>--</v>
          </cell>
          <cell r="FFQ1" t="str">
            <v>--</v>
          </cell>
          <cell r="FFR1" t="str">
            <v>--</v>
          </cell>
          <cell r="FFS1" t="str">
            <v>--</v>
          </cell>
          <cell r="FFT1" t="str">
            <v>--</v>
          </cell>
          <cell r="FFU1" t="str">
            <v>--</v>
          </cell>
          <cell r="FFV1" t="str">
            <v>--</v>
          </cell>
          <cell r="FFW1" t="str">
            <v>--</v>
          </cell>
          <cell r="FFX1" t="str">
            <v>--</v>
          </cell>
          <cell r="FFY1" t="str">
            <v>--</v>
          </cell>
          <cell r="FFZ1" t="str">
            <v>--</v>
          </cell>
          <cell r="FGA1" t="str">
            <v>--</v>
          </cell>
          <cell r="FGB1" t="str">
            <v>--</v>
          </cell>
          <cell r="FGC1" t="str">
            <v>--</v>
          </cell>
          <cell r="FGD1" t="str">
            <v>--</v>
          </cell>
          <cell r="FGE1" t="str">
            <v>--</v>
          </cell>
          <cell r="FGF1" t="str">
            <v>--</v>
          </cell>
          <cell r="FGG1" t="str">
            <v>--</v>
          </cell>
          <cell r="FGH1" t="str">
            <v>--</v>
          </cell>
          <cell r="FGI1" t="str">
            <v>--</v>
          </cell>
          <cell r="FGJ1" t="str">
            <v>--</v>
          </cell>
          <cell r="FGK1" t="str">
            <v>--</v>
          </cell>
          <cell r="FGL1" t="str">
            <v>--</v>
          </cell>
          <cell r="FGM1" t="str">
            <v>--</v>
          </cell>
          <cell r="FGN1" t="str">
            <v>--</v>
          </cell>
          <cell r="FGO1" t="str">
            <v>--</v>
          </cell>
          <cell r="FGP1" t="str">
            <v>--</v>
          </cell>
          <cell r="FGQ1" t="str">
            <v>--</v>
          </cell>
          <cell r="FGR1" t="str">
            <v>--</v>
          </cell>
          <cell r="FGS1" t="str">
            <v>--</v>
          </cell>
          <cell r="FGT1" t="str">
            <v>--</v>
          </cell>
          <cell r="FGU1" t="str">
            <v>--</v>
          </cell>
          <cell r="FGV1" t="str">
            <v>--</v>
          </cell>
          <cell r="FGW1" t="str">
            <v>--</v>
          </cell>
          <cell r="FGX1" t="str">
            <v>--</v>
          </cell>
          <cell r="FGY1" t="str">
            <v>--</v>
          </cell>
          <cell r="FGZ1" t="str">
            <v>--</v>
          </cell>
          <cell r="FHA1" t="str">
            <v>--</v>
          </cell>
          <cell r="FHB1" t="str">
            <v>--</v>
          </cell>
          <cell r="FHC1" t="str">
            <v>--</v>
          </cell>
          <cell r="FHD1" t="str">
            <v>--</v>
          </cell>
          <cell r="FHE1" t="str">
            <v>--</v>
          </cell>
          <cell r="FHF1" t="str">
            <v>--</v>
          </cell>
          <cell r="FHG1" t="str">
            <v>--</v>
          </cell>
          <cell r="FHH1" t="str">
            <v>--</v>
          </cell>
          <cell r="FHI1" t="str">
            <v>--</v>
          </cell>
          <cell r="FHJ1" t="str">
            <v>--</v>
          </cell>
          <cell r="FHK1" t="str">
            <v>--</v>
          </cell>
          <cell r="FHL1" t="str">
            <v>--</v>
          </cell>
          <cell r="FHM1" t="str">
            <v>--</v>
          </cell>
          <cell r="FHN1" t="str">
            <v>--</v>
          </cell>
          <cell r="FHO1" t="str">
            <v>--</v>
          </cell>
          <cell r="FHP1" t="str">
            <v>--</v>
          </cell>
          <cell r="FHQ1" t="str">
            <v>--</v>
          </cell>
          <cell r="FHR1" t="str">
            <v>--</v>
          </cell>
          <cell r="FHS1" t="str">
            <v>--</v>
          </cell>
          <cell r="FHT1" t="str">
            <v>--</v>
          </cell>
          <cell r="FHU1" t="str">
            <v>--</v>
          </cell>
          <cell r="FHV1" t="str">
            <v>--</v>
          </cell>
          <cell r="FHW1" t="str">
            <v>--</v>
          </cell>
          <cell r="FHX1" t="str">
            <v>--</v>
          </cell>
          <cell r="FHY1" t="str">
            <v>--</v>
          </cell>
          <cell r="FHZ1" t="str">
            <v>--</v>
          </cell>
          <cell r="FIA1" t="str">
            <v>--</v>
          </cell>
          <cell r="FIB1" t="str">
            <v>--</v>
          </cell>
          <cell r="FIC1" t="str">
            <v>--</v>
          </cell>
          <cell r="FID1" t="str">
            <v>--</v>
          </cell>
          <cell r="FIE1" t="str">
            <v>--</v>
          </cell>
          <cell r="FIF1" t="str">
            <v>--</v>
          </cell>
          <cell r="FIG1" t="str">
            <v>--</v>
          </cell>
          <cell r="FIH1" t="str">
            <v>--</v>
          </cell>
          <cell r="FII1" t="str">
            <v>--</v>
          </cell>
          <cell r="FIJ1" t="str">
            <v>--</v>
          </cell>
          <cell r="FIK1" t="str">
            <v>--</v>
          </cell>
          <cell r="FIL1" t="str">
            <v>--</v>
          </cell>
          <cell r="FIM1" t="str">
            <v>--</v>
          </cell>
          <cell r="FIN1" t="str">
            <v>--</v>
          </cell>
          <cell r="FIO1" t="str">
            <v>--</v>
          </cell>
          <cell r="FIP1" t="str">
            <v>--</v>
          </cell>
          <cell r="FIQ1" t="str">
            <v>--</v>
          </cell>
          <cell r="FIR1" t="str">
            <v>--</v>
          </cell>
          <cell r="FIS1" t="str">
            <v>--</v>
          </cell>
          <cell r="FIT1" t="str">
            <v>--</v>
          </cell>
          <cell r="FIU1" t="str">
            <v>--</v>
          </cell>
          <cell r="FIV1" t="str">
            <v>--</v>
          </cell>
          <cell r="FIW1" t="str">
            <v>--</v>
          </cell>
          <cell r="FIX1" t="str">
            <v>--</v>
          </cell>
          <cell r="FIY1" t="str">
            <v>--</v>
          </cell>
          <cell r="FIZ1" t="str">
            <v>--</v>
          </cell>
          <cell r="FJA1" t="str">
            <v>--</v>
          </cell>
          <cell r="FJB1" t="str">
            <v>--</v>
          </cell>
          <cell r="FJC1" t="str">
            <v>--</v>
          </cell>
          <cell r="FJD1" t="str">
            <v>--</v>
          </cell>
          <cell r="FJE1" t="str">
            <v>--</v>
          </cell>
          <cell r="FJF1" t="str">
            <v>--</v>
          </cell>
          <cell r="FJG1" t="str">
            <v>--</v>
          </cell>
          <cell r="FJH1" t="str">
            <v>--</v>
          </cell>
          <cell r="FJI1" t="str">
            <v>--</v>
          </cell>
          <cell r="FJJ1" t="str">
            <v>--</v>
          </cell>
          <cell r="FJK1" t="str">
            <v>--</v>
          </cell>
          <cell r="FJL1" t="str">
            <v>--</v>
          </cell>
          <cell r="FJM1" t="str">
            <v>--</v>
          </cell>
          <cell r="FJN1" t="str">
            <v>--</v>
          </cell>
          <cell r="FJO1" t="str">
            <v>--</v>
          </cell>
          <cell r="FJP1" t="str">
            <v>--</v>
          </cell>
          <cell r="FJQ1" t="str">
            <v>--</v>
          </cell>
          <cell r="FJR1" t="str">
            <v>--</v>
          </cell>
          <cell r="FJS1" t="str">
            <v>--</v>
          </cell>
          <cell r="FJT1" t="str">
            <v>--</v>
          </cell>
          <cell r="FJU1" t="str">
            <v>--</v>
          </cell>
          <cell r="FJV1" t="str">
            <v>--</v>
          </cell>
          <cell r="FJW1" t="str">
            <v>--</v>
          </cell>
          <cell r="FJX1" t="str">
            <v>--</v>
          </cell>
          <cell r="FJY1" t="str">
            <v>--</v>
          </cell>
          <cell r="FJZ1" t="str">
            <v>--</v>
          </cell>
          <cell r="FKA1" t="str">
            <v>--</v>
          </cell>
          <cell r="FKB1" t="str">
            <v>--</v>
          </cell>
          <cell r="FKC1" t="str">
            <v>--</v>
          </cell>
          <cell r="FKD1" t="str">
            <v>--</v>
          </cell>
          <cell r="FKE1" t="str">
            <v>--</v>
          </cell>
          <cell r="FKF1" t="str">
            <v>--</v>
          </cell>
          <cell r="FKG1" t="str">
            <v>--</v>
          </cell>
          <cell r="FKH1" t="str">
            <v>--</v>
          </cell>
          <cell r="FKI1" t="str">
            <v>--</v>
          </cell>
          <cell r="FKJ1" t="str">
            <v>--</v>
          </cell>
          <cell r="FKK1" t="str">
            <v>--</v>
          </cell>
          <cell r="FKL1" t="str">
            <v>--</v>
          </cell>
          <cell r="FKM1" t="str">
            <v>--</v>
          </cell>
          <cell r="FKN1" t="str">
            <v>--</v>
          </cell>
          <cell r="FKO1" t="str">
            <v>--</v>
          </cell>
          <cell r="FKP1" t="str">
            <v>--</v>
          </cell>
          <cell r="FKQ1" t="str">
            <v>--</v>
          </cell>
          <cell r="FKR1" t="str">
            <v>--</v>
          </cell>
          <cell r="FKS1" t="str">
            <v>--</v>
          </cell>
          <cell r="FKT1" t="str">
            <v>--</v>
          </cell>
          <cell r="FKU1" t="str">
            <v>--</v>
          </cell>
          <cell r="FKV1" t="str">
            <v>--</v>
          </cell>
          <cell r="FKW1" t="str">
            <v>--</v>
          </cell>
          <cell r="FKX1" t="str">
            <v>--</v>
          </cell>
          <cell r="FKY1" t="str">
            <v>--</v>
          </cell>
          <cell r="FKZ1" t="str">
            <v>--</v>
          </cell>
          <cell r="FLA1" t="str">
            <v>--</v>
          </cell>
          <cell r="FLB1" t="str">
            <v>--</v>
          </cell>
          <cell r="FLC1" t="str">
            <v>--</v>
          </cell>
          <cell r="FLD1" t="str">
            <v>--</v>
          </cell>
          <cell r="FLE1" t="str">
            <v>--</v>
          </cell>
          <cell r="FLF1" t="str">
            <v>--</v>
          </cell>
          <cell r="FLG1" t="str">
            <v>--</v>
          </cell>
          <cell r="FLH1" t="str">
            <v>--</v>
          </cell>
          <cell r="FLI1" t="str">
            <v>--</v>
          </cell>
          <cell r="FLJ1" t="str">
            <v>--</v>
          </cell>
          <cell r="FLK1" t="str">
            <v>--</v>
          </cell>
          <cell r="FLL1" t="str">
            <v>--</v>
          </cell>
          <cell r="FLM1" t="str">
            <v>--</v>
          </cell>
          <cell r="FLN1" t="str">
            <v>--</v>
          </cell>
          <cell r="FLO1" t="str">
            <v>--</v>
          </cell>
          <cell r="FLP1" t="str">
            <v>--</v>
          </cell>
          <cell r="FLQ1" t="str">
            <v>--</v>
          </cell>
          <cell r="FLR1" t="str">
            <v>--</v>
          </cell>
          <cell r="FLS1" t="str">
            <v>--</v>
          </cell>
          <cell r="FLT1" t="str">
            <v>--</v>
          </cell>
          <cell r="FLU1" t="str">
            <v>--</v>
          </cell>
          <cell r="FLV1" t="str">
            <v>--</v>
          </cell>
          <cell r="FLW1" t="str">
            <v>--</v>
          </cell>
          <cell r="FLX1" t="str">
            <v>--</v>
          </cell>
          <cell r="FLY1" t="str">
            <v>--</v>
          </cell>
          <cell r="FLZ1" t="str">
            <v>--</v>
          </cell>
          <cell r="FMA1" t="str">
            <v>--</v>
          </cell>
          <cell r="FMB1" t="str">
            <v>--</v>
          </cell>
          <cell r="FMC1" t="str">
            <v>--</v>
          </cell>
          <cell r="FMD1" t="str">
            <v>--</v>
          </cell>
          <cell r="FME1" t="str">
            <v>--</v>
          </cell>
          <cell r="FMF1" t="str">
            <v>--</v>
          </cell>
          <cell r="FMG1" t="str">
            <v>--</v>
          </cell>
          <cell r="FMH1" t="str">
            <v>--</v>
          </cell>
          <cell r="FMI1" t="str">
            <v>--</v>
          </cell>
          <cell r="FMJ1" t="str">
            <v>--</v>
          </cell>
          <cell r="FMK1" t="str">
            <v>--</v>
          </cell>
          <cell r="FML1" t="str">
            <v>--</v>
          </cell>
          <cell r="FMM1" t="str">
            <v>--</v>
          </cell>
          <cell r="FMN1" t="str">
            <v>--</v>
          </cell>
          <cell r="FMO1" t="str">
            <v>--</v>
          </cell>
          <cell r="FMP1" t="str">
            <v>--</v>
          </cell>
          <cell r="FMQ1" t="str">
            <v>--</v>
          </cell>
          <cell r="FMR1" t="str">
            <v>--</v>
          </cell>
          <cell r="FMS1" t="str">
            <v>--</v>
          </cell>
          <cell r="FMT1" t="str">
            <v>--</v>
          </cell>
          <cell r="FMU1" t="str">
            <v>--</v>
          </cell>
          <cell r="FMV1" t="str">
            <v>--</v>
          </cell>
          <cell r="FMW1" t="str">
            <v>--</v>
          </cell>
          <cell r="FMX1" t="str">
            <v>--</v>
          </cell>
          <cell r="FMY1" t="str">
            <v>--</v>
          </cell>
          <cell r="FMZ1" t="str">
            <v>--</v>
          </cell>
          <cell r="FNA1" t="str">
            <v>--</v>
          </cell>
          <cell r="FNB1" t="str">
            <v>--</v>
          </cell>
          <cell r="FNC1" t="str">
            <v>--</v>
          </cell>
          <cell r="FND1" t="str">
            <v>--</v>
          </cell>
          <cell r="FNE1" t="str">
            <v>--</v>
          </cell>
          <cell r="FNF1" t="str">
            <v>--</v>
          </cell>
          <cell r="FNG1" t="str">
            <v>--</v>
          </cell>
          <cell r="FNH1" t="str">
            <v>--</v>
          </cell>
          <cell r="FNI1" t="str">
            <v>--</v>
          </cell>
          <cell r="FNJ1" t="str">
            <v>--</v>
          </cell>
          <cell r="FNK1" t="str">
            <v>--</v>
          </cell>
          <cell r="FNL1" t="str">
            <v>--</v>
          </cell>
          <cell r="FNM1" t="str">
            <v>--</v>
          </cell>
          <cell r="FNN1" t="str">
            <v>--</v>
          </cell>
          <cell r="FNO1" t="str">
            <v>--</v>
          </cell>
          <cell r="FNP1" t="str">
            <v>--</v>
          </cell>
          <cell r="FNQ1" t="str">
            <v>--</v>
          </cell>
          <cell r="FNR1" t="str">
            <v>--</v>
          </cell>
          <cell r="FNS1" t="str">
            <v>--</v>
          </cell>
          <cell r="FNT1" t="str">
            <v>--</v>
          </cell>
          <cell r="FNU1" t="str">
            <v>--</v>
          </cell>
          <cell r="FNV1" t="str">
            <v>--</v>
          </cell>
          <cell r="FNW1" t="str">
            <v>--</v>
          </cell>
          <cell r="FNX1" t="str">
            <v>--</v>
          </cell>
          <cell r="FNY1" t="str">
            <v>--</v>
          </cell>
          <cell r="FNZ1" t="str">
            <v>--</v>
          </cell>
          <cell r="FOA1" t="str">
            <v>--</v>
          </cell>
          <cell r="FOB1" t="str">
            <v>--</v>
          </cell>
          <cell r="FOC1" t="str">
            <v>--</v>
          </cell>
          <cell r="FOD1" t="str">
            <v>--</v>
          </cell>
          <cell r="FOE1" t="str">
            <v>--</v>
          </cell>
          <cell r="FOF1" t="str">
            <v>--</v>
          </cell>
          <cell r="FOG1" t="str">
            <v>--</v>
          </cell>
          <cell r="FOH1" t="str">
            <v>--</v>
          </cell>
          <cell r="FOI1" t="str">
            <v>--</v>
          </cell>
          <cell r="FOJ1" t="str">
            <v>--</v>
          </cell>
          <cell r="FOK1" t="str">
            <v>--</v>
          </cell>
          <cell r="FOL1" t="str">
            <v>--</v>
          </cell>
          <cell r="FOM1" t="str">
            <v>--</v>
          </cell>
          <cell r="FON1" t="str">
            <v>--</v>
          </cell>
          <cell r="FOO1" t="str">
            <v>--</v>
          </cell>
          <cell r="FOP1" t="str">
            <v>--</v>
          </cell>
          <cell r="FOQ1" t="str">
            <v>--</v>
          </cell>
          <cell r="FOR1" t="str">
            <v>--</v>
          </cell>
          <cell r="FOS1" t="str">
            <v>--</v>
          </cell>
          <cell r="FOT1" t="str">
            <v>--</v>
          </cell>
          <cell r="FOU1" t="str">
            <v>--</v>
          </cell>
          <cell r="FOV1" t="str">
            <v>--</v>
          </cell>
          <cell r="FOW1" t="str">
            <v>--</v>
          </cell>
          <cell r="FOX1" t="str">
            <v>--</v>
          </cell>
          <cell r="FOY1" t="str">
            <v>--</v>
          </cell>
          <cell r="FOZ1" t="str">
            <v>--</v>
          </cell>
          <cell r="FPA1" t="str">
            <v>--</v>
          </cell>
          <cell r="FPB1" t="str">
            <v>--</v>
          </cell>
          <cell r="FPC1" t="str">
            <v>--</v>
          </cell>
          <cell r="FPD1" t="str">
            <v>--</v>
          </cell>
          <cell r="FPE1" t="str">
            <v>--</v>
          </cell>
          <cell r="FPF1" t="str">
            <v>--</v>
          </cell>
          <cell r="FPG1" t="str">
            <v>--</v>
          </cell>
          <cell r="FPH1" t="str">
            <v>--</v>
          </cell>
          <cell r="FPI1" t="str">
            <v>--</v>
          </cell>
          <cell r="FPJ1" t="str">
            <v>--</v>
          </cell>
          <cell r="FPK1" t="str">
            <v>--</v>
          </cell>
          <cell r="FPL1" t="str">
            <v>--</v>
          </cell>
          <cell r="FPM1" t="str">
            <v>--</v>
          </cell>
          <cell r="FPN1" t="str">
            <v>--</v>
          </cell>
          <cell r="FPO1" t="str">
            <v>--</v>
          </cell>
          <cell r="FPP1" t="str">
            <v>--</v>
          </cell>
          <cell r="FPQ1" t="str">
            <v>--</v>
          </cell>
          <cell r="FPR1" t="str">
            <v>--</v>
          </cell>
          <cell r="FPS1" t="str">
            <v>--</v>
          </cell>
          <cell r="FPT1" t="str">
            <v>--</v>
          </cell>
          <cell r="FPU1" t="str">
            <v>--</v>
          </cell>
          <cell r="FPV1" t="str">
            <v>--</v>
          </cell>
          <cell r="FPW1" t="str">
            <v>--</v>
          </cell>
          <cell r="FPX1" t="str">
            <v>--</v>
          </cell>
          <cell r="FPY1" t="str">
            <v>--</v>
          </cell>
          <cell r="FPZ1" t="str">
            <v>--</v>
          </cell>
          <cell r="FQA1" t="str">
            <v>--</v>
          </cell>
          <cell r="FQB1" t="str">
            <v>--</v>
          </cell>
          <cell r="FQC1" t="str">
            <v>--</v>
          </cell>
          <cell r="FQD1" t="str">
            <v>--</v>
          </cell>
          <cell r="FQE1" t="str">
            <v>--</v>
          </cell>
          <cell r="FQF1" t="str">
            <v>--</v>
          </cell>
          <cell r="FQG1" t="str">
            <v>--</v>
          </cell>
          <cell r="FQH1" t="str">
            <v>--</v>
          </cell>
          <cell r="FQI1" t="str">
            <v>--</v>
          </cell>
          <cell r="FQJ1" t="str">
            <v>--</v>
          </cell>
          <cell r="FQK1" t="str">
            <v>--</v>
          </cell>
          <cell r="FQL1" t="str">
            <v>--</v>
          </cell>
          <cell r="FQM1" t="str">
            <v>--</v>
          </cell>
          <cell r="FQN1" t="str">
            <v>--</v>
          </cell>
          <cell r="FQO1" t="str">
            <v>--</v>
          </cell>
          <cell r="FQP1" t="str">
            <v>--</v>
          </cell>
          <cell r="FQQ1" t="str">
            <v>--</v>
          </cell>
          <cell r="FQR1" t="str">
            <v>--</v>
          </cell>
          <cell r="FQS1" t="str">
            <v>--</v>
          </cell>
          <cell r="FQT1" t="str">
            <v>--</v>
          </cell>
          <cell r="FQU1" t="str">
            <v>--</v>
          </cell>
          <cell r="FQV1" t="str">
            <v>--</v>
          </cell>
          <cell r="FQW1" t="str">
            <v>--</v>
          </cell>
          <cell r="FQX1" t="str">
            <v>--</v>
          </cell>
          <cell r="FQY1" t="str">
            <v>--</v>
          </cell>
          <cell r="FQZ1" t="str">
            <v>--</v>
          </cell>
          <cell r="FRA1" t="str">
            <v>--</v>
          </cell>
          <cell r="FRB1" t="str">
            <v>--</v>
          </cell>
          <cell r="FRC1" t="str">
            <v>--</v>
          </cell>
          <cell r="FRD1" t="str">
            <v>--</v>
          </cell>
          <cell r="FRE1" t="str">
            <v>--</v>
          </cell>
          <cell r="FRF1" t="str">
            <v>--</v>
          </cell>
          <cell r="FRG1" t="str">
            <v>--</v>
          </cell>
          <cell r="FRH1" t="str">
            <v>--</v>
          </cell>
          <cell r="FRI1" t="str">
            <v>--</v>
          </cell>
          <cell r="FRJ1" t="str">
            <v>--</v>
          </cell>
          <cell r="FRK1" t="str">
            <v>--</v>
          </cell>
          <cell r="FRL1" t="str">
            <v>--</v>
          </cell>
          <cell r="FRM1" t="str">
            <v>--</v>
          </cell>
          <cell r="FRN1" t="str">
            <v>--</v>
          </cell>
          <cell r="FRO1" t="str">
            <v>--</v>
          </cell>
          <cell r="FRP1" t="str">
            <v>--</v>
          </cell>
          <cell r="FRQ1" t="str">
            <v>--</v>
          </cell>
          <cell r="FRR1" t="str">
            <v>--</v>
          </cell>
          <cell r="FRS1" t="str">
            <v>--</v>
          </cell>
          <cell r="FRT1" t="str">
            <v>--</v>
          </cell>
          <cell r="FRU1" t="str">
            <v>--</v>
          </cell>
          <cell r="FRV1" t="str">
            <v>--</v>
          </cell>
          <cell r="FRW1" t="str">
            <v>--</v>
          </cell>
          <cell r="FRX1" t="str">
            <v>--</v>
          </cell>
          <cell r="FRY1" t="str">
            <v>--</v>
          </cell>
          <cell r="FRZ1" t="str">
            <v>--</v>
          </cell>
          <cell r="FSA1" t="str">
            <v>--</v>
          </cell>
          <cell r="FSB1" t="str">
            <v>--</v>
          </cell>
          <cell r="FSC1" t="str">
            <v>--</v>
          </cell>
          <cell r="FSD1" t="str">
            <v>--</v>
          </cell>
          <cell r="FSE1" t="str">
            <v>--</v>
          </cell>
          <cell r="FSF1" t="str">
            <v>--</v>
          </cell>
          <cell r="FSG1" t="str">
            <v>--</v>
          </cell>
          <cell r="FSH1" t="str">
            <v>--</v>
          </cell>
          <cell r="FSI1" t="str">
            <v>--</v>
          </cell>
          <cell r="FSJ1" t="str">
            <v>--</v>
          </cell>
          <cell r="FSK1" t="str">
            <v>--</v>
          </cell>
          <cell r="FSL1" t="str">
            <v>--</v>
          </cell>
          <cell r="FSM1" t="str">
            <v>--</v>
          </cell>
          <cell r="FSN1" t="str">
            <v>--</v>
          </cell>
          <cell r="FSO1" t="str">
            <v>--</v>
          </cell>
          <cell r="FSP1" t="str">
            <v>--</v>
          </cell>
          <cell r="FSQ1" t="str">
            <v>--</v>
          </cell>
          <cell r="FSR1" t="str">
            <v>--</v>
          </cell>
          <cell r="FSS1" t="str">
            <v>--</v>
          </cell>
          <cell r="FST1" t="str">
            <v>--</v>
          </cell>
          <cell r="FSU1" t="str">
            <v>--</v>
          </cell>
          <cell r="FSV1" t="str">
            <v>--</v>
          </cell>
          <cell r="FSW1" t="str">
            <v>--</v>
          </cell>
          <cell r="FSX1" t="str">
            <v>--</v>
          </cell>
          <cell r="FSY1" t="str">
            <v>--</v>
          </cell>
          <cell r="FSZ1" t="str">
            <v>--</v>
          </cell>
          <cell r="FTA1" t="str">
            <v>--</v>
          </cell>
          <cell r="FTB1" t="str">
            <v>--</v>
          </cell>
          <cell r="FTC1" t="str">
            <v>--</v>
          </cell>
          <cell r="FTD1" t="str">
            <v>--</v>
          </cell>
          <cell r="FTE1" t="str">
            <v>--</v>
          </cell>
          <cell r="FTF1" t="str">
            <v>--</v>
          </cell>
          <cell r="FTG1" t="str">
            <v>--</v>
          </cell>
          <cell r="FTH1" t="str">
            <v>--</v>
          </cell>
          <cell r="FTI1" t="str">
            <v>--</v>
          </cell>
          <cell r="FTJ1" t="str">
            <v>--</v>
          </cell>
          <cell r="FTK1" t="str">
            <v>--</v>
          </cell>
          <cell r="FTL1" t="str">
            <v>--</v>
          </cell>
          <cell r="FTM1" t="str">
            <v>--</v>
          </cell>
          <cell r="FTN1" t="str">
            <v>--</v>
          </cell>
          <cell r="FTO1" t="str">
            <v>--</v>
          </cell>
          <cell r="FTP1" t="str">
            <v>--</v>
          </cell>
          <cell r="FTQ1" t="str">
            <v>--</v>
          </cell>
          <cell r="FTR1" t="str">
            <v>--</v>
          </cell>
          <cell r="FTS1" t="str">
            <v>--</v>
          </cell>
          <cell r="FTT1" t="str">
            <v>--</v>
          </cell>
          <cell r="FTU1" t="str">
            <v>--</v>
          </cell>
          <cell r="FTV1" t="str">
            <v>--</v>
          </cell>
          <cell r="FTW1" t="str">
            <v>--</v>
          </cell>
          <cell r="FTX1" t="str">
            <v>--</v>
          </cell>
          <cell r="FTY1" t="str">
            <v>--</v>
          </cell>
          <cell r="FTZ1" t="str">
            <v>--</v>
          </cell>
          <cell r="FUA1" t="str">
            <v>--</v>
          </cell>
          <cell r="FUB1" t="str">
            <v>--</v>
          </cell>
          <cell r="FUC1" t="str">
            <v>--</v>
          </cell>
          <cell r="FUD1" t="str">
            <v>--</v>
          </cell>
          <cell r="FUE1" t="str">
            <v>--</v>
          </cell>
          <cell r="FUF1" t="str">
            <v>--</v>
          </cell>
          <cell r="FUG1" t="str">
            <v>--</v>
          </cell>
          <cell r="FUH1" t="str">
            <v>--</v>
          </cell>
          <cell r="FUI1" t="str">
            <v>--</v>
          </cell>
          <cell r="FUJ1" t="str">
            <v>--</v>
          </cell>
          <cell r="FUK1" t="str">
            <v>--</v>
          </cell>
          <cell r="FUL1" t="str">
            <v>--</v>
          </cell>
          <cell r="FUM1" t="str">
            <v>--</v>
          </cell>
          <cell r="FUN1" t="str">
            <v>--</v>
          </cell>
          <cell r="FUO1" t="str">
            <v>--</v>
          </cell>
          <cell r="FUP1" t="str">
            <v>--</v>
          </cell>
          <cell r="FUQ1" t="str">
            <v>--</v>
          </cell>
          <cell r="FUR1" t="str">
            <v>--</v>
          </cell>
          <cell r="FUS1" t="str">
            <v>--</v>
          </cell>
          <cell r="FUT1" t="str">
            <v>--</v>
          </cell>
          <cell r="FUU1" t="str">
            <v>--</v>
          </cell>
          <cell r="FUV1" t="str">
            <v>--</v>
          </cell>
          <cell r="FUW1" t="str">
            <v>--</v>
          </cell>
          <cell r="FUX1" t="str">
            <v>--</v>
          </cell>
          <cell r="FUY1" t="str">
            <v>--</v>
          </cell>
          <cell r="FUZ1" t="str">
            <v>--</v>
          </cell>
          <cell r="FVA1" t="str">
            <v>--</v>
          </cell>
          <cell r="FVB1" t="str">
            <v>--</v>
          </cell>
          <cell r="FVC1" t="str">
            <v>--</v>
          </cell>
          <cell r="FVD1" t="str">
            <v>--</v>
          </cell>
          <cell r="FVE1" t="str">
            <v>--</v>
          </cell>
          <cell r="FVF1" t="str">
            <v>--</v>
          </cell>
          <cell r="FVG1" t="str">
            <v>--</v>
          </cell>
          <cell r="FVH1" t="str">
            <v>--</v>
          </cell>
          <cell r="FVI1" t="str">
            <v>--</v>
          </cell>
          <cell r="FVJ1" t="str">
            <v>--</v>
          </cell>
          <cell r="FVK1" t="str">
            <v>--</v>
          </cell>
          <cell r="FVL1" t="str">
            <v>--</v>
          </cell>
          <cell r="FVM1" t="str">
            <v>--</v>
          </cell>
          <cell r="FVN1" t="str">
            <v>--</v>
          </cell>
          <cell r="FVO1" t="str">
            <v>--</v>
          </cell>
          <cell r="FVP1" t="str">
            <v>--</v>
          </cell>
          <cell r="FVQ1" t="str">
            <v>--</v>
          </cell>
          <cell r="FVR1" t="str">
            <v>--</v>
          </cell>
          <cell r="FVS1" t="str">
            <v>--</v>
          </cell>
          <cell r="FVT1" t="str">
            <v>--</v>
          </cell>
          <cell r="FVU1" t="str">
            <v>--</v>
          </cell>
          <cell r="FVV1" t="str">
            <v>--</v>
          </cell>
          <cell r="FVW1" t="str">
            <v>--</v>
          </cell>
          <cell r="FVX1" t="str">
            <v>--</v>
          </cell>
          <cell r="FVY1" t="str">
            <v>--</v>
          </cell>
          <cell r="FVZ1" t="str">
            <v>--</v>
          </cell>
          <cell r="FWA1" t="str">
            <v>--</v>
          </cell>
          <cell r="FWB1" t="str">
            <v>--</v>
          </cell>
          <cell r="FWC1" t="str">
            <v>--</v>
          </cell>
          <cell r="FWD1" t="str">
            <v>--</v>
          </cell>
          <cell r="FWE1" t="str">
            <v>--</v>
          </cell>
          <cell r="FWF1" t="str">
            <v>--</v>
          </cell>
          <cell r="FWG1" t="str">
            <v>--</v>
          </cell>
          <cell r="FWH1" t="str">
            <v>--</v>
          </cell>
          <cell r="FWI1" t="str">
            <v>--</v>
          </cell>
          <cell r="FWJ1" t="str">
            <v>--</v>
          </cell>
          <cell r="FWK1" t="str">
            <v>--</v>
          </cell>
          <cell r="FWL1" t="str">
            <v>--</v>
          </cell>
          <cell r="FWM1" t="str">
            <v>--</v>
          </cell>
          <cell r="FWN1" t="str">
            <v>--</v>
          </cell>
          <cell r="FWO1" t="str">
            <v>--</v>
          </cell>
          <cell r="FWP1" t="str">
            <v>--</v>
          </cell>
          <cell r="FWQ1" t="str">
            <v>--</v>
          </cell>
          <cell r="FWR1" t="str">
            <v>--</v>
          </cell>
          <cell r="FWS1" t="str">
            <v>--</v>
          </cell>
          <cell r="FWT1" t="str">
            <v>--</v>
          </cell>
          <cell r="FWU1" t="str">
            <v>--</v>
          </cell>
          <cell r="FWV1" t="str">
            <v>--</v>
          </cell>
          <cell r="FWW1" t="str">
            <v>--</v>
          </cell>
          <cell r="FWX1" t="str">
            <v>--</v>
          </cell>
          <cell r="FWY1" t="str">
            <v>--</v>
          </cell>
          <cell r="FWZ1" t="str">
            <v>--</v>
          </cell>
          <cell r="FXA1" t="str">
            <v>--</v>
          </cell>
          <cell r="FXB1" t="str">
            <v>--</v>
          </cell>
          <cell r="FXC1" t="str">
            <v>--</v>
          </cell>
          <cell r="FXD1" t="str">
            <v>--</v>
          </cell>
          <cell r="FXE1" t="str">
            <v>--</v>
          </cell>
          <cell r="FXF1" t="str">
            <v>--</v>
          </cell>
          <cell r="FXG1" t="str">
            <v>--</v>
          </cell>
          <cell r="FXH1" t="str">
            <v>--</v>
          </cell>
          <cell r="FXI1" t="str">
            <v>--</v>
          </cell>
          <cell r="FXJ1" t="str">
            <v>--</v>
          </cell>
          <cell r="FXK1" t="str">
            <v>--</v>
          </cell>
          <cell r="FXL1" t="str">
            <v>--</v>
          </cell>
          <cell r="FXM1" t="str">
            <v>--</v>
          </cell>
          <cell r="FXN1" t="str">
            <v>--</v>
          </cell>
          <cell r="FXO1" t="str">
            <v>--</v>
          </cell>
          <cell r="FXP1" t="str">
            <v>--</v>
          </cell>
          <cell r="FXQ1" t="str">
            <v>--</v>
          </cell>
          <cell r="FXR1" t="str">
            <v>--</v>
          </cell>
          <cell r="FXS1" t="str">
            <v>--</v>
          </cell>
          <cell r="FXT1" t="str">
            <v>--</v>
          </cell>
          <cell r="FXU1" t="str">
            <v>--</v>
          </cell>
          <cell r="FXV1" t="str">
            <v>--</v>
          </cell>
          <cell r="FXW1" t="str">
            <v>--</v>
          </cell>
          <cell r="FXX1" t="str">
            <v>--</v>
          </cell>
          <cell r="FXY1" t="str">
            <v>--</v>
          </cell>
          <cell r="FXZ1" t="str">
            <v>--</v>
          </cell>
          <cell r="FYA1" t="str">
            <v>--</v>
          </cell>
          <cell r="FYB1" t="str">
            <v>--</v>
          </cell>
          <cell r="FYC1" t="str">
            <v>--</v>
          </cell>
          <cell r="FYD1" t="str">
            <v>--</v>
          </cell>
          <cell r="FYE1" t="str">
            <v>--</v>
          </cell>
          <cell r="FYF1" t="str">
            <v>--</v>
          </cell>
          <cell r="FYG1" t="str">
            <v>--</v>
          </cell>
          <cell r="FYH1" t="str">
            <v>--</v>
          </cell>
          <cell r="FYI1" t="str">
            <v>--</v>
          </cell>
          <cell r="FYJ1" t="str">
            <v>--</v>
          </cell>
          <cell r="FYK1" t="str">
            <v>--</v>
          </cell>
          <cell r="FYL1" t="str">
            <v>--</v>
          </cell>
          <cell r="FYM1" t="str">
            <v>--</v>
          </cell>
          <cell r="FYN1" t="str">
            <v>--</v>
          </cell>
          <cell r="FYO1" t="str">
            <v>--</v>
          </cell>
          <cell r="FYP1" t="str">
            <v>--</v>
          </cell>
          <cell r="FYQ1" t="str">
            <v>--</v>
          </cell>
          <cell r="FYR1" t="str">
            <v>--</v>
          </cell>
          <cell r="FYS1" t="str">
            <v>--</v>
          </cell>
          <cell r="FYT1" t="str">
            <v>--</v>
          </cell>
          <cell r="FYU1" t="str">
            <v>--</v>
          </cell>
          <cell r="FYV1" t="str">
            <v>--</v>
          </cell>
          <cell r="FYW1" t="str">
            <v>--</v>
          </cell>
          <cell r="FYX1" t="str">
            <v>--</v>
          </cell>
          <cell r="FYY1" t="str">
            <v>--</v>
          </cell>
          <cell r="FYZ1" t="str">
            <v>--</v>
          </cell>
          <cell r="FZA1" t="str">
            <v>--</v>
          </cell>
          <cell r="FZB1" t="str">
            <v>--</v>
          </cell>
          <cell r="FZC1" t="str">
            <v>--</v>
          </cell>
          <cell r="FZD1" t="str">
            <v>--</v>
          </cell>
          <cell r="FZE1" t="str">
            <v>--</v>
          </cell>
          <cell r="FZF1" t="str">
            <v>--</v>
          </cell>
          <cell r="FZG1" t="str">
            <v>--</v>
          </cell>
          <cell r="FZH1" t="str">
            <v>--</v>
          </cell>
          <cell r="FZI1" t="str">
            <v>--</v>
          </cell>
          <cell r="FZJ1" t="str">
            <v>--</v>
          </cell>
          <cell r="FZK1" t="str">
            <v>--</v>
          </cell>
          <cell r="FZL1" t="str">
            <v>--</v>
          </cell>
          <cell r="FZM1" t="str">
            <v>--</v>
          </cell>
          <cell r="FZN1" t="str">
            <v>--</v>
          </cell>
          <cell r="FZO1" t="str">
            <v>--</v>
          </cell>
          <cell r="FZP1" t="str">
            <v>--</v>
          </cell>
          <cell r="FZQ1" t="str">
            <v>--</v>
          </cell>
          <cell r="FZR1" t="str">
            <v>--</v>
          </cell>
          <cell r="FZS1" t="str">
            <v>--</v>
          </cell>
          <cell r="FZT1" t="str">
            <v>--</v>
          </cell>
          <cell r="FZU1" t="str">
            <v>--</v>
          </cell>
          <cell r="FZV1" t="str">
            <v>--</v>
          </cell>
          <cell r="FZW1" t="str">
            <v>--</v>
          </cell>
          <cell r="FZX1" t="str">
            <v>--</v>
          </cell>
          <cell r="FZY1" t="str">
            <v>--</v>
          </cell>
          <cell r="FZZ1" t="str">
            <v>--</v>
          </cell>
          <cell r="GAA1" t="str">
            <v>--</v>
          </cell>
          <cell r="GAB1" t="str">
            <v>--</v>
          </cell>
          <cell r="GAC1" t="str">
            <v>--</v>
          </cell>
          <cell r="GAD1" t="str">
            <v>--</v>
          </cell>
          <cell r="GAE1" t="str">
            <v>--</v>
          </cell>
          <cell r="GAF1" t="str">
            <v>--</v>
          </cell>
          <cell r="GAG1" t="str">
            <v>--</v>
          </cell>
          <cell r="GAH1" t="str">
            <v>--</v>
          </cell>
          <cell r="GAI1" t="str">
            <v>--</v>
          </cell>
          <cell r="GAJ1" t="str">
            <v>--</v>
          </cell>
          <cell r="GAK1" t="str">
            <v>--</v>
          </cell>
          <cell r="GAL1" t="str">
            <v>--</v>
          </cell>
          <cell r="GAM1" t="str">
            <v>--</v>
          </cell>
          <cell r="GAN1" t="str">
            <v>--</v>
          </cell>
          <cell r="GAO1" t="str">
            <v>--</v>
          </cell>
          <cell r="GAP1" t="str">
            <v>--</v>
          </cell>
          <cell r="GAQ1" t="str">
            <v>--</v>
          </cell>
          <cell r="GAR1" t="str">
            <v>--</v>
          </cell>
          <cell r="GAS1" t="str">
            <v>--</v>
          </cell>
          <cell r="GAT1" t="str">
            <v>--</v>
          </cell>
          <cell r="GAU1" t="str">
            <v>--</v>
          </cell>
          <cell r="GAV1" t="str">
            <v>--</v>
          </cell>
          <cell r="GAW1" t="str">
            <v>--</v>
          </cell>
          <cell r="GAX1" t="str">
            <v>--</v>
          </cell>
          <cell r="GAY1" t="str">
            <v>--</v>
          </cell>
          <cell r="GAZ1" t="str">
            <v>--</v>
          </cell>
          <cell r="GBA1" t="str">
            <v>--</v>
          </cell>
          <cell r="GBB1" t="str">
            <v>--</v>
          </cell>
          <cell r="GBC1" t="str">
            <v>--</v>
          </cell>
          <cell r="GBD1" t="str">
            <v>--</v>
          </cell>
          <cell r="GBE1" t="str">
            <v>--</v>
          </cell>
          <cell r="GBF1" t="str">
            <v>--</v>
          </cell>
          <cell r="GBG1" t="str">
            <v>--</v>
          </cell>
          <cell r="GBH1" t="str">
            <v>--</v>
          </cell>
          <cell r="GBI1" t="str">
            <v>--</v>
          </cell>
          <cell r="GBJ1" t="str">
            <v>--</v>
          </cell>
          <cell r="GBK1" t="str">
            <v>--</v>
          </cell>
          <cell r="GBL1" t="str">
            <v>--</v>
          </cell>
          <cell r="GBM1" t="str">
            <v>--</v>
          </cell>
          <cell r="GBN1" t="str">
            <v>--</v>
          </cell>
          <cell r="GBO1" t="str">
            <v>--</v>
          </cell>
          <cell r="GBP1" t="str">
            <v>--</v>
          </cell>
          <cell r="GBQ1" t="str">
            <v>--</v>
          </cell>
          <cell r="GBR1" t="str">
            <v>--</v>
          </cell>
          <cell r="GBS1" t="str">
            <v>--</v>
          </cell>
          <cell r="GBT1" t="str">
            <v>--</v>
          </cell>
          <cell r="GBU1" t="str">
            <v>--</v>
          </cell>
          <cell r="GBV1" t="str">
            <v>--</v>
          </cell>
          <cell r="GBW1" t="str">
            <v>--</v>
          </cell>
          <cell r="GBX1" t="str">
            <v>--</v>
          </cell>
          <cell r="GBY1" t="str">
            <v>--</v>
          </cell>
          <cell r="GBZ1" t="str">
            <v>--</v>
          </cell>
          <cell r="GCA1" t="str">
            <v>--</v>
          </cell>
          <cell r="GCB1" t="str">
            <v>--</v>
          </cell>
          <cell r="GCC1" t="str">
            <v>--</v>
          </cell>
          <cell r="GCD1" t="str">
            <v>--</v>
          </cell>
          <cell r="GCE1" t="str">
            <v>--</v>
          </cell>
          <cell r="GCF1" t="str">
            <v>--</v>
          </cell>
          <cell r="GCG1" t="str">
            <v>--</v>
          </cell>
          <cell r="GCH1" t="str">
            <v>--</v>
          </cell>
          <cell r="GCI1" t="str">
            <v>--</v>
          </cell>
          <cell r="GCJ1" t="str">
            <v>--</v>
          </cell>
          <cell r="GCK1" t="str">
            <v>--</v>
          </cell>
          <cell r="GCL1" t="str">
            <v>--</v>
          </cell>
          <cell r="GCM1" t="str">
            <v>--</v>
          </cell>
          <cell r="GCN1" t="str">
            <v>--</v>
          </cell>
          <cell r="GCO1" t="str">
            <v>--</v>
          </cell>
          <cell r="GCP1" t="str">
            <v>--</v>
          </cell>
          <cell r="GCQ1" t="str">
            <v>--</v>
          </cell>
          <cell r="GCR1" t="str">
            <v>--</v>
          </cell>
          <cell r="GCS1" t="str">
            <v>--</v>
          </cell>
          <cell r="GCT1" t="str">
            <v>--</v>
          </cell>
          <cell r="GCU1" t="str">
            <v>--</v>
          </cell>
          <cell r="GCV1" t="str">
            <v>--</v>
          </cell>
          <cell r="GCW1" t="str">
            <v>--</v>
          </cell>
          <cell r="GCX1" t="str">
            <v>--</v>
          </cell>
          <cell r="GCY1" t="str">
            <v>--</v>
          </cell>
          <cell r="GCZ1" t="str">
            <v>--</v>
          </cell>
          <cell r="GDA1" t="str">
            <v>--</v>
          </cell>
          <cell r="GDB1" t="str">
            <v>--</v>
          </cell>
          <cell r="GDC1" t="str">
            <v>--</v>
          </cell>
          <cell r="GDD1" t="str">
            <v>--</v>
          </cell>
          <cell r="GDE1" t="str">
            <v>--</v>
          </cell>
          <cell r="GDF1" t="str">
            <v>--</v>
          </cell>
          <cell r="GDG1" t="str">
            <v>--</v>
          </cell>
          <cell r="GDH1" t="str">
            <v>--</v>
          </cell>
          <cell r="GDI1" t="str">
            <v>--</v>
          </cell>
          <cell r="GDJ1" t="str">
            <v>--</v>
          </cell>
          <cell r="GDK1" t="str">
            <v>--</v>
          </cell>
          <cell r="GDL1" t="str">
            <v>--</v>
          </cell>
          <cell r="GDM1" t="str">
            <v>--</v>
          </cell>
          <cell r="GDN1" t="str">
            <v>--</v>
          </cell>
          <cell r="GDO1" t="str">
            <v>--</v>
          </cell>
          <cell r="GDP1" t="str">
            <v>--</v>
          </cell>
          <cell r="GDQ1" t="str">
            <v>--</v>
          </cell>
          <cell r="GDR1" t="str">
            <v>--</v>
          </cell>
          <cell r="GDS1" t="str">
            <v>--</v>
          </cell>
          <cell r="GDT1" t="str">
            <v>--</v>
          </cell>
          <cell r="GDU1" t="str">
            <v>--</v>
          </cell>
          <cell r="GDV1" t="str">
            <v>--</v>
          </cell>
          <cell r="GDW1" t="str">
            <v>--</v>
          </cell>
          <cell r="GDX1" t="str">
            <v>--</v>
          </cell>
          <cell r="GDY1" t="str">
            <v>--</v>
          </cell>
          <cell r="GDZ1" t="str">
            <v>--</v>
          </cell>
          <cell r="GEA1" t="str">
            <v>--</v>
          </cell>
          <cell r="GEB1" t="str">
            <v>--</v>
          </cell>
          <cell r="GEC1" t="str">
            <v>--</v>
          </cell>
          <cell r="GED1" t="str">
            <v>--</v>
          </cell>
          <cell r="GEE1" t="str">
            <v>--</v>
          </cell>
          <cell r="GEF1" t="str">
            <v>--</v>
          </cell>
          <cell r="GEG1" t="str">
            <v>--</v>
          </cell>
          <cell r="GEH1" t="str">
            <v>--</v>
          </cell>
          <cell r="GEI1" t="str">
            <v>--</v>
          </cell>
          <cell r="GEJ1" t="str">
            <v>--</v>
          </cell>
          <cell r="GEK1" t="str">
            <v>--</v>
          </cell>
          <cell r="GEL1" t="str">
            <v>--</v>
          </cell>
          <cell r="GEM1" t="str">
            <v>--</v>
          </cell>
          <cell r="GEN1" t="str">
            <v>--</v>
          </cell>
          <cell r="GEO1" t="str">
            <v>--</v>
          </cell>
          <cell r="GEP1" t="str">
            <v>--</v>
          </cell>
          <cell r="GEQ1" t="str">
            <v>--</v>
          </cell>
          <cell r="GER1" t="str">
            <v>--</v>
          </cell>
          <cell r="GES1" t="str">
            <v>--</v>
          </cell>
          <cell r="GET1" t="str">
            <v>--</v>
          </cell>
          <cell r="GEU1" t="str">
            <v>--</v>
          </cell>
          <cell r="GEV1" t="str">
            <v>--</v>
          </cell>
          <cell r="GEW1" t="str">
            <v>--</v>
          </cell>
          <cell r="GEX1" t="str">
            <v>--</v>
          </cell>
          <cell r="GEY1" t="str">
            <v>--</v>
          </cell>
          <cell r="GEZ1" t="str">
            <v>--</v>
          </cell>
          <cell r="GFA1" t="str">
            <v>--</v>
          </cell>
          <cell r="GFB1" t="str">
            <v>--</v>
          </cell>
          <cell r="GFC1" t="str">
            <v>--</v>
          </cell>
          <cell r="GFD1" t="str">
            <v>--</v>
          </cell>
          <cell r="GFE1" t="str">
            <v>--</v>
          </cell>
          <cell r="GFF1" t="str">
            <v>--</v>
          </cell>
          <cell r="GFG1" t="str">
            <v>--</v>
          </cell>
          <cell r="GFH1" t="str">
            <v>--</v>
          </cell>
          <cell r="GFI1" t="str">
            <v>--</v>
          </cell>
          <cell r="GFJ1" t="str">
            <v>--</v>
          </cell>
          <cell r="GFK1" t="str">
            <v>--</v>
          </cell>
          <cell r="GFL1" t="str">
            <v>--</v>
          </cell>
          <cell r="GFM1" t="str">
            <v>--</v>
          </cell>
          <cell r="GFN1" t="str">
            <v>--</v>
          </cell>
          <cell r="GFO1" t="str">
            <v>--</v>
          </cell>
          <cell r="GFP1" t="str">
            <v>--</v>
          </cell>
          <cell r="GFQ1" t="str">
            <v>--</v>
          </cell>
          <cell r="GFR1" t="str">
            <v>--</v>
          </cell>
          <cell r="GFS1" t="str">
            <v>--</v>
          </cell>
          <cell r="GFT1" t="str">
            <v>--</v>
          </cell>
          <cell r="GFU1" t="str">
            <v>--</v>
          </cell>
          <cell r="GFV1" t="str">
            <v>--</v>
          </cell>
          <cell r="GFW1" t="str">
            <v>--</v>
          </cell>
          <cell r="GFX1" t="str">
            <v>--</v>
          </cell>
          <cell r="GFY1" t="str">
            <v>--</v>
          </cell>
          <cell r="GFZ1" t="str">
            <v>--</v>
          </cell>
          <cell r="GGA1" t="str">
            <v>--</v>
          </cell>
          <cell r="GGB1" t="str">
            <v>--</v>
          </cell>
          <cell r="GGC1" t="str">
            <v>--</v>
          </cell>
          <cell r="GGD1" t="str">
            <v>--</v>
          </cell>
          <cell r="GGE1" t="str">
            <v>--</v>
          </cell>
          <cell r="GGF1" t="str">
            <v>--</v>
          </cell>
          <cell r="GGG1" t="str">
            <v>--</v>
          </cell>
          <cell r="GGH1" t="str">
            <v>--</v>
          </cell>
          <cell r="GGI1" t="str">
            <v>--</v>
          </cell>
          <cell r="GGJ1" t="str">
            <v>--</v>
          </cell>
          <cell r="GGK1" t="str">
            <v>--</v>
          </cell>
          <cell r="GGL1" t="str">
            <v>--</v>
          </cell>
          <cell r="GGM1" t="str">
            <v>--</v>
          </cell>
          <cell r="GGN1" t="str">
            <v>--</v>
          </cell>
          <cell r="GGO1" t="str">
            <v>--</v>
          </cell>
          <cell r="GGP1" t="str">
            <v>--</v>
          </cell>
          <cell r="GGQ1" t="str">
            <v>--</v>
          </cell>
          <cell r="GGR1" t="str">
            <v>--</v>
          </cell>
          <cell r="GGS1" t="str">
            <v>--</v>
          </cell>
          <cell r="GGT1" t="str">
            <v>--</v>
          </cell>
          <cell r="GGU1" t="str">
            <v>--</v>
          </cell>
          <cell r="GGV1" t="str">
            <v>--</v>
          </cell>
          <cell r="GGW1" t="str">
            <v>--</v>
          </cell>
          <cell r="GGX1" t="str">
            <v>--</v>
          </cell>
          <cell r="GGY1" t="str">
            <v>--</v>
          </cell>
          <cell r="GGZ1" t="str">
            <v>--</v>
          </cell>
          <cell r="GHA1" t="str">
            <v>--</v>
          </cell>
          <cell r="GHB1" t="str">
            <v>--</v>
          </cell>
          <cell r="GHC1" t="str">
            <v>--</v>
          </cell>
          <cell r="GHD1" t="str">
            <v>--</v>
          </cell>
          <cell r="GHE1" t="str">
            <v>--</v>
          </cell>
          <cell r="GHF1" t="str">
            <v>--</v>
          </cell>
          <cell r="GHG1" t="str">
            <v>--</v>
          </cell>
          <cell r="GHH1" t="str">
            <v>--</v>
          </cell>
          <cell r="GHI1" t="str">
            <v>--</v>
          </cell>
          <cell r="GHJ1" t="str">
            <v>--</v>
          </cell>
          <cell r="GHK1" t="str">
            <v>--</v>
          </cell>
          <cell r="GHL1" t="str">
            <v>--</v>
          </cell>
          <cell r="GHM1" t="str">
            <v>--</v>
          </cell>
          <cell r="GHN1" t="str">
            <v>--</v>
          </cell>
          <cell r="GHO1" t="str">
            <v>--</v>
          </cell>
          <cell r="GHP1" t="str">
            <v>--</v>
          </cell>
          <cell r="GHQ1" t="str">
            <v>--</v>
          </cell>
          <cell r="GHR1" t="str">
            <v>--</v>
          </cell>
          <cell r="GHS1" t="str">
            <v>--</v>
          </cell>
          <cell r="GHT1" t="str">
            <v>--</v>
          </cell>
          <cell r="GHU1" t="str">
            <v>--</v>
          </cell>
          <cell r="GHV1" t="str">
            <v>--</v>
          </cell>
          <cell r="GHW1" t="str">
            <v>--</v>
          </cell>
          <cell r="GHX1" t="str">
            <v>--</v>
          </cell>
          <cell r="GHY1" t="str">
            <v>--</v>
          </cell>
          <cell r="GHZ1" t="str">
            <v>--</v>
          </cell>
          <cell r="GIA1" t="str">
            <v>--</v>
          </cell>
          <cell r="GIB1" t="str">
            <v>--</v>
          </cell>
          <cell r="GIC1" t="str">
            <v>--</v>
          </cell>
          <cell r="GID1" t="str">
            <v>--</v>
          </cell>
          <cell r="GIE1" t="str">
            <v>--</v>
          </cell>
          <cell r="GIF1" t="str">
            <v>--</v>
          </cell>
          <cell r="GIG1" t="str">
            <v>--</v>
          </cell>
          <cell r="GIH1" t="str">
            <v>--</v>
          </cell>
          <cell r="GII1" t="str">
            <v>--</v>
          </cell>
          <cell r="GIJ1" t="str">
            <v>--</v>
          </cell>
          <cell r="GIK1" t="str">
            <v>--</v>
          </cell>
          <cell r="GIL1" t="str">
            <v>--</v>
          </cell>
          <cell r="GIM1" t="str">
            <v>--</v>
          </cell>
          <cell r="GIN1" t="str">
            <v>--</v>
          </cell>
          <cell r="GIO1" t="str">
            <v>--</v>
          </cell>
          <cell r="GIP1" t="str">
            <v>--</v>
          </cell>
          <cell r="GIQ1" t="str">
            <v>--</v>
          </cell>
          <cell r="GIR1" t="str">
            <v>--</v>
          </cell>
          <cell r="GIS1" t="str">
            <v>--</v>
          </cell>
          <cell r="GIT1" t="str">
            <v>--</v>
          </cell>
          <cell r="GIU1" t="str">
            <v>--</v>
          </cell>
          <cell r="GIV1" t="str">
            <v>--</v>
          </cell>
          <cell r="GIW1" t="str">
            <v>--</v>
          </cell>
          <cell r="GIX1" t="str">
            <v>--</v>
          </cell>
          <cell r="GIY1" t="str">
            <v>--</v>
          </cell>
          <cell r="GIZ1" t="str">
            <v>--</v>
          </cell>
          <cell r="GJA1" t="str">
            <v>--</v>
          </cell>
          <cell r="GJB1" t="str">
            <v>--</v>
          </cell>
          <cell r="GJC1" t="str">
            <v>--</v>
          </cell>
          <cell r="GJD1" t="str">
            <v>--</v>
          </cell>
          <cell r="GJE1" t="str">
            <v>--</v>
          </cell>
          <cell r="GJF1" t="str">
            <v>--</v>
          </cell>
          <cell r="GJG1" t="str">
            <v>--</v>
          </cell>
          <cell r="GJH1" t="str">
            <v>--</v>
          </cell>
          <cell r="GJI1" t="str">
            <v>--</v>
          </cell>
          <cell r="GJJ1" t="str">
            <v>--</v>
          </cell>
          <cell r="GJK1" t="str">
            <v>--</v>
          </cell>
          <cell r="GJL1" t="str">
            <v>--</v>
          </cell>
          <cell r="GJM1" t="str">
            <v>--</v>
          </cell>
          <cell r="GJN1" t="str">
            <v>--</v>
          </cell>
          <cell r="GJO1" t="str">
            <v>--</v>
          </cell>
          <cell r="GJP1" t="str">
            <v>--</v>
          </cell>
          <cell r="GJQ1" t="str">
            <v>--</v>
          </cell>
          <cell r="GJR1" t="str">
            <v>--</v>
          </cell>
          <cell r="GJS1" t="str">
            <v>--</v>
          </cell>
          <cell r="GJT1" t="str">
            <v>--</v>
          </cell>
          <cell r="GJU1" t="str">
            <v>--</v>
          </cell>
          <cell r="GJV1" t="str">
            <v>--</v>
          </cell>
          <cell r="GJW1" t="str">
            <v>--</v>
          </cell>
          <cell r="GJX1" t="str">
            <v>--</v>
          </cell>
          <cell r="GJY1" t="str">
            <v>--</v>
          </cell>
          <cell r="GJZ1" t="str">
            <v>--</v>
          </cell>
          <cell r="GKA1" t="str">
            <v>--</v>
          </cell>
          <cell r="GKB1" t="str">
            <v>--</v>
          </cell>
          <cell r="GKC1" t="str">
            <v>--</v>
          </cell>
          <cell r="GKD1" t="str">
            <v>--</v>
          </cell>
          <cell r="GKE1" t="str">
            <v>--</v>
          </cell>
          <cell r="GKF1" t="str">
            <v>--</v>
          </cell>
          <cell r="GKG1" t="str">
            <v>--</v>
          </cell>
          <cell r="GKH1" t="str">
            <v>--</v>
          </cell>
          <cell r="GKI1" t="str">
            <v>--</v>
          </cell>
          <cell r="GKJ1" t="str">
            <v>--</v>
          </cell>
          <cell r="GKK1" t="str">
            <v>--</v>
          </cell>
          <cell r="GKL1" t="str">
            <v>--</v>
          </cell>
          <cell r="GKM1" t="str">
            <v>--</v>
          </cell>
          <cell r="GKN1" t="str">
            <v>--</v>
          </cell>
          <cell r="GKO1" t="str">
            <v>--</v>
          </cell>
          <cell r="GKP1" t="str">
            <v>--</v>
          </cell>
          <cell r="GKQ1" t="str">
            <v>--</v>
          </cell>
          <cell r="GKR1" t="str">
            <v>--</v>
          </cell>
          <cell r="GKS1" t="str">
            <v>--</v>
          </cell>
          <cell r="GKT1" t="str">
            <v>--</v>
          </cell>
          <cell r="GKU1" t="str">
            <v>--</v>
          </cell>
          <cell r="GKV1" t="str">
            <v>--</v>
          </cell>
          <cell r="GKW1" t="str">
            <v>--</v>
          </cell>
          <cell r="GKX1" t="str">
            <v>--</v>
          </cell>
          <cell r="GKY1" t="str">
            <v>--</v>
          </cell>
          <cell r="GKZ1" t="str">
            <v>--</v>
          </cell>
          <cell r="GLA1" t="str">
            <v>--</v>
          </cell>
          <cell r="GLB1" t="str">
            <v>--</v>
          </cell>
          <cell r="GLC1" t="str">
            <v>--</v>
          </cell>
          <cell r="GLD1" t="str">
            <v>--</v>
          </cell>
          <cell r="GLE1" t="str">
            <v>--</v>
          </cell>
          <cell r="GLF1" t="str">
            <v>--</v>
          </cell>
          <cell r="GLG1" t="str">
            <v>--</v>
          </cell>
          <cell r="GLH1" t="str">
            <v>--</v>
          </cell>
          <cell r="GLI1" t="str">
            <v>--</v>
          </cell>
          <cell r="GLJ1" t="str">
            <v>--</v>
          </cell>
          <cell r="GLK1" t="str">
            <v>--</v>
          </cell>
          <cell r="GLL1" t="str">
            <v>--</v>
          </cell>
          <cell r="GLM1" t="str">
            <v>--</v>
          </cell>
          <cell r="GLN1" t="str">
            <v>--</v>
          </cell>
          <cell r="GLO1" t="str">
            <v>--</v>
          </cell>
          <cell r="GLP1" t="str">
            <v>--</v>
          </cell>
          <cell r="GLQ1" t="str">
            <v>--</v>
          </cell>
          <cell r="GLR1" t="str">
            <v>--</v>
          </cell>
          <cell r="GLS1" t="str">
            <v>--</v>
          </cell>
          <cell r="GLT1" t="str">
            <v>--</v>
          </cell>
          <cell r="GLU1" t="str">
            <v>--</v>
          </cell>
          <cell r="GLV1" t="str">
            <v>--</v>
          </cell>
          <cell r="GLW1" t="str">
            <v>--</v>
          </cell>
          <cell r="GLX1" t="str">
            <v>--</v>
          </cell>
          <cell r="GLY1" t="str">
            <v>--</v>
          </cell>
          <cell r="GLZ1" t="str">
            <v>--</v>
          </cell>
          <cell r="GMA1" t="str">
            <v>--</v>
          </cell>
          <cell r="GMB1" t="str">
            <v>--</v>
          </cell>
          <cell r="GMC1" t="str">
            <v>--</v>
          </cell>
          <cell r="GMD1" t="str">
            <v>--</v>
          </cell>
          <cell r="GME1" t="str">
            <v>--</v>
          </cell>
          <cell r="GMF1" t="str">
            <v>--</v>
          </cell>
          <cell r="GMG1" t="str">
            <v>--</v>
          </cell>
          <cell r="GMH1" t="str">
            <v>--</v>
          </cell>
          <cell r="GMI1" t="str">
            <v>--</v>
          </cell>
          <cell r="GMJ1" t="str">
            <v>--</v>
          </cell>
          <cell r="GMK1" t="str">
            <v>--</v>
          </cell>
          <cell r="GML1" t="str">
            <v>--</v>
          </cell>
          <cell r="GMM1" t="str">
            <v>--</v>
          </cell>
          <cell r="GMN1" t="str">
            <v>--</v>
          </cell>
          <cell r="GMO1" t="str">
            <v>--</v>
          </cell>
          <cell r="GMP1" t="str">
            <v>--</v>
          </cell>
          <cell r="GMQ1" t="str">
            <v>--</v>
          </cell>
          <cell r="GMR1" t="str">
            <v>--</v>
          </cell>
          <cell r="GMS1" t="str">
            <v>--</v>
          </cell>
          <cell r="GMT1" t="str">
            <v>--</v>
          </cell>
          <cell r="GMU1" t="str">
            <v>--</v>
          </cell>
          <cell r="GMV1" t="str">
            <v>--</v>
          </cell>
          <cell r="GMW1" t="str">
            <v>--</v>
          </cell>
          <cell r="GMX1" t="str">
            <v>--</v>
          </cell>
          <cell r="GMY1" t="str">
            <v>--</v>
          </cell>
          <cell r="GMZ1" t="str">
            <v>--</v>
          </cell>
          <cell r="GNA1" t="str">
            <v>--</v>
          </cell>
          <cell r="GNB1" t="str">
            <v>--</v>
          </cell>
          <cell r="GNC1" t="str">
            <v>--</v>
          </cell>
          <cell r="GND1" t="str">
            <v>--</v>
          </cell>
          <cell r="GNE1" t="str">
            <v>--</v>
          </cell>
          <cell r="GNF1" t="str">
            <v>--</v>
          </cell>
          <cell r="GNG1" t="str">
            <v>--</v>
          </cell>
          <cell r="GNH1" t="str">
            <v>--</v>
          </cell>
          <cell r="GNI1" t="str">
            <v>--</v>
          </cell>
          <cell r="GNJ1" t="str">
            <v>--</v>
          </cell>
          <cell r="GNK1" t="str">
            <v>--</v>
          </cell>
          <cell r="GNL1" t="str">
            <v>--</v>
          </cell>
          <cell r="GNM1" t="str">
            <v>--</v>
          </cell>
          <cell r="GNN1" t="str">
            <v>--</v>
          </cell>
          <cell r="GNO1" t="str">
            <v>--</v>
          </cell>
          <cell r="GNP1" t="str">
            <v>--</v>
          </cell>
          <cell r="GNQ1" t="str">
            <v>--</v>
          </cell>
          <cell r="GNR1" t="str">
            <v>--</v>
          </cell>
          <cell r="GNS1" t="str">
            <v>--</v>
          </cell>
          <cell r="GNT1" t="str">
            <v>--</v>
          </cell>
          <cell r="GNU1" t="str">
            <v>--</v>
          </cell>
          <cell r="GNV1" t="str">
            <v>--</v>
          </cell>
          <cell r="GNW1" t="str">
            <v>--</v>
          </cell>
          <cell r="GNX1" t="str">
            <v>--</v>
          </cell>
          <cell r="GNY1" t="str">
            <v>--</v>
          </cell>
          <cell r="GNZ1" t="str">
            <v>--</v>
          </cell>
          <cell r="GOA1" t="str">
            <v>--</v>
          </cell>
          <cell r="GOB1" t="str">
            <v>--</v>
          </cell>
          <cell r="GOC1" t="str">
            <v>--</v>
          </cell>
          <cell r="GOD1" t="str">
            <v>--</v>
          </cell>
          <cell r="GOE1" t="str">
            <v>--</v>
          </cell>
          <cell r="GOF1" t="str">
            <v>--</v>
          </cell>
          <cell r="GOG1" t="str">
            <v>--</v>
          </cell>
          <cell r="GOH1" t="str">
            <v>--</v>
          </cell>
          <cell r="GOI1" t="str">
            <v>--</v>
          </cell>
          <cell r="GOJ1" t="str">
            <v>--</v>
          </cell>
          <cell r="GOK1" t="str">
            <v>--</v>
          </cell>
          <cell r="GOL1" t="str">
            <v>--</v>
          </cell>
          <cell r="GOM1" t="str">
            <v>--</v>
          </cell>
          <cell r="GON1" t="str">
            <v>--</v>
          </cell>
          <cell r="GOO1" t="str">
            <v>--</v>
          </cell>
          <cell r="GOP1" t="str">
            <v>--</v>
          </cell>
          <cell r="GOQ1" t="str">
            <v>--</v>
          </cell>
          <cell r="GOR1" t="str">
            <v>--</v>
          </cell>
          <cell r="GOS1" t="str">
            <v>--</v>
          </cell>
          <cell r="GOT1" t="str">
            <v>--</v>
          </cell>
          <cell r="GOU1" t="str">
            <v>--</v>
          </cell>
          <cell r="GOV1" t="str">
            <v>--</v>
          </cell>
          <cell r="GOW1" t="str">
            <v>--</v>
          </cell>
          <cell r="GOX1" t="str">
            <v>--</v>
          </cell>
          <cell r="GOY1" t="str">
            <v>--</v>
          </cell>
          <cell r="GOZ1" t="str">
            <v>--</v>
          </cell>
          <cell r="GPA1" t="str">
            <v>--</v>
          </cell>
          <cell r="GPB1" t="str">
            <v>--</v>
          </cell>
          <cell r="GPC1" t="str">
            <v>--</v>
          </cell>
          <cell r="GPD1" t="str">
            <v>--</v>
          </cell>
          <cell r="GPE1" t="str">
            <v>--</v>
          </cell>
          <cell r="GPF1" t="str">
            <v>--</v>
          </cell>
          <cell r="GPG1" t="str">
            <v>--</v>
          </cell>
          <cell r="GPH1" t="str">
            <v>--</v>
          </cell>
          <cell r="GPI1" t="str">
            <v>--</v>
          </cell>
          <cell r="GPJ1" t="str">
            <v>--</v>
          </cell>
          <cell r="GPK1" t="str">
            <v>--</v>
          </cell>
          <cell r="GPL1" t="str">
            <v>--</v>
          </cell>
          <cell r="GPM1" t="str">
            <v>--</v>
          </cell>
          <cell r="GPN1" t="str">
            <v>--</v>
          </cell>
          <cell r="GPO1" t="str">
            <v>--</v>
          </cell>
          <cell r="GPP1" t="str">
            <v>--</v>
          </cell>
          <cell r="GPQ1" t="str">
            <v>--</v>
          </cell>
          <cell r="GPR1" t="str">
            <v>--</v>
          </cell>
          <cell r="GPS1" t="str">
            <v>--</v>
          </cell>
          <cell r="GPT1" t="str">
            <v>--</v>
          </cell>
          <cell r="GPU1" t="str">
            <v>--</v>
          </cell>
          <cell r="GPV1" t="str">
            <v>--</v>
          </cell>
          <cell r="GPW1" t="str">
            <v>--</v>
          </cell>
          <cell r="GPX1" t="str">
            <v>--</v>
          </cell>
          <cell r="GPY1" t="str">
            <v>--</v>
          </cell>
          <cell r="GPZ1" t="str">
            <v>--</v>
          </cell>
          <cell r="GQA1" t="str">
            <v>--</v>
          </cell>
          <cell r="GQB1" t="str">
            <v>--</v>
          </cell>
          <cell r="GQC1" t="str">
            <v>--</v>
          </cell>
          <cell r="GQD1" t="str">
            <v>--</v>
          </cell>
          <cell r="GQE1" t="str">
            <v>--</v>
          </cell>
          <cell r="GQF1" t="str">
            <v>--</v>
          </cell>
          <cell r="GQG1" t="str">
            <v>--</v>
          </cell>
          <cell r="GQH1" t="str">
            <v>--</v>
          </cell>
          <cell r="GQI1" t="str">
            <v>--</v>
          </cell>
          <cell r="GQJ1" t="str">
            <v>--</v>
          </cell>
          <cell r="GQK1" t="str">
            <v>--</v>
          </cell>
          <cell r="GQL1" t="str">
            <v>--</v>
          </cell>
          <cell r="GQM1" t="str">
            <v>--</v>
          </cell>
          <cell r="GQN1" t="str">
            <v>--</v>
          </cell>
          <cell r="GQO1" t="str">
            <v>--</v>
          </cell>
          <cell r="GQP1" t="str">
            <v>--</v>
          </cell>
          <cell r="GQQ1" t="str">
            <v>--</v>
          </cell>
          <cell r="GQR1" t="str">
            <v>--</v>
          </cell>
          <cell r="GQS1" t="str">
            <v>--</v>
          </cell>
          <cell r="GQT1" t="str">
            <v>--</v>
          </cell>
          <cell r="GQU1" t="str">
            <v>--</v>
          </cell>
          <cell r="GQV1" t="str">
            <v>--</v>
          </cell>
          <cell r="GQW1" t="str">
            <v>--</v>
          </cell>
          <cell r="GQX1" t="str">
            <v>--</v>
          </cell>
          <cell r="GQY1" t="str">
            <v>--</v>
          </cell>
          <cell r="GQZ1" t="str">
            <v>--</v>
          </cell>
          <cell r="GRA1" t="str">
            <v>--</v>
          </cell>
          <cell r="GRB1" t="str">
            <v>--</v>
          </cell>
          <cell r="GRC1" t="str">
            <v>--</v>
          </cell>
          <cell r="GRD1" t="str">
            <v>--</v>
          </cell>
          <cell r="GRE1" t="str">
            <v>--</v>
          </cell>
          <cell r="GRF1" t="str">
            <v>--</v>
          </cell>
          <cell r="GRG1" t="str">
            <v>--</v>
          </cell>
          <cell r="GRH1" t="str">
            <v>--</v>
          </cell>
          <cell r="GRI1" t="str">
            <v>--</v>
          </cell>
          <cell r="GRJ1" t="str">
            <v>--</v>
          </cell>
          <cell r="GRK1" t="str">
            <v>--</v>
          </cell>
          <cell r="GRL1" t="str">
            <v>--</v>
          </cell>
          <cell r="GRM1" t="str">
            <v>--</v>
          </cell>
          <cell r="GRN1" t="str">
            <v>--</v>
          </cell>
          <cell r="GRO1" t="str">
            <v>--</v>
          </cell>
          <cell r="GRP1" t="str">
            <v>--</v>
          </cell>
          <cell r="GRQ1" t="str">
            <v>--</v>
          </cell>
          <cell r="GRR1" t="str">
            <v>--</v>
          </cell>
          <cell r="GRS1" t="str">
            <v>--</v>
          </cell>
          <cell r="GRT1" t="str">
            <v>--</v>
          </cell>
          <cell r="GRU1" t="str">
            <v>--</v>
          </cell>
          <cell r="GRV1" t="str">
            <v>--</v>
          </cell>
          <cell r="GRW1" t="str">
            <v>--</v>
          </cell>
          <cell r="GRX1" t="str">
            <v>--</v>
          </cell>
          <cell r="GRY1" t="str">
            <v>--</v>
          </cell>
          <cell r="GRZ1" t="str">
            <v>--</v>
          </cell>
          <cell r="GSA1" t="str">
            <v>--</v>
          </cell>
          <cell r="GSB1" t="str">
            <v>--</v>
          </cell>
          <cell r="GSC1" t="str">
            <v>--</v>
          </cell>
          <cell r="GSD1" t="str">
            <v>--</v>
          </cell>
          <cell r="GSE1" t="str">
            <v>--</v>
          </cell>
          <cell r="GSF1" t="str">
            <v>--</v>
          </cell>
          <cell r="GSG1" t="str">
            <v>--</v>
          </cell>
          <cell r="GSH1" t="str">
            <v>--</v>
          </cell>
          <cell r="GSI1" t="str">
            <v>--</v>
          </cell>
          <cell r="GSJ1" t="str">
            <v>--</v>
          </cell>
          <cell r="GSK1" t="str">
            <v>--</v>
          </cell>
          <cell r="GSL1" t="str">
            <v>--</v>
          </cell>
          <cell r="GSM1" t="str">
            <v>--</v>
          </cell>
          <cell r="GSN1" t="str">
            <v>--</v>
          </cell>
          <cell r="GSO1" t="str">
            <v>--</v>
          </cell>
          <cell r="GSP1" t="str">
            <v>--</v>
          </cell>
          <cell r="GSQ1" t="str">
            <v>--</v>
          </cell>
          <cell r="GSR1" t="str">
            <v>--</v>
          </cell>
          <cell r="GSS1" t="str">
            <v>--</v>
          </cell>
          <cell r="GST1" t="str">
            <v>--</v>
          </cell>
          <cell r="GSU1" t="str">
            <v>--</v>
          </cell>
          <cell r="GSV1" t="str">
            <v>--</v>
          </cell>
          <cell r="GSW1" t="str">
            <v>--</v>
          </cell>
          <cell r="GSX1" t="str">
            <v>--</v>
          </cell>
          <cell r="GSY1" t="str">
            <v>--</v>
          </cell>
          <cell r="GSZ1" t="str">
            <v>--</v>
          </cell>
          <cell r="GTA1" t="str">
            <v>--</v>
          </cell>
          <cell r="GTB1" t="str">
            <v>--</v>
          </cell>
          <cell r="GTC1" t="str">
            <v>--</v>
          </cell>
          <cell r="GTD1" t="str">
            <v>--</v>
          </cell>
          <cell r="GTE1" t="str">
            <v>--</v>
          </cell>
          <cell r="GTF1" t="str">
            <v>--</v>
          </cell>
          <cell r="GTG1" t="str">
            <v>--</v>
          </cell>
          <cell r="GTH1" t="str">
            <v>--</v>
          </cell>
          <cell r="GTI1" t="str">
            <v>--</v>
          </cell>
          <cell r="GTJ1" t="str">
            <v>--</v>
          </cell>
          <cell r="GTK1" t="str">
            <v>--</v>
          </cell>
          <cell r="GTL1" t="str">
            <v>--</v>
          </cell>
          <cell r="GTM1" t="str">
            <v>--</v>
          </cell>
          <cell r="GTN1" t="str">
            <v>--</v>
          </cell>
          <cell r="GTO1" t="str">
            <v>--</v>
          </cell>
          <cell r="GTP1" t="str">
            <v>--</v>
          </cell>
          <cell r="GTQ1" t="str">
            <v>--</v>
          </cell>
          <cell r="GTR1" t="str">
            <v>--</v>
          </cell>
          <cell r="GTS1" t="str">
            <v>--</v>
          </cell>
          <cell r="GTT1" t="str">
            <v>--</v>
          </cell>
          <cell r="GTU1" t="str">
            <v>--</v>
          </cell>
          <cell r="GTV1" t="str">
            <v>--</v>
          </cell>
          <cell r="GTW1" t="str">
            <v>--</v>
          </cell>
          <cell r="GTX1" t="str">
            <v>--</v>
          </cell>
          <cell r="GTY1" t="str">
            <v>--</v>
          </cell>
          <cell r="GTZ1" t="str">
            <v>--</v>
          </cell>
          <cell r="GUA1" t="str">
            <v>--</v>
          </cell>
          <cell r="GUB1" t="str">
            <v>--</v>
          </cell>
          <cell r="GUC1" t="str">
            <v>--</v>
          </cell>
          <cell r="GUD1" t="str">
            <v>--</v>
          </cell>
          <cell r="GUE1" t="str">
            <v>--</v>
          </cell>
          <cell r="GUF1" t="str">
            <v>--</v>
          </cell>
          <cell r="GUG1" t="str">
            <v>--</v>
          </cell>
          <cell r="GUH1" t="str">
            <v>--</v>
          </cell>
          <cell r="GUI1" t="str">
            <v>--</v>
          </cell>
          <cell r="GUJ1" t="str">
            <v>--</v>
          </cell>
          <cell r="GUK1" t="str">
            <v>--</v>
          </cell>
          <cell r="GUL1" t="str">
            <v>--</v>
          </cell>
          <cell r="GUM1" t="str">
            <v>--</v>
          </cell>
          <cell r="GUN1" t="str">
            <v>--</v>
          </cell>
          <cell r="GUO1" t="str">
            <v>--</v>
          </cell>
          <cell r="GUP1" t="str">
            <v>--</v>
          </cell>
          <cell r="GUQ1" t="str">
            <v>--</v>
          </cell>
          <cell r="GUR1" t="str">
            <v>--</v>
          </cell>
          <cell r="GUS1" t="str">
            <v>--</v>
          </cell>
          <cell r="GUT1" t="str">
            <v>--</v>
          </cell>
          <cell r="GUU1" t="str">
            <v>--</v>
          </cell>
          <cell r="GUV1" t="str">
            <v>--</v>
          </cell>
          <cell r="GUW1" t="str">
            <v>--</v>
          </cell>
          <cell r="GUX1" t="str">
            <v>--</v>
          </cell>
          <cell r="GUY1" t="str">
            <v>--</v>
          </cell>
          <cell r="GUZ1" t="str">
            <v>--</v>
          </cell>
          <cell r="GVA1" t="str">
            <v>--</v>
          </cell>
          <cell r="GVB1" t="str">
            <v>--</v>
          </cell>
          <cell r="GVC1" t="str">
            <v>--</v>
          </cell>
          <cell r="GVD1" t="str">
            <v>--</v>
          </cell>
          <cell r="GVE1" t="str">
            <v>--</v>
          </cell>
          <cell r="GVF1" t="str">
            <v>--</v>
          </cell>
          <cell r="GVG1" t="str">
            <v>--</v>
          </cell>
          <cell r="GVH1" t="str">
            <v>--</v>
          </cell>
          <cell r="GVI1" t="str">
            <v>--</v>
          </cell>
          <cell r="GVJ1" t="str">
            <v>--</v>
          </cell>
          <cell r="GVK1" t="str">
            <v>--</v>
          </cell>
          <cell r="GVL1" t="str">
            <v>--</v>
          </cell>
          <cell r="GVM1" t="str">
            <v>--</v>
          </cell>
          <cell r="GVN1" t="str">
            <v>--</v>
          </cell>
          <cell r="GVO1" t="str">
            <v>--</v>
          </cell>
          <cell r="GVP1" t="str">
            <v>--</v>
          </cell>
          <cell r="GVQ1" t="str">
            <v>--</v>
          </cell>
          <cell r="GVR1" t="str">
            <v>--</v>
          </cell>
          <cell r="GVS1" t="str">
            <v>--</v>
          </cell>
          <cell r="GVT1" t="str">
            <v>--</v>
          </cell>
          <cell r="GVU1" t="str">
            <v>--</v>
          </cell>
          <cell r="GVV1" t="str">
            <v>--</v>
          </cell>
          <cell r="GVW1" t="str">
            <v>--</v>
          </cell>
          <cell r="GVX1" t="str">
            <v>--</v>
          </cell>
          <cell r="GVY1" t="str">
            <v>--</v>
          </cell>
          <cell r="GVZ1" t="str">
            <v>--</v>
          </cell>
          <cell r="GWA1" t="str">
            <v>--</v>
          </cell>
          <cell r="GWB1" t="str">
            <v>--</v>
          </cell>
          <cell r="GWC1" t="str">
            <v>--</v>
          </cell>
          <cell r="GWD1" t="str">
            <v>--</v>
          </cell>
          <cell r="GWE1" t="str">
            <v>--</v>
          </cell>
          <cell r="GWF1" t="str">
            <v>--</v>
          </cell>
          <cell r="GWG1" t="str">
            <v>--</v>
          </cell>
          <cell r="GWH1" t="str">
            <v>--</v>
          </cell>
          <cell r="GWI1" t="str">
            <v>--</v>
          </cell>
          <cell r="GWJ1" t="str">
            <v>--</v>
          </cell>
          <cell r="GWK1" t="str">
            <v>--</v>
          </cell>
          <cell r="GWL1" t="str">
            <v>--</v>
          </cell>
          <cell r="GWM1" t="str">
            <v>--</v>
          </cell>
          <cell r="GWN1" t="str">
            <v>--</v>
          </cell>
          <cell r="GWO1" t="str">
            <v>--</v>
          </cell>
          <cell r="GWP1" t="str">
            <v>--</v>
          </cell>
          <cell r="GWQ1" t="str">
            <v>--</v>
          </cell>
          <cell r="GWR1" t="str">
            <v>--</v>
          </cell>
          <cell r="GWS1" t="str">
            <v>--</v>
          </cell>
          <cell r="GWT1" t="str">
            <v>--</v>
          </cell>
          <cell r="GWU1" t="str">
            <v>--</v>
          </cell>
          <cell r="GWV1" t="str">
            <v>--</v>
          </cell>
          <cell r="GWW1" t="str">
            <v>--</v>
          </cell>
          <cell r="GWX1" t="str">
            <v>--</v>
          </cell>
          <cell r="GWY1" t="str">
            <v>--</v>
          </cell>
          <cell r="GWZ1" t="str">
            <v>--</v>
          </cell>
          <cell r="GXA1" t="str">
            <v>--</v>
          </cell>
          <cell r="GXB1" t="str">
            <v>--</v>
          </cell>
          <cell r="GXC1" t="str">
            <v>--</v>
          </cell>
          <cell r="GXD1" t="str">
            <v>--</v>
          </cell>
          <cell r="GXE1" t="str">
            <v>--</v>
          </cell>
          <cell r="GXF1" t="str">
            <v>--</v>
          </cell>
          <cell r="GXG1" t="str">
            <v>--</v>
          </cell>
          <cell r="GXH1" t="str">
            <v>--</v>
          </cell>
          <cell r="GXI1" t="str">
            <v>--</v>
          </cell>
          <cell r="GXJ1" t="str">
            <v>--</v>
          </cell>
          <cell r="GXK1" t="str">
            <v>--</v>
          </cell>
          <cell r="GXL1" t="str">
            <v>--</v>
          </cell>
          <cell r="GXM1" t="str">
            <v>--</v>
          </cell>
          <cell r="GXN1" t="str">
            <v>--</v>
          </cell>
          <cell r="GXO1" t="str">
            <v>--</v>
          </cell>
          <cell r="GXP1" t="str">
            <v>--</v>
          </cell>
          <cell r="GXQ1" t="str">
            <v>--</v>
          </cell>
          <cell r="GXR1" t="str">
            <v>--</v>
          </cell>
          <cell r="GXS1" t="str">
            <v>--</v>
          </cell>
          <cell r="GXT1" t="str">
            <v>--</v>
          </cell>
          <cell r="GXU1" t="str">
            <v>--</v>
          </cell>
          <cell r="GXV1" t="str">
            <v>--</v>
          </cell>
          <cell r="GXW1" t="str">
            <v>--</v>
          </cell>
          <cell r="GXX1" t="str">
            <v>--</v>
          </cell>
          <cell r="GXY1" t="str">
            <v>--</v>
          </cell>
          <cell r="GXZ1" t="str">
            <v>--</v>
          </cell>
          <cell r="GYA1" t="str">
            <v>--</v>
          </cell>
          <cell r="GYB1" t="str">
            <v>--</v>
          </cell>
          <cell r="GYC1" t="str">
            <v>--</v>
          </cell>
          <cell r="GYD1" t="str">
            <v>--</v>
          </cell>
          <cell r="GYE1" t="str">
            <v>--</v>
          </cell>
          <cell r="GYF1" t="str">
            <v>--</v>
          </cell>
          <cell r="GYG1" t="str">
            <v>--</v>
          </cell>
          <cell r="GYH1" t="str">
            <v>--</v>
          </cell>
          <cell r="GYI1" t="str">
            <v>--</v>
          </cell>
          <cell r="GYJ1" t="str">
            <v>--</v>
          </cell>
          <cell r="GYK1" t="str">
            <v>--</v>
          </cell>
          <cell r="GYL1" t="str">
            <v>--</v>
          </cell>
          <cell r="GYM1" t="str">
            <v>--</v>
          </cell>
          <cell r="GYN1" t="str">
            <v>--</v>
          </cell>
          <cell r="GYO1" t="str">
            <v>--</v>
          </cell>
          <cell r="GYP1" t="str">
            <v>--</v>
          </cell>
          <cell r="GYQ1" t="str">
            <v>--</v>
          </cell>
          <cell r="GYR1" t="str">
            <v>--</v>
          </cell>
          <cell r="GYS1" t="str">
            <v>--</v>
          </cell>
          <cell r="GYT1" t="str">
            <v>--</v>
          </cell>
          <cell r="GYU1" t="str">
            <v>--</v>
          </cell>
          <cell r="GYV1" t="str">
            <v>--</v>
          </cell>
          <cell r="GYW1" t="str">
            <v>--</v>
          </cell>
          <cell r="GYX1" t="str">
            <v>--</v>
          </cell>
          <cell r="GYY1" t="str">
            <v>--</v>
          </cell>
          <cell r="GYZ1" t="str">
            <v>--</v>
          </cell>
          <cell r="GZA1" t="str">
            <v>--</v>
          </cell>
          <cell r="GZB1" t="str">
            <v>--</v>
          </cell>
          <cell r="GZC1" t="str">
            <v>--</v>
          </cell>
          <cell r="GZD1" t="str">
            <v>--</v>
          </cell>
          <cell r="GZE1" t="str">
            <v>--</v>
          </cell>
          <cell r="GZF1" t="str">
            <v>--</v>
          </cell>
          <cell r="GZG1" t="str">
            <v>--</v>
          </cell>
          <cell r="GZH1" t="str">
            <v>--</v>
          </cell>
          <cell r="GZI1" t="str">
            <v>--</v>
          </cell>
          <cell r="GZJ1" t="str">
            <v>--</v>
          </cell>
          <cell r="GZK1" t="str">
            <v>--</v>
          </cell>
          <cell r="GZL1" t="str">
            <v>--</v>
          </cell>
          <cell r="GZM1" t="str">
            <v>--</v>
          </cell>
          <cell r="GZN1" t="str">
            <v>--</v>
          </cell>
          <cell r="GZO1" t="str">
            <v>--</v>
          </cell>
          <cell r="GZP1" t="str">
            <v>--</v>
          </cell>
          <cell r="GZQ1" t="str">
            <v>--</v>
          </cell>
          <cell r="GZR1" t="str">
            <v>--</v>
          </cell>
          <cell r="GZS1" t="str">
            <v>--</v>
          </cell>
          <cell r="GZT1" t="str">
            <v>--</v>
          </cell>
          <cell r="GZU1" t="str">
            <v>--</v>
          </cell>
          <cell r="GZV1" t="str">
            <v>--</v>
          </cell>
          <cell r="GZW1" t="str">
            <v>--</v>
          </cell>
          <cell r="GZX1" t="str">
            <v>--</v>
          </cell>
          <cell r="GZY1" t="str">
            <v>--</v>
          </cell>
          <cell r="GZZ1" t="str">
            <v>--</v>
          </cell>
          <cell r="HAA1" t="str">
            <v>--</v>
          </cell>
          <cell r="HAB1" t="str">
            <v>--</v>
          </cell>
          <cell r="HAC1" t="str">
            <v>--</v>
          </cell>
          <cell r="HAD1" t="str">
            <v>--</v>
          </cell>
          <cell r="HAE1" t="str">
            <v>--</v>
          </cell>
          <cell r="HAF1" t="str">
            <v>--</v>
          </cell>
          <cell r="HAG1" t="str">
            <v>--</v>
          </cell>
          <cell r="HAH1" t="str">
            <v>--</v>
          </cell>
          <cell r="HAI1" t="str">
            <v>--</v>
          </cell>
          <cell r="HAJ1" t="str">
            <v>--</v>
          </cell>
          <cell r="HAK1" t="str">
            <v>--</v>
          </cell>
          <cell r="HAL1" t="str">
            <v>--</v>
          </cell>
          <cell r="HAM1" t="str">
            <v>--</v>
          </cell>
          <cell r="HAN1" t="str">
            <v>--</v>
          </cell>
          <cell r="HAO1" t="str">
            <v>--</v>
          </cell>
          <cell r="HAP1" t="str">
            <v>--</v>
          </cell>
          <cell r="HAQ1" t="str">
            <v>--</v>
          </cell>
          <cell r="HAR1" t="str">
            <v>--</v>
          </cell>
          <cell r="HAS1" t="str">
            <v>--</v>
          </cell>
          <cell r="HAT1" t="str">
            <v>--</v>
          </cell>
          <cell r="HAU1" t="str">
            <v>--</v>
          </cell>
          <cell r="HAV1" t="str">
            <v>--</v>
          </cell>
          <cell r="HAW1" t="str">
            <v>--</v>
          </cell>
          <cell r="HAX1" t="str">
            <v>--</v>
          </cell>
          <cell r="HAY1" t="str">
            <v>--</v>
          </cell>
          <cell r="HAZ1" t="str">
            <v>--</v>
          </cell>
          <cell r="HBA1" t="str">
            <v>--</v>
          </cell>
          <cell r="HBB1" t="str">
            <v>--</v>
          </cell>
          <cell r="HBC1" t="str">
            <v>--</v>
          </cell>
          <cell r="HBD1" t="str">
            <v>--</v>
          </cell>
          <cell r="HBE1" t="str">
            <v>--</v>
          </cell>
          <cell r="HBF1" t="str">
            <v>--</v>
          </cell>
          <cell r="HBG1" t="str">
            <v>--</v>
          </cell>
          <cell r="HBH1" t="str">
            <v>--</v>
          </cell>
          <cell r="HBI1" t="str">
            <v>--</v>
          </cell>
          <cell r="HBJ1" t="str">
            <v>--</v>
          </cell>
          <cell r="HBK1" t="str">
            <v>--</v>
          </cell>
          <cell r="HBL1" t="str">
            <v>--</v>
          </cell>
          <cell r="HBM1" t="str">
            <v>--</v>
          </cell>
          <cell r="HBN1" t="str">
            <v>--</v>
          </cell>
          <cell r="HBO1" t="str">
            <v>--</v>
          </cell>
          <cell r="HBP1" t="str">
            <v>--</v>
          </cell>
          <cell r="HBQ1" t="str">
            <v>--</v>
          </cell>
          <cell r="HBR1" t="str">
            <v>--</v>
          </cell>
          <cell r="HBS1" t="str">
            <v>--</v>
          </cell>
          <cell r="HBT1" t="str">
            <v>--</v>
          </cell>
          <cell r="HBU1" t="str">
            <v>--</v>
          </cell>
          <cell r="HBV1" t="str">
            <v>--</v>
          </cell>
          <cell r="HBW1" t="str">
            <v>--</v>
          </cell>
          <cell r="HBX1" t="str">
            <v>--</v>
          </cell>
          <cell r="HBY1" t="str">
            <v>--</v>
          </cell>
          <cell r="HBZ1" t="str">
            <v>--</v>
          </cell>
          <cell r="HCA1" t="str">
            <v>--</v>
          </cell>
          <cell r="HCB1" t="str">
            <v>--</v>
          </cell>
          <cell r="HCC1" t="str">
            <v>--</v>
          </cell>
          <cell r="HCD1" t="str">
            <v>--</v>
          </cell>
          <cell r="HCE1" t="str">
            <v>--</v>
          </cell>
          <cell r="HCF1" t="str">
            <v>--</v>
          </cell>
          <cell r="HCG1" t="str">
            <v>--</v>
          </cell>
          <cell r="HCH1" t="str">
            <v>--</v>
          </cell>
          <cell r="HCI1" t="str">
            <v>--</v>
          </cell>
          <cell r="HCJ1" t="str">
            <v>--</v>
          </cell>
          <cell r="HCK1" t="str">
            <v>--</v>
          </cell>
          <cell r="HCL1" t="str">
            <v>--</v>
          </cell>
          <cell r="HCM1" t="str">
            <v>--</v>
          </cell>
          <cell r="HCN1" t="str">
            <v>--</v>
          </cell>
          <cell r="HCO1" t="str">
            <v>--</v>
          </cell>
          <cell r="HCP1" t="str">
            <v>--</v>
          </cell>
          <cell r="HCQ1" t="str">
            <v>--</v>
          </cell>
          <cell r="HCR1" t="str">
            <v>--</v>
          </cell>
          <cell r="HCS1" t="str">
            <v>--</v>
          </cell>
          <cell r="HCT1" t="str">
            <v>--</v>
          </cell>
          <cell r="HCU1" t="str">
            <v>--</v>
          </cell>
          <cell r="HCV1" t="str">
            <v>--</v>
          </cell>
          <cell r="HCW1" t="str">
            <v>--</v>
          </cell>
          <cell r="HCX1" t="str">
            <v>--</v>
          </cell>
          <cell r="HCY1" t="str">
            <v>--</v>
          </cell>
          <cell r="HCZ1" t="str">
            <v>--</v>
          </cell>
          <cell r="HDA1" t="str">
            <v>--</v>
          </cell>
          <cell r="HDB1" t="str">
            <v>--</v>
          </cell>
          <cell r="HDC1" t="str">
            <v>--</v>
          </cell>
          <cell r="HDD1" t="str">
            <v>--</v>
          </cell>
          <cell r="HDE1" t="str">
            <v>--</v>
          </cell>
          <cell r="HDF1" t="str">
            <v>--</v>
          </cell>
          <cell r="HDG1" t="str">
            <v>--</v>
          </cell>
          <cell r="HDH1" t="str">
            <v>--</v>
          </cell>
          <cell r="HDI1" t="str">
            <v>--</v>
          </cell>
          <cell r="HDJ1" t="str">
            <v>--</v>
          </cell>
          <cell r="HDK1" t="str">
            <v>--</v>
          </cell>
          <cell r="HDL1" t="str">
            <v>--</v>
          </cell>
          <cell r="HDM1" t="str">
            <v>--</v>
          </cell>
          <cell r="HDN1" t="str">
            <v>--</v>
          </cell>
          <cell r="HDO1" t="str">
            <v>--</v>
          </cell>
          <cell r="HDP1" t="str">
            <v>--</v>
          </cell>
          <cell r="HDQ1" t="str">
            <v>--</v>
          </cell>
          <cell r="HDR1" t="str">
            <v>--</v>
          </cell>
          <cell r="HDS1" t="str">
            <v>--</v>
          </cell>
          <cell r="HDT1" t="str">
            <v>--</v>
          </cell>
          <cell r="HDU1" t="str">
            <v>--</v>
          </cell>
          <cell r="HDV1" t="str">
            <v>--</v>
          </cell>
          <cell r="HDW1" t="str">
            <v>--</v>
          </cell>
          <cell r="HDX1" t="str">
            <v>--</v>
          </cell>
          <cell r="HDY1" t="str">
            <v>--</v>
          </cell>
          <cell r="HDZ1" t="str">
            <v>--</v>
          </cell>
          <cell r="HEA1" t="str">
            <v>--</v>
          </cell>
          <cell r="HEB1" t="str">
            <v>--</v>
          </cell>
          <cell r="HEC1" t="str">
            <v>--</v>
          </cell>
          <cell r="HED1" t="str">
            <v>--</v>
          </cell>
          <cell r="HEE1" t="str">
            <v>--</v>
          </cell>
          <cell r="HEF1" t="str">
            <v>--</v>
          </cell>
          <cell r="HEG1" t="str">
            <v>--</v>
          </cell>
          <cell r="HEH1" t="str">
            <v>--</v>
          </cell>
          <cell r="HEI1" t="str">
            <v>--</v>
          </cell>
          <cell r="HEJ1" t="str">
            <v>--</v>
          </cell>
          <cell r="HEK1" t="str">
            <v>--</v>
          </cell>
          <cell r="HEL1" t="str">
            <v>--</v>
          </cell>
          <cell r="HEM1" t="str">
            <v>--</v>
          </cell>
          <cell r="HEN1" t="str">
            <v>--</v>
          </cell>
          <cell r="HEO1" t="str">
            <v>--</v>
          </cell>
          <cell r="HEP1" t="str">
            <v>--</v>
          </cell>
          <cell r="HEQ1" t="str">
            <v>--</v>
          </cell>
          <cell r="HER1" t="str">
            <v>--</v>
          </cell>
          <cell r="HES1" t="str">
            <v>--</v>
          </cell>
          <cell r="HET1" t="str">
            <v>--</v>
          </cell>
          <cell r="HEU1" t="str">
            <v>--</v>
          </cell>
          <cell r="HEV1" t="str">
            <v>--</v>
          </cell>
          <cell r="HEW1" t="str">
            <v>--</v>
          </cell>
          <cell r="HEX1" t="str">
            <v>--</v>
          </cell>
          <cell r="HEY1" t="str">
            <v>--</v>
          </cell>
          <cell r="HEZ1" t="str">
            <v>--</v>
          </cell>
          <cell r="HFA1" t="str">
            <v>--</v>
          </cell>
          <cell r="HFB1" t="str">
            <v>--</v>
          </cell>
          <cell r="HFC1" t="str">
            <v>--</v>
          </cell>
          <cell r="HFD1" t="str">
            <v>--</v>
          </cell>
          <cell r="HFE1" t="str">
            <v>--</v>
          </cell>
          <cell r="HFF1" t="str">
            <v>--</v>
          </cell>
          <cell r="HFG1" t="str">
            <v>--</v>
          </cell>
          <cell r="HFH1" t="str">
            <v>--</v>
          </cell>
          <cell r="HFI1" t="str">
            <v>--</v>
          </cell>
          <cell r="HFJ1" t="str">
            <v>--</v>
          </cell>
          <cell r="HFK1" t="str">
            <v>--</v>
          </cell>
          <cell r="HFL1" t="str">
            <v>--</v>
          </cell>
          <cell r="HFM1" t="str">
            <v>--</v>
          </cell>
          <cell r="HFN1" t="str">
            <v>--</v>
          </cell>
          <cell r="HFO1" t="str">
            <v>--</v>
          </cell>
          <cell r="HFP1" t="str">
            <v>--</v>
          </cell>
          <cell r="HFQ1" t="str">
            <v>--</v>
          </cell>
          <cell r="HFR1" t="str">
            <v>--</v>
          </cell>
          <cell r="HFS1" t="str">
            <v>--</v>
          </cell>
          <cell r="HFT1" t="str">
            <v>--</v>
          </cell>
          <cell r="HFU1" t="str">
            <v>--</v>
          </cell>
          <cell r="HFV1" t="str">
            <v>--</v>
          </cell>
          <cell r="HFW1" t="str">
            <v>--</v>
          </cell>
          <cell r="HFX1" t="str">
            <v>--</v>
          </cell>
          <cell r="HFY1" t="str">
            <v>--</v>
          </cell>
          <cell r="HFZ1" t="str">
            <v>--</v>
          </cell>
          <cell r="HGA1" t="str">
            <v>--</v>
          </cell>
          <cell r="HGB1" t="str">
            <v>--</v>
          </cell>
          <cell r="HGC1" t="str">
            <v>--</v>
          </cell>
          <cell r="HGD1" t="str">
            <v>--</v>
          </cell>
          <cell r="HGE1" t="str">
            <v>--</v>
          </cell>
          <cell r="HGF1" t="str">
            <v>--</v>
          </cell>
          <cell r="HGG1" t="str">
            <v>--</v>
          </cell>
          <cell r="HGH1" t="str">
            <v>--</v>
          </cell>
          <cell r="HGI1" t="str">
            <v>--</v>
          </cell>
          <cell r="HGJ1" t="str">
            <v>--</v>
          </cell>
          <cell r="HGK1" t="str">
            <v>--</v>
          </cell>
          <cell r="HGL1" t="str">
            <v>--</v>
          </cell>
          <cell r="HGM1" t="str">
            <v>--</v>
          </cell>
          <cell r="HGN1" t="str">
            <v>--</v>
          </cell>
          <cell r="HGO1" t="str">
            <v>--</v>
          </cell>
          <cell r="HGP1" t="str">
            <v>--</v>
          </cell>
          <cell r="HGQ1" t="str">
            <v>--</v>
          </cell>
          <cell r="HGR1" t="str">
            <v>--</v>
          </cell>
          <cell r="HGS1" t="str">
            <v>--</v>
          </cell>
          <cell r="HGT1" t="str">
            <v>--</v>
          </cell>
          <cell r="HGU1" t="str">
            <v>--</v>
          </cell>
          <cell r="HGV1" t="str">
            <v>--</v>
          </cell>
          <cell r="HGW1" t="str">
            <v>--</v>
          </cell>
          <cell r="HGX1" t="str">
            <v>--</v>
          </cell>
          <cell r="HGY1" t="str">
            <v>--</v>
          </cell>
          <cell r="HGZ1" t="str">
            <v>--</v>
          </cell>
          <cell r="HHA1" t="str">
            <v>--</v>
          </cell>
          <cell r="HHB1" t="str">
            <v>--</v>
          </cell>
          <cell r="HHC1" t="str">
            <v>--</v>
          </cell>
          <cell r="HHD1" t="str">
            <v>--</v>
          </cell>
          <cell r="HHE1" t="str">
            <v>--</v>
          </cell>
          <cell r="HHF1" t="str">
            <v>--</v>
          </cell>
          <cell r="HHG1" t="str">
            <v>--</v>
          </cell>
          <cell r="HHH1" t="str">
            <v>--</v>
          </cell>
          <cell r="HHI1" t="str">
            <v>--</v>
          </cell>
          <cell r="HHJ1" t="str">
            <v>--</v>
          </cell>
          <cell r="HHK1" t="str">
            <v>--</v>
          </cell>
          <cell r="HHL1" t="str">
            <v>--</v>
          </cell>
          <cell r="HHM1" t="str">
            <v>--</v>
          </cell>
          <cell r="HHN1" t="str">
            <v>--</v>
          </cell>
          <cell r="HHO1" t="str">
            <v>--</v>
          </cell>
          <cell r="HHP1" t="str">
            <v>--</v>
          </cell>
          <cell r="HHQ1" t="str">
            <v>--</v>
          </cell>
          <cell r="HHR1" t="str">
            <v>--</v>
          </cell>
          <cell r="HHS1" t="str">
            <v>--</v>
          </cell>
          <cell r="HHT1" t="str">
            <v>--</v>
          </cell>
          <cell r="HHU1" t="str">
            <v>--</v>
          </cell>
          <cell r="HHV1" t="str">
            <v>--</v>
          </cell>
          <cell r="HHW1" t="str">
            <v>--</v>
          </cell>
          <cell r="HHX1" t="str">
            <v>--</v>
          </cell>
          <cell r="HHY1" t="str">
            <v>--</v>
          </cell>
          <cell r="HHZ1" t="str">
            <v>--</v>
          </cell>
          <cell r="HIA1" t="str">
            <v>--</v>
          </cell>
          <cell r="HIB1" t="str">
            <v>--</v>
          </cell>
          <cell r="HIC1" t="str">
            <v>--</v>
          </cell>
          <cell r="HID1" t="str">
            <v>--</v>
          </cell>
          <cell r="HIE1" t="str">
            <v>--</v>
          </cell>
          <cell r="HIF1" t="str">
            <v>--</v>
          </cell>
          <cell r="HIG1" t="str">
            <v>--</v>
          </cell>
          <cell r="HIH1" t="str">
            <v>--</v>
          </cell>
          <cell r="HII1" t="str">
            <v>--</v>
          </cell>
          <cell r="HIJ1" t="str">
            <v>--</v>
          </cell>
          <cell r="HIK1" t="str">
            <v>--</v>
          </cell>
          <cell r="HIL1" t="str">
            <v>--</v>
          </cell>
          <cell r="HIM1" t="str">
            <v>--</v>
          </cell>
          <cell r="HIN1" t="str">
            <v>--</v>
          </cell>
          <cell r="HIO1" t="str">
            <v>--</v>
          </cell>
          <cell r="HIP1" t="str">
            <v>--</v>
          </cell>
          <cell r="HIQ1" t="str">
            <v>--</v>
          </cell>
          <cell r="HIR1" t="str">
            <v>--</v>
          </cell>
          <cell r="HIS1" t="str">
            <v>--</v>
          </cell>
          <cell r="HIT1" t="str">
            <v>--</v>
          </cell>
          <cell r="HIU1" t="str">
            <v>--</v>
          </cell>
          <cell r="HIV1" t="str">
            <v>--</v>
          </cell>
          <cell r="HIW1" t="str">
            <v>--</v>
          </cell>
          <cell r="HIX1" t="str">
            <v>--</v>
          </cell>
          <cell r="HIY1" t="str">
            <v>--</v>
          </cell>
          <cell r="HIZ1" t="str">
            <v>--</v>
          </cell>
          <cell r="HJA1" t="str">
            <v>--</v>
          </cell>
          <cell r="HJB1" t="str">
            <v>--</v>
          </cell>
          <cell r="HJC1" t="str">
            <v>--</v>
          </cell>
          <cell r="HJD1" t="str">
            <v>--</v>
          </cell>
          <cell r="HJE1" t="str">
            <v>--</v>
          </cell>
          <cell r="HJF1" t="str">
            <v>--</v>
          </cell>
          <cell r="HJG1" t="str">
            <v>--</v>
          </cell>
          <cell r="HJH1" t="str">
            <v>--</v>
          </cell>
          <cell r="HJI1" t="str">
            <v>--</v>
          </cell>
          <cell r="HJJ1" t="str">
            <v>--</v>
          </cell>
          <cell r="HJK1" t="str">
            <v>--</v>
          </cell>
          <cell r="HJL1" t="str">
            <v>--</v>
          </cell>
          <cell r="HJM1" t="str">
            <v>--</v>
          </cell>
          <cell r="HJN1" t="str">
            <v>--</v>
          </cell>
          <cell r="HJO1" t="str">
            <v>--</v>
          </cell>
          <cell r="HJP1" t="str">
            <v>--</v>
          </cell>
          <cell r="HJQ1" t="str">
            <v>--</v>
          </cell>
          <cell r="HJR1" t="str">
            <v>--</v>
          </cell>
          <cell r="HJS1" t="str">
            <v>--</v>
          </cell>
          <cell r="HJT1" t="str">
            <v>--</v>
          </cell>
          <cell r="HJU1" t="str">
            <v>--</v>
          </cell>
          <cell r="HJV1" t="str">
            <v>--</v>
          </cell>
          <cell r="HJW1" t="str">
            <v>--</v>
          </cell>
          <cell r="HJX1" t="str">
            <v>--</v>
          </cell>
          <cell r="HJY1" t="str">
            <v>--</v>
          </cell>
          <cell r="HJZ1" t="str">
            <v>--</v>
          </cell>
          <cell r="HKA1" t="str">
            <v>--</v>
          </cell>
          <cell r="HKB1" t="str">
            <v>--</v>
          </cell>
          <cell r="HKC1" t="str">
            <v>--</v>
          </cell>
          <cell r="HKD1" t="str">
            <v>--</v>
          </cell>
          <cell r="HKE1" t="str">
            <v>--</v>
          </cell>
          <cell r="HKF1" t="str">
            <v>--</v>
          </cell>
          <cell r="HKG1" t="str">
            <v>--</v>
          </cell>
          <cell r="HKH1" t="str">
            <v>--</v>
          </cell>
          <cell r="HKI1" t="str">
            <v>--</v>
          </cell>
          <cell r="HKJ1" t="str">
            <v>--</v>
          </cell>
          <cell r="HKK1" t="str">
            <v>--</v>
          </cell>
          <cell r="HKL1" t="str">
            <v>--</v>
          </cell>
          <cell r="HKM1" t="str">
            <v>--</v>
          </cell>
          <cell r="HKN1" t="str">
            <v>--</v>
          </cell>
          <cell r="HKO1" t="str">
            <v>--</v>
          </cell>
          <cell r="HKP1" t="str">
            <v>--</v>
          </cell>
          <cell r="HKQ1" t="str">
            <v>--</v>
          </cell>
          <cell r="HKR1" t="str">
            <v>--</v>
          </cell>
          <cell r="HKS1" t="str">
            <v>--</v>
          </cell>
          <cell r="HKT1" t="str">
            <v>--</v>
          </cell>
          <cell r="HKU1" t="str">
            <v>--</v>
          </cell>
          <cell r="HKV1" t="str">
            <v>--</v>
          </cell>
          <cell r="HKW1" t="str">
            <v>--</v>
          </cell>
          <cell r="HKX1" t="str">
            <v>--</v>
          </cell>
          <cell r="HKY1" t="str">
            <v>--</v>
          </cell>
          <cell r="HKZ1" t="str">
            <v>--</v>
          </cell>
          <cell r="HLA1" t="str">
            <v>--</v>
          </cell>
          <cell r="HLB1" t="str">
            <v>--</v>
          </cell>
          <cell r="HLC1" t="str">
            <v>--</v>
          </cell>
          <cell r="HLD1" t="str">
            <v>--</v>
          </cell>
          <cell r="HLE1" t="str">
            <v>--</v>
          </cell>
          <cell r="HLF1" t="str">
            <v>--</v>
          </cell>
          <cell r="HLG1" t="str">
            <v>--</v>
          </cell>
          <cell r="HLH1" t="str">
            <v>--</v>
          </cell>
          <cell r="HLI1" t="str">
            <v>--</v>
          </cell>
          <cell r="HLJ1" t="str">
            <v>--</v>
          </cell>
          <cell r="HLK1" t="str">
            <v>--</v>
          </cell>
          <cell r="HLL1" t="str">
            <v>--</v>
          </cell>
          <cell r="HLM1" t="str">
            <v>--</v>
          </cell>
          <cell r="HLN1" t="str">
            <v>--</v>
          </cell>
          <cell r="HLO1" t="str">
            <v>--</v>
          </cell>
          <cell r="HLP1" t="str">
            <v>--</v>
          </cell>
          <cell r="HLQ1" t="str">
            <v>--</v>
          </cell>
          <cell r="HLR1" t="str">
            <v>--</v>
          </cell>
          <cell r="HLS1" t="str">
            <v>--</v>
          </cell>
          <cell r="HLT1" t="str">
            <v>--</v>
          </cell>
          <cell r="HLU1" t="str">
            <v>--</v>
          </cell>
          <cell r="HLV1" t="str">
            <v>--</v>
          </cell>
          <cell r="HLW1" t="str">
            <v>--</v>
          </cell>
          <cell r="HLX1" t="str">
            <v>--</v>
          </cell>
          <cell r="HLY1" t="str">
            <v>--</v>
          </cell>
          <cell r="HLZ1" t="str">
            <v>--</v>
          </cell>
          <cell r="HMA1" t="str">
            <v>--</v>
          </cell>
          <cell r="HMB1" t="str">
            <v>--</v>
          </cell>
          <cell r="HMC1" t="str">
            <v>--</v>
          </cell>
          <cell r="HMD1" t="str">
            <v>--</v>
          </cell>
          <cell r="HME1" t="str">
            <v>--</v>
          </cell>
          <cell r="HMF1" t="str">
            <v>--</v>
          </cell>
          <cell r="HMG1" t="str">
            <v>--</v>
          </cell>
          <cell r="HMH1" t="str">
            <v>--</v>
          </cell>
          <cell r="HMI1" t="str">
            <v>--</v>
          </cell>
          <cell r="HMJ1" t="str">
            <v>--</v>
          </cell>
          <cell r="HMK1" t="str">
            <v>--</v>
          </cell>
          <cell r="HML1" t="str">
            <v>--</v>
          </cell>
          <cell r="HMM1" t="str">
            <v>--</v>
          </cell>
          <cell r="HMN1" t="str">
            <v>--</v>
          </cell>
          <cell r="HMO1" t="str">
            <v>--</v>
          </cell>
          <cell r="HMP1" t="str">
            <v>--</v>
          </cell>
          <cell r="HMQ1" t="str">
            <v>--</v>
          </cell>
          <cell r="HMR1" t="str">
            <v>--</v>
          </cell>
          <cell r="HMS1" t="str">
            <v>--</v>
          </cell>
          <cell r="HMT1" t="str">
            <v>--</v>
          </cell>
          <cell r="HMU1" t="str">
            <v>--</v>
          </cell>
          <cell r="HMV1" t="str">
            <v>--</v>
          </cell>
          <cell r="HMW1" t="str">
            <v>--</v>
          </cell>
          <cell r="HMX1" t="str">
            <v>--</v>
          </cell>
          <cell r="HMY1" t="str">
            <v>--</v>
          </cell>
          <cell r="HMZ1" t="str">
            <v>--</v>
          </cell>
          <cell r="HNA1" t="str">
            <v>--</v>
          </cell>
          <cell r="HNB1" t="str">
            <v>--</v>
          </cell>
          <cell r="HNC1" t="str">
            <v>--</v>
          </cell>
          <cell r="HND1" t="str">
            <v>--</v>
          </cell>
          <cell r="HNE1" t="str">
            <v>--</v>
          </cell>
          <cell r="HNF1" t="str">
            <v>--</v>
          </cell>
          <cell r="HNG1" t="str">
            <v>--</v>
          </cell>
          <cell r="HNH1" t="str">
            <v>--</v>
          </cell>
          <cell r="HNI1" t="str">
            <v>--</v>
          </cell>
          <cell r="HNJ1" t="str">
            <v>--</v>
          </cell>
          <cell r="HNK1" t="str">
            <v>--</v>
          </cell>
          <cell r="HNL1" t="str">
            <v>--</v>
          </cell>
          <cell r="HNM1" t="str">
            <v>--</v>
          </cell>
          <cell r="HNN1" t="str">
            <v>--</v>
          </cell>
          <cell r="HNO1" t="str">
            <v>--</v>
          </cell>
          <cell r="HNP1" t="str">
            <v>--</v>
          </cell>
          <cell r="HNQ1" t="str">
            <v>--</v>
          </cell>
          <cell r="HNR1" t="str">
            <v>--</v>
          </cell>
          <cell r="HNS1" t="str">
            <v>--</v>
          </cell>
          <cell r="HNT1" t="str">
            <v>--</v>
          </cell>
          <cell r="HNU1" t="str">
            <v>--</v>
          </cell>
          <cell r="HNV1" t="str">
            <v>--</v>
          </cell>
          <cell r="HNW1" t="str">
            <v>--</v>
          </cell>
          <cell r="HNX1" t="str">
            <v>--</v>
          </cell>
          <cell r="HNY1" t="str">
            <v>--</v>
          </cell>
          <cell r="HNZ1" t="str">
            <v>--</v>
          </cell>
          <cell r="HOA1" t="str">
            <v>--</v>
          </cell>
          <cell r="HOB1" t="str">
            <v>--</v>
          </cell>
          <cell r="HOC1" t="str">
            <v>--</v>
          </cell>
          <cell r="HOD1" t="str">
            <v>--</v>
          </cell>
          <cell r="HOE1" t="str">
            <v>--</v>
          </cell>
          <cell r="HOF1" t="str">
            <v>--</v>
          </cell>
          <cell r="HOG1" t="str">
            <v>--</v>
          </cell>
          <cell r="HOH1" t="str">
            <v>--</v>
          </cell>
          <cell r="HOI1" t="str">
            <v>--</v>
          </cell>
          <cell r="HOJ1" t="str">
            <v>--</v>
          </cell>
          <cell r="HOK1" t="str">
            <v>--</v>
          </cell>
          <cell r="HOL1" t="str">
            <v>--</v>
          </cell>
          <cell r="HOM1" t="str">
            <v>--</v>
          </cell>
          <cell r="HON1" t="str">
            <v>--</v>
          </cell>
          <cell r="HOO1" t="str">
            <v>--</v>
          </cell>
          <cell r="HOP1" t="str">
            <v>--</v>
          </cell>
          <cell r="HOQ1" t="str">
            <v>--</v>
          </cell>
          <cell r="HOR1" t="str">
            <v>--</v>
          </cell>
          <cell r="HOS1" t="str">
            <v>--</v>
          </cell>
          <cell r="HOT1" t="str">
            <v>--</v>
          </cell>
          <cell r="HOU1" t="str">
            <v>--</v>
          </cell>
          <cell r="HOV1" t="str">
            <v>--</v>
          </cell>
          <cell r="HOW1" t="str">
            <v>--</v>
          </cell>
          <cell r="HOX1" t="str">
            <v>--</v>
          </cell>
          <cell r="HOY1" t="str">
            <v>--</v>
          </cell>
          <cell r="HOZ1" t="str">
            <v>--</v>
          </cell>
          <cell r="HPA1" t="str">
            <v>--</v>
          </cell>
          <cell r="HPB1" t="str">
            <v>--</v>
          </cell>
          <cell r="HPC1" t="str">
            <v>--</v>
          </cell>
          <cell r="HPD1" t="str">
            <v>--</v>
          </cell>
          <cell r="HPE1" t="str">
            <v>--</v>
          </cell>
          <cell r="HPF1" t="str">
            <v>--</v>
          </cell>
          <cell r="HPG1" t="str">
            <v>--</v>
          </cell>
          <cell r="HPH1" t="str">
            <v>--</v>
          </cell>
          <cell r="HPI1" t="str">
            <v>--</v>
          </cell>
          <cell r="HPJ1" t="str">
            <v>--</v>
          </cell>
          <cell r="HPK1" t="str">
            <v>--</v>
          </cell>
          <cell r="HPL1" t="str">
            <v>--</v>
          </cell>
          <cell r="HPM1" t="str">
            <v>--</v>
          </cell>
          <cell r="HPN1" t="str">
            <v>--</v>
          </cell>
          <cell r="HPO1" t="str">
            <v>--</v>
          </cell>
          <cell r="HPP1" t="str">
            <v>--</v>
          </cell>
          <cell r="HPQ1" t="str">
            <v>--</v>
          </cell>
          <cell r="HPR1" t="str">
            <v>--</v>
          </cell>
          <cell r="HPS1" t="str">
            <v>--</v>
          </cell>
          <cell r="HPT1" t="str">
            <v>--</v>
          </cell>
          <cell r="HPU1" t="str">
            <v>--</v>
          </cell>
          <cell r="HPV1" t="str">
            <v>--</v>
          </cell>
          <cell r="HPW1" t="str">
            <v>--</v>
          </cell>
          <cell r="HPX1" t="str">
            <v>--</v>
          </cell>
          <cell r="HPY1" t="str">
            <v>--</v>
          </cell>
          <cell r="HPZ1" t="str">
            <v>--</v>
          </cell>
          <cell r="HQA1" t="str">
            <v>--</v>
          </cell>
          <cell r="HQB1" t="str">
            <v>--</v>
          </cell>
          <cell r="HQC1" t="str">
            <v>--</v>
          </cell>
          <cell r="HQD1" t="str">
            <v>--</v>
          </cell>
          <cell r="HQE1" t="str">
            <v>--</v>
          </cell>
          <cell r="HQF1" t="str">
            <v>--</v>
          </cell>
          <cell r="HQG1" t="str">
            <v>--</v>
          </cell>
          <cell r="HQH1" t="str">
            <v>--</v>
          </cell>
          <cell r="HQI1" t="str">
            <v>--</v>
          </cell>
          <cell r="HQJ1" t="str">
            <v>--</v>
          </cell>
          <cell r="HQK1" t="str">
            <v>--</v>
          </cell>
          <cell r="HQL1" t="str">
            <v>--</v>
          </cell>
          <cell r="HQM1" t="str">
            <v>--</v>
          </cell>
          <cell r="HQN1" t="str">
            <v>--</v>
          </cell>
          <cell r="HQO1" t="str">
            <v>--</v>
          </cell>
          <cell r="HQP1" t="str">
            <v>--</v>
          </cell>
          <cell r="HQQ1" t="str">
            <v>--</v>
          </cell>
          <cell r="HQR1" t="str">
            <v>--</v>
          </cell>
          <cell r="HQS1" t="str">
            <v>--</v>
          </cell>
          <cell r="HQT1" t="str">
            <v>--</v>
          </cell>
          <cell r="HQU1" t="str">
            <v>--</v>
          </cell>
          <cell r="HQV1" t="str">
            <v>--</v>
          </cell>
          <cell r="HQW1" t="str">
            <v>--</v>
          </cell>
          <cell r="HQX1" t="str">
            <v>--</v>
          </cell>
          <cell r="HQY1" t="str">
            <v>--</v>
          </cell>
          <cell r="HQZ1" t="str">
            <v>--</v>
          </cell>
          <cell r="HRA1" t="str">
            <v>--</v>
          </cell>
          <cell r="HRB1" t="str">
            <v>--</v>
          </cell>
          <cell r="HRC1" t="str">
            <v>--</v>
          </cell>
          <cell r="HRD1" t="str">
            <v>--</v>
          </cell>
          <cell r="HRE1" t="str">
            <v>--</v>
          </cell>
          <cell r="HRF1" t="str">
            <v>--</v>
          </cell>
          <cell r="HRG1" t="str">
            <v>--</v>
          </cell>
          <cell r="HRH1" t="str">
            <v>--</v>
          </cell>
          <cell r="HRI1" t="str">
            <v>--</v>
          </cell>
          <cell r="HRJ1" t="str">
            <v>--</v>
          </cell>
          <cell r="HRK1" t="str">
            <v>--</v>
          </cell>
          <cell r="HRL1" t="str">
            <v>--</v>
          </cell>
          <cell r="HRM1" t="str">
            <v>--</v>
          </cell>
          <cell r="HRN1" t="str">
            <v>--</v>
          </cell>
          <cell r="HRO1" t="str">
            <v>--</v>
          </cell>
          <cell r="HRP1" t="str">
            <v>--</v>
          </cell>
          <cell r="HRQ1" t="str">
            <v>--</v>
          </cell>
          <cell r="HRR1" t="str">
            <v>--</v>
          </cell>
          <cell r="HRS1" t="str">
            <v>--</v>
          </cell>
          <cell r="HRT1" t="str">
            <v>--</v>
          </cell>
          <cell r="HRU1" t="str">
            <v>--</v>
          </cell>
          <cell r="HRV1" t="str">
            <v>--</v>
          </cell>
          <cell r="HRW1" t="str">
            <v>--</v>
          </cell>
          <cell r="HRX1" t="str">
            <v>--</v>
          </cell>
          <cell r="HRY1" t="str">
            <v>--</v>
          </cell>
          <cell r="HRZ1" t="str">
            <v>--</v>
          </cell>
          <cell r="HSA1" t="str">
            <v>--</v>
          </cell>
          <cell r="HSB1" t="str">
            <v>--</v>
          </cell>
          <cell r="HSC1" t="str">
            <v>--</v>
          </cell>
          <cell r="HSD1" t="str">
            <v>--</v>
          </cell>
          <cell r="HSE1" t="str">
            <v>--</v>
          </cell>
          <cell r="HSF1" t="str">
            <v>--</v>
          </cell>
          <cell r="HSG1" t="str">
            <v>--</v>
          </cell>
          <cell r="HSH1" t="str">
            <v>--</v>
          </cell>
          <cell r="HSI1" t="str">
            <v>--</v>
          </cell>
          <cell r="HSJ1" t="str">
            <v>--</v>
          </cell>
          <cell r="HSK1" t="str">
            <v>--</v>
          </cell>
          <cell r="HSL1" t="str">
            <v>--</v>
          </cell>
          <cell r="HSM1" t="str">
            <v>--</v>
          </cell>
          <cell r="HSN1" t="str">
            <v>--</v>
          </cell>
          <cell r="HSO1" t="str">
            <v>--</v>
          </cell>
          <cell r="HSP1" t="str">
            <v>--</v>
          </cell>
          <cell r="HSQ1" t="str">
            <v>--</v>
          </cell>
          <cell r="HSR1" t="str">
            <v>--</v>
          </cell>
          <cell r="HSS1" t="str">
            <v>--</v>
          </cell>
          <cell r="HST1" t="str">
            <v>--</v>
          </cell>
          <cell r="HSU1" t="str">
            <v>--</v>
          </cell>
          <cell r="HSV1" t="str">
            <v>--</v>
          </cell>
          <cell r="HSW1" t="str">
            <v>--</v>
          </cell>
          <cell r="HSX1" t="str">
            <v>--</v>
          </cell>
          <cell r="HSY1" t="str">
            <v>--</v>
          </cell>
          <cell r="HSZ1" t="str">
            <v>--</v>
          </cell>
          <cell r="HTA1" t="str">
            <v>--</v>
          </cell>
          <cell r="HTB1" t="str">
            <v>--</v>
          </cell>
          <cell r="HTC1" t="str">
            <v>--</v>
          </cell>
          <cell r="HTD1" t="str">
            <v>--</v>
          </cell>
          <cell r="HTE1" t="str">
            <v>--</v>
          </cell>
          <cell r="HTF1" t="str">
            <v>--</v>
          </cell>
          <cell r="HTG1" t="str">
            <v>--</v>
          </cell>
          <cell r="HTH1" t="str">
            <v>--</v>
          </cell>
          <cell r="HTI1" t="str">
            <v>--</v>
          </cell>
          <cell r="HTJ1" t="str">
            <v>--</v>
          </cell>
          <cell r="HTK1" t="str">
            <v>--</v>
          </cell>
          <cell r="HTL1" t="str">
            <v>--</v>
          </cell>
          <cell r="HTM1" t="str">
            <v>--</v>
          </cell>
          <cell r="HTN1" t="str">
            <v>--</v>
          </cell>
          <cell r="HTO1" t="str">
            <v>--</v>
          </cell>
          <cell r="HTP1" t="str">
            <v>--</v>
          </cell>
          <cell r="HTQ1" t="str">
            <v>--</v>
          </cell>
          <cell r="HTR1" t="str">
            <v>--</v>
          </cell>
          <cell r="HTS1" t="str">
            <v>--</v>
          </cell>
          <cell r="HTT1" t="str">
            <v>--</v>
          </cell>
          <cell r="HTU1" t="str">
            <v>--</v>
          </cell>
          <cell r="HTV1" t="str">
            <v>--</v>
          </cell>
          <cell r="HTW1" t="str">
            <v>--</v>
          </cell>
          <cell r="HTX1" t="str">
            <v>--</v>
          </cell>
          <cell r="HTY1" t="str">
            <v>--</v>
          </cell>
          <cell r="HTZ1" t="str">
            <v>--</v>
          </cell>
          <cell r="HUA1" t="str">
            <v>--</v>
          </cell>
          <cell r="HUB1" t="str">
            <v>--</v>
          </cell>
          <cell r="HUC1" t="str">
            <v>--</v>
          </cell>
          <cell r="HUD1" t="str">
            <v>--</v>
          </cell>
          <cell r="HUE1" t="str">
            <v>--</v>
          </cell>
          <cell r="HUF1" t="str">
            <v>--</v>
          </cell>
          <cell r="HUG1" t="str">
            <v>--</v>
          </cell>
          <cell r="HUH1" t="str">
            <v>--</v>
          </cell>
          <cell r="HUI1" t="str">
            <v>--</v>
          </cell>
          <cell r="HUJ1" t="str">
            <v>--</v>
          </cell>
          <cell r="HUK1" t="str">
            <v>--</v>
          </cell>
          <cell r="HUL1" t="str">
            <v>--</v>
          </cell>
          <cell r="HUM1" t="str">
            <v>--</v>
          </cell>
          <cell r="HUN1" t="str">
            <v>--</v>
          </cell>
          <cell r="HUO1" t="str">
            <v>--</v>
          </cell>
          <cell r="HUP1" t="str">
            <v>--</v>
          </cell>
          <cell r="HUQ1" t="str">
            <v>--</v>
          </cell>
          <cell r="HUR1" t="str">
            <v>--</v>
          </cell>
          <cell r="HUS1" t="str">
            <v>--</v>
          </cell>
          <cell r="HUT1" t="str">
            <v>--</v>
          </cell>
          <cell r="HUU1" t="str">
            <v>--</v>
          </cell>
          <cell r="HUV1" t="str">
            <v>--</v>
          </cell>
          <cell r="HUW1" t="str">
            <v>--</v>
          </cell>
          <cell r="HUX1" t="str">
            <v>--</v>
          </cell>
          <cell r="HUY1" t="str">
            <v>--</v>
          </cell>
          <cell r="HUZ1" t="str">
            <v>--</v>
          </cell>
          <cell r="HVA1" t="str">
            <v>--</v>
          </cell>
          <cell r="HVB1" t="str">
            <v>--</v>
          </cell>
          <cell r="HVC1" t="str">
            <v>--</v>
          </cell>
          <cell r="HVD1" t="str">
            <v>--</v>
          </cell>
          <cell r="HVE1" t="str">
            <v>--</v>
          </cell>
          <cell r="HVF1" t="str">
            <v>--</v>
          </cell>
          <cell r="HVG1" t="str">
            <v>--</v>
          </cell>
          <cell r="HVH1" t="str">
            <v>--</v>
          </cell>
          <cell r="HVI1" t="str">
            <v>--</v>
          </cell>
          <cell r="HVJ1" t="str">
            <v>--</v>
          </cell>
          <cell r="HVK1" t="str">
            <v>--</v>
          </cell>
          <cell r="HVL1" t="str">
            <v>--</v>
          </cell>
          <cell r="HVM1" t="str">
            <v>--</v>
          </cell>
          <cell r="HVN1" t="str">
            <v>--</v>
          </cell>
          <cell r="HVO1" t="str">
            <v>--</v>
          </cell>
          <cell r="HVP1" t="str">
            <v>--</v>
          </cell>
          <cell r="HVQ1" t="str">
            <v>--</v>
          </cell>
          <cell r="HVR1" t="str">
            <v>--</v>
          </cell>
          <cell r="HVS1" t="str">
            <v>--</v>
          </cell>
          <cell r="HVT1" t="str">
            <v>--</v>
          </cell>
          <cell r="HVU1" t="str">
            <v>--</v>
          </cell>
          <cell r="HVV1" t="str">
            <v>--</v>
          </cell>
          <cell r="HVW1" t="str">
            <v>--</v>
          </cell>
          <cell r="HVX1" t="str">
            <v>--</v>
          </cell>
          <cell r="HVY1" t="str">
            <v>--</v>
          </cell>
          <cell r="HVZ1" t="str">
            <v>--</v>
          </cell>
          <cell r="HWA1" t="str">
            <v>--</v>
          </cell>
          <cell r="HWB1" t="str">
            <v>--</v>
          </cell>
          <cell r="HWC1" t="str">
            <v>--</v>
          </cell>
          <cell r="HWD1" t="str">
            <v>--</v>
          </cell>
          <cell r="HWE1" t="str">
            <v>--</v>
          </cell>
          <cell r="HWF1" t="str">
            <v>--</v>
          </cell>
          <cell r="HWG1" t="str">
            <v>--</v>
          </cell>
          <cell r="HWH1" t="str">
            <v>--</v>
          </cell>
          <cell r="HWI1" t="str">
            <v>--</v>
          </cell>
          <cell r="HWJ1" t="str">
            <v>--</v>
          </cell>
          <cell r="HWK1" t="str">
            <v>--</v>
          </cell>
          <cell r="HWL1" t="str">
            <v>--</v>
          </cell>
          <cell r="HWM1" t="str">
            <v>--</v>
          </cell>
          <cell r="HWN1" t="str">
            <v>--</v>
          </cell>
          <cell r="HWO1" t="str">
            <v>--</v>
          </cell>
          <cell r="HWP1" t="str">
            <v>--</v>
          </cell>
          <cell r="HWQ1" t="str">
            <v>--</v>
          </cell>
          <cell r="HWR1" t="str">
            <v>--</v>
          </cell>
          <cell r="HWS1" t="str">
            <v>--</v>
          </cell>
          <cell r="HWT1" t="str">
            <v>--</v>
          </cell>
          <cell r="HWU1" t="str">
            <v>--</v>
          </cell>
          <cell r="HWV1" t="str">
            <v>--</v>
          </cell>
          <cell r="HWW1" t="str">
            <v>--</v>
          </cell>
          <cell r="HWX1" t="str">
            <v>--</v>
          </cell>
          <cell r="HWY1" t="str">
            <v>--</v>
          </cell>
          <cell r="HWZ1" t="str">
            <v>--</v>
          </cell>
          <cell r="HXA1" t="str">
            <v>--</v>
          </cell>
          <cell r="HXB1" t="str">
            <v>--</v>
          </cell>
          <cell r="HXC1" t="str">
            <v>--</v>
          </cell>
          <cell r="HXD1" t="str">
            <v>--</v>
          </cell>
          <cell r="HXE1" t="str">
            <v>--</v>
          </cell>
          <cell r="HXF1" t="str">
            <v>--</v>
          </cell>
          <cell r="HXG1" t="str">
            <v>--</v>
          </cell>
          <cell r="HXH1" t="str">
            <v>--</v>
          </cell>
          <cell r="HXI1" t="str">
            <v>--</v>
          </cell>
          <cell r="HXJ1" t="str">
            <v>--</v>
          </cell>
          <cell r="HXK1" t="str">
            <v>--</v>
          </cell>
          <cell r="HXL1" t="str">
            <v>--</v>
          </cell>
          <cell r="HXM1" t="str">
            <v>--</v>
          </cell>
          <cell r="HXN1" t="str">
            <v>--</v>
          </cell>
          <cell r="HXO1" t="str">
            <v>--</v>
          </cell>
          <cell r="HXP1" t="str">
            <v>--</v>
          </cell>
          <cell r="HXQ1" t="str">
            <v>--</v>
          </cell>
          <cell r="HXR1" t="str">
            <v>--</v>
          </cell>
          <cell r="HXS1" t="str">
            <v>--</v>
          </cell>
          <cell r="HXT1" t="str">
            <v>--</v>
          </cell>
          <cell r="HXU1" t="str">
            <v>--</v>
          </cell>
          <cell r="HXV1" t="str">
            <v>--</v>
          </cell>
          <cell r="HXW1" t="str">
            <v>--</v>
          </cell>
          <cell r="HXX1" t="str">
            <v>--</v>
          </cell>
          <cell r="HXY1" t="str">
            <v>--</v>
          </cell>
          <cell r="HXZ1" t="str">
            <v>--</v>
          </cell>
          <cell r="HYA1" t="str">
            <v>--</v>
          </cell>
          <cell r="HYB1" t="str">
            <v>--</v>
          </cell>
          <cell r="HYC1" t="str">
            <v>--</v>
          </cell>
          <cell r="HYD1" t="str">
            <v>--</v>
          </cell>
          <cell r="HYE1" t="str">
            <v>--</v>
          </cell>
          <cell r="HYF1" t="str">
            <v>--</v>
          </cell>
          <cell r="HYG1" t="str">
            <v>--</v>
          </cell>
          <cell r="HYH1" t="str">
            <v>--</v>
          </cell>
          <cell r="HYI1" t="str">
            <v>--</v>
          </cell>
          <cell r="HYJ1" t="str">
            <v>--</v>
          </cell>
          <cell r="HYK1" t="str">
            <v>--</v>
          </cell>
          <cell r="HYL1" t="str">
            <v>--</v>
          </cell>
          <cell r="HYM1" t="str">
            <v>--</v>
          </cell>
          <cell r="HYN1" t="str">
            <v>--</v>
          </cell>
          <cell r="HYO1" t="str">
            <v>--</v>
          </cell>
          <cell r="HYP1" t="str">
            <v>--</v>
          </cell>
          <cell r="HYQ1" t="str">
            <v>--</v>
          </cell>
          <cell r="HYR1" t="str">
            <v>--</v>
          </cell>
          <cell r="HYS1" t="str">
            <v>--</v>
          </cell>
          <cell r="HYT1" t="str">
            <v>--</v>
          </cell>
          <cell r="HYU1" t="str">
            <v>--</v>
          </cell>
          <cell r="HYV1" t="str">
            <v>--</v>
          </cell>
          <cell r="HYW1" t="str">
            <v>--</v>
          </cell>
          <cell r="HYX1" t="str">
            <v>--</v>
          </cell>
          <cell r="HYY1" t="str">
            <v>--</v>
          </cell>
          <cell r="HYZ1" t="str">
            <v>--</v>
          </cell>
          <cell r="HZA1" t="str">
            <v>--</v>
          </cell>
          <cell r="HZB1" t="str">
            <v>--</v>
          </cell>
          <cell r="HZC1" t="str">
            <v>--</v>
          </cell>
          <cell r="HZD1" t="str">
            <v>--</v>
          </cell>
          <cell r="HZE1" t="str">
            <v>--</v>
          </cell>
          <cell r="HZF1" t="str">
            <v>--</v>
          </cell>
          <cell r="HZG1" t="str">
            <v>--</v>
          </cell>
          <cell r="HZH1" t="str">
            <v>--</v>
          </cell>
          <cell r="HZI1" t="str">
            <v>--</v>
          </cell>
          <cell r="HZJ1" t="str">
            <v>--</v>
          </cell>
          <cell r="HZK1" t="str">
            <v>--</v>
          </cell>
          <cell r="HZL1" t="str">
            <v>--</v>
          </cell>
          <cell r="HZM1" t="str">
            <v>--</v>
          </cell>
          <cell r="HZN1" t="str">
            <v>--</v>
          </cell>
          <cell r="HZO1" t="str">
            <v>--</v>
          </cell>
          <cell r="HZP1" t="str">
            <v>--</v>
          </cell>
          <cell r="HZQ1" t="str">
            <v>--</v>
          </cell>
          <cell r="HZR1" t="str">
            <v>--</v>
          </cell>
          <cell r="HZS1" t="str">
            <v>--</v>
          </cell>
          <cell r="HZT1" t="str">
            <v>--</v>
          </cell>
          <cell r="HZU1" t="str">
            <v>--</v>
          </cell>
          <cell r="HZV1" t="str">
            <v>--</v>
          </cell>
          <cell r="HZW1" t="str">
            <v>--</v>
          </cell>
          <cell r="HZX1" t="str">
            <v>--</v>
          </cell>
          <cell r="HZY1" t="str">
            <v>--</v>
          </cell>
          <cell r="HZZ1" t="str">
            <v>--</v>
          </cell>
          <cell r="IAA1" t="str">
            <v>--</v>
          </cell>
          <cell r="IAB1" t="str">
            <v>--</v>
          </cell>
          <cell r="IAC1" t="str">
            <v>--</v>
          </cell>
          <cell r="IAD1" t="str">
            <v>--</v>
          </cell>
          <cell r="IAE1" t="str">
            <v>--</v>
          </cell>
          <cell r="IAF1" t="str">
            <v>--</v>
          </cell>
          <cell r="IAG1" t="str">
            <v>--</v>
          </cell>
          <cell r="IAH1" t="str">
            <v>--</v>
          </cell>
          <cell r="IAI1" t="str">
            <v>--</v>
          </cell>
          <cell r="IAJ1" t="str">
            <v>--</v>
          </cell>
          <cell r="IAK1" t="str">
            <v>--</v>
          </cell>
          <cell r="IAL1" t="str">
            <v>--</v>
          </cell>
          <cell r="IAM1" t="str">
            <v>--</v>
          </cell>
          <cell r="IAN1" t="str">
            <v>--</v>
          </cell>
          <cell r="IAO1" t="str">
            <v>--</v>
          </cell>
          <cell r="IAP1" t="str">
            <v>--</v>
          </cell>
          <cell r="IAQ1" t="str">
            <v>--</v>
          </cell>
          <cell r="IAR1" t="str">
            <v>--</v>
          </cell>
          <cell r="IAS1" t="str">
            <v>--</v>
          </cell>
          <cell r="IAT1" t="str">
            <v>--</v>
          </cell>
          <cell r="IAU1" t="str">
            <v>--</v>
          </cell>
          <cell r="IAV1" t="str">
            <v>--</v>
          </cell>
          <cell r="IAW1" t="str">
            <v>--</v>
          </cell>
          <cell r="IAX1" t="str">
            <v>--</v>
          </cell>
          <cell r="IAY1" t="str">
            <v>--</v>
          </cell>
          <cell r="IAZ1" t="str">
            <v>--</v>
          </cell>
          <cell r="IBA1" t="str">
            <v>--</v>
          </cell>
          <cell r="IBB1" t="str">
            <v>--</v>
          </cell>
          <cell r="IBC1" t="str">
            <v>--</v>
          </cell>
          <cell r="IBD1" t="str">
            <v>--</v>
          </cell>
          <cell r="IBE1" t="str">
            <v>--</v>
          </cell>
          <cell r="IBF1" t="str">
            <v>--</v>
          </cell>
          <cell r="IBG1" t="str">
            <v>--</v>
          </cell>
          <cell r="IBH1" t="str">
            <v>--</v>
          </cell>
          <cell r="IBI1" t="str">
            <v>--</v>
          </cell>
          <cell r="IBJ1" t="str">
            <v>--</v>
          </cell>
          <cell r="IBK1" t="str">
            <v>--</v>
          </cell>
          <cell r="IBL1" t="str">
            <v>--</v>
          </cell>
          <cell r="IBM1" t="str">
            <v>--</v>
          </cell>
          <cell r="IBN1" t="str">
            <v>--</v>
          </cell>
          <cell r="IBO1" t="str">
            <v>--</v>
          </cell>
          <cell r="IBP1" t="str">
            <v>--</v>
          </cell>
          <cell r="IBQ1" t="str">
            <v>--</v>
          </cell>
          <cell r="IBR1" t="str">
            <v>--</v>
          </cell>
          <cell r="IBS1" t="str">
            <v>--</v>
          </cell>
          <cell r="IBT1" t="str">
            <v>--</v>
          </cell>
          <cell r="IBU1" t="str">
            <v>--</v>
          </cell>
          <cell r="IBV1" t="str">
            <v>--</v>
          </cell>
          <cell r="IBW1" t="str">
            <v>--</v>
          </cell>
          <cell r="IBX1" t="str">
            <v>--</v>
          </cell>
          <cell r="IBY1" t="str">
            <v>--</v>
          </cell>
          <cell r="IBZ1" t="str">
            <v>--</v>
          </cell>
          <cell r="ICA1" t="str">
            <v>--</v>
          </cell>
          <cell r="ICB1" t="str">
            <v>--</v>
          </cell>
          <cell r="ICC1" t="str">
            <v>--</v>
          </cell>
          <cell r="ICD1" t="str">
            <v>--</v>
          </cell>
          <cell r="ICE1" t="str">
            <v>--</v>
          </cell>
          <cell r="ICF1" t="str">
            <v>--</v>
          </cell>
          <cell r="ICG1" t="str">
            <v>--</v>
          </cell>
          <cell r="ICH1" t="str">
            <v>--</v>
          </cell>
          <cell r="ICI1" t="str">
            <v>--</v>
          </cell>
          <cell r="ICJ1" t="str">
            <v>--</v>
          </cell>
          <cell r="ICK1" t="str">
            <v>--</v>
          </cell>
          <cell r="ICL1" t="str">
            <v>--</v>
          </cell>
          <cell r="ICM1" t="str">
            <v>--</v>
          </cell>
          <cell r="ICN1" t="str">
            <v>--</v>
          </cell>
          <cell r="ICO1" t="str">
            <v>--</v>
          </cell>
          <cell r="ICP1" t="str">
            <v>--</v>
          </cell>
          <cell r="ICQ1" t="str">
            <v>--</v>
          </cell>
          <cell r="ICR1" t="str">
            <v>--</v>
          </cell>
          <cell r="ICS1" t="str">
            <v>--</v>
          </cell>
          <cell r="ICT1" t="str">
            <v>--</v>
          </cell>
          <cell r="ICU1" t="str">
            <v>--</v>
          </cell>
          <cell r="ICV1" t="str">
            <v>--</v>
          </cell>
          <cell r="ICW1" t="str">
            <v>--</v>
          </cell>
          <cell r="ICX1" t="str">
            <v>--</v>
          </cell>
          <cell r="ICY1" t="str">
            <v>--</v>
          </cell>
          <cell r="ICZ1" t="str">
            <v>--</v>
          </cell>
          <cell r="IDA1" t="str">
            <v>--</v>
          </cell>
          <cell r="IDB1" t="str">
            <v>--</v>
          </cell>
          <cell r="IDC1" t="str">
            <v>--</v>
          </cell>
          <cell r="IDD1" t="str">
            <v>--</v>
          </cell>
          <cell r="IDE1" t="str">
            <v>--</v>
          </cell>
          <cell r="IDF1" t="str">
            <v>--</v>
          </cell>
          <cell r="IDG1" t="str">
            <v>--</v>
          </cell>
          <cell r="IDH1" t="str">
            <v>--</v>
          </cell>
          <cell r="IDI1" t="str">
            <v>--</v>
          </cell>
          <cell r="IDJ1" t="str">
            <v>--</v>
          </cell>
          <cell r="IDK1" t="str">
            <v>--</v>
          </cell>
          <cell r="IDL1" t="str">
            <v>--</v>
          </cell>
          <cell r="IDM1" t="str">
            <v>--</v>
          </cell>
          <cell r="IDN1" t="str">
            <v>--</v>
          </cell>
          <cell r="IDO1" t="str">
            <v>--</v>
          </cell>
          <cell r="IDP1" t="str">
            <v>--</v>
          </cell>
          <cell r="IDQ1" t="str">
            <v>--</v>
          </cell>
          <cell r="IDR1" t="str">
            <v>--</v>
          </cell>
          <cell r="IDS1" t="str">
            <v>--</v>
          </cell>
          <cell r="IDT1" t="str">
            <v>--</v>
          </cell>
          <cell r="IDU1" t="str">
            <v>--</v>
          </cell>
          <cell r="IDV1" t="str">
            <v>--</v>
          </cell>
          <cell r="IDW1" t="str">
            <v>--</v>
          </cell>
          <cell r="IDX1" t="str">
            <v>--</v>
          </cell>
          <cell r="IDY1" t="str">
            <v>--</v>
          </cell>
          <cell r="IDZ1" t="str">
            <v>--</v>
          </cell>
          <cell r="IEA1" t="str">
            <v>--</v>
          </cell>
          <cell r="IEB1" t="str">
            <v>--</v>
          </cell>
          <cell r="IEC1" t="str">
            <v>--</v>
          </cell>
          <cell r="IED1" t="str">
            <v>--</v>
          </cell>
          <cell r="IEE1" t="str">
            <v>--</v>
          </cell>
          <cell r="IEF1" t="str">
            <v>--</v>
          </cell>
          <cell r="IEG1" t="str">
            <v>--</v>
          </cell>
          <cell r="IEH1" t="str">
            <v>--</v>
          </cell>
          <cell r="IEI1" t="str">
            <v>--</v>
          </cell>
          <cell r="IEJ1" t="str">
            <v>--</v>
          </cell>
          <cell r="IEK1" t="str">
            <v>--</v>
          </cell>
          <cell r="IEL1" t="str">
            <v>--</v>
          </cell>
          <cell r="IEM1" t="str">
            <v>--</v>
          </cell>
          <cell r="IEN1" t="str">
            <v>--</v>
          </cell>
          <cell r="IEO1" t="str">
            <v>--</v>
          </cell>
          <cell r="IEP1" t="str">
            <v>--</v>
          </cell>
          <cell r="IEQ1" t="str">
            <v>--</v>
          </cell>
          <cell r="IER1" t="str">
            <v>--</v>
          </cell>
          <cell r="IES1" t="str">
            <v>--</v>
          </cell>
          <cell r="IET1" t="str">
            <v>--</v>
          </cell>
          <cell r="IEU1" t="str">
            <v>--</v>
          </cell>
          <cell r="IEV1" t="str">
            <v>--</v>
          </cell>
          <cell r="IEW1" t="str">
            <v>--</v>
          </cell>
          <cell r="IEX1" t="str">
            <v>--</v>
          </cell>
          <cell r="IEY1" t="str">
            <v>--</v>
          </cell>
          <cell r="IEZ1" t="str">
            <v>--</v>
          </cell>
          <cell r="IFA1" t="str">
            <v>--</v>
          </cell>
          <cell r="IFB1" t="str">
            <v>--</v>
          </cell>
          <cell r="IFC1" t="str">
            <v>--</v>
          </cell>
          <cell r="IFD1" t="str">
            <v>--</v>
          </cell>
          <cell r="IFE1" t="str">
            <v>--</v>
          </cell>
          <cell r="IFF1" t="str">
            <v>--</v>
          </cell>
          <cell r="IFG1" t="str">
            <v>--</v>
          </cell>
          <cell r="IFH1" t="str">
            <v>--</v>
          </cell>
          <cell r="IFI1" t="str">
            <v>--</v>
          </cell>
          <cell r="IFJ1" t="str">
            <v>--</v>
          </cell>
          <cell r="IFK1" t="str">
            <v>--</v>
          </cell>
          <cell r="IFL1" t="str">
            <v>--</v>
          </cell>
          <cell r="IFM1" t="str">
            <v>--</v>
          </cell>
          <cell r="IFN1" t="str">
            <v>--</v>
          </cell>
          <cell r="IFO1" t="str">
            <v>--</v>
          </cell>
          <cell r="IFP1" t="str">
            <v>--</v>
          </cell>
          <cell r="IFQ1" t="str">
            <v>--</v>
          </cell>
          <cell r="IFR1" t="str">
            <v>--</v>
          </cell>
          <cell r="IFS1" t="str">
            <v>--</v>
          </cell>
          <cell r="IFT1" t="str">
            <v>--</v>
          </cell>
          <cell r="IFU1" t="str">
            <v>--</v>
          </cell>
          <cell r="IFV1" t="str">
            <v>--</v>
          </cell>
          <cell r="IFW1" t="str">
            <v>--</v>
          </cell>
          <cell r="IFX1" t="str">
            <v>--</v>
          </cell>
          <cell r="IFY1" t="str">
            <v>--</v>
          </cell>
          <cell r="IFZ1" t="str">
            <v>--</v>
          </cell>
          <cell r="IGA1" t="str">
            <v>--</v>
          </cell>
          <cell r="IGB1" t="str">
            <v>--</v>
          </cell>
          <cell r="IGC1" t="str">
            <v>--</v>
          </cell>
          <cell r="IGD1" t="str">
            <v>--</v>
          </cell>
          <cell r="IGE1" t="str">
            <v>--</v>
          </cell>
          <cell r="IGF1" t="str">
            <v>--</v>
          </cell>
          <cell r="IGG1" t="str">
            <v>--</v>
          </cell>
          <cell r="IGH1" t="str">
            <v>--</v>
          </cell>
          <cell r="IGI1" t="str">
            <v>--</v>
          </cell>
          <cell r="IGJ1" t="str">
            <v>--</v>
          </cell>
          <cell r="IGK1" t="str">
            <v>--</v>
          </cell>
          <cell r="IGL1" t="str">
            <v>--</v>
          </cell>
          <cell r="IGM1" t="str">
            <v>--</v>
          </cell>
          <cell r="IGN1" t="str">
            <v>--</v>
          </cell>
          <cell r="IGO1" t="str">
            <v>--</v>
          </cell>
          <cell r="IGP1" t="str">
            <v>--</v>
          </cell>
          <cell r="IGQ1" t="str">
            <v>--</v>
          </cell>
          <cell r="IGR1" t="str">
            <v>--</v>
          </cell>
          <cell r="IGS1" t="str">
            <v>--</v>
          </cell>
          <cell r="IGT1" t="str">
            <v>--</v>
          </cell>
          <cell r="IGU1" t="str">
            <v>--</v>
          </cell>
          <cell r="IGV1" t="str">
            <v>--</v>
          </cell>
          <cell r="IGW1" t="str">
            <v>--</v>
          </cell>
          <cell r="IGX1" t="str">
            <v>--</v>
          </cell>
          <cell r="IGY1" t="str">
            <v>--</v>
          </cell>
          <cell r="IGZ1" t="str">
            <v>--</v>
          </cell>
          <cell r="IHA1" t="str">
            <v>--</v>
          </cell>
          <cell r="IHB1" t="str">
            <v>--</v>
          </cell>
          <cell r="IHC1" t="str">
            <v>--</v>
          </cell>
          <cell r="IHD1" t="str">
            <v>--</v>
          </cell>
          <cell r="IHE1" t="str">
            <v>--</v>
          </cell>
          <cell r="IHF1" t="str">
            <v>--</v>
          </cell>
          <cell r="IHG1" t="str">
            <v>--</v>
          </cell>
          <cell r="IHH1" t="str">
            <v>--</v>
          </cell>
          <cell r="IHI1" t="str">
            <v>--</v>
          </cell>
          <cell r="IHJ1" t="str">
            <v>--</v>
          </cell>
          <cell r="IHK1" t="str">
            <v>--</v>
          </cell>
          <cell r="IHL1" t="str">
            <v>--</v>
          </cell>
          <cell r="IHM1" t="str">
            <v>--</v>
          </cell>
          <cell r="IHN1" t="str">
            <v>--</v>
          </cell>
          <cell r="IHO1" t="str">
            <v>--</v>
          </cell>
          <cell r="IHP1" t="str">
            <v>--</v>
          </cell>
          <cell r="IHQ1" t="str">
            <v>--</v>
          </cell>
          <cell r="IHR1" t="str">
            <v>--</v>
          </cell>
          <cell r="IHS1" t="str">
            <v>--</v>
          </cell>
          <cell r="IHT1" t="str">
            <v>--</v>
          </cell>
          <cell r="IHU1" t="str">
            <v>--</v>
          </cell>
          <cell r="IHV1" t="str">
            <v>--</v>
          </cell>
          <cell r="IHW1" t="str">
            <v>--</v>
          </cell>
          <cell r="IHX1" t="str">
            <v>--</v>
          </cell>
          <cell r="IHY1" t="str">
            <v>--</v>
          </cell>
          <cell r="IHZ1" t="str">
            <v>--</v>
          </cell>
          <cell r="IIA1" t="str">
            <v>--</v>
          </cell>
          <cell r="IIB1" t="str">
            <v>--</v>
          </cell>
          <cell r="IIC1" t="str">
            <v>--</v>
          </cell>
          <cell r="IID1" t="str">
            <v>--</v>
          </cell>
          <cell r="IIE1" t="str">
            <v>--</v>
          </cell>
          <cell r="IIF1" t="str">
            <v>--</v>
          </cell>
          <cell r="IIG1" t="str">
            <v>--</v>
          </cell>
          <cell r="IIH1" t="str">
            <v>--</v>
          </cell>
          <cell r="III1" t="str">
            <v>--</v>
          </cell>
          <cell r="IIJ1" t="str">
            <v>--</v>
          </cell>
          <cell r="IIK1" t="str">
            <v>--</v>
          </cell>
          <cell r="IIL1" t="str">
            <v>--</v>
          </cell>
          <cell r="IIM1" t="str">
            <v>--</v>
          </cell>
          <cell r="IIN1" t="str">
            <v>--</v>
          </cell>
          <cell r="IIO1" t="str">
            <v>--</v>
          </cell>
          <cell r="IIP1" t="str">
            <v>--</v>
          </cell>
          <cell r="IIQ1" t="str">
            <v>--</v>
          </cell>
          <cell r="IIR1" t="str">
            <v>--</v>
          </cell>
          <cell r="IIS1" t="str">
            <v>--</v>
          </cell>
          <cell r="IIT1" t="str">
            <v>--</v>
          </cell>
          <cell r="IIU1" t="str">
            <v>--</v>
          </cell>
          <cell r="IIV1" t="str">
            <v>--</v>
          </cell>
          <cell r="IIW1" t="str">
            <v>--</v>
          </cell>
          <cell r="IIX1" t="str">
            <v>--</v>
          </cell>
          <cell r="IIY1" t="str">
            <v>--</v>
          </cell>
          <cell r="IIZ1" t="str">
            <v>--</v>
          </cell>
          <cell r="IJA1" t="str">
            <v>--</v>
          </cell>
          <cell r="IJB1" t="str">
            <v>--</v>
          </cell>
          <cell r="IJC1" t="str">
            <v>--</v>
          </cell>
          <cell r="IJD1" t="str">
            <v>--</v>
          </cell>
          <cell r="IJE1" t="str">
            <v>--</v>
          </cell>
          <cell r="IJF1" t="str">
            <v>--</v>
          </cell>
          <cell r="IJG1" t="str">
            <v>--</v>
          </cell>
          <cell r="IJH1" t="str">
            <v>--</v>
          </cell>
          <cell r="IJI1" t="str">
            <v>--</v>
          </cell>
          <cell r="IJJ1" t="str">
            <v>--</v>
          </cell>
          <cell r="IJK1" t="str">
            <v>--</v>
          </cell>
          <cell r="IJL1" t="str">
            <v>--</v>
          </cell>
          <cell r="IJM1" t="str">
            <v>--</v>
          </cell>
          <cell r="IJN1" t="str">
            <v>--</v>
          </cell>
          <cell r="IJO1" t="str">
            <v>--</v>
          </cell>
          <cell r="IJP1" t="str">
            <v>--</v>
          </cell>
          <cell r="IJQ1" t="str">
            <v>--</v>
          </cell>
          <cell r="IJR1" t="str">
            <v>--</v>
          </cell>
          <cell r="IJS1" t="str">
            <v>--</v>
          </cell>
          <cell r="IJT1" t="str">
            <v>--</v>
          </cell>
          <cell r="IJU1" t="str">
            <v>--</v>
          </cell>
          <cell r="IJV1" t="str">
            <v>--</v>
          </cell>
          <cell r="IJW1" t="str">
            <v>--</v>
          </cell>
          <cell r="IJX1" t="str">
            <v>--</v>
          </cell>
          <cell r="IJY1" t="str">
            <v>--</v>
          </cell>
          <cell r="IJZ1" t="str">
            <v>--</v>
          </cell>
          <cell r="IKA1" t="str">
            <v>--</v>
          </cell>
          <cell r="IKB1" t="str">
            <v>--</v>
          </cell>
          <cell r="IKC1" t="str">
            <v>--</v>
          </cell>
          <cell r="IKD1" t="str">
            <v>--</v>
          </cell>
          <cell r="IKE1" t="str">
            <v>--</v>
          </cell>
          <cell r="IKF1" t="str">
            <v>--</v>
          </cell>
          <cell r="IKG1" t="str">
            <v>--</v>
          </cell>
          <cell r="IKH1" t="str">
            <v>--</v>
          </cell>
          <cell r="IKI1" t="str">
            <v>--</v>
          </cell>
          <cell r="IKJ1" t="str">
            <v>--</v>
          </cell>
          <cell r="IKK1" t="str">
            <v>--</v>
          </cell>
          <cell r="IKL1" t="str">
            <v>--</v>
          </cell>
          <cell r="IKM1" t="str">
            <v>--</v>
          </cell>
          <cell r="IKN1" t="str">
            <v>--</v>
          </cell>
          <cell r="IKO1" t="str">
            <v>--</v>
          </cell>
          <cell r="IKP1" t="str">
            <v>--</v>
          </cell>
          <cell r="IKQ1" t="str">
            <v>--</v>
          </cell>
          <cell r="IKR1" t="str">
            <v>--</v>
          </cell>
          <cell r="IKS1" t="str">
            <v>--</v>
          </cell>
          <cell r="IKT1" t="str">
            <v>--</v>
          </cell>
          <cell r="IKU1" t="str">
            <v>--</v>
          </cell>
          <cell r="IKV1" t="str">
            <v>--</v>
          </cell>
          <cell r="IKW1" t="str">
            <v>--</v>
          </cell>
          <cell r="IKX1" t="str">
            <v>--</v>
          </cell>
          <cell r="IKY1" t="str">
            <v>--</v>
          </cell>
          <cell r="IKZ1" t="str">
            <v>--</v>
          </cell>
          <cell r="ILA1" t="str">
            <v>--</v>
          </cell>
          <cell r="ILB1" t="str">
            <v>--</v>
          </cell>
          <cell r="ILC1" t="str">
            <v>--</v>
          </cell>
          <cell r="ILD1" t="str">
            <v>--</v>
          </cell>
          <cell r="ILE1" t="str">
            <v>--</v>
          </cell>
          <cell r="ILF1" t="str">
            <v>--</v>
          </cell>
          <cell r="ILG1" t="str">
            <v>--</v>
          </cell>
          <cell r="ILH1" t="str">
            <v>--</v>
          </cell>
          <cell r="ILI1" t="str">
            <v>--</v>
          </cell>
          <cell r="ILJ1" t="str">
            <v>--</v>
          </cell>
          <cell r="ILK1" t="str">
            <v>--</v>
          </cell>
          <cell r="ILL1" t="str">
            <v>--</v>
          </cell>
          <cell r="ILM1" t="str">
            <v>--</v>
          </cell>
          <cell r="ILN1" t="str">
            <v>--</v>
          </cell>
          <cell r="ILO1" t="str">
            <v>--</v>
          </cell>
          <cell r="ILP1" t="str">
            <v>--</v>
          </cell>
          <cell r="ILQ1" t="str">
            <v>--</v>
          </cell>
          <cell r="ILR1" t="str">
            <v>--</v>
          </cell>
          <cell r="ILS1" t="str">
            <v>--</v>
          </cell>
          <cell r="ILT1" t="str">
            <v>--</v>
          </cell>
          <cell r="ILU1" t="str">
            <v>--</v>
          </cell>
          <cell r="ILV1" t="str">
            <v>--</v>
          </cell>
          <cell r="ILW1" t="str">
            <v>--</v>
          </cell>
          <cell r="ILX1" t="str">
            <v>--</v>
          </cell>
          <cell r="ILY1" t="str">
            <v>--</v>
          </cell>
          <cell r="ILZ1" t="str">
            <v>--</v>
          </cell>
          <cell r="IMA1" t="str">
            <v>--</v>
          </cell>
          <cell r="IMB1" t="str">
            <v>--</v>
          </cell>
          <cell r="IMC1" t="str">
            <v>--</v>
          </cell>
          <cell r="IMD1" t="str">
            <v>--</v>
          </cell>
          <cell r="IME1" t="str">
            <v>--</v>
          </cell>
          <cell r="IMF1" t="str">
            <v>--</v>
          </cell>
          <cell r="IMG1" t="str">
            <v>--</v>
          </cell>
          <cell r="IMH1" t="str">
            <v>--</v>
          </cell>
          <cell r="IMI1" t="str">
            <v>--</v>
          </cell>
          <cell r="IMJ1" t="str">
            <v>--</v>
          </cell>
          <cell r="IMK1" t="str">
            <v>--</v>
          </cell>
          <cell r="IML1" t="str">
            <v>--</v>
          </cell>
          <cell r="IMM1" t="str">
            <v>--</v>
          </cell>
          <cell r="IMN1" t="str">
            <v>--</v>
          </cell>
          <cell r="IMO1" t="str">
            <v>--</v>
          </cell>
          <cell r="IMP1" t="str">
            <v>--</v>
          </cell>
          <cell r="IMQ1" t="str">
            <v>--</v>
          </cell>
          <cell r="IMR1" t="str">
            <v>--</v>
          </cell>
          <cell r="IMS1" t="str">
            <v>--</v>
          </cell>
          <cell r="IMT1" t="str">
            <v>--</v>
          </cell>
          <cell r="IMU1" t="str">
            <v>--</v>
          </cell>
          <cell r="IMV1" t="str">
            <v>--</v>
          </cell>
          <cell r="IMW1" t="str">
            <v>--</v>
          </cell>
          <cell r="IMX1" t="str">
            <v>--</v>
          </cell>
          <cell r="IMY1" t="str">
            <v>--</v>
          </cell>
          <cell r="IMZ1" t="str">
            <v>--</v>
          </cell>
          <cell r="INA1" t="str">
            <v>--</v>
          </cell>
          <cell r="INB1" t="str">
            <v>--</v>
          </cell>
          <cell r="INC1" t="str">
            <v>--</v>
          </cell>
          <cell r="IND1" t="str">
            <v>--</v>
          </cell>
          <cell r="INE1" t="str">
            <v>--</v>
          </cell>
          <cell r="INF1" t="str">
            <v>--</v>
          </cell>
          <cell r="ING1" t="str">
            <v>--</v>
          </cell>
          <cell r="INH1" t="str">
            <v>--</v>
          </cell>
          <cell r="INI1" t="str">
            <v>--</v>
          </cell>
          <cell r="INJ1" t="str">
            <v>--</v>
          </cell>
          <cell r="INK1" t="str">
            <v>--</v>
          </cell>
          <cell r="INL1" t="str">
            <v>--</v>
          </cell>
          <cell r="INM1" t="str">
            <v>--</v>
          </cell>
          <cell r="INN1" t="str">
            <v>--</v>
          </cell>
          <cell r="INO1" t="str">
            <v>--</v>
          </cell>
          <cell r="INP1" t="str">
            <v>--</v>
          </cell>
          <cell r="INQ1" t="str">
            <v>--</v>
          </cell>
          <cell r="INR1" t="str">
            <v>--</v>
          </cell>
          <cell r="INS1" t="str">
            <v>--</v>
          </cell>
          <cell r="INT1" t="str">
            <v>--</v>
          </cell>
          <cell r="INU1" t="str">
            <v>--</v>
          </cell>
          <cell r="INV1" t="str">
            <v>--</v>
          </cell>
          <cell r="INW1" t="str">
            <v>--</v>
          </cell>
          <cell r="INX1" t="str">
            <v>--</v>
          </cell>
          <cell r="INY1" t="str">
            <v>--</v>
          </cell>
          <cell r="INZ1" t="str">
            <v>--</v>
          </cell>
          <cell r="IOA1" t="str">
            <v>--</v>
          </cell>
          <cell r="IOB1" t="str">
            <v>--</v>
          </cell>
          <cell r="IOC1" t="str">
            <v>--</v>
          </cell>
          <cell r="IOD1" t="str">
            <v>--</v>
          </cell>
          <cell r="IOE1" t="str">
            <v>--</v>
          </cell>
          <cell r="IOF1" t="str">
            <v>--</v>
          </cell>
          <cell r="IOG1" t="str">
            <v>--</v>
          </cell>
          <cell r="IOH1" t="str">
            <v>--</v>
          </cell>
          <cell r="IOI1" t="str">
            <v>--</v>
          </cell>
          <cell r="IOJ1" t="str">
            <v>--</v>
          </cell>
          <cell r="IOK1" t="str">
            <v>--</v>
          </cell>
          <cell r="IOL1" t="str">
            <v>--</v>
          </cell>
          <cell r="IOM1" t="str">
            <v>--</v>
          </cell>
          <cell r="ION1" t="str">
            <v>--</v>
          </cell>
          <cell r="IOO1" t="str">
            <v>--</v>
          </cell>
          <cell r="IOP1" t="str">
            <v>--</v>
          </cell>
          <cell r="IOQ1" t="str">
            <v>--</v>
          </cell>
          <cell r="IOR1" t="str">
            <v>--</v>
          </cell>
          <cell r="IOS1" t="str">
            <v>--</v>
          </cell>
          <cell r="IOT1" t="str">
            <v>--</v>
          </cell>
          <cell r="IOU1" t="str">
            <v>--</v>
          </cell>
          <cell r="IOV1" t="str">
            <v>--</v>
          </cell>
          <cell r="IOW1" t="str">
            <v>--</v>
          </cell>
          <cell r="IOX1" t="str">
            <v>--</v>
          </cell>
          <cell r="IOY1" t="str">
            <v>--</v>
          </cell>
          <cell r="IOZ1" t="str">
            <v>--</v>
          </cell>
          <cell r="IPA1" t="str">
            <v>--</v>
          </cell>
          <cell r="IPB1" t="str">
            <v>--</v>
          </cell>
          <cell r="IPC1" t="str">
            <v>--</v>
          </cell>
          <cell r="IPD1" t="str">
            <v>--</v>
          </cell>
          <cell r="IPE1" t="str">
            <v>--</v>
          </cell>
          <cell r="IPF1" t="str">
            <v>--</v>
          </cell>
          <cell r="IPG1" t="str">
            <v>--</v>
          </cell>
          <cell r="IPH1" t="str">
            <v>--</v>
          </cell>
          <cell r="IPI1" t="str">
            <v>--</v>
          </cell>
          <cell r="IPJ1" t="str">
            <v>--</v>
          </cell>
          <cell r="IPK1" t="str">
            <v>--</v>
          </cell>
          <cell r="IPL1" t="str">
            <v>--</v>
          </cell>
          <cell r="IPM1" t="str">
            <v>--</v>
          </cell>
          <cell r="IPN1" t="str">
            <v>--</v>
          </cell>
          <cell r="IPO1" t="str">
            <v>--</v>
          </cell>
          <cell r="IPP1" t="str">
            <v>--</v>
          </cell>
          <cell r="IPQ1" t="str">
            <v>--</v>
          </cell>
          <cell r="IPR1" t="str">
            <v>--</v>
          </cell>
          <cell r="IPS1" t="str">
            <v>--</v>
          </cell>
          <cell r="IPT1" t="str">
            <v>--</v>
          </cell>
          <cell r="IPU1" t="str">
            <v>--</v>
          </cell>
          <cell r="IPV1" t="str">
            <v>--</v>
          </cell>
          <cell r="IPW1" t="str">
            <v>--</v>
          </cell>
          <cell r="IPX1" t="str">
            <v>--</v>
          </cell>
          <cell r="IPY1" t="str">
            <v>--</v>
          </cell>
          <cell r="IPZ1" t="str">
            <v>--</v>
          </cell>
          <cell r="IQA1" t="str">
            <v>--</v>
          </cell>
          <cell r="IQB1" t="str">
            <v>--</v>
          </cell>
          <cell r="IQC1" t="str">
            <v>--</v>
          </cell>
          <cell r="IQD1" t="str">
            <v>--</v>
          </cell>
          <cell r="IQE1" t="str">
            <v>--</v>
          </cell>
          <cell r="IQF1" t="str">
            <v>--</v>
          </cell>
          <cell r="IQG1" t="str">
            <v>--</v>
          </cell>
          <cell r="IQH1" t="str">
            <v>--</v>
          </cell>
          <cell r="IQI1" t="str">
            <v>--</v>
          </cell>
          <cell r="IQJ1" t="str">
            <v>--</v>
          </cell>
          <cell r="IQK1" t="str">
            <v>--</v>
          </cell>
          <cell r="IQL1" t="str">
            <v>--</v>
          </cell>
          <cell r="IQM1" t="str">
            <v>--</v>
          </cell>
          <cell r="IQN1" t="str">
            <v>--</v>
          </cell>
          <cell r="IQO1" t="str">
            <v>--</v>
          </cell>
          <cell r="IQP1" t="str">
            <v>--</v>
          </cell>
          <cell r="IQQ1" t="str">
            <v>--</v>
          </cell>
          <cell r="IQR1" t="str">
            <v>--</v>
          </cell>
          <cell r="IQS1" t="str">
            <v>--</v>
          </cell>
          <cell r="IQT1" t="str">
            <v>--</v>
          </cell>
          <cell r="IQU1" t="str">
            <v>--</v>
          </cell>
          <cell r="IQV1" t="str">
            <v>--</v>
          </cell>
          <cell r="IQW1" t="str">
            <v>--</v>
          </cell>
          <cell r="IQX1" t="str">
            <v>--</v>
          </cell>
          <cell r="IQY1" t="str">
            <v>--</v>
          </cell>
          <cell r="IQZ1" t="str">
            <v>--</v>
          </cell>
          <cell r="IRA1" t="str">
            <v>--</v>
          </cell>
          <cell r="IRB1" t="str">
            <v>--</v>
          </cell>
          <cell r="IRC1" t="str">
            <v>--</v>
          </cell>
          <cell r="IRD1" t="str">
            <v>--</v>
          </cell>
          <cell r="IRE1" t="str">
            <v>--</v>
          </cell>
          <cell r="IRF1" t="str">
            <v>--</v>
          </cell>
          <cell r="IRG1" t="str">
            <v>--</v>
          </cell>
          <cell r="IRH1" t="str">
            <v>--</v>
          </cell>
          <cell r="IRI1" t="str">
            <v>--</v>
          </cell>
          <cell r="IRJ1" t="str">
            <v>--</v>
          </cell>
          <cell r="IRK1" t="str">
            <v>--</v>
          </cell>
          <cell r="IRL1" t="str">
            <v>--</v>
          </cell>
          <cell r="IRM1" t="str">
            <v>--</v>
          </cell>
          <cell r="IRN1" t="str">
            <v>--</v>
          </cell>
          <cell r="IRO1" t="str">
            <v>--</v>
          </cell>
          <cell r="IRP1" t="str">
            <v>--</v>
          </cell>
          <cell r="IRQ1" t="str">
            <v>--</v>
          </cell>
          <cell r="IRR1" t="str">
            <v>--</v>
          </cell>
          <cell r="IRS1" t="str">
            <v>--</v>
          </cell>
          <cell r="IRT1" t="str">
            <v>--</v>
          </cell>
          <cell r="IRU1" t="str">
            <v>--</v>
          </cell>
          <cell r="IRV1" t="str">
            <v>--</v>
          </cell>
          <cell r="IRW1" t="str">
            <v>--</v>
          </cell>
          <cell r="IRX1" t="str">
            <v>--</v>
          </cell>
          <cell r="IRY1" t="str">
            <v>--</v>
          </cell>
          <cell r="IRZ1" t="str">
            <v>--</v>
          </cell>
          <cell r="ISA1" t="str">
            <v>--</v>
          </cell>
          <cell r="ISB1" t="str">
            <v>--</v>
          </cell>
          <cell r="ISC1" t="str">
            <v>--</v>
          </cell>
          <cell r="ISD1" t="str">
            <v>--</v>
          </cell>
          <cell r="ISE1" t="str">
            <v>--</v>
          </cell>
          <cell r="ISF1" t="str">
            <v>--</v>
          </cell>
          <cell r="ISG1" t="str">
            <v>--</v>
          </cell>
          <cell r="ISH1" t="str">
            <v>--</v>
          </cell>
          <cell r="ISI1" t="str">
            <v>--</v>
          </cell>
          <cell r="ISJ1" t="str">
            <v>--</v>
          </cell>
          <cell r="ISK1" t="str">
            <v>--</v>
          </cell>
          <cell r="ISL1" t="str">
            <v>--</v>
          </cell>
          <cell r="ISM1" t="str">
            <v>--</v>
          </cell>
          <cell r="ISN1" t="str">
            <v>--</v>
          </cell>
          <cell r="ISO1" t="str">
            <v>--</v>
          </cell>
          <cell r="ISP1" t="str">
            <v>--</v>
          </cell>
          <cell r="ISQ1" t="str">
            <v>--</v>
          </cell>
          <cell r="ISR1" t="str">
            <v>--</v>
          </cell>
          <cell r="ISS1" t="str">
            <v>--</v>
          </cell>
          <cell r="IST1" t="str">
            <v>--</v>
          </cell>
          <cell r="ISU1" t="str">
            <v>--</v>
          </cell>
          <cell r="ISV1" t="str">
            <v>--</v>
          </cell>
          <cell r="ISW1" t="str">
            <v>--</v>
          </cell>
          <cell r="ISX1" t="str">
            <v>--</v>
          </cell>
          <cell r="ISY1" t="str">
            <v>--</v>
          </cell>
          <cell r="ISZ1" t="str">
            <v>--</v>
          </cell>
          <cell r="ITA1" t="str">
            <v>--</v>
          </cell>
          <cell r="ITB1" t="str">
            <v>--</v>
          </cell>
          <cell r="ITC1" t="str">
            <v>--</v>
          </cell>
          <cell r="ITD1" t="str">
            <v>--</v>
          </cell>
          <cell r="ITE1" t="str">
            <v>--</v>
          </cell>
          <cell r="ITF1" t="str">
            <v>--</v>
          </cell>
          <cell r="ITG1" t="str">
            <v>--</v>
          </cell>
          <cell r="ITH1" t="str">
            <v>--</v>
          </cell>
          <cell r="ITI1" t="str">
            <v>--</v>
          </cell>
          <cell r="ITJ1" t="str">
            <v>--</v>
          </cell>
          <cell r="ITK1" t="str">
            <v>--</v>
          </cell>
          <cell r="ITL1" t="str">
            <v>--</v>
          </cell>
          <cell r="ITM1" t="str">
            <v>--</v>
          </cell>
          <cell r="ITN1" t="str">
            <v>--</v>
          </cell>
          <cell r="ITO1" t="str">
            <v>--</v>
          </cell>
          <cell r="ITP1" t="str">
            <v>--</v>
          </cell>
          <cell r="ITQ1" t="str">
            <v>--</v>
          </cell>
          <cell r="ITR1" t="str">
            <v>--</v>
          </cell>
          <cell r="ITS1" t="str">
            <v>--</v>
          </cell>
          <cell r="ITT1" t="str">
            <v>--</v>
          </cell>
          <cell r="ITU1" t="str">
            <v>--</v>
          </cell>
          <cell r="ITV1" t="str">
            <v>--</v>
          </cell>
          <cell r="ITW1" t="str">
            <v>--</v>
          </cell>
          <cell r="ITX1" t="str">
            <v>--</v>
          </cell>
          <cell r="ITY1" t="str">
            <v>--</v>
          </cell>
          <cell r="ITZ1" t="str">
            <v>--</v>
          </cell>
          <cell r="IUA1" t="str">
            <v>--</v>
          </cell>
          <cell r="IUB1" t="str">
            <v>--</v>
          </cell>
          <cell r="IUC1" t="str">
            <v>--</v>
          </cell>
          <cell r="IUD1" t="str">
            <v>--</v>
          </cell>
          <cell r="IUE1" t="str">
            <v>--</v>
          </cell>
          <cell r="IUF1" t="str">
            <v>--</v>
          </cell>
          <cell r="IUG1" t="str">
            <v>--</v>
          </cell>
          <cell r="IUH1" t="str">
            <v>--</v>
          </cell>
          <cell r="IUI1" t="str">
            <v>--</v>
          </cell>
          <cell r="IUJ1" t="str">
            <v>--</v>
          </cell>
          <cell r="IUK1" t="str">
            <v>--</v>
          </cell>
          <cell r="IUL1" t="str">
            <v>--</v>
          </cell>
          <cell r="IUM1" t="str">
            <v>--</v>
          </cell>
          <cell r="IUN1" t="str">
            <v>--</v>
          </cell>
          <cell r="IUO1" t="str">
            <v>--</v>
          </cell>
          <cell r="IUP1" t="str">
            <v>--</v>
          </cell>
          <cell r="IUQ1" t="str">
            <v>--</v>
          </cell>
          <cell r="IUR1" t="str">
            <v>--</v>
          </cell>
          <cell r="IUS1" t="str">
            <v>--</v>
          </cell>
          <cell r="IUT1" t="str">
            <v>--</v>
          </cell>
          <cell r="IUU1" t="str">
            <v>--</v>
          </cell>
          <cell r="IUV1" t="str">
            <v>--</v>
          </cell>
          <cell r="IUW1" t="str">
            <v>--</v>
          </cell>
          <cell r="IUX1" t="str">
            <v>--</v>
          </cell>
          <cell r="IUY1" t="str">
            <v>--</v>
          </cell>
          <cell r="IUZ1" t="str">
            <v>--</v>
          </cell>
          <cell r="IVA1" t="str">
            <v>--</v>
          </cell>
          <cell r="IVB1" t="str">
            <v>--</v>
          </cell>
          <cell r="IVC1" t="str">
            <v>--</v>
          </cell>
          <cell r="IVD1" t="str">
            <v>--</v>
          </cell>
          <cell r="IVE1" t="str">
            <v>--</v>
          </cell>
          <cell r="IVF1" t="str">
            <v>--</v>
          </cell>
          <cell r="IVG1" t="str">
            <v>--</v>
          </cell>
          <cell r="IVH1" t="str">
            <v>--</v>
          </cell>
          <cell r="IVI1" t="str">
            <v>--</v>
          </cell>
          <cell r="IVJ1" t="str">
            <v>--</v>
          </cell>
          <cell r="IVK1" t="str">
            <v>--</v>
          </cell>
          <cell r="IVL1" t="str">
            <v>--</v>
          </cell>
          <cell r="IVM1" t="str">
            <v>--</v>
          </cell>
          <cell r="IVN1" t="str">
            <v>--</v>
          </cell>
          <cell r="IVO1" t="str">
            <v>--</v>
          </cell>
          <cell r="IVP1" t="str">
            <v>--</v>
          </cell>
          <cell r="IVQ1" t="str">
            <v>--</v>
          </cell>
          <cell r="IVR1" t="str">
            <v>--</v>
          </cell>
          <cell r="IVS1" t="str">
            <v>--</v>
          </cell>
          <cell r="IVT1" t="str">
            <v>--</v>
          </cell>
          <cell r="IVU1" t="str">
            <v>--</v>
          </cell>
          <cell r="IVV1" t="str">
            <v>--</v>
          </cell>
          <cell r="IVW1" t="str">
            <v>--</v>
          </cell>
          <cell r="IVX1" t="str">
            <v>--</v>
          </cell>
          <cell r="IVY1" t="str">
            <v>--</v>
          </cell>
          <cell r="IVZ1" t="str">
            <v>--</v>
          </cell>
          <cell r="IWA1" t="str">
            <v>--</v>
          </cell>
          <cell r="IWB1" t="str">
            <v>--</v>
          </cell>
          <cell r="IWC1" t="str">
            <v>--</v>
          </cell>
          <cell r="IWD1" t="str">
            <v>--</v>
          </cell>
          <cell r="IWE1" t="str">
            <v>--</v>
          </cell>
          <cell r="IWF1" t="str">
            <v>--</v>
          </cell>
          <cell r="IWG1" t="str">
            <v>--</v>
          </cell>
          <cell r="IWH1" t="str">
            <v>--</v>
          </cell>
          <cell r="IWI1" t="str">
            <v>--</v>
          </cell>
          <cell r="IWJ1" t="str">
            <v>--</v>
          </cell>
          <cell r="IWK1" t="str">
            <v>--</v>
          </cell>
          <cell r="IWL1" t="str">
            <v>--</v>
          </cell>
          <cell r="IWM1" t="str">
            <v>--</v>
          </cell>
          <cell r="IWN1" t="str">
            <v>--</v>
          </cell>
          <cell r="IWO1" t="str">
            <v>--</v>
          </cell>
          <cell r="IWP1" t="str">
            <v>--</v>
          </cell>
          <cell r="IWQ1" t="str">
            <v>--</v>
          </cell>
          <cell r="IWR1" t="str">
            <v>--</v>
          </cell>
          <cell r="IWS1" t="str">
            <v>--</v>
          </cell>
          <cell r="IWT1" t="str">
            <v>--</v>
          </cell>
          <cell r="IWU1" t="str">
            <v>--</v>
          </cell>
          <cell r="IWV1" t="str">
            <v>--</v>
          </cell>
          <cell r="IWW1" t="str">
            <v>--</v>
          </cell>
          <cell r="IWX1" t="str">
            <v>--</v>
          </cell>
          <cell r="IWY1" t="str">
            <v>--</v>
          </cell>
          <cell r="IWZ1" t="str">
            <v>--</v>
          </cell>
          <cell r="IXA1" t="str">
            <v>--</v>
          </cell>
          <cell r="IXB1" t="str">
            <v>--</v>
          </cell>
          <cell r="IXC1" t="str">
            <v>--</v>
          </cell>
          <cell r="IXD1" t="str">
            <v>--</v>
          </cell>
          <cell r="IXE1" t="str">
            <v>--</v>
          </cell>
          <cell r="IXF1" t="str">
            <v>--</v>
          </cell>
          <cell r="IXG1" t="str">
            <v>--</v>
          </cell>
          <cell r="IXH1" t="str">
            <v>--</v>
          </cell>
          <cell r="IXI1" t="str">
            <v>--</v>
          </cell>
          <cell r="IXJ1" t="str">
            <v>--</v>
          </cell>
          <cell r="IXK1" t="str">
            <v>--</v>
          </cell>
          <cell r="IXL1" t="str">
            <v>--</v>
          </cell>
          <cell r="IXM1" t="str">
            <v>--</v>
          </cell>
          <cell r="IXN1" t="str">
            <v>--</v>
          </cell>
          <cell r="IXO1" t="str">
            <v>--</v>
          </cell>
          <cell r="IXP1" t="str">
            <v>--</v>
          </cell>
          <cell r="IXQ1" t="str">
            <v>--</v>
          </cell>
          <cell r="IXR1" t="str">
            <v>--</v>
          </cell>
          <cell r="IXS1" t="str">
            <v>--</v>
          </cell>
          <cell r="IXT1" t="str">
            <v>--</v>
          </cell>
          <cell r="IXU1" t="str">
            <v>--</v>
          </cell>
          <cell r="IXV1" t="str">
            <v>--</v>
          </cell>
          <cell r="IXW1" t="str">
            <v>--</v>
          </cell>
          <cell r="IXX1" t="str">
            <v>--</v>
          </cell>
          <cell r="IXY1" t="str">
            <v>--</v>
          </cell>
          <cell r="IXZ1" t="str">
            <v>--</v>
          </cell>
          <cell r="IYA1" t="str">
            <v>--</v>
          </cell>
          <cell r="IYB1" t="str">
            <v>--</v>
          </cell>
          <cell r="IYC1" t="str">
            <v>--</v>
          </cell>
          <cell r="IYD1" t="str">
            <v>--</v>
          </cell>
          <cell r="IYE1" t="str">
            <v>--</v>
          </cell>
          <cell r="IYF1" t="str">
            <v>--</v>
          </cell>
          <cell r="IYG1" t="str">
            <v>--</v>
          </cell>
          <cell r="IYH1" t="str">
            <v>--</v>
          </cell>
          <cell r="IYI1" t="str">
            <v>--</v>
          </cell>
          <cell r="IYJ1" t="str">
            <v>--</v>
          </cell>
          <cell r="IYK1" t="str">
            <v>--</v>
          </cell>
          <cell r="IYL1" t="str">
            <v>--</v>
          </cell>
          <cell r="IYM1" t="str">
            <v>--</v>
          </cell>
          <cell r="IYN1" t="str">
            <v>--</v>
          </cell>
          <cell r="IYO1" t="str">
            <v>--</v>
          </cell>
          <cell r="IYP1" t="str">
            <v>--</v>
          </cell>
          <cell r="IYQ1" t="str">
            <v>--</v>
          </cell>
          <cell r="IYR1" t="str">
            <v>--</v>
          </cell>
          <cell r="IYS1" t="str">
            <v>--</v>
          </cell>
          <cell r="IYT1" t="str">
            <v>--</v>
          </cell>
          <cell r="IYU1" t="str">
            <v>--</v>
          </cell>
          <cell r="IYV1" t="str">
            <v>--</v>
          </cell>
          <cell r="IYW1" t="str">
            <v>--</v>
          </cell>
          <cell r="IYX1" t="str">
            <v>--</v>
          </cell>
          <cell r="IYY1" t="str">
            <v>--</v>
          </cell>
          <cell r="IYZ1" t="str">
            <v>--</v>
          </cell>
          <cell r="IZA1" t="str">
            <v>--</v>
          </cell>
          <cell r="IZB1" t="str">
            <v>--</v>
          </cell>
          <cell r="IZC1" t="str">
            <v>--</v>
          </cell>
          <cell r="IZD1" t="str">
            <v>--</v>
          </cell>
          <cell r="IZE1" t="str">
            <v>--</v>
          </cell>
          <cell r="IZF1" t="str">
            <v>--</v>
          </cell>
          <cell r="IZG1" t="str">
            <v>--</v>
          </cell>
          <cell r="IZH1" t="str">
            <v>--</v>
          </cell>
          <cell r="IZI1" t="str">
            <v>--</v>
          </cell>
          <cell r="IZJ1" t="str">
            <v>--</v>
          </cell>
          <cell r="IZK1" t="str">
            <v>--</v>
          </cell>
          <cell r="IZL1" t="str">
            <v>--</v>
          </cell>
          <cell r="IZM1" t="str">
            <v>--</v>
          </cell>
          <cell r="IZN1" t="str">
            <v>--</v>
          </cell>
          <cell r="IZO1" t="str">
            <v>--</v>
          </cell>
          <cell r="IZP1" t="str">
            <v>--</v>
          </cell>
          <cell r="IZQ1" t="str">
            <v>--</v>
          </cell>
          <cell r="IZR1" t="str">
            <v>--</v>
          </cell>
          <cell r="IZS1" t="str">
            <v>--</v>
          </cell>
          <cell r="IZT1" t="str">
            <v>--</v>
          </cell>
          <cell r="IZU1" t="str">
            <v>--</v>
          </cell>
          <cell r="IZV1" t="str">
            <v>--</v>
          </cell>
          <cell r="IZW1" t="str">
            <v>--</v>
          </cell>
          <cell r="IZX1" t="str">
            <v>--</v>
          </cell>
          <cell r="IZY1" t="str">
            <v>--</v>
          </cell>
          <cell r="IZZ1" t="str">
            <v>--</v>
          </cell>
          <cell r="JAA1" t="str">
            <v>--</v>
          </cell>
          <cell r="JAB1" t="str">
            <v>--</v>
          </cell>
          <cell r="JAC1" t="str">
            <v>--</v>
          </cell>
          <cell r="JAD1" t="str">
            <v>--</v>
          </cell>
          <cell r="JAE1" t="str">
            <v>--</v>
          </cell>
          <cell r="JAF1" t="str">
            <v>--</v>
          </cell>
          <cell r="JAG1" t="str">
            <v>--</v>
          </cell>
          <cell r="JAH1" t="str">
            <v>--</v>
          </cell>
          <cell r="JAI1" t="str">
            <v>--</v>
          </cell>
          <cell r="JAJ1" t="str">
            <v>--</v>
          </cell>
          <cell r="JAK1" t="str">
            <v>--</v>
          </cell>
          <cell r="JAL1" t="str">
            <v>--</v>
          </cell>
          <cell r="JAM1" t="str">
            <v>--</v>
          </cell>
          <cell r="JAN1" t="str">
            <v>--</v>
          </cell>
          <cell r="JAO1" t="str">
            <v>--</v>
          </cell>
          <cell r="JAP1" t="str">
            <v>--</v>
          </cell>
          <cell r="JAQ1" t="str">
            <v>--</v>
          </cell>
          <cell r="JAR1" t="str">
            <v>--</v>
          </cell>
          <cell r="JAS1" t="str">
            <v>--</v>
          </cell>
          <cell r="JAT1" t="str">
            <v>--</v>
          </cell>
          <cell r="JAU1" t="str">
            <v>--</v>
          </cell>
          <cell r="JAV1" t="str">
            <v>--</v>
          </cell>
          <cell r="JAW1" t="str">
            <v>--</v>
          </cell>
          <cell r="JAX1" t="str">
            <v>--</v>
          </cell>
          <cell r="JAY1" t="str">
            <v>--</v>
          </cell>
          <cell r="JAZ1" t="str">
            <v>--</v>
          </cell>
          <cell r="JBA1" t="str">
            <v>--</v>
          </cell>
          <cell r="JBB1" t="str">
            <v>--</v>
          </cell>
          <cell r="JBC1" t="str">
            <v>--</v>
          </cell>
          <cell r="JBD1" t="str">
            <v>--</v>
          </cell>
          <cell r="JBE1" t="str">
            <v>--</v>
          </cell>
          <cell r="JBF1" t="str">
            <v>--</v>
          </cell>
          <cell r="JBG1" t="str">
            <v>--</v>
          </cell>
          <cell r="JBH1" t="str">
            <v>--</v>
          </cell>
          <cell r="JBI1" t="str">
            <v>--</v>
          </cell>
          <cell r="JBJ1" t="str">
            <v>--</v>
          </cell>
          <cell r="JBK1" t="str">
            <v>--</v>
          </cell>
          <cell r="JBL1" t="str">
            <v>--</v>
          </cell>
          <cell r="JBM1" t="str">
            <v>--</v>
          </cell>
          <cell r="JBN1" t="str">
            <v>--</v>
          </cell>
          <cell r="JBO1" t="str">
            <v>--</v>
          </cell>
          <cell r="JBP1" t="str">
            <v>--</v>
          </cell>
          <cell r="JBQ1" t="str">
            <v>--</v>
          </cell>
          <cell r="JBR1" t="str">
            <v>--</v>
          </cell>
          <cell r="JBS1" t="str">
            <v>--</v>
          </cell>
          <cell r="JBT1" t="str">
            <v>--</v>
          </cell>
          <cell r="JBU1" t="str">
            <v>--</v>
          </cell>
          <cell r="JBV1" t="str">
            <v>--</v>
          </cell>
          <cell r="JBW1" t="str">
            <v>--</v>
          </cell>
          <cell r="JBX1" t="str">
            <v>--</v>
          </cell>
          <cell r="JBY1" t="str">
            <v>--</v>
          </cell>
          <cell r="JBZ1" t="str">
            <v>--</v>
          </cell>
          <cell r="JCA1" t="str">
            <v>--</v>
          </cell>
          <cell r="JCB1" t="str">
            <v>--</v>
          </cell>
          <cell r="JCC1" t="str">
            <v>--</v>
          </cell>
          <cell r="JCD1" t="str">
            <v>--</v>
          </cell>
          <cell r="JCE1" t="str">
            <v>--</v>
          </cell>
          <cell r="JCF1" t="str">
            <v>--</v>
          </cell>
          <cell r="JCG1" t="str">
            <v>--</v>
          </cell>
          <cell r="JCH1" t="str">
            <v>--</v>
          </cell>
          <cell r="JCI1" t="str">
            <v>--</v>
          </cell>
          <cell r="JCJ1" t="str">
            <v>--</v>
          </cell>
          <cell r="JCK1" t="str">
            <v>--</v>
          </cell>
          <cell r="JCL1" t="str">
            <v>--</v>
          </cell>
          <cell r="JCM1" t="str">
            <v>--</v>
          </cell>
          <cell r="JCN1" t="str">
            <v>--</v>
          </cell>
          <cell r="JCO1" t="str">
            <v>--</v>
          </cell>
          <cell r="JCP1" t="str">
            <v>--</v>
          </cell>
          <cell r="JCQ1" t="str">
            <v>--</v>
          </cell>
          <cell r="JCR1" t="str">
            <v>--</v>
          </cell>
          <cell r="JCS1" t="str">
            <v>--</v>
          </cell>
          <cell r="JCT1" t="str">
            <v>--</v>
          </cell>
          <cell r="JCU1" t="str">
            <v>--</v>
          </cell>
          <cell r="JCV1" t="str">
            <v>--</v>
          </cell>
          <cell r="JCW1" t="str">
            <v>--</v>
          </cell>
          <cell r="JCX1" t="str">
            <v>--</v>
          </cell>
          <cell r="JCY1" t="str">
            <v>--</v>
          </cell>
          <cell r="JCZ1" t="str">
            <v>--</v>
          </cell>
          <cell r="JDA1" t="str">
            <v>--</v>
          </cell>
          <cell r="JDB1" t="str">
            <v>--</v>
          </cell>
          <cell r="JDC1" t="str">
            <v>--</v>
          </cell>
          <cell r="JDD1" t="str">
            <v>--</v>
          </cell>
          <cell r="JDE1" t="str">
            <v>--</v>
          </cell>
          <cell r="JDF1" t="str">
            <v>--</v>
          </cell>
          <cell r="JDG1" t="str">
            <v>--</v>
          </cell>
          <cell r="JDH1" t="str">
            <v>--</v>
          </cell>
          <cell r="JDI1" t="str">
            <v>--</v>
          </cell>
          <cell r="JDJ1" t="str">
            <v>--</v>
          </cell>
          <cell r="JDK1" t="str">
            <v>--</v>
          </cell>
          <cell r="JDL1" t="str">
            <v>--</v>
          </cell>
          <cell r="JDM1" t="str">
            <v>--</v>
          </cell>
          <cell r="JDN1" t="str">
            <v>--</v>
          </cell>
          <cell r="JDO1" t="str">
            <v>--</v>
          </cell>
          <cell r="JDP1" t="str">
            <v>--</v>
          </cell>
          <cell r="JDQ1" t="str">
            <v>--</v>
          </cell>
          <cell r="JDR1" t="str">
            <v>--</v>
          </cell>
          <cell r="JDS1" t="str">
            <v>--</v>
          </cell>
          <cell r="JDT1" t="str">
            <v>--</v>
          </cell>
          <cell r="JDU1" t="str">
            <v>--</v>
          </cell>
          <cell r="JDV1" t="str">
            <v>--</v>
          </cell>
          <cell r="JDW1" t="str">
            <v>--</v>
          </cell>
          <cell r="JDX1" t="str">
            <v>--</v>
          </cell>
          <cell r="JDY1" t="str">
            <v>--</v>
          </cell>
          <cell r="JDZ1" t="str">
            <v>--</v>
          </cell>
          <cell r="JEA1" t="str">
            <v>--</v>
          </cell>
          <cell r="JEB1" t="str">
            <v>--</v>
          </cell>
          <cell r="JEC1" t="str">
            <v>--</v>
          </cell>
          <cell r="JED1" t="str">
            <v>--</v>
          </cell>
          <cell r="JEE1" t="str">
            <v>--</v>
          </cell>
          <cell r="JEF1" t="str">
            <v>--</v>
          </cell>
          <cell r="JEG1" t="str">
            <v>--</v>
          </cell>
          <cell r="JEH1" t="str">
            <v>--</v>
          </cell>
          <cell r="JEI1" t="str">
            <v>--</v>
          </cell>
          <cell r="JEJ1" t="str">
            <v>--</v>
          </cell>
          <cell r="JEK1" t="str">
            <v>--</v>
          </cell>
          <cell r="JEL1" t="str">
            <v>--</v>
          </cell>
          <cell r="JEM1" t="str">
            <v>--</v>
          </cell>
          <cell r="JEN1" t="str">
            <v>--</v>
          </cell>
          <cell r="JEO1" t="str">
            <v>--</v>
          </cell>
          <cell r="JEP1" t="str">
            <v>--</v>
          </cell>
          <cell r="JEQ1" t="str">
            <v>--</v>
          </cell>
          <cell r="JER1" t="str">
            <v>--</v>
          </cell>
          <cell r="JES1" t="str">
            <v>--</v>
          </cell>
          <cell r="JET1" t="str">
            <v>--</v>
          </cell>
          <cell r="JEU1" t="str">
            <v>--</v>
          </cell>
          <cell r="JEV1" t="str">
            <v>--</v>
          </cell>
          <cell r="JEW1" t="str">
            <v>--</v>
          </cell>
          <cell r="JEX1" t="str">
            <v>--</v>
          </cell>
          <cell r="JEY1" t="str">
            <v>--</v>
          </cell>
          <cell r="JEZ1" t="str">
            <v>--</v>
          </cell>
          <cell r="JFA1" t="str">
            <v>--</v>
          </cell>
          <cell r="JFB1" t="str">
            <v>--</v>
          </cell>
          <cell r="JFC1" t="str">
            <v>--</v>
          </cell>
          <cell r="JFD1" t="str">
            <v>--</v>
          </cell>
          <cell r="JFE1" t="str">
            <v>--</v>
          </cell>
          <cell r="JFF1" t="str">
            <v>--</v>
          </cell>
          <cell r="JFG1" t="str">
            <v>--</v>
          </cell>
          <cell r="JFH1" t="str">
            <v>--</v>
          </cell>
          <cell r="JFI1" t="str">
            <v>--</v>
          </cell>
          <cell r="JFJ1" t="str">
            <v>--</v>
          </cell>
          <cell r="JFK1" t="str">
            <v>--</v>
          </cell>
          <cell r="JFL1" t="str">
            <v>--</v>
          </cell>
          <cell r="JFM1" t="str">
            <v>--</v>
          </cell>
          <cell r="JFN1" t="str">
            <v>--</v>
          </cell>
          <cell r="JFO1" t="str">
            <v>--</v>
          </cell>
          <cell r="JFP1" t="str">
            <v>--</v>
          </cell>
          <cell r="JFQ1" t="str">
            <v>--</v>
          </cell>
          <cell r="JFR1" t="str">
            <v>--</v>
          </cell>
          <cell r="JFS1" t="str">
            <v>--</v>
          </cell>
          <cell r="JFT1" t="str">
            <v>--</v>
          </cell>
          <cell r="JFU1" t="str">
            <v>--</v>
          </cell>
          <cell r="JFV1" t="str">
            <v>--</v>
          </cell>
          <cell r="JFW1" t="str">
            <v>--</v>
          </cell>
          <cell r="JFX1" t="str">
            <v>--</v>
          </cell>
          <cell r="JFY1" t="str">
            <v>--</v>
          </cell>
          <cell r="JFZ1" t="str">
            <v>--</v>
          </cell>
          <cell r="JGA1" t="str">
            <v>--</v>
          </cell>
          <cell r="JGB1" t="str">
            <v>--</v>
          </cell>
          <cell r="JGC1" t="str">
            <v>--</v>
          </cell>
          <cell r="JGD1" t="str">
            <v>--</v>
          </cell>
          <cell r="JGE1" t="str">
            <v>--</v>
          </cell>
          <cell r="JGF1" t="str">
            <v>--</v>
          </cell>
          <cell r="JGG1" t="str">
            <v>--</v>
          </cell>
          <cell r="JGH1" t="str">
            <v>--</v>
          </cell>
          <cell r="JGI1" t="str">
            <v>--</v>
          </cell>
          <cell r="JGJ1" t="str">
            <v>--</v>
          </cell>
          <cell r="JGK1" t="str">
            <v>--</v>
          </cell>
          <cell r="JGL1" t="str">
            <v>--</v>
          </cell>
          <cell r="JGM1" t="str">
            <v>--</v>
          </cell>
          <cell r="JGN1" t="str">
            <v>--</v>
          </cell>
          <cell r="JGO1" t="str">
            <v>--</v>
          </cell>
          <cell r="JGP1" t="str">
            <v>--</v>
          </cell>
          <cell r="JGQ1" t="str">
            <v>--</v>
          </cell>
          <cell r="JGR1" t="str">
            <v>--</v>
          </cell>
          <cell r="JGS1" t="str">
            <v>--</v>
          </cell>
          <cell r="JGT1" t="str">
            <v>--</v>
          </cell>
          <cell r="JGU1" t="str">
            <v>--</v>
          </cell>
          <cell r="JGV1" t="str">
            <v>--</v>
          </cell>
          <cell r="JGW1" t="str">
            <v>--</v>
          </cell>
          <cell r="JGX1" t="str">
            <v>--</v>
          </cell>
          <cell r="JGY1" t="str">
            <v>--</v>
          </cell>
          <cell r="JGZ1" t="str">
            <v>--</v>
          </cell>
          <cell r="JHA1" t="str">
            <v>--</v>
          </cell>
          <cell r="JHB1" t="str">
            <v>--</v>
          </cell>
          <cell r="JHC1" t="str">
            <v>--</v>
          </cell>
          <cell r="JHD1" t="str">
            <v>--</v>
          </cell>
          <cell r="JHE1" t="str">
            <v>--</v>
          </cell>
          <cell r="JHF1" t="str">
            <v>--</v>
          </cell>
          <cell r="JHG1" t="str">
            <v>--</v>
          </cell>
          <cell r="JHH1" t="str">
            <v>--</v>
          </cell>
          <cell r="JHI1" t="str">
            <v>--</v>
          </cell>
          <cell r="JHJ1" t="str">
            <v>--</v>
          </cell>
          <cell r="JHK1" t="str">
            <v>--</v>
          </cell>
          <cell r="JHL1" t="str">
            <v>--</v>
          </cell>
          <cell r="JHM1" t="str">
            <v>--</v>
          </cell>
          <cell r="JHN1" t="str">
            <v>--</v>
          </cell>
          <cell r="JHO1" t="str">
            <v>--</v>
          </cell>
          <cell r="JHP1" t="str">
            <v>--</v>
          </cell>
          <cell r="JHQ1" t="str">
            <v>--</v>
          </cell>
          <cell r="JHR1" t="str">
            <v>--</v>
          </cell>
          <cell r="JHS1" t="str">
            <v>--</v>
          </cell>
          <cell r="JHT1" t="str">
            <v>--</v>
          </cell>
          <cell r="JHU1" t="str">
            <v>--</v>
          </cell>
          <cell r="JHV1" t="str">
            <v>--</v>
          </cell>
          <cell r="JHW1" t="str">
            <v>--</v>
          </cell>
          <cell r="JHX1" t="str">
            <v>--</v>
          </cell>
          <cell r="JHY1" t="str">
            <v>--</v>
          </cell>
          <cell r="JHZ1" t="str">
            <v>--</v>
          </cell>
          <cell r="JIA1" t="str">
            <v>--</v>
          </cell>
          <cell r="JIB1" t="str">
            <v>--</v>
          </cell>
          <cell r="JIC1" t="str">
            <v>--</v>
          </cell>
          <cell r="JID1" t="str">
            <v>--</v>
          </cell>
          <cell r="JIE1" t="str">
            <v>--</v>
          </cell>
          <cell r="JIF1" t="str">
            <v>--</v>
          </cell>
          <cell r="JIG1" t="str">
            <v>--</v>
          </cell>
          <cell r="JIH1" t="str">
            <v>--</v>
          </cell>
          <cell r="JII1" t="str">
            <v>--</v>
          </cell>
          <cell r="JIJ1" t="str">
            <v>--</v>
          </cell>
          <cell r="JIK1" t="str">
            <v>--</v>
          </cell>
          <cell r="JIL1" t="str">
            <v>--</v>
          </cell>
          <cell r="JIM1" t="str">
            <v>--</v>
          </cell>
          <cell r="JIN1" t="str">
            <v>--</v>
          </cell>
          <cell r="JIO1" t="str">
            <v>--</v>
          </cell>
          <cell r="JIP1" t="str">
            <v>--</v>
          </cell>
          <cell r="JIQ1" t="str">
            <v>--</v>
          </cell>
          <cell r="JIR1" t="str">
            <v>--</v>
          </cell>
          <cell r="JIS1" t="str">
            <v>--</v>
          </cell>
          <cell r="JIT1" t="str">
            <v>--</v>
          </cell>
          <cell r="JIU1" t="str">
            <v>--</v>
          </cell>
          <cell r="JIV1" t="str">
            <v>--</v>
          </cell>
          <cell r="JIW1" t="str">
            <v>--</v>
          </cell>
          <cell r="JIX1" t="str">
            <v>--</v>
          </cell>
          <cell r="JIY1" t="str">
            <v>--</v>
          </cell>
          <cell r="JIZ1" t="str">
            <v>--</v>
          </cell>
          <cell r="JJA1" t="str">
            <v>--</v>
          </cell>
          <cell r="JJB1" t="str">
            <v>--</v>
          </cell>
          <cell r="JJC1" t="str">
            <v>--</v>
          </cell>
          <cell r="JJD1" t="str">
            <v>--</v>
          </cell>
          <cell r="JJE1" t="str">
            <v>--</v>
          </cell>
          <cell r="JJF1" t="str">
            <v>--</v>
          </cell>
          <cell r="JJG1" t="str">
            <v>--</v>
          </cell>
          <cell r="JJH1" t="str">
            <v>--</v>
          </cell>
          <cell r="JJI1" t="str">
            <v>--</v>
          </cell>
          <cell r="JJJ1" t="str">
            <v>--</v>
          </cell>
          <cell r="JJK1" t="str">
            <v>--</v>
          </cell>
          <cell r="JJL1" t="str">
            <v>--</v>
          </cell>
          <cell r="JJM1" t="str">
            <v>--</v>
          </cell>
          <cell r="JJN1" t="str">
            <v>--</v>
          </cell>
          <cell r="JJO1" t="str">
            <v>--</v>
          </cell>
          <cell r="JJP1" t="str">
            <v>--</v>
          </cell>
          <cell r="JJQ1" t="str">
            <v>--</v>
          </cell>
          <cell r="JJR1" t="str">
            <v>--</v>
          </cell>
          <cell r="JJS1" t="str">
            <v>--</v>
          </cell>
          <cell r="JJT1" t="str">
            <v>--</v>
          </cell>
          <cell r="JJU1" t="str">
            <v>--</v>
          </cell>
          <cell r="JJV1" t="str">
            <v>--</v>
          </cell>
          <cell r="JJW1" t="str">
            <v>--</v>
          </cell>
          <cell r="JJX1" t="str">
            <v>--</v>
          </cell>
          <cell r="JJY1" t="str">
            <v>--</v>
          </cell>
          <cell r="JJZ1" t="str">
            <v>--</v>
          </cell>
          <cell r="JKA1" t="str">
            <v>--</v>
          </cell>
          <cell r="JKB1" t="str">
            <v>--</v>
          </cell>
          <cell r="JKC1" t="str">
            <v>--</v>
          </cell>
          <cell r="JKD1" t="str">
            <v>--</v>
          </cell>
          <cell r="JKE1" t="str">
            <v>--</v>
          </cell>
          <cell r="JKF1" t="str">
            <v>--</v>
          </cell>
          <cell r="JKG1" t="str">
            <v>--</v>
          </cell>
          <cell r="JKH1" t="str">
            <v>--</v>
          </cell>
          <cell r="JKI1" t="str">
            <v>--</v>
          </cell>
          <cell r="JKJ1" t="str">
            <v>--</v>
          </cell>
          <cell r="JKK1" t="str">
            <v>--</v>
          </cell>
          <cell r="JKL1" t="str">
            <v>--</v>
          </cell>
          <cell r="JKM1" t="str">
            <v>--</v>
          </cell>
          <cell r="JKN1" t="str">
            <v>--</v>
          </cell>
          <cell r="JKO1" t="str">
            <v>--</v>
          </cell>
          <cell r="JKP1" t="str">
            <v>--</v>
          </cell>
          <cell r="JKQ1" t="str">
            <v>--</v>
          </cell>
          <cell r="JKR1" t="str">
            <v>--</v>
          </cell>
          <cell r="JKS1" t="str">
            <v>--</v>
          </cell>
          <cell r="JKT1" t="str">
            <v>--</v>
          </cell>
          <cell r="JKU1" t="str">
            <v>--</v>
          </cell>
          <cell r="JKV1" t="str">
            <v>--</v>
          </cell>
          <cell r="JKW1" t="str">
            <v>--</v>
          </cell>
          <cell r="JKX1" t="str">
            <v>--</v>
          </cell>
          <cell r="JKY1" t="str">
            <v>--</v>
          </cell>
          <cell r="JKZ1" t="str">
            <v>--</v>
          </cell>
          <cell r="JLA1" t="str">
            <v>--</v>
          </cell>
          <cell r="JLB1" t="str">
            <v>--</v>
          </cell>
          <cell r="JLC1" t="str">
            <v>--</v>
          </cell>
          <cell r="JLD1" t="str">
            <v>--</v>
          </cell>
          <cell r="JLE1" t="str">
            <v>--</v>
          </cell>
          <cell r="JLF1" t="str">
            <v>--</v>
          </cell>
          <cell r="JLG1" t="str">
            <v>--</v>
          </cell>
          <cell r="JLH1" t="str">
            <v>--</v>
          </cell>
          <cell r="JLI1" t="str">
            <v>--</v>
          </cell>
          <cell r="JLJ1" t="str">
            <v>--</v>
          </cell>
          <cell r="JLK1" t="str">
            <v>--</v>
          </cell>
          <cell r="JLL1" t="str">
            <v>--</v>
          </cell>
          <cell r="JLM1" t="str">
            <v>--</v>
          </cell>
          <cell r="JLN1" t="str">
            <v>--</v>
          </cell>
          <cell r="JLO1" t="str">
            <v>--</v>
          </cell>
          <cell r="JLP1" t="str">
            <v>--</v>
          </cell>
          <cell r="JLQ1" t="str">
            <v>--</v>
          </cell>
          <cell r="JLR1" t="str">
            <v>--</v>
          </cell>
          <cell r="JLS1" t="str">
            <v>--</v>
          </cell>
          <cell r="JLT1" t="str">
            <v>--</v>
          </cell>
          <cell r="JLU1" t="str">
            <v>--</v>
          </cell>
          <cell r="JLV1" t="str">
            <v>--</v>
          </cell>
          <cell r="JLW1" t="str">
            <v>--</v>
          </cell>
          <cell r="JLX1" t="str">
            <v>--</v>
          </cell>
          <cell r="JLY1" t="str">
            <v>--</v>
          </cell>
          <cell r="JLZ1" t="str">
            <v>--</v>
          </cell>
          <cell r="JMA1" t="str">
            <v>--</v>
          </cell>
          <cell r="JMB1" t="str">
            <v>--</v>
          </cell>
          <cell r="JMC1" t="str">
            <v>--</v>
          </cell>
          <cell r="JMD1" t="str">
            <v>--</v>
          </cell>
          <cell r="JME1" t="str">
            <v>--</v>
          </cell>
          <cell r="JMF1" t="str">
            <v>--</v>
          </cell>
          <cell r="JMG1" t="str">
            <v>--</v>
          </cell>
          <cell r="JMH1" t="str">
            <v>--</v>
          </cell>
          <cell r="JMI1" t="str">
            <v>--</v>
          </cell>
          <cell r="JMJ1" t="str">
            <v>--</v>
          </cell>
          <cell r="JMK1" t="str">
            <v>--</v>
          </cell>
          <cell r="JML1" t="str">
            <v>--</v>
          </cell>
          <cell r="JMM1" t="str">
            <v>--</v>
          </cell>
          <cell r="JMN1" t="str">
            <v>--</v>
          </cell>
          <cell r="JMO1" t="str">
            <v>--</v>
          </cell>
          <cell r="JMP1" t="str">
            <v>--</v>
          </cell>
          <cell r="JMQ1" t="str">
            <v>--</v>
          </cell>
          <cell r="JMR1" t="str">
            <v>--</v>
          </cell>
          <cell r="JMS1" t="str">
            <v>--</v>
          </cell>
          <cell r="JMT1" t="str">
            <v>--</v>
          </cell>
          <cell r="JMU1" t="str">
            <v>--</v>
          </cell>
          <cell r="JMV1" t="str">
            <v>--</v>
          </cell>
          <cell r="JMW1" t="str">
            <v>--</v>
          </cell>
          <cell r="JMX1" t="str">
            <v>--</v>
          </cell>
          <cell r="JMY1" t="str">
            <v>--</v>
          </cell>
          <cell r="JMZ1" t="str">
            <v>--</v>
          </cell>
          <cell r="JNA1" t="str">
            <v>--</v>
          </cell>
          <cell r="JNB1" t="str">
            <v>--</v>
          </cell>
          <cell r="JNC1" t="str">
            <v>--</v>
          </cell>
          <cell r="JND1" t="str">
            <v>--</v>
          </cell>
          <cell r="JNE1" t="str">
            <v>--</v>
          </cell>
          <cell r="JNF1" t="str">
            <v>--</v>
          </cell>
          <cell r="JNG1" t="str">
            <v>--</v>
          </cell>
          <cell r="JNH1" t="str">
            <v>--</v>
          </cell>
          <cell r="JNI1" t="str">
            <v>--</v>
          </cell>
          <cell r="JNJ1" t="str">
            <v>--</v>
          </cell>
          <cell r="JNK1" t="str">
            <v>--</v>
          </cell>
          <cell r="JNL1" t="str">
            <v>--</v>
          </cell>
          <cell r="JNM1" t="str">
            <v>--</v>
          </cell>
          <cell r="JNN1" t="str">
            <v>--</v>
          </cell>
          <cell r="JNO1" t="str">
            <v>--</v>
          </cell>
          <cell r="JNP1" t="str">
            <v>--</v>
          </cell>
          <cell r="JNQ1" t="str">
            <v>--</v>
          </cell>
          <cell r="JNR1" t="str">
            <v>--</v>
          </cell>
          <cell r="JNS1" t="str">
            <v>--</v>
          </cell>
          <cell r="JNT1" t="str">
            <v>--</v>
          </cell>
          <cell r="JNU1" t="str">
            <v>--</v>
          </cell>
          <cell r="JNV1" t="str">
            <v>--</v>
          </cell>
          <cell r="JNW1" t="str">
            <v>--</v>
          </cell>
          <cell r="JNX1" t="str">
            <v>--</v>
          </cell>
          <cell r="JNY1" t="str">
            <v>--</v>
          </cell>
          <cell r="JNZ1" t="str">
            <v>--</v>
          </cell>
          <cell r="JOA1" t="str">
            <v>--</v>
          </cell>
          <cell r="JOB1" t="str">
            <v>--</v>
          </cell>
          <cell r="JOC1" t="str">
            <v>--</v>
          </cell>
          <cell r="JOD1" t="str">
            <v>--</v>
          </cell>
          <cell r="JOE1" t="str">
            <v>--</v>
          </cell>
          <cell r="JOF1" t="str">
            <v>--</v>
          </cell>
          <cell r="JOG1" t="str">
            <v>--</v>
          </cell>
          <cell r="JOH1" t="str">
            <v>--</v>
          </cell>
          <cell r="JOI1" t="str">
            <v>--</v>
          </cell>
          <cell r="JOJ1" t="str">
            <v>--</v>
          </cell>
          <cell r="JOK1" t="str">
            <v>--</v>
          </cell>
          <cell r="JOL1" t="str">
            <v>--</v>
          </cell>
          <cell r="JOM1" t="str">
            <v>--</v>
          </cell>
          <cell r="JON1" t="str">
            <v>--</v>
          </cell>
          <cell r="JOO1" t="str">
            <v>--</v>
          </cell>
          <cell r="JOP1" t="str">
            <v>--</v>
          </cell>
          <cell r="JOQ1" t="str">
            <v>--</v>
          </cell>
          <cell r="JOR1" t="str">
            <v>--</v>
          </cell>
          <cell r="JOS1" t="str">
            <v>--</v>
          </cell>
          <cell r="JOT1" t="str">
            <v>--</v>
          </cell>
          <cell r="JOU1" t="str">
            <v>--</v>
          </cell>
          <cell r="JOV1" t="str">
            <v>--</v>
          </cell>
          <cell r="JOW1" t="str">
            <v>--</v>
          </cell>
          <cell r="JOX1" t="str">
            <v>--</v>
          </cell>
          <cell r="JOY1" t="str">
            <v>--</v>
          </cell>
          <cell r="JOZ1" t="str">
            <v>--</v>
          </cell>
          <cell r="JPA1" t="str">
            <v>--</v>
          </cell>
          <cell r="JPB1" t="str">
            <v>--</v>
          </cell>
          <cell r="JPC1" t="str">
            <v>--</v>
          </cell>
          <cell r="JPD1" t="str">
            <v>--</v>
          </cell>
          <cell r="JPE1" t="str">
            <v>--</v>
          </cell>
          <cell r="JPF1" t="str">
            <v>--</v>
          </cell>
          <cell r="JPG1" t="str">
            <v>--</v>
          </cell>
          <cell r="JPH1" t="str">
            <v>--</v>
          </cell>
          <cell r="JPI1" t="str">
            <v>--</v>
          </cell>
          <cell r="JPJ1" t="str">
            <v>--</v>
          </cell>
          <cell r="JPK1" t="str">
            <v>--</v>
          </cell>
          <cell r="JPL1" t="str">
            <v>--</v>
          </cell>
          <cell r="JPM1" t="str">
            <v>--</v>
          </cell>
          <cell r="JPN1" t="str">
            <v>--</v>
          </cell>
          <cell r="JPO1" t="str">
            <v>--</v>
          </cell>
          <cell r="JPP1" t="str">
            <v>--</v>
          </cell>
          <cell r="JPQ1" t="str">
            <v>--</v>
          </cell>
          <cell r="JPR1" t="str">
            <v>--</v>
          </cell>
          <cell r="JPS1" t="str">
            <v>--</v>
          </cell>
          <cell r="JPT1" t="str">
            <v>--</v>
          </cell>
          <cell r="JPU1" t="str">
            <v>--</v>
          </cell>
          <cell r="JPV1" t="str">
            <v>--</v>
          </cell>
          <cell r="JPW1" t="str">
            <v>--</v>
          </cell>
          <cell r="JPX1" t="str">
            <v>--</v>
          </cell>
          <cell r="JPY1" t="str">
            <v>--</v>
          </cell>
          <cell r="JPZ1" t="str">
            <v>--</v>
          </cell>
          <cell r="JQA1" t="str">
            <v>--</v>
          </cell>
          <cell r="JQB1" t="str">
            <v>--</v>
          </cell>
          <cell r="JQC1" t="str">
            <v>--</v>
          </cell>
          <cell r="JQD1" t="str">
            <v>--</v>
          </cell>
          <cell r="JQE1" t="str">
            <v>--</v>
          </cell>
          <cell r="JQF1" t="str">
            <v>--</v>
          </cell>
          <cell r="JQG1" t="str">
            <v>--</v>
          </cell>
          <cell r="JQH1" t="str">
            <v>--</v>
          </cell>
          <cell r="JQI1" t="str">
            <v>--</v>
          </cell>
          <cell r="JQJ1" t="str">
            <v>--</v>
          </cell>
          <cell r="JQK1" t="str">
            <v>--</v>
          </cell>
          <cell r="JQL1" t="str">
            <v>--</v>
          </cell>
          <cell r="JQM1" t="str">
            <v>--</v>
          </cell>
          <cell r="JQN1" t="str">
            <v>--</v>
          </cell>
          <cell r="JQO1" t="str">
            <v>--</v>
          </cell>
          <cell r="JQP1" t="str">
            <v>--</v>
          </cell>
          <cell r="JQQ1" t="str">
            <v>--</v>
          </cell>
          <cell r="JQR1" t="str">
            <v>--</v>
          </cell>
          <cell r="JQS1" t="str">
            <v>--</v>
          </cell>
          <cell r="JQT1" t="str">
            <v>--</v>
          </cell>
          <cell r="JQU1" t="str">
            <v>--</v>
          </cell>
          <cell r="JQV1" t="str">
            <v>--</v>
          </cell>
          <cell r="JQW1" t="str">
            <v>--</v>
          </cell>
          <cell r="JQX1" t="str">
            <v>--</v>
          </cell>
          <cell r="JQY1" t="str">
            <v>--</v>
          </cell>
          <cell r="JQZ1" t="str">
            <v>--</v>
          </cell>
          <cell r="JRA1" t="str">
            <v>--</v>
          </cell>
          <cell r="JRB1" t="str">
            <v>--</v>
          </cell>
          <cell r="JRC1" t="str">
            <v>--</v>
          </cell>
          <cell r="JRD1" t="str">
            <v>--</v>
          </cell>
          <cell r="JRE1" t="str">
            <v>--</v>
          </cell>
          <cell r="JRF1" t="str">
            <v>--</v>
          </cell>
          <cell r="JRG1" t="str">
            <v>--</v>
          </cell>
          <cell r="JRH1" t="str">
            <v>--</v>
          </cell>
          <cell r="JRI1" t="str">
            <v>--</v>
          </cell>
          <cell r="JRJ1" t="str">
            <v>--</v>
          </cell>
          <cell r="JRK1" t="str">
            <v>--</v>
          </cell>
          <cell r="JRL1" t="str">
            <v>--</v>
          </cell>
          <cell r="JRM1" t="str">
            <v>--</v>
          </cell>
          <cell r="JRN1" t="str">
            <v>--</v>
          </cell>
          <cell r="JRO1" t="str">
            <v>--</v>
          </cell>
          <cell r="JRP1" t="str">
            <v>--</v>
          </cell>
          <cell r="JRQ1" t="str">
            <v>--</v>
          </cell>
          <cell r="JRR1" t="str">
            <v>--</v>
          </cell>
          <cell r="JRS1" t="str">
            <v>--</v>
          </cell>
          <cell r="JRT1" t="str">
            <v>--</v>
          </cell>
          <cell r="JRU1" t="str">
            <v>--</v>
          </cell>
          <cell r="JRV1" t="str">
            <v>--</v>
          </cell>
          <cell r="JRW1" t="str">
            <v>--</v>
          </cell>
          <cell r="JRX1" t="str">
            <v>--</v>
          </cell>
          <cell r="JRY1" t="str">
            <v>--</v>
          </cell>
          <cell r="JRZ1" t="str">
            <v>--</v>
          </cell>
          <cell r="JSA1" t="str">
            <v>--</v>
          </cell>
          <cell r="JSB1" t="str">
            <v>--</v>
          </cell>
          <cell r="JSC1" t="str">
            <v>--</v>
          </cell>
          <cell r="JSD1" t="str">
            <v>--</v>
          </cell>
          <cell r="JSE1" t="str">
            <v>--</v>
          </cell>
          <cell r="JSF1" t="str">
            <v>--</v>
          </cell>
          <cell r="JSG1" t="str">
            <v>--</v>
          </cell>
          <cell r="JSH1" t="str">
            <v>--</v>
          </cell>
          <cell r="JSI1" t="str">
            <v>--</v>
          </cell>
          <cell r="JSJ1" t="str">
            <v>--</v>
          </cell>
          <cell r="JSK1" t="str">
            <v>--</v>
          </cell>
          <cell r="JSL1" t="str">
            <v>--</v>
          </cell>
          <cell r="JSM1" t="str">
            <v>--</v>
          </cell>
          <cell r="JSN1" t="str">
            <v>--</v>
          </cell>
          <cell r="JSO1" t="str">
            <v>--</v>
          </cell>
          <cell r="JSP1" t="str">
            <v>--</v>
          </cell>
          <cell r="JSQ1" t="str">
            <v>--</v>
          </cell>
          <cell r="JSR1" t="str">
            <v>--</v>
          </cell>
          <cell r="JSS1" t="str">
            <v>--</v>
          </cell>
          <cell r="JST1" t="str">
            <v>--</v>
          </cell>
          <cell r="JSU1" t="str">
            <v>--</v>
          </cell>
          <cell r="JSV1" t="str">
            <v>--</v>
          </cell>
          <cell r="JSW1" t="str">
            <v>--</v>
          </cell>
          <cell r="JSX1" t="str">
            <v>--</v>
          </cell>
          <cell r="JSY1" t="str">
            <v>--</v>
          </cell>
          <cell r="JSZ1" t="str">
            <v>--</v>
          </cell>
          <cell r="JTA1" t="str">
            <v>--</v>
          </cell>
          <cell r="JTB1" t="str">
            <v>--</v>
          </cell>
          <cell r="JTC1" t="str">
            <v>--</v>
          </cell>
          <cell r="JTD1" t="str">
            <v>--</v>
          </cell>
          <cell r="JTE1" t="str">
            <v>--</v>
          </cell>
          <cell r="JTF1" t="str">
            <v>--</v>
          </cell>
          <cell r="JTG1" t="str">
            <v>--</v>
          </cell>
          <cell r="JTH1" t="str">
            <v>--</v>
          </cell>
          <cell r="JTI1" t="str">
            <v>--</v>
          </cell>
          <cell r="JTJ1" t="str">
            <v>--</v>
          </cell>
          <cell r="JTK1" t="str">
            <v>--</v>
          </cell>
          <cell r="JTL1" t="str">
            <v>--</v>
          </cell>
          <cell r="JTM1" t="str">
            <v>--</v>
          </cell>
          <cell r="JTN1" t="str">
            <v>--</v>
          </cell>
          <cell r="JTO1" t="str">
            <v>--</v>
          </cell>
          <cell r="JTP1" t="str">
            <v>--</v>
          </cell>
          <cell r="JTQ1" t="str">
            <v>--</v>
          </cell>
          <cell r="JTR1" t="str">
            <v>--</v>
          </cell>
          <cell r="JTS1" t="str">
            <v>--</v>
          </cell>
          <cell r="JTT1" t="str">
            <v>--</v>
          </cell>
          <cell r="JTU1" t="str">
            <v>--</v>
          </cell>
          <cell r="JTV1" t="str">
            <v>--</v>
          </cell>
          <cell r="JTW1" t="str">
            <v>--</v>
          </cell>
          <cell r="JTX1" t="str">
            <v>--</v>
          </cell>
          <cell r="JTY1" t="str">
            <v>--</v>
          </cell>
          <cell r="JTZ1" t="str">
            <v>--</v>
          </cell>
          <cell r="JUA1" t="str">
            <v>--</v>
          </cell>
          <cell r="JUB1" t="str">
            <v>--</v>
          </cell>
          <cell r="JUC1" t="str">
            <v>--</v>
          </cell>
          <cell r="JUD1" t="str">
            <v>--</v>
          </cell>
          <cell r="JUE1" t="str">
            <v>--</v>
          </cell>
          <cell r="JUF1" t="str">
            <v>--</v>
          </cell>
          <cell r="JUG1" t="str">
            <v>--</v>
          </cell>
          <cell r="JUH1" t="str">
            <v>--</v>
          </cell>
          <cell r="JUI1" t="str">
            <v>--</v>
          </cell>
          <cell r="JUJ1" t="str">
            <v>--</v>
          </cell>
          <cell r="JUK1" t="str">
            <v>--</v>
          </cell>
          <cell r="JUL1" t="str">
            <v>--</v>
          </cell>
          <cell r="JUM1" t="str">
            <v>--</v>
          </cell>
          <cell r="JUN1" t="str">
            <v>--</v>
          </cell>
          <cell r="JUO1" t="str">
            <v>--</v>
          </cell>
          <cell r="JUP1" t="str">
            <v>--</v>
          </cell>
          <cell r="JUQ1" t="str">
            <v>--</v>
          </cell>
          <cell r="JUR1" t="str">
            <v>--</v>
          </cell>
          <cell r="JUS1" t="str">
            <v>--</v>
          </cell>
          <cell r="JUT1" t="str">
            <v>--</v>
          </cell>
          <cell r="JUU1" t="str">
            <v>--</v>
          </cell>
          <cell r="JUV1" t="str">
            <v>--</v>
          </cell>
          <cell r="JUW1" t="str">
            <v>--</v>
          </cell>
          <cell r="JUX1" t="str">
            <v>--</v>
          </cell>
          <cell r="JUY1" t="str">
            <v>--</v>
          </cell>
          <cell r="JUZ1" t="str">
            <v>--</v>
          </cell>
          <cell r="JVA1" t="str">
            <v>--</v>
          </cell>
          <cell r="JVB1" t="str">
            <v>--</v>
          </cell>
          <cell r="JVC1" t="str">
            <v>--</v>
          </cell>
          <cell r="JVD1" t="str">
            <v>--</v>
          </cell>
          <cell r="JVE1" t="str">
            <v>--</v>
          </cell>
          <cell r="JVF1" t="str">
            <v>--</v>
          </cell>
          <cell r="JVG1" t="str">
            <v>--</v>
          </cell>
          <cell r="JVH1" t="str">
            <v>--</v>
          </cell>
          <cell r="JVI1" t="str">
            <v>--</v>
          </cell>
          <cell r="JVJ1" t="str">
            <v>--</v>
          </cell>
          <cell r="JVK1" t="str">
            <v>--</v>
          </cell>
          <cell r="JVL1" t="str">
            <v>--</v>
          </cell>
          <cell r="JVM1" t="str">
            <v>--</v>
          </cell>
          <cell r="JVN1" t="str">
            <v>--</v>
          </cell>
          <cell r="JVO1" t="str">
            <v>--</v>
          </cell>
          <cell r="JVP1" t="str">
            <v>--</v>
          </cell>
          <cell r="JVQ1" t="str">
            <v>--</v>
          </cell>
          <cell r="JVR1" t="str">
            <v>--</v>
          </cell>
          <cell r="JVS1" t="str">
            <v>--</v>
          </cell>
          <cell r="JVT1" t="str">
            <v>--</v>
          </cell>
          <cell r="JVU1" t="str">
            <v>--</v>
          </cell>
          <cell r="JVV1" t="str">
            <v>--</v>
          </cell>
          <cell r="JVW1" t="str">
            <v>--</v>
          </cell>
          <cell r="JVX1" t="str">
            <v>--</v>
          </cell>
          <cell r="JVY1" t="str">
            <v>--</v>
          </cell>
          <cell r="JVZ1" t="str">
            <v>--</v>
          </cell>
          <cell r="JWA1" t="str">
            <v>--</v>
          </cell>
          <cell r="JWB1" t="str">
            <v>--</v>
          </cell>
          <cell r="JWC1" t="str">
            <v>--</v>
          </cell>
          <cell r="JWD1" t="str">
            <v>--</v>
          </cell>
          <cell r="JWE1" t="str">
            <v>--</v>
          </cell>
          <cell r="JWF1" t="str">
            <v>--</v>
          </cell>
          <cell r="JWG1" t="str">
            <v>--</v>
          </cell>
          <cell r="JWH1" t="str">
            <v>--</v>
          </cell>
          <cell r="JWI1" t="str">
            <v>--</v>
          </cell>
          <cell r="JWJ1" t="str">
            <v>--</v>
          </cell>
          <cell r="JWK1" t="str">
            <v>--</v>
          </cell>
          <cell r="JWL1" t="str">
            <v>--</v>
          </cell>
          <cell r="JWM1" t="str">
            <v>--</v>
          </cell>
          <cell r="JWN1" t="str">
            <v>--</v>
          </cell>
          <cell r="JWO1" t="str">
            <v>--</v>
          </cell>
          <cell r="JWP1" t="str">
            <v>--</v>
          </cell>
          <cell r="JWQ1" t="str">
            <v>--</v>
          </cell>
          <cell r="JWR1" t="str">
            <v>--</v>
          </cell>
          <cell r="JWS1" t="str">
            <v>--</v>
          </cell>
          <cell r="JWT1" t="str">
            <v>--</v>
          </cell>
          <cell r="JWU1" t="str">
            <v>--</v>
          </cell>
          <cell r="JWV1" t="str">
            <v>--</v>
          </cell>
          <cell r="JWW1" t="str">
            <v>--</v>
          </cell>
          <cell r="JWX1" t="str">
            <v>--</v>
          </cell>
          <cell r="JWY1" t="str">
            <v>--</v>
          </cell>
          <cell r="JWZ1" t="str">
            <v>--</v>
          </cell>
          <cell r="JXA1" t="str">
            <v>--</v>
          </cell>
          <cell r="JXB1" t="str">
            <v>--</v>
          </cell>
          <cell r="JXC1" t="str">
            <v>--</v>
          </cell>
          <cell r="JXD1" t="str">
            <v>--</v>
          </cell>
          <cell r="JXE1" t="str">
            <v>--</v>
          </cell>
          <cell r="JXF1" t="str">
            <v>--</v>
          </cell>
          <cell r="JXG1" t="str">
            <v>--</v>
          </cell>
          <cell r="JXH1" t="str">
            <v>--</v>
          </cell>
          <cell r="JXI1" t="str">
            <v>--</v>
          </cell>
          <cell r="JXJ1" t="str">
            <v>--</v>
          </cell>
          <cell r="JXK1" t="str">
            <v>--</v>
          </cell>
          <cell r="JXL1" t="str">
            <v>--</v>
          </cell>
          <cell r="JXM1" t="str">
            <v>--</v>
          </cell>
          <cell r="JXN1" t="str">
            <v>--</v>
          </cell>
          <cell r="JXO1" t="str">
            <v>--</v>
          </cell>
          <cell r="JXP1" t="str">
            <v>--</v>
          </cell>
          <cell r="JXQ1" t="str">
            <v>--</v>
          </cell>
          <cell r="JXR1" t="str">
            <v>--</v>
          </cell>
          <cell r="JXS1" t="str">
            <v>--</v>
          </cell>
          <cell r="JXT1" t="str">
            <v>--</v>
          </cell>
          <cell r="JXU1" t="str">
            <v>--</v>
          </cell>
          <cell r="JXV1" t="str">
            <v>--</v>
          </cell>
          <cell r="JXW1" t="str">
            <v>--</v>
          </cell>
          <cell r="JXX1" t="str">
            <v>--</v>
          </cell>
          <cell r="JXY1" t="str">
            <v>--</v>
          </cell>
          <cell r="JXZ1" t="str">
            <v>--</v>
          </cell>
          <cell r="JYA1" t="str">
            <v>--</v>
          </cell>
          <cell r="JYB1" t="str">
            <v>--</v>
          </cell>
          <cell r="JYC1" t="str">
            <v>--</v>
          </cell>
          <cell r="JYD1" t="str">
            <v>--</v>
          </cell>
          <cell r="JYE1" t="str">
            <v>--</v>
          </cell>
          <cell r="JYF1" t="str">
            <v>--</v>
          </cell>
          <cell r="JYG1" t="str">
            <v>--</v>
          </cell>
          <cell r="JYH1" t="str">
            <v>--</v>
          </cell>
          <cell r="JYI1" t="str">
            <v>--</v>
          </cell>
          <cell r="JYJ1" t="str">
            <v>--</v>
          </cell>
          <cell r="JYK1" t="str">
            <v>--</v>
          </cell>
          <cell r="JYL1" t="str">
            <v>--</v>
          </cell>
          <cell r="JYM1" t="str">
            <v>--</v>
          </cell>
          <cell r="JYN1" t="str">
            <v>--</v>
          </cell>
          <cell r="JYO1" t="str">
            <v>--</v>
          </cell>
          <cell r="JYP1" t="str">
            <v>--</v>
          </cell>
          <cell r="JYQ1" t="str">
            <v>--</v>
          </cell>
          <cell r="JYR1" t="str">
            <v>--</v>
          </cell>
          <cell r="JYS1" t="str">
            <v>--</v>
          </cell>
          <cell r="JYT1" t="str">
            <v>--</v>
          </cell>
          <cell r="JYU1" t="str">
            <v>--</v>
          </cell>
          <cell r="JYV1" t="str">
            <v>--</v>
          </cell>
          <cell r="JYW1" t="str">
            <v>--</v>
          </cell>
          <cell r="JYX1" t="str">
            <v>--</v>
          </cell>
          <cell r="JYY1" t="str">
            <v>--</v>
          </cell>
          <cell r="JYZ1" t="str">
            <v>--</v>
          </cell>
          <cell r="JZA1" t="str">
            <v>--</v>
          </cell>
          <cell r="JZB1" t="str">
            <v>--</v>
          </cell>
          <cell r="JZC1" t="str">
            <v>--</v>
          </cell>
          <cell r="JZD1" t="str">
            <v>--</v>
          </cell>
          <cell r="JZE1" t="str">
            <v>--</v>
          </cell>
          <cell r="JZF1" t="str">
            <v>--</v>
          </cell>
          <cell r="JZG1" t="str">
            <v>--</v>
          </cell>
          <cell r="JZH1" t="str">
            <v>--</v>
          </cell>
          <cell r="JZI1" t="str">
            <v>--</v>
          </cell>
          <cell r="JZJ1" t="str">
            <v>--</v>
          </cell>
          <cell r="JZK1" t="str">
            <v>--</v>
          </cell>
          <cell r="JZL1" t="str">
            <v>--</v>
          </cell>
          <cell r="JZM1" t="str">
            <v>--</v>
          </cell>
          <cell r="JZN1" t="str">
            <v>--</v>
          </cell>
          <cell r="JZO1" t="str">
            <v>--</v>
          </cell>
          <cell r="JZP1" t="str">
            <v>--</v>
          </cell>
          <cell r="JZQ1" t="str">
            <v>--</v>
          </cell>
          <cell r="JZR1" t="str">
            <v>--</v>
          </cell>
          <cell r="JZS1" t="str">
            <v>--</v>
          </cell>
          <cell r="JZT1" t="str">
            <v>--</v>
          </cell>
          <cell r="JZU1" t="str">
            <v>--</v>
          </cell>
          <cell r="JZV1" t="str">
            <v>--</v>
          </cell>
          <cell r="JZW1" t="str">
            <v>--</v>
          </cell>
          <cell r="JZX1" t="str">
            <v>--</v>
          </cell>
          <cell r="JZY1" t="str">
            <v>--</v>
          </cell>
          <cell r="JZZ1" t="str">
            <v>--</v>
          </cell>
          <cell r="KAA1" t="str">
            <v>--</v>
          </cell>
          <cell r="KAB1" t="str">
            <v>--</v>
          </cell>
          <cell r="KAC1" t="str">
            <v>--</v>
          </cell>
          <cell r="KAD1" t="str">
            <v>--</v>
          </cell>
          <cell r="KAE1" t="str">
            <v>--</v>
          </cell>
          <cell r="KAF1" t="str">
            <v>--</v>
          </cell>
          <cell r="KAG1" t="str">
            <v>--</v>
          </cell>
          <cell r="KAH1" t="str">
            <v>--</v>
          </cell>
          <cell r="KAI1" t="str">
            <v>--</v>
          </cell>
          <cell r="KAJ1" t="str">
            <v>--</v>
          </cell>
          <cell r="KAK1" t="str">
            <v>--</v>
          </cell>
          <cell r="KAL1" t="str">
            <v>--</v>
          </cell>
          <cell r="KAM1" t="str">
            <v>--</v>
          </cell>
          <cell r="KAN1" t="str">
            <v>--</v>
          </cell>
          <cell r="KAO1" t="str">
            <v>--</v>
          </cell>
          <cell r="KAP1" t="str">
            <v>--</v>
          </cell>
          <cell r="KAQ1" t="str">
            <v>--</v>
          </cell>
          <cell r="KAR1" t="str">
            <v>--</v>
          </cell>
          <cell r="KAS1" t="str">
            <v>--</v>
          </cell>
          <cell r="KAT1" t="str">
            <v>--</v>
          </cell>
          <cell r="KAU1" t="str">
            <v>--</v>
          </cell>
          <cell r="KAV1" t="str">
            <v>--</v>
          </cell>
          <cell r="KAW1" t="str">
            <v>--</v>
          </cell>
          <cell r="KAX1" t="str">
            <v>--</v>
          </cell>
          <cell r="KAY1" t="str">
            <v>--</v>
          </cell>
          <cell r="KAZ1" t="str">
            <v>--</v>
          </cell>
          <cell r="KBA1" t="str">
            <v>--</v>
          </cell>
          <cell r="KBB1" t="str">
            <v>--</v>
          </cell>
          <cell r="KBC1" t="str">
            <v>--</v>
          </cell>
          <cell r="KBD1" t="str">
            <v>--</v>
          </cell>
          <cell r="KBE1" t="str">
            <v>--</v>
          </cell>
          <cell r="KBF1" t="str">
            <v>--</v>
          </cell>
          <cell r="KBG1" t="str">
            <v>--</v>
          </cell>
          <cell r="KBH1" t="str">
            <v>--</v>
          </cell>
          <cell r="KBI1" t="str">
            <v>--</v>
          </cell>
          <cell r="KBJ1" t="str">
            <v>--</v>
          </cell>
          <cell r="KBK1" t="str">
            <v>--</v>
          </cell>
          <cell r="KBL1" t="str">
            <v>--</v>
          </cell>
          <cell r="KBM1" t="str">
            <v>--</v>
          </cell>
          <cell r="KBN1" t="str">
            <v>--</v>
          </cell>
          <cell r="KBO1" t="str">
            <v>--</v>
          </cell>
          <cell r="KBP1" t="str">
            <v>--</v>
          </cell>
          <cell r="KBQ1" t="str">
            <v>--</v>
          </cell>
          <cell r="KBR1" t="str">
            <v>--</v>
          </cell>
          <cell r="KBS1" t="str">
            <v>--</v>
          </cell>
          <cell r="KBT1" t="str">
            <v>--</v>
          </cell>
          <cell r="KBU1" t="str">
            <v>--</v>
          </cell>
          <cell r="KBV1" t="str">
            <v>--</v>
          </cell>
          <cell r="KBW1" t="str">
            <v>--</v>
          </cell>
          <cell r="KBX1" t="str">
            <v>--</v>
          </cell>
          <cell r="KBY1" t="str">
            <v>--</v>
          </cell>
          <cell r="KBZ1" t="str">
            <v>--</v>
          </cell>
          <cell r="KCA1" t="str">
            <v>--</v>
          </cell>
          <cell r="KCB1" t="str">
            <v>--</v>
          </cell>
          <cell r="KCC1" t="str">
            <v>--</v>
          </cell>
          <cell r="KCD1" t="str">
            <v>--</v>
          </cell>
          <cell r="KCE1" t="str">
            <v>--</v>
          </cell>
          <cell r="KCF1" t="str">
            <v>--</v>
          </cell>
          <cell r="KCG1" t="str">
            <v>--</v>
          </cell>
          <cell r="KCH1" t="str">
            <v>--</v>
          </cell>
          <cell r="KCI1" t="str">
            <v>--</v>
          </cell>
          <cell r="KCJ1" t="str">
            <v>--</v>
          </cell>
          <cell r="KCK1" t="str">
            <v>--</v>
          </cell>
          <cell r="KCL1" t="str">
            <v>--</v>
          </cell>
          <cell r="KCM1" t="str">
            <v>--</v>
          </cell>
          <cell r="KCN1" t="str">
            <v>--</v>
          </cell>
          <cell r="KCO1" t="str">
            <v>--</v>
          </cell>
          <cell r="KCP1" t="str">
            <v>--</v>
          </cell>
          <cell r="KCQ1" t="str">
            <v>--</v>
          </cell>
          <cell r="KCR1" t="str">
            <v>--</v>
          </cell>
          <cell r="KCS1" t="str">
            <v>--</v>
          </cell>
          <cell r="KCT1" t="str">
            <v>--</v>
          </cell>
          <cell r="KCU1" t="str">
            <v>--</v>
          </cell>
          <cell r="KCV1" t="str">
            <v>--</v>
          </cell>
          <cell r="KCW1" t="str">
            <v>--</v>
          </cell>
          <cell r="KCX1" t="str">
            <v>--</v>
          </cell>
          <cell r="KCY1" t="str">
            <v>--</v>
          </cell>
          <cell r="KCZ1" t="str">
            <v>--</v>
          </cell>
          <cell r="KDA1" t="str">
            <v>--</v>
          </cell>
          <cell r="KDB1" t="str">
            <v>--</v>
          </cell>
          <cell r="KDC1" t="str">
            <v>--</v>
          </cell>
          <cell r="KDD1" t="str">
            <v>--</v>
          </cell>
          <cell r="KDE1" t="str">
            <v>--</v>
          </cell>
          <cell r="KDF1" t="str">
            <v>--</v>
          </cell>
          <cell r="KDG1" t="str">
            <v>--</v>
          </cell>
          <cell r="KDH1" t="str">
            <v>--</v>
          </cell>
          <cell r="KDI1" t="str">
            <v>--</v>
          </cell>
          <cell r="KDJ1" t="str">
            <v>--</v>
          </cell>
          <cell r="KDK1" t="str">
            <v>--</v>
          </cell>
          <cell r="KDL1" t="str">
            <v>--</v>
          </cell>
          <cell r="KDM1" t="str">
            <v>--</v>
          </cell>
          <cell r="KDN1" t="str">
            <v>--</v>
          </cell>
          <cell r="KDO1" t="str">
            <v>--</v>
          </cell>
          <cell r="KDP1" t="str">
            <v>--</v>
          </cell>
          <cell r="KDQ1" t="str">
            <v>--</v>
          </cell>
          <cell r="KDR1" t="str">
            <v>--</v>
          </cell>
          <cell r="KDS1" t="str">
            <v>--</v>
          </cell>
          <cell r="KDT1" t="str">
            <v>--</v>
          </cell>
          <cell r="KDU1" t="str">
            <v>--</v>
          </cell>
          <cell r="KDV1" t="str">
            <v>--</v>
          </cell>
          <cell r="KDW1" t="str">
            <v>--</v>
          </cell>
          <cell r="KDX1" t="str">
            <v>--</v>
          </cell>
          <cell r="KDY1" t="str">
            <v>--</v>
          </cell>
          <cell r="KDZ1" t="str">
            <v>--</v>
          </cell>
          <cell r="KEA1" t="str">
            <v>--</v>
          </cell>
          <cell r="KEB1" t="str">
            <v>--</v>
          </cell>
          <cell r="KEC1" t="str">
            <v>--</v>
          </cell>
          <cell r="KED1" t="str">
            <v>--</v>
          </cell>
          <cell r="KEE1" t="str">
            <v>--</v>
          </cell>
          <cell r="KEF1" t="str">
            <v>--</v>
          </cell>
          <cell r="KEG1" t="str">
            <v>--</v>
          </cell>
          <cell r="KEH1" t="str">
            <v>--</v>
          </cell>
          <cell r="KEI1" t="str">
            <v>--</v>
          </cell>
          <cell r="KEJ1" t="str">
            <v>--</v>
          </cell>
          <cell r="KEK1" t="str">
            <v>--</v>
          </cell>
          <cell r="KEL1" t="str">
            <v>--</v>
          </cell>
          <cell r="KEM1" t="str">
            <v>--</v>
          </cell>
          <cell r="KEN1" t="str">
            <v>--</v>
          </cell>
          <cell r="KEO1" t="str">
            <v>--</v>
          </cell>
          <cell r="KEP1" t="str">
            <v>--</v>
          </cell>
          <cell r="KEQ1" t="str">
            <v>--</v>
          </cell>
          <cell r="KER1" t="str">
            <v>--</v>
          </cell>
          <cell r="KES1" t="str">
            <v>--</v>
          </cell>
          <cell r="KET1" t="str">
            <v>--</v>
          </cell>
          <cell r="KEU1" t="str">
            <v>--</v>
          </cell>
          <cell r="KEV1" t="str">
            <v>--</v>
          </cell>
          <cell r="KEW1" t="str">
            <v>--</v>
          </cell>
          <cell r="KEX1" t="str">
            <v>--</v>
          </cell>
          <cell r="KEY1" t="str">
            <v>--</v>
          </cell>
          <cell r="KEZ1" t="str">
            <v>--</v>
          </cell>
          <cell r="KFA1" t="str">
            <v>--</v>
          </cell>
          <cell r="KFB1" t="str">
            <v>--</v>
          </cell>
          <cell r="KFC1" t="str">
            <v>--</v>
          </cell>
          <cell r="KFD1" t="str">
            <v>--</v>
          </cell>
          <cell r="KFE1" t="str">
            <v>--</v>
          </cell>
          <cell r="KFF1" t="str">
            <v>--</v>
          </cell>
          <cell r="KFG1" t="str">
            <v>--</v>
          </cell>
          <cell r="KFH1" t="str">
            <v>--</v>
          </cell>
          <cell r="KFI1" t="str">
            <v>--</v>
          </cell>
          <cell r="KFJ1" t="str">
            <v>--</v>
          </cell>
          <cell r="KFK1" t="str">
            <v>--</v>
          </cell>
          <cell r="KFL1" t="str">
            <v>--</v>
          </cell>
          <cell r="KFM1" t="str">
            <v>--</v>
          </cell>
          <cell r="KFN1" t="str">
            <v>--</v>
          </cell>
          <cell r="KFO1" t="str">
            <v>--</v>
          </cell>
          <cell r="KFP1" t="str">
            <v>--</v>
          </cell>
          <cell r="KFQ1" t="str">
            <v>--</v>
          </cell>
          <cell r="KFR1" t="str">
            <v>--</v>
          </cell>
          <cell r="KFS1" t="str">
            <v>--</v>
          </cell>
          <cell r="KFT1" t="str">
            <v>--</v>
          </cell>
          <cell r="KFU1" t="str">
            <v>--</v>
          </cell>
          <cell r="KFV1" t="str">
            <v>--</v>
          </cell>
          <cell r="KFW1" t="str">
            <v>--</v>
          </cell>
          <cell r="KFX1" t="str">
            <v>--</v>
          </cell>
          <cell r="KFY1" t="str">
            <v>--</v>
          </cell>
          <cell r="KFZ1" t="str">
            <v>--</v>
          </cell>
          <cell r="KGA1" t="str">
            <v>--</v>
          </cell>
          <cell r="KGB1" t="str">
            <v>--</v>
          </cell>
          <cell r="KGC1" t="str">
            <v>--</v>
          </cell>
          <cell r="KGD1" t="str">
            <v>--</v>
          </cell>
          <cell r="KGE1" t="str">
            <v>--</v>
          </cell>
          <cell r="KGF1" t="str">
            <v>--</v>
          </cell>
          <cell r="KGG1" t="str">
            <v>--</v>
          </cell>
          <cell r="KGH1" t="str">
            <v>--</v>
          </cell>
          <cell r="KGI1" t="str">
            <v>--</v>
          </cell>
          <cell r="KGJ1" t="str">
            <v>--</v>
          </cell>
          <cell r="KGK1" t="str">
            <v>--</v>
          </cell>
          <cell r="KGL1" t="str">
            <v>--</v>
          </cell>
          <cell r="KGM1" t="str">
            <v>--</v>
          </cell>
          <cell r="KGN1" t="str">
            <v>--</v>
          </cell>
          <cell r="KGO1" t="str">
            <v>--</v>
          </cell>
          <cell r="KGP1" t="str">
            <v>--</v>
          </cell>
          <cell r="KGQ1" t="str">
            <v>--</v>
          </cell>
          <cell r="KGR1" t="str">
            <v>--</v>
          </cell>
          <cell r="KGS1" t="str">
            <v>--</v>
          </cell>
          <cell r="KGT1" t="str">
            <v>--</v>
          </cell>
          <cell r="KGU1" t="str">
            <v>--</v>
          </cell>
          <cell r="KGV1" t="str">
            <v>--</v>
          </cell>
          <cell r="KGW1" t="str">
            <v>--</v>
          </cell>
          <cell r="KGX1" t="str">
            <v>--</v>
          </cell>
          <cell r="KGY1" t="str">
            <v>--</v>
          </cell>
          <cell r="KGZ1" t="str">
            <v>--</v>
          </cell>
          <cell r="KHA1" t="str">
            <v>--</v>
          </cell>
          <cell r="KHB1" t="str">
            <v>--</v>
          </cell>
          <cell r="KHC1" t="str">
            <v>--</v>
          </cell>
          <cell r="KHD1" t="str">
            <v>--</v>
          </cell>
          <cell r="KHE1" t="str">
            <v>--</v>
          </cell>
          <cell r="KHF1" t="str">
            <v>--</v>
          </cell>
          <cell r="KHG1" t="str">
            <v>--</v>
          </cell>
          <cell r="KHH1" t="str">
            <v>--</v>
          </cell>
          <cell r="KHI1" t="str">
            <v>--</v>
          </cell>
          <cell r="KHJ1" t="str">
            <v>--</v>
          </cell>
          <cell r="KHK1" t="str">
            <v>--</v>
          </cell>
          <cell r="KHL1" t="str">
            <v>--</v>
          </cell>
          <cell r="KHM1" t="str">
            <v>--</v>
          </cell>
          <cell r="KHN1" t="str">
            <v>--</v>
          </cell>
          <cell r="KHO1" t="str">
            <v>--</v>
          </cell>
          <cell r="KHP1" t="str">
            <v>--</v>
          </cell>
          <cell r="KHQ1" t="str">
            <v>--</v>
          </cell>
          <cell r="KHR1" t="str">
            <v>--</v>
          </cell>
          <cell r="KHS1" t="str">
            <v>--</v>
          </cell>
          <cell r="KHT1" t="str">
            <v>--</v>
          </cell>
          <cell r="KHU1" t="str">
            <v>--</v>
          </cell>
          <cell r="KHV1" t="str">
            <v>--</v>
          </cell>
          <cell r="KHW1" t="str">
            <v>--</v>
          </cell>
          <cell r="KHX1" t="str">
            <v>--</v>
          </cell>
          <cell r="KHY1" t="str">
            <v>--</v>
          </cell>
          <cell r="KHZ1" t="str">
            <v>--</v>
          </cell>
          <cell r="KIA1" t="str">
            <v>--</v>
          </cell>
          <cell r="KIB1" t="str">
            <v>--</v>
          </cell>
          <cell r="KIC1" t="str">
            <v>--</v>
          </cell>
          <cell r="KID1" t="str">
            <v>--</v>
          </cell>
          <cell r="KIE1" t="str">
            <v>--</v>
          </cell>
          <cell r="KIF1" t="str">
            <v>--</v>
          </cell>
          <cell r="KIG1" t="str">
            <v>--</v>
          </cell>
          <cell r="KIH1" t="str">
            <v>--</v>
          </cell>
          <cell r="KII1" t="str">
            <v>--</v>
          </cell>
          <cell r="KIJ1" t="str">
            <v>--</v>
          </cell>
          <cell r="KIK1" t="str">
            <v>--</v>
          </cell>
          <cell r="KIL1" t="str">
            <v>--</v>
          </cell>
          <cell r="KIM1" t="str">
            <v>--</v>
          </cell>
          <cell r="KIN1" t="str">
            <v>--</v>
          </cell>
          <cell r="KIO1" t="str">
            <v>--</v>
          </cell>
          <cell r="KIP1" t="str">
            <v>--</v>
          </cell>
          <cell r="KIQ1" t="str">
            <v>--</v>
          </cell>
          <cell r="KIR1" t="str">
            <v>--</v>
          </cell>
          <cell r="KIS1" t="str">
            <v>--</v>
          </cell>
          <cell r="KIT1" t="str">
            <v>--</v>
          </cell>
          <cell r="KIU1" t="str">
            <v>--</v>
          </cell>
          <cell r="KIV1" t="str">
            <v>--</v>
          </cell>
          <cell r="KIW1" t="str">
            <v>--</v>
          </cell>
          <cell r="KIX1" t="str">
            <v>--</v>
          </cell>
          <cell r="KIY1" t="str">
            <v>--</v>
          </cell>
          <cell r="KIZ1" t="str">
            <v>--</v>
          </cell>
          <cell r="KJA1" t="str">
            <v>--</v>
          </cell>
          <cell r="KJB1" t="str">
            <v>--</v>
          </cell>
          <cell r="KJC1" t="str">
            <v>--</v>
          </cell>
          <cell r="KJD1" t="str">
            <v>--</v>
          </cell>
          <cell r="KJE1" t="str">
            <v>--</v>
          </cell>
          <cell r="KJF1" t="str">
            <v>--</v>
          </cell>
          <cell r="KJG1" t="str">
            <v>--</v>
          </cell>
          <cell r="KJH1" t="str">
            <v>--</v>
          </cell>
          <cell r="KJI1" t="str">
            <v>--</v>
          </cell>
          <cell r="KJJ1" t="str">
            <v>--</v>
          </cell>
          <cell r="KJK1" t="str">
            <v>--</v>
          </cell>
          <cell r="KJL1" t="str">
            <v>--</v>
          </cell>
          <cell r="KJM1" t="str">
            <v>--</v>
          </cell>
          <cell r="KJN1" t="str">
            <v>--</v>
          </cell>
          <cell r="KJO1" t="str">
            <v>--</v>
          </cell>
          <cell r="KJP1" t="str">
            <v>--</v>
          </cell>
          <cell r="KJQ1" t="str">
            <v>--</v>
          </cell>
          <cell r="KJR1" t="str">
            <v>--</v>
          </cell>
          <cell r="KJS1" t="str">
            <v>--</v>
          </cell>
          <cell r="KJT1" t="str">
            <v>--</v>
          </cell>
          <cell r="KJU1" t="str">
            <v>--</v>
          </cell>
          <cell r="KJV1" t="str">
            <v>--</v>
          </cell>
          <cell r="KJW1" t="str">
            <v>--</v>
          </cell>
          <cell r="KJX1" t="str">
            <v>--</v>
          </cell>
          <cell r="KJY1" t="str">
            <v>--</v>
          </cell>
          <cell r="KJZ1" t="str">
            <v>--</v>
          </cell>
          <cell r="KKA1" t="str">
            <v>--</v>
          </cell>
          <cell r="KKB1" t="str">
            <v>--</v>
          </cell>
          <cell r="KKC1" t="str">
            <v>--</v>
          </cell>
          <cell r="KKD1" t="str">
            <v>--</v>
          </cell>
          <cell r="KKE1" t="str">
            <v>--</v>
          </cell>
          <cell r="KKF1" t="str">
            <v>--</v>
          </cell>
          <cell r="KKG1" t="str">
            <v>--</v>
          </cell>
          <cell r="KKH1" t="str">
            <v>--</v>
          </cell>
          <cell r="KKI1" t="str">
            <v>--</v>
          </cell>
          <cell r="KKJ1" t="str">
            <v>--</v>
          </cell>
          <cell r="KKK1" t="str">
            <v>--</v>
          </cell>
          <cell r="KKL1" t="str">
            <v>--</v>
          </cell>
          <cell r="KKM1" t="str">
            <v>--</v>
          </cell>
          <cell r="KKN1" t="str">
            <v>--</v>
          </cell>
          <cell r="KKO1" t="str">
            <v>--</v>
          </cell>
          <cell r="KKP1" t="str">
            <v>--</v>
          </cell>
          <cell r="KKQ1" t="str">
            <v>--</v>
          </cell>
          <cell r="KKR1" t="str">
            <v>--</v>
          </cell>
          <cell r="KKS1" t="str">
            <v>--</v>
          </cell>
          <cell r="KKT1" t="str">
            <v>--</v>
          </cell>
          <cell r="KKU1" t="str">
            <v>--</v>
          </cell>
          <cell r="KKV1" t="str">
            <v>--</v>
          </cell>
          <cell r="KKW1" t="str">
            <v>--</v>
          </cell>
          <cell r="KKX1" t="str">
            <v>--</v>
          </cell>
          <cell r="KKY1" t="str">
            <v>--</v>
          </cell>
          <cell r="KKZ1" t="str">
            <v>--</v>
          </cell>
          <cell r="KLA1" t="str">
            <v>--</v>
          </cell>
          <cell r="KLB1" t="str">
            <v>--</v>
          </cell>
          <cell r="KLC1" t="str">
            <v>--</v>
          </cell>
          <cell r="KLD1" t="str">
            <v>--</v>
          </cell>
          <cell r="KLE1" t="str">
            <v>--</v>
          </cell>
          <cell r="KLF1" t="str">
            <v>--</v>
          </cell>
          <cell r="KLG1" t="str">
            <v>--</v>
          </cell>
          <cell r="KLH1" t="str">
            <v>--</v>
          </cell>
          <cell r="KLI1" t="str">
            <v>--</v>
          </cell>
          <cell r="KLJ1" t="str">
            <v>--</v>
          </cell>
          <cell r="KLK1" t="str">
            <v>--</v>
          </cell>
          <cell r="KLL1" t="str">
            <v>--</v>
          </cell>
          <cell r="KLM1" t="str">
            <v>--</v>
          </cell>
          <cell r="KLN1" t="str">
            <v>--</v>
          </cell>
          <cell r="KLO1" t="str">
            <v>--</v>
          </cell>
          <cell r="KLP1" t="str">
            <v>--</v>
          </cell>
          <cell r="KLQ1" t="str">
            <v>--</v>
          </cell>
          <cell r="KLR1" t="str">
            <v>--</v>
          </cell>
          <cell r="KLS1" t="str">
            <v>--</v>
          </cell>
          <cell r="KLT1" t="str">
            <v>--</v>
          </cell>
          <cell r="KLU1" t="str">
            <v>--</v>
          </cell>
          <cell r="KLV1" t="str">
            <v>--</v>
          </cell>
          <cell r="KLW1" t="str">
            <v>--</v>
          </cell>
          <cell r="KLX1" t="str">
            <v>--</v>
          </cell>
          <cell r="KLY1" t="str">
            <v>--</v>
          </cell>
          <cell r="KLZ1" t="str">
            <v>--</v>
          </cell>
          <cell r="KMA1" t="str">
            <v>--</v>
          </cell>
          <cell r="KMB1" t="str">
            <v>--</v>
          </cell>
          <cell r="KMC1" t="str">
            <v>--</v>
          </cell>
          <cell r="KMD1" t="str">
            <v>--</v>
          </cell>
          <cell r="KME1" t="str">
            <v>--</v>
          </cell>
          <cell r="KMF1" t="str">
            <v>--</v>
          </cell>
          <cell r="KMG1" t="str">
            <v>--</v>
          </cell>
          <cell r="KMH1" t="str">
            <v>--</v>
          </cell>
          <cell r="KMI1" t="str">
            <v>--</v>
          </cell>
          <cell r="KMJ1" t="str">
            <v>--</v>
          </cell>
          <cell r="KMK1" t="str">
            <v>--</v>
          </cell>
          <cell r="KML1" t="str">
            <v>--</v>
          </cell>
          <cell r="KMM1" t="str">
            <v>--</v>
          </cell>
          <cell r="KMN1" t="str">
            <v>--</v>
          </cell>
          <cell r="KMO1" t="str">
            <v>--</v>
          </cell>
          <cell r="KMP1" t="str">
            <v>--</v>
          </cell>
          <cell r="KMQ1" t="str">
            <v>--</v>
          </cell>
          <cell r="KMR1" t="str">
            <v>--</v>
          </cell>
          <cell r="KMS1" t="str">
            <v>--</v>
          </cell>
          <cell r="KMT1" t="str">
            <v>--</v>
          </cell>
          <cell r="KMU1" t="str">
            <v>--</v>
          </cell>
          <cell r="KMV1" t="str">
            <v>--</v>
          </cell>
          <cell r="KMW1" t="str">
            <v>--</v>
          </cell>
          <cell r="KMX1" t="str">
            <v>--</v>
          </cell>
          <cell r="KMY1" t="str">
            <v>--</v>
          </cell>
          <cell r="KMZ1" t="str">
            <v>--</v>
          </cell>
          <cell r="KNA1" t="str">
            <v>--</v>
          </cell>
          <cell r="KNB1" t="str">
            <v>--</v>
          </cell>
          <cell r="KNC1" t="str">
            <v>--</v>
          </cell>
          <cell r="KND1" t="str">
            <v>--</v>
          </cell>
          <cell r="KNE1" t="str">
            <v>--</v>
          </cell>
          <cell r="KNF1" t="str">
            <v>--</v>
          </cell>
          <cell r="KNG1" t="str">
            <v>--</v>
          </cell>
          <cell r="KNH1" t="str">
            <v>--</v>
          </cell>
          <cell r="KNI1" t="str">
            <v>--</v>
          </cell>
          <cell r="KNJ1" t="str">
            <v>--</v>
          </cell>
          <cell r="KNK1" t="str">
            <v>--</v>
          </cell>
          <cell r="KNL1" t="str">
            <v>--</v>
          </cell>
          <cell r="KNM1" t="str">
            <v>--</v>
          </cell>
          <cell r="KNN1" t="str">
            <v>--</v>
          </cell>
          <cell r="KNO1" t="str">
            <v>--</v>
          </cell>
          <cell r="KNP1" t="str">
            <v>--</v>
          </cell>
          <cell r="KNQ1" t="str">
            <v>--</v>
          </cell>
          <cell r="KNR1" t="str">
            <v>--</v>
          </cell>
          <cell r="KNS1" t="str">
            <v>--</v>
          </cell>
          <cell r="KNT1" t="str">
            <v>--</v>
          </cell>
          <cell r="KNU1" t="str">
            <v>--</v>
          </cell>
          <cell r="KNV1" t="str">
            <v>--</v>
          </cell>
          <cell r="KNW1" t="str">
            <v>--</v>
          </cell>
          <cell r="KNX1" t="str">
            <v>--</v>
          </cell>
          <cell r="KNY1" t="str">
            <v>--</v>
          </cell>
          <cell r="KNZ1" t="str">
            <v>--</v>
          </cell>
          <cell r="KOA1" t="str">
            <v>--</v>
          </cell>
          <cell r="KOB1" t="str">
            <v>--</v>
          </cell>
          <cell r="KOC1" t="str">
            <v>--</v>
          </cell>
          <cell r="KOD1" t="str">
            <v>--</v>
          </cell>
          <cell r="KOE1" t="str">
            <v>--</v>
          </cell>
          <cell r="KOF1" t="str">
            <v>--</v>
          </cell>
          <cell r="KOG1" t="str">
            <v>--</v>
          </cell>
          <cell r="KOH1" t="str">
            <v>--</v>
          </cell>
          <cell r="KOI1" t="str">
            <v>--</v>
          </cell>
          <cell r="KOJ1" t="str">
            <v>--</v>
          </cell>
          <cell r="KOK1" t="str">
            <v>--</v>
          </cell>
          <cell r="KOL1" t="str">
            <v>--</v>
          </cell>
          <cell r="KOM1" t="str">
            <v>--</v>
          </cell>
          <cell r="KON1" t="str">
            <v>--</v>
          </cell>
          <cell r="KOO1" t="str">
            <v>--</v>
          </cell>
          <cell r="KOP1" t="str">
            <v>--</v>
          </cell>
          <cell r="KOQ1" t="str">
            <v>--</v>
          </cell>
          <cell r="KOR1" t="str">
            <v>--</v>
          </cell>
          <cell r="KOS1" t="str">
            <v>--</v>
          </cell>
          <cell r="KOT1" t="str">
            <v>--</v>
          </cell>
          <cell r="KOU1" t="str">
            <v>--</v>
          </cell>
          <cell r="KOV1" t="str">
            <v>--</v>
          </cell>
          <cell r="KOW1" t="str">
            <v>--</v>
          </cell>
          <cell r="KOX1" t="str">
            <v>--</v>
          </cell>
          <cell r="KOY1" t="str">
            <v>--</v>
          </cell>
          <cell r="KOZ1" t="str">
            <v>--</v>
          </cell>
          <cell r="KPA1" t="str">
            <v>--</v>
          </cell>
          <cell r="KPB1" t="str">
            <v>--</v>
          </cell>
          <cell r="KPC1" t="str">
            <v>--</v>
          </cell>
          <cell r="KPD1" t="str">
            <v>--</v>
          </cell>
          <cell r="KPE1" t="str">
            <v>--</v>
          </cell>
          <cell r="KPF1" t="str">
            <v>--</v>
          </cell>
          <cell r="KPG1" t="str">
            <v>--</v>
          </cell>
          <cell r="KPH1" t="str">
            <v>--</v>
          </cell>
          <cell r="KPI1" t="str">
            <v>--</v>
          </cell>
          <cell r="KPJ1" t="str">
            <v>--</v>
          </cell>
          <cell r="KPK1" t="str">
            <v>--</v>
          </cell>
          <cell r="KPL1" t="str">
            <v>--</v>
          </cell>
          <cell r="KPM1" t="str">
            <v>--</v>
          </cell>
          <cell r="KPN1" t="str">
            <v>--</v>
          </cell>
          <cell r="KPO1" t="str">
            <v>--</v>
          </cell>
          <cell r="KPP1" t="str">
            <v>--</v>
          </cell>
          <cell r="KPQ1" t="str">
            <v>--</v>
          </cell>
          <cell r="KPR1" t="str">
            <v>--</v>
          </cell>
          <cell r="KPS1" t="str">
            <v>--</v>
          </cell>
          <cell r="KPT1" t="str">
            <v>--</v>
          </cell>
          <cell r="KPU1" t="str">
            <v>--</v>
          </cell>
          <cell r="KPV1" t="str">
            <v>--</v>
          </cell>
          <cell r="KPW1" t="str">
            <v>--</v>
          </cell>
          <cell r="KPX1" t="str">
            <v>--</v>
          </cell>
          <cell r="KPY1" t="str">
            <v>--</v>
          </cell>
          <cell r="KPZ1" t="str">
            <v>--</v>
          </cell>
          <cell r="KQA1" t="str">
            <v>--</v>
          </cell>
          <cell r="KQB1" t="str">
            <v>--</v>
          </cell>
          <cell r="KQC1" t="str">
            <v>--</v>
          </cell>
          <cell r="KQD1" t="str">
            <v>--</v>
          </cell>
          <cell r="KQE1" t="str">
            <v>--</v>
          </cell>
          <cell r="KQF1" t="str">
            <v>--</v>
          </cell>
          <cell r="KQG1" t="str">
            <v>--</v>
          </cell>
          <cell r="KQH1" t="str">
            <v>--</v>
          </cell>
          <cell r="KQI1" t="str">
            <v>--</v>
          </cell>
          <cell r="KQJ1" t="str">
            <v>--</v>
          </cell>
          <cell r="KQK1" t="str">
            <v>--</v>
          </cell>
          <cell r="KQL1" t="str">
            <v>--</v>
          </cell>
          <cell r="KQM1" t="str">
            <v>--</v>
          </cell>
          <cell r="KQN1" t="str">
            <v>--</v>
          </cell>
          <cell r="KQO1" t="str">
            <v>--</v>
          </cell>
          <cell r="KQP1" t="str">
            <v>--</v>
          </cell>
          <cell r="KQQ1" t="str">
            <v>--</v>
          </cell>
          <cell r="KQR1" t="str">
            <v>--</v>
          </cell>
          <cell r="KQS1" t="str">
            <v>--</v>
          </cell>
          <cell r="KQT1" t="str">
            <v>--</v>
          </cell>
          <cell r="KQU1" t="str">
            <v>--</v>
          </cell>
          <cell r="KQV1" t="str">
            <v>--</v>
          </cell>
          <cell r="KQW1" t="str">
            <v>--</v>
          </cell>
          <cell r="KQX1" t="str">
            <v>--</v>
          </cell>
          <cell r="KQY1" t="str">
            <v>--</v>
          </cell>
          <cell r="KQZ1" t="str">
            <v>--</v>
          </cell>
          <cell r="KRA1" t="str">
            <v>--</v>
          </cell>
          <cell r="KRB1" t="str">
            <v>--</v>
          </cell>
          <cell r="KRC1" t="str">
            <v>--</v>
          </cell>
          <cell r="KRD1" t="str">
            <v>--</v>
          </cell>
          <cell r="KRE1" t="str">
            <v>--</v>
          </cell>
          <cell r="KRF1" t="str">
            <v>--</v>
          </cell>
          <cell r="KRG1" t="str">
            <v>--</v>
          </cell>
          <cell r="KRH1" t="str">
            <v>--</v>
          </cell>
          <cell r="KRI1" t="str">
            <v>--</v>
          </cell>
          <cell r="KRJ1" t="str">
            <v>--</v>
          </cell>
          <cell r="KRK1" t="str">
            <v>--</v>
          </cell>
          <cell r="KRL1" t="str">
            <v>--</v>
          </cell>
          <cell r="KRM1" t="str">
            <v>--</v>
          </cell>
          <cell r="KRN1" t="str">
            <v>--</v>
          </cell>
          <cell r="KRO1" t="str">
            <v>--</v>
          </cell>
          <cell r="KRP1" t="str">
            <v>--</v>
          </cell>
          <cell r="KRQ1" t="str">
            <v>--</v>
          </cell>
          <cell r="KRR1" t="str">
            <v>--</v>
          </cell>
          <cell r="KRS1" t="str">
            <v>--</v>
          </cell>
          <cell r="KRT1" t="str">
            <v>--</v>
          </cell>
          <cell r="KRU1" t="str">
            <v>--</v>
          </cell>
          <cell r="KRV1" t="str">
            <v>--</v>
          </cell>
          <cell r="KRW1" t="str">
            <v>--</v>
          </cell>
          <cell r="KRX1" t="str">
            <v>--</v>
          </cell>
          <cell r="KRY1" t="str">
            <v>--</v>
          </cell>
          <cell r="KRZ1" t="str">
            <v>--</v>
          </cell>
          <cell r="KSA1" t="str">
            <v>--</v>
          </cell>
          <cell r="KSB1" t="str">
            <v>--</v>
          </cell>
          <cell r="KSC1" t="str">
            <v>--</v>
          </cell>
          <cell r="KSD1" t="str">
            <v>--</v>
          </cell>
          <cell r="KSE1" t="str">
            <v>--</v>
          </cell>
          <cell r="KSF1" t="str">
            <v>--</v>
          </cell>
          <cell r="KSG1" t="str">
            <v>--</v>
          </cell>
          <cell r="KSH1" t="str">
            <v>--</v>
          </cell>
          <cell r="KSI1" t="str">
            <v>--</v>
          </cell>
          <cell r="KSJ1" t="str">
            <v>--</v>
          </cell>
          <cell r="KSK1" t="str">
            <v>--</v>
          </cell>
          <cell r="KSL1" t="str">
            <v>--</v>
          </cell>
          <cell r="KSM1" t="str">
            <v>--</v>
          </cell>
          <cell r="KSN1" t="str">
            <v>--</v>
          </cell>
          <cell r="KSO1" t="str">
            <v>--</v>
          </cell>
          <cell r="KSP1" t="str">
            <v>--</v>
          </cell>
          <cell r="KSQ1" t="str">
            <v>--</v>
          </cell>
          <cell r="KSR1" t="str">
            <v>--</v>
          </cell>
          <cell r="KSS1" t="str">
            <v>--</v>
          </cell>
          <cell r="KST1" t="str">
            <v>--</v>
          </cell>
          <cell r="KSU1" t="str">
            <v>--</v>
          </cell>
          <cell r="KSV1" t="str">
            <v>--</v>
          </cell>
          <cell r="KSW1" t="str">
            <v>--</v>
          </cell>
          <cell r="KSX1" t="str">
            <v>--</v>
          </cell>
          <cell r="KSY1" t="str">
            <v>--</v>
          </cell>
          <cell r="KSZ1" t="str">
            <v>--</v>
          </cell>
          <cell r="KTA1" t="str">
            <v>--</v>
          </cell>
          <cell r="KTB1" t="str">
            <v>--</v>
          </cell>
          <cell r="KTC1" t="str">
            <v>--</v>
          </cell>
          <cell r="KTD1" t="str">
            <v>--</v>
          </cell>
          <cell r="KTE1" t="str">
            <v>--</v>
          </cell>
          <cell r="KTF1" t="str">
            <v>--</v>
          </cell>
          <cell r="KTG1" t="str">
            <v>--</v>
          </cell>
          <cell r="KTH1" t="str">
            <v>--</v>
          </cell>
          <cell r="KTI1" t="str">
            <v>--</v>
          </cell>
          <cell r="KTJ1" t="str">
            <v>--</v>
          </cell>
          <cell r="KTK1" t="str">
            <v>--</v>
          </cell>
          <cell r="KTL1" t="str">
            <v>--</v>
          </cell>
          <cell r="KTM1" t="str">
            <v>--</v>
          </cell>
          <cell r="KTN1" t="str">
            <v>--</v>
          </cell>
          <cell r="KTO1" t="str">
            <v>--</v>
          </cell>
          <cell r="KTP1" t="str">
            <v>--</v>
          </cell>
          <cell r="KTQ1" t="str">
            <v>--</v>
          </cell>
          <cell r="KTR1" t="str">
            <v>--</v>
          </cell>
          <cell r="KTS1" t="str">
            <v>--</v>
          </cell>
          <cell r="KTT1" t="str">
            <v>--</v>
          </cell>
          <cell r="KTU1" t="str">
            <v>--</v>
          </cell>
          <cell r="KTV1" t="str">
            <v>--</v>
          </cell>
          <cell r="KTW1" t="str">
            <v>--</v>
          </cell>
          <cell r="KTX1" t="str">
            <v>--</v>
          </cell>
          <cell r="KTY1" t="str">
            <v>--</v>
          </cell>
          <cell r="KTZ1" t="str">
            <v>--</v>
          </cell>
          <cell r="KUA1" t="str">
            <v>--</v>
          </cell>
          <cell r="KUB1" t="str">
            <v>--</v>
          </cell>
          <cell r="KUC1" t="str">
            <v>--</v>
          </cell>
          <cell r="KUD1" t="str">
            <v>--</v>
          </cell>
          <cell r="KUE1" t="str">
            <v>--</v>
          </cell>
          <cell r="KUF1" t="str">
            <v>--</v>
          </cell>
          <cell r="KUG1" t="str">
            <v>--</v>
          </cell>
          <cell r="KUH1" t="str">
            <v>--</v>
          </cell>
          <cell r="KUI1" t="str">
            <v>--</v>
          </cell>
          <cell r="KUJ1" t="str">
            <v>--</v>
          </cell>
          <cell r="KUK1" t="str">
            <v>--</v>
          </cell>
          <cell r="KUL1" t="str">
            <v>--</v>
          </cell>
          <cell r="KUM1" t="str">
            <v>--</v>
          </cell>
          <cell r="KUN1" t="str">
            <v>--</v>
          </cell>
          <cell r="KUO1" t="str">
            <v>--</v>
          </cell>
          <cell r="KUP1" t="str">
            <v>--</v>
          </cell>
          <cell r="KUQ1" t="str">
            <v>--</v>
          </cell>
          <cell r="KUR1" t="str">
            <v>--</v>
          </cell>
          <cell r="KUS1" t="str">
            <v>--</v>
          </cell>
          <cell r="KUT1" t="str">
            <v>--</v>
          </cell>
          <cell r="KUU1" t="str">
            <v>--</v>
          </cell>
          <cell r="KUV1" t="str">
            <v>--</v>
          </cell>
          <cell r="KUW1" t="str">
            <v>--</v>
          </cell>
          <cell r="KUX1" t="str">
            <v>--</v>
          </cell>
          <cell r="KUY1" t="str">
            <v>--</v>
          </cell>
          <cell r="KUZ1" t="str">
            <v>--</v>
          </cell>
          <cell r="KVA1" t="str">
            <v>--</v>
          </cell>
          <cell r="KVB1" t="str">
            <v>--</v>
          </cell>
          <cell r="KVC1" t="str">
            <v>--</v>
          </cell>
          <cell r="KVD1" t="str">
            <v>--</v>
          </cell>
          <cell r="KVE1" t="str">
            <v>--</v>
          </cell>
          <cell r="KVF1" t="str">
            <v>--</v>
          </cell>
          <cell r="KVG1" t="str">
            <v>--</v>
          </cell>
          <cell r="KVH1" t="str">
            <v>--</v>
          </cell>
          <cell r="KVI1" t="str">
            <v>--</v>
          </cell>
          <cell r="KVJ1" t="str">
            <v>--</v>
          </cell>
          <cell r="KVK1" t="str">
            <v>--</v>
          </cell>
          <cell r="KVL1" t="str">
            <v>--</v>
          </cell>
          <cell r="KVM1" t="str">
            <v>--</v>
          </cell>
          <cell r="KVN1" t="str">
            <v>--</v>
          </cell>
          <cell r="KVO1" t="str">
            <v>--</v>
          </cell>
          <cell r="KVP1" t="str">
            <v>--</v>
          </cell>
          <cell r="KVQ1" t="str">
            <v>--</v>
          </cell>
          <cell r="KVR1" t="str">
            <v>--</v>
          </cell>
          <cell r="KVS1" t="str">
            <v>--</v>
          </cell>
          <cell r="KVT1" t="str">
            <v>--</v>
          </cell>
          <cell r="KVU1" t="str">
            <v>--</v>
          </cell>
          <cell r="KVV1" t="str">
            <v>--</v>
          </cell>
          <cell r="KVW1" t="str">
            <v>--</v>
          </cell>
          <cell r="KVX1" t="str">
            <v>--</v>
          </cell>
          <cell r="KVY1" t="str">
            <v>--</v>
          </cell>
          <cell r="KVZ1" t="str">
            <v>--</v>
          </cell>
          <cell r="KWA1" t="str">
            <v>--</v>
          </cell>
          <cell r="KWB1" t="str">
            <v>--</v>
          </cell>
          <cell r="KWC1" t="str">
            <v>--</v>
          </cell>
          <cell r="KWD1" t="str">
            <v>--</v>
          </cell>
          <cell r="KWE1" t="str">
            <v>--</v>
          </cell>
          <cell r="KWF1" t="str">
            <v>--</v>
          </cell>
          <cell r="KWG1" t="str">
            <v>--</v>
          </cell>
          <cell r="KWH1" t="str">
            <v>--</v>
          </cell>
          <cell r="KWI1" t="str">
            <v>--</v>
          </cell>
          <cell r="KWJ1" t="str">
            <v>--</v>
          </cell>
          <cell r="KWK1" t="str">
            <v>--</v>
          </cell>
          <cell r="KWL1" t="str">
            <v>--</v>
          </cell>
          <cell r="KWM1" t="str">
            <v>--</v>
          </cell>
          <cell r="KWN1" t="str">
            <v>--</v>
          </cell>
          <cell r="KWO1" t="str">
            <v>--</v>
          </cell>
          <cell r="KWP1" t="str">
            <v>--</v>
          </cell>
          <cell r="KWQ1" t="str">
            <v>--</v>
          </cell>
          <cell r="KWR1" t="str">
            <v>--</v>
          </cell>
          <cell r="KWS1" t="str">
            <v>--</v>
          </cell>
          <cell r="KWT1" t="str">
            <v>--</v>
          </cell>
          <cell r="KWU1" t="str">
            <v>--</v>
          </cell>
          <cell r="KWV1" t="str">
            <v>--</v>
          </cell>
          <cell r="KWW1" t="str">
            <v>--</v>
          </cell>
          <cell r="KWX1" t="str">
            <v>--</v>
          </cell>
          <cell r="KWY1" t="str">
            <v>--</v>
          </cell>
          <cell r="KWZ1" t="str">
            <v>--</v>
          </cell>
          <cell r="KXA1" t="str">
            <v>--</v>
          </cell>
          <cell r="KXB1" t="str">
            <v>--</v>
          </cell>
          <cell r="KXC1" t="str">
            <v>--</v>
          </cell>
          <cell r="KXD1" t="str">
            <v>--</v>
          </cell>
          <cell r="KXE1" t="str">
            <v>--</v>
          </cell>
          <cell r="KXF1" t="str">
            <v>--</v>
          </cell>
          <cell r="KXG1" t="str">
            <v>--</v>
          </cell>
          <cell r="KXH1" t="str">
            <v>--</v>
          </cell>
          <cell r="KXI1" t="str">
            <v>--</v>
          </cell>
          <cell r="KXJ1" t="str">
            <v>--</v>
          </cell>
          <cell r="KXK1" t="str">
            <v>--</v>
          </cell>
          <cell r="KXL1" t="str">
            <v>--</v>
          </cell>
          <cell r="KXM1" t="str">
            <v>--</v>
          </cell>
          <cell r="KXN1" t="str">
            <v>--</v>
          </cell>
          <cell r="KXO1" t="str">
            <v>--</v>
          </cell>
          <cell r="KXP1" t="str">
            <v>--</v>
          </cell>
          <cell r="KXQ1" t="str">
            <v>--</v>
          </cell>
          <cell r="KXR1" t="str">
            <v>--</v>
          </cell>
          <cell r="KXS1" t="str">
            <v>--</v>
          </cell>
          <cell r="KXT1" t="str">
            <v>--</v>
          </cell>
          <cell r="KXU1" t="str">
            <v>--</v>
          </cell>
          <cell r="KXV1" t="str">
            <v>--</v>
          </cell>
          <cell r="KXW1" t="str">
            <v>--</v>
          </cell>
          <cell r="KXX1" t="str">
            <v>--</v>
          </cell>
          <cell r="KXY1" t="str">
            <v>--</v>
          </cell>
          <cell r="KXZ1" t="str">
            <v>--</v>
          </cell>
          <cell r="KYA1" t="str">
            <v>--</v>
          </cell>
          <cell r="KYB1" t="str">
            <v>--</v>
          </cell>
          <cell r="KYC1" t="str">
            <v>--</v>
          </cell>
          <cell r="KYD1" t="str">
            <v>--</v>
          </cell>
          <cell r="KYE1" t="str">
            <v>--</v>
          </cell>
          <cell r="KYF1" t="str">
            <v>--</v>
          </cell>
          <cell r="KYG1" t="str">
            <v>--</v>
          </cell>
          <cell r="KYH1" t="str">
            <v>--</v>
          </cell>
          <cell r="KYI1" t="str">
            <v>--</v>
          </cell>
          <cell r="KYJ1" t="str">
            <v>--</v>
          </cell>
          <cell r="KYK1" t="str">
            <v>--</v>
          </cell>
          <cell r="KYL1" t="str">
            <v>--</v>
          </cell>
          <cell r="KYM1" t="str">
            <v>--</v>
          </cell>
          <cell r="KYN1" t="str">
            <v>--</v>
          </cell>
          <cell r="KYO1" t="str">
            <v>--</v>
          </cell>
          <cell r="KYP1" t="str">
            <v>--</v>
          </cell>
          <cell r="KYQ1" t="str">
            <v>--</v>
          </cell>
          <cell r="KYR1" t="str">
            <v>--</v>
          </cell>
          <cell r="KYS1" t="str">
            <v>--</v>
          </cell>
          <cell r="KYT1" t="str">
            <v>--</v>
          </cell>
          <cell r="KYU1" t="str">
            <v>--</v>
          </cell>
          <cell r="KYV1" t="str">
            <v>--</v>
          </cell>
          <cell r="KYW1" t="str">
            <v>--</v>
          </cell>
          <cell r="KYX1" t="str">
            <v>--</v>
          </cell>
          <cell r="KYY1" t="str">
            <v>--</v>
          </cell>
          <cell r="KYZ1" t="str">
            <v>--</v>
          </cell>
          <cell r="KZA1" t="str">
            <v>--</v>
          </cell>
          <cell r="KZB1" t="str">
            <v>--</v>
          </cell>
          <cell r="KZC1" t="str">
            <v>--</v>
          </cell>
          <cell r="KZD1" t="str">
            <v>--</v>
          </cell>
          <cell r="KZE1" t="str">
            <v>--</v>
          </cell>
          <cell r="KZF1" t="str">
            <v>--</v>
          </cell>
          <cell r="KZG1" t="str">
            <v>--</v>
          </cell>
          <cell r="KZH1" t="str">
            <v>--</v>
          </cell>
          <cell r="KZI1" t="str">
            <v>--</v>
          </cell>
          <cell r="KZJ1" t="str">
            <v>--</v>
          </cell>
          <cell r="KZK1" t="str">
            <v>--</v>
          </cell>
          <cell r="KZL1" t="str">
            <v>--</v>
          </cell>
          <cell r="KZM1" t="str">
            <v>--</v>
          </cell>
          <cell r="KZN1" t="str">
            <v>--</v>
          </cell>
          <cell r="KZO1" t="str">
            <v>--</v>
          </cell>
          <cell r="KZP1" t="str">
            <v>--</v>
          </cell>
          <cell r="KZQ1" t="str">
            <v>--</v>
          </cell>
          <cell r="KZR1" t="str">
            <v>--</v>
          </cell>
          <cell r="KZS1" t="str">
            <v>--</v>
          </cell>
          <cell r="KZT1" t="str">
            <v>--</v>
          </cell>
          <cell r="KZU1" t="str">
            <v>--</v>
          </cell>
          <cell r="KZV1" t="str">
            <v>--</v>
          </cell>
          <cell r="KZW1" t="str">
            <v>--</v>
          </cell>
          <cell r="KZX1" t="str">
            <v>--</v>
          </cell>
          <cell r="KZY1" t="str">
            <v>--</v>
          </cell>
          <cell r="KZZ1" t="str">
            <v>--</v>
          </cell>
          <cell r="LAA1" t="str">
            <v>--</v>
          </cell>
          <cell r="LAB1" t="str">
            <v>--</v>
          </cell>
          <cell r="LAC1" t="str">
            <v>--</v>
          </cell>
          <cell r="LAD1" t="str">
            <v>--</v>
          </cell>
          <cell r="LAE1" t="str">
            <v>--</v>
          </cell>
          <cell r="LAF1" t="str">
            <v>--</v>
          </cell>
          <cell r="LAG1" t="str">
            <v>--</v>
          </cell>
          <cell r="LAH1" t="str">
            <v>--</v>
          </cell>
          <cell r="LAI1" t="str">
            <v>--</v>
          </cell>
          <cell r="LAJ1" t="str">
            <v>--</v>
          </cell>
          <cell r="LAK1" t="str">
            <v>--</v>
          </cell>
          <cell r="LAL1" t="str">
            <v>--</v>
          </cell>
          <cell r="LAM1" t="str">
            <v>--</v>
          </cell>
          <cell r="LAN1" t="str">
            <v>--</v>
          </cell>
          <cell r="LAO1" t="str">
            <v>--</v>
          </cell>
          <cell r="LAP1" t="str">
            <v>--</v>
          </cell>
          <cell r="LAQ1" t="str">
            <v>--</v>
          </cell>
          <cell r="LAR1" t="str">
            <v>--</v>
          </cell>
          <cell r="LAS1" t="str">
            <v>--</v>
          </cell>
          <cell r="LAT1" t="str">
            <v>--</v>
          </cell>
          <cell r="LAU1" t="str">
            <v>--</v>
          </cell>
          <cell r="LAV1" t="str">
            <v>--</v>
          </cell>
          <cell r="LAW1" t="str">
            <v>--</v>
          </cell>
          <cell r="LAX1" t="str">
            <v>--</v>
          </cell>
          <cell r="LAY1" t="str">
            <v>--</v>
          </cell>
          <cell r="LAZ1" t="str">
            <v>--</v>
          </cell>
          <cell r="LBA1" t="str">
            <v>--</v>
          </cell>
          <cell r="LBB1" t="str">
            <v>--</v>
          </cell>
          <cell r="LBC1" t="str">
            <v>--</v>
          </cell>
          <cell r="LBD1" t="str">
            <v>--</v>
          </cell>
          <cell r="LBE1" t="str">
            <v>--</v>
          </cell>
          <cell r="LBF1" t="str">
            <v>--</v>
          </cell>
          <cell r="LBG1" t="str">
            <v>--</v>
          </cell>
          <cell r="LBH1" t="str">
            <v>--</v>
          </cell>
          <cell r="LBI1" t="str">
            <v>--</v>
          </cell>
          <cell r="LBJ1" t="str">
            <v>--</v>
          </cell>
          <cell r="LBK1" t="str">
            <v>--</v>
          </cell>
          <cell r="LBL1" t="str">
            <v>--</v>
          </cell>
          <cell r="LBM1" t="str">
            <v>--</v>
          </cell>
          <cell r="LBN1" t="str">
            <v>--</v>
          </cell>
          <cell r="LBO1" t="str">
            <v>--</v>
          </cell>
          <cell r="LBP1" t="str">
            <v>--</v>
          </cell>
          <cell r="LBQ1" t="str">
            <v>--</v>
          </cell>
          <cell r="LBR1" t="str">
            <v>--</v>
          </cell>
          <cell r="LBS1" t="str">
            <v>--</v>
          </cell>
          <cell r="LBT1" t="str">
            <v>--</v>
          </cell>
          <cell r="LBU1" t="str">
            <v>--</v>
          </cell>
          <cell r="LBV1" t="str">
            <v>--</v>
          </cell>
          <cell r="LBW1" t="str">
            <v>--</v>
          </cell>
          <cell r="LBX1" t="str">
            <v>--</v>
          </cell>
          <cell r="LBY1" t="str">
            <v>--</v>
          </cell>
          <cell r="LBZ1" t="str">
            <v>--</v>
          </cell>
          <cell r="LCA1" t="str">
            <v>--</v>
          </cell>
          <cell r="LCB1" t="str">
            <v>--</v>
          </cell>
          <cell r="LCC1" t="str">
            <v>--</v>
          </cell>
          <cell r="LCD1" t="str">
            <v>--</v>
          </cell>
          <cell r="LCE1" t="str">
            <v>--</v>
          </cell>
          <cell r="LCF1" t="str">
            <v>--</v>
          </cell>
          <cell r="LCG1" t="str">
            <v>--</v>
          </cell>
          <cell r="LCH1" t="str">
            <v>--</v>
          </cell>
          <cell r="LCI1" t="str">
            <v>--</v>
          </cell>
          <cell r="LCJ1" t="str">
            <v>--</v>
          </cell>
          <cell r="LCK1" t="str">
            <v>--</v>
          </cell>
          <cell r="LCL1" t="str">
            <v>--</v>
          </cell>
          <cell r="LCM1" t="str">
            <v>--</v>
          </cell>
          <cell r="LCN1" t="str">
            <v>--</v>
          </cell>
          <cell r="LCO1" t="str">
            <v>--</v>
          </cell>
          <cell r="LCP1" t="str">
            <v>--</v>
          </cell>
          <cell r="LCQ1" t="str">
            <v>--</v>
          </cell>
          <cell r="LCR1" t="str">
            <v>--</v>
          </cell>
          <cell r="LCS1" t="str">
            <v>--</v>
          </cell>
          <cell r="LCT1" t="str">
            <v>--</v>
          </cell>
          <cell r="LCU1" t="str">
            <v>--</v>
          </cell>
          <cell r="LCV1" t="str">
            <v>--</v>
          </cell>
          <cell r="LCW1" t="str">
            <v>--</v>
          </cell>
          <cell r="LCX1" t="str">
            <v>--</v>
          </cell>
          <cell r="LCY1" t="str">
            <v>--</v>
          </cell>
          <cell r="LCZ1" t="str">
            <v>--</v>
          </cell>
          <cell r="LDA1" t="str">
            <v>--</v>
          </cell>
          <cell r="LDB1" t="str">
            <v>--</v>
          </cell>
          <cell r="LDC1" t="str">
            <v>--</v>
          </cell>
          <cell r="LDD1" t="str">
            <v>--</v>
          </cell>
          <cell r="LDE1" t="str">
            <v>--</v>
          </cell>
          <cell r="LDF1" t="str">
            <v>--</v>
          </cell>
          <cell r="LDG1" t="str">
            <v>--</v>
          </cell>
          <cell r="LDH1" t="str">
            <v>--</v>
          </cell>
          <cell r="LDI1" t="str">
            <v>--</v>
          </cell>
          <cell r="LDJ1" t="str">
            <v>--</v>
          </cell>
          <cell r="LDK1" t="str">
            <v>--</v>
          </cell>
          <cell r="LDL1" t="str">
            <v>--</v>
          </cell>
          <cell r="LDM1" t="str">
            <v>--</v>
          </cell>
          <cell r="LDN1" t="str">
            <v>--</v>
          </cell>
          <cell r="LDO1" t="str">
            <v>--</v>
          </cell>
          <cell r="LDP1" t="str">
            <v>--</v>
          </cell>
          <cell r="LDQ1" t="str">
            <v>--</v>
          </cell>
          <cell r="LDR1" t="str">
            <v>--</v>
          </cell>
          <cell r="LDS1" t="str">
            <v>--</v>
          </cell>
          <cell r="LDT1" t="str">
            <v>--</v>
          </cell>
          <cell r="LDU1" t="str">
            <v>--</v>
          </cell>
          <cell r="LDV1" t="str">
            <v>--</v>
          </cell>
          <cell r="LDW1" t="str">
            <v>--</v>
          </cell>
          <cell r="LDX1" t="str">
            <v>--</v>
          </cell>
          <cell r="LDY1" t="str">
            <v>--</v>
          </cell>
          <cell r="LDZ1" t="str">
            <v>--</v>
          </cell>
          <cell r="LEA1" t="str">
            <v>--</v>
          </cell>
          <cell r="LEB1" t="str">
            <v>--</v>
          </cell>
          <cell r="LEC1" t="str">
            <v>--</v>
          </cell>
          <cell r="LED1" t="str">
            <v>--</v>
          </cell>
          <cell r="LEE1" t="str">
            <v>--</v>
          </cell>
          <cell r="LEF1" t="str">
            <v>--</v>
          </cell>
          <cell r="LEG1" t="str">
            <v>--</v>
          </cell>
          <cell r="LEH1" t="str">
            <v>--</v>
          </cell>
          <cell r="LEI1" t="str">
            <v>--</v>
          </cell>
          <cell r="LEJ1" t="str">
            <v>--</v>
          </cell>
          <cell r="LEK1" t="str">
            <v>--</v>
          </cell>
          <cell r="LEL1" t="str">
            <v>--</v>
          </cell>
          <cell r="LEM1" t="str">
            <v>--</v>
          </cell>
          <cell r="LEN1" t="str">
            <v>--</v>
          </cell>
          <cell r="LEO1" t="str">
            <v>--</v>
          </cell>
          <cell r="LEP1" t="str">
            <v>--</v>
          </cell>
          <cell r="LEQ1" t="str">
            <v>--</v>
          </cell>
          <cell r="LER1" t="str">
            <v>--</v>
          </cell>
          <cell r="LES1" t="str">
            <v>--</v>
          </cell>
          <cell r="LET1" t="str">
            <v>--</v>
          </cell>
          <cell r="LEU1" t="str">
            <v>--</v>
          </cell>
          <cell r="LEV1" t="str">
            <v>--</v>
          </cell>
          <cell r="LEW1" t="str">
            <v>--</v>
          </cell>
          <cell r="LEX1" t="str">
            <v>--</v>
          </cell>
          <cell r="LEY1" t="str">
            <v>--</v>
          </cell>
          <cell r="LEZ1" t="str">
            <v>--</v>
          </cell>
          <cell r="LFA1" t="str">
            <v>--</v>
          </cell>
          <cell r="LFB1" t="str">
            <v>--</v>
          </cell>
          <cell r="LFC1" t="str">
            <v>--</v>
          </cell>
          <cell r="LFD1" t="str">
            <v>--</v>
          </cell>
          <cell r="LFE1" t="str">
            <v>--</v>
          </cell>
          <cell r="LFF1" t="str">
            <v>--</v>
          </cell>
          <cell r="LFG1" t="str">
            <v>--</v>
          </cell>
          <cell r="LFH1" t="str">
            <v>--</v>
          </cell>
          <cell r="LFI1" t="str">
            <v>--</v>
          </cell>
          <cell r="LFJ1" t="str">
            <v>--</v>
          </cell>
          <cell r="LFK1" t="str">
            <v>--</v>
          </cell>
          <cell r="LFL1" t="str">
            <v>--</v>
          </cell>
          <cell r="LFM1" t="str">
            <v>--</v>
          </cell>
          <cell r="LFN1" t="str">
            <v>--</v>
          </cell>
          <cell r="LFO1" t="str">
            <v>--</v>
          </cell>
          <cell r="LFP1" t="str">
            <v>--</v>
          </cell>
          <cell r="LFQ1" t="str">
            <v>--</v>
          </cell>
          <cell r="LFR1" t="str">
            <v>--</v>
          </cell>
          <cell r="LFS1" t="str">
            <v>--</v>
          </cell>
          <cell r="LFT1" t="str">
            <v>--</v>
          </cell>
          <cell r="LFU1" t="str">
            <v>--</v>
          </cell>
          <cell r="LFV1" t="str">
            <v>--</v>
          </cell>
          <cell r="LFW1" t="str">
            <v>--</v>
          </cell>
          <cell r="LFX1" t="str">
            <v>--</v>
          </cell>
          <cell r="LFY1" t="str">
            <v>--</v>
          </cell>
          <cell r="LFZ1" t="str">
            <v>--</v>
          </cell>
          <cell r="LGA1" t="str">
            <v>--</v>
          </cell>
          <cell r="LGB1" t="str">
            <v>--</v>
          </cell>
          <cell r="LGC1" t="str">
            <v>--</v>
          </cell>
          <cell r="LGD1" t="str">
            <v>--</v>
          </cell>
          <cell r="LGE1" t="str">
            <v>--</v>
          </cell>
          <cell r="LGF1" t="str">
            <v>--</v>
          </cell>
          <cell r="LGG1" t="str">
            <v>--</v>
          </cell>
          <cell r="LGH1" t="str">
            <v>--</v>
          </cell>
          <cell r="LGI1" t="str">
            <v>--</v>
          </cell>
          <cell r="LGJ1" t="str">
            <v>--</v>
          </cell>
          <cell r="LGK1" t="str">
            <v>--</v>
          </cell>
          <cell r="LGL1" t="str">
            <v>--</v>
          </cell>
          <cell r="LGM1" t="str">
            <v>--</v>
          </cell>
          <cell r="LGN1" t="str">
            <v>--</v>
          </cell>
          <cell r="LGO1" t="str">
            <v>--</v>
          </cell>
          <cell r="LGP1" t="str">
            <v>--</v>
          </cell>
          <cell r="LGQ1" t="str">
            <v>--</v>
          </cell>
          <cell r="LGR1" t="str">
            <v>--</v>
          </cell>
          <cell r="LGS1" t="str">
            <v>--</v>
          </cell>
          <cell r="LGT1" t="str">
            <v>--</v>
          </cell>
          <cell r="LGU1" t="str">
            <v>--</v>
          </cell>
          <cell r="LGV1" t="str">
            <v>--</v>
          </cell>
          <cell r="LGW1" t="str">
            <v>--</v>
          </cell>
          <cell r="LGX1" t="str">
            <v>--</v>
          </cell>
          <cell r="LGY1" t="str">
            <v>--</v>
          </cell>
          <cell r="LGZ1" t="str">
            <v>--</v>
          </cell>
          <cell r="LHA1" t="str">
            <v>--</v>
          </cell>
          <cell r="LHB1" t="str">
            <v>--</v>
          </cell>
          <cell r="LHC1" t="str">
            <v>--</v>
          </cell>
          <cell r="LHD1" t="str">
            <v>--</v>
          </cell>
          <cell r="LHE1" t="str">
            <v>--</v>
          </cell>
          <cell r="LHF1" t="str">
            <v>--</v>
          </cell>
          <cell r="LHG1" t="str">
            <v>--</v>
          </cell>
          <cell r="LHH1" t="str">
            <v>--</v>
          </cell>
          <cell r="LHI1" t="str">
            <v>--</v>
          </cell>
          <cell r="LHJ1" t="str">
            <v>--</v>
          </cell>
          <cell r="LHK1" t="str">
            <v>--</v>
          </cell>
          <cell r="LHL1" t="str">
            <v>--</v>
          </cell>
          <cell r="LHM1" t="str">
            <v>--</v>
          </cell>
          <cell r="LHN1" t="str">
            <v>--</v>
          </cell>
          <cell r="LHO1" t="str">
            <v>--</v>
          </cell>
          <cell r="LHP1" t="str">
            <v>--</v>
          </cell>
          <cell r="LHQ1" t="str">
            <v>--</v>
          </cell>
          <cell r="LHR1" t="str">
            <v>--</v>
          </cell>
          <cell r="LHS1" t="str">
            <v>--</v>
          </cell>
          <cell r="LHT1" t="str">
            <v>--</v>
          </cell>
          <cell r="LHU1" t="str">
            <v>--</v>
          </cell>
          <cell r="LHV1" t="str">
            <v>--</v>
          </cell>
          <cell r="LHW1" t="str">
            <v>--</v>
          </cell>
          <cell r="LHX1" t="str">
            <v>--</v>
          </cell>
          <cell r="LHY1" t="str">
            <v>--</v>
          </cell>
          <cell r="LHZ1" t="str">
            <v>--</v>
          </cell>
          <cell r="LIA1" t="str">
            <v>--</v>
          </cell>
          <cell r="LIB1" t="str">
            <v>--</v>
          </cell>
          <cell r="LIC1" t="str">
            <v>--</v>
          </cell>
          <cell r="LID1" t="str">
            <v>--</v>
          </cell>
          <cell r="LIE1" t="str">
            <v>--</v>
          </cell>
          <cell r="LIF1" t="str">
            <v>--</v>
          </cell>
          <cell r="LIG1" t="str">
            <v>--</v>
          </cell>
          <cell r="LIH1" t="str">
            <v>--</v>
          </cell>
          <cell r="LII1" t="str">
            <v>--</v>
          </cell>
          <cell r="LIJ1" t="str">
            <v>--</v>
          </cell>
          <cell r="LIK1" t="str">
            <v>--</v>
          </cell>
          <cell r="LIL1" t="str">
            <v>--</v>
          </cell>
          <cell r="LIM1" t="str">
            <v>--</v>
          </cell>
          <cell r="LIN1" t="str">
            <v>--</v>
          </cell>
          <cell r="LIO1" t="str">
            <v>--</v>
          </cell>
          <cell r="LIP1" t="str">
            <v>--</v>
          </cell>
          <cell r="LIQ1" t="str">
            <v>--</v>
          </cell>
          <cell r="LIR1" t="str">
            <v>--</v>
          </cell>
          <cell r="LIS1" t="str">
            <v>--</v>
          </cell>
          <cell r="LIT1" t="str">
            <v>--</v>
          </cell>
          <cell r="LIU1" t="str">
            <v>--</v>
          </cell>
          <cell r="LIV1" t="str">
            <v>--</v>
          </cell>
          <cell r="LIW1" t="str">
            <v>--</v>
          </cell>
          <cell r="LIX1" t="str">
            <v>--</v>
          </cell>
          <cell r="LIY1" t="str">
            <v>--</v>
          </cell>
          <cell r="LIZ1" t="str">
            <v>--</v>
          </cell>
          <cell r="LJA1" t="str">
            <v>--</v>
          </cell>
          <cell r="LJB1" t="str">
            <v>--</v>
          </cell>
          <cell r="LJC1" t="str">
            <v>--</v>
          </cell>
          <cell r="LJD1" t="str">
            <v>--</v>
          </cell>
          <cell r="LJE1" t="str">
            <v>--</v>
          </cell>
          <cell r="LJF1" t="str">
            <v>--</v>
          </cell>
          <cell r="LJG1" t="str">
            <v>--</v>
          </cell>
          <cell r="LJH1" t="str">
            <v>--</v>
          </cell>
          <cell r="LJI1" t="str">
            <v>--</v>
          </cell>
          <cell r="LJJ1" t="str">
            <v>--</v>
          </cell>
          <cell r="LJK1" t="str">
            <v>--</v>
          </cell>
          <cell r="LJL1" t="str">
            <v>--</v>
          </cell>
          <cell r="LJM1" t="str">
            <v>--</v>
          </cell>
          <cell r="LJN1" t="str">
            <v>--</v>
          </cell>
          <cell r="LJO1" t="str">
            <v>--</v>
          </cell>
          <cell r="LJP1" t="str">
            <v>--</v>
          </cell>
          <cell r="LJQ1" t="str">
            <v>--</v>
          </cell>
          <cell r="LJR1" t="str">
            <v>--</v>
          </cell>
          <cell r="LJS1" t="str">
            <v>--</v>
          </cell>
          <cell r="LJT1" t="str">
            <v>--</v>
          </cell>
          <cell r="LJU1" t="str">
            <v>--</v>
          </cell>
          <cell r="LJV1" t="str">
            <v>--</v>
          </cell>
          <cell r="LJW1" t="str">
            <v>--</v>
          </cell>
          <cell r="LJX1" t="str">
            <v>--</v>
          </cell>
          <cell r="LJY1" t="str">
            <v>--</v>
          </cell>
          <cell r="LJZ1" t="str">
            <v>--</v>
          </cell>
          <cell r="LKA1" t="str">
            <v>--</v>
          </cell>
          <cell r="LKB1" t="str">
            <v>--</v>
          </cell>
          <cell r="LKC1" t="str">
            <v>--</v>
          </cell>
          <cell r="LKD1" t="str">
            <v>--</v>
          </cell>
          <cell r="LKE1" t="str">
            <v>--</v>
          </cell>
          <cell r="LKF1" t="str">
            <v>--</v>
          </cell>
          <cell r="LKG1" t="str">
            <v>--</v>
          </cell>
          <cell r="LKH1" t="str">
            <v>--</v>
          </cell>
          <cell r="LKI1" t="str">
            <v>--</v>
          </cell>
          <cell r="LKJ1" t="str">
            <v>--</v>
          </cell>
          <cell r="LKK1" t="str">
            <v>--</v>
          </cell>
          <cell r="LKL1" t="str">
            <v>--</v>
          </cell>
          <cell r="LKM1" t="str">
            <v>--</v>
          </cell>
          <cell r="LKN1" t="str">
            <v>--</v>
          </cell>
          <cell r="LKO1" t="str">
            <v>--</v>
          </cell>
          <cell r="LKP1" t="str">
            <v>--</v>
          </cell>
          <cell r="LKQ1" t="str">
            <v>--</v>
          </cell>
          <cell r="LKR1" t="str">
            <v>--</v>
          </cell>
          <cell r="LKS1" t="str">
            <v>--</v>
          </cell>
          <cell r="LKT1" t="str">
            <v>--</v>
          </cell>
          <cell r="LKU1" t="str">
            <v>--</v>
          </cell>
          <cell r="LKV1" t="str">
            <v>--</v>
          </cell>
          <cell r="LKW1" t="str">
            <v>--</v>
          </cell>
          <cell r="LKX1" t="str">
            <v>--</v>
          </cell>
          <cell r="LKY1" t="str">
            <v>--</v>
          </cell>
          <cell r="LKZ1" t="str">
            <v>--</v>
          </cell>
          <cell r="LLA1" t="str">
            <v>--</v>
          </cell>
          <cell r="LLB1" t="str">
            <v>--</v>
          </cell>
          <cell r="LLC1" t="str">
            <v>--</v>
          </cell>
          <cell r="LLD1" t="str">
            <v>--</v>
          </cell>
          <cell r="LLE1" t="str">
            <v>--</v>
          </cell>
          <cell r="LLF1" t="str">
            <v>--</v>
          </cell>
          <cell r="LLG1" t="str">
            <v>--</v>
          </cell>
          <cell r="LLH1" t="str">
            <v>--</v>
          </cell>
          <cell r="LLI1" t="str">
            <v>--</v>
          </cell>
          <cell r="LLJ1" t="str">
            <v>--</v>
          </cell>
          <cell r="LLK1" t="str">
            <v>--</v>
          </cell>
          <cell r="LLL1" t="str">
            <v>--</v>
          </cell>
          <cell r="LLM1" t="str">
            <v>--</v>
          </cell>
          <cell r="LLN1" t="str">
            <v>--</v>
          </cell>
          <cell r="LLO1" t="str">
            <v>--</v>
          </cell>
          <cell r="LLP1" t="str">
            <v>--</v>
          </cell>
          <cell r="LLQ1" t="str">
            <v>--</v>
          </cell>
          <cell r="LLR1" t="str">
            <v>--</v>
          </cell>
          <cell r="LLS1" t="str">
            <v>--</v>
          </cell>
          <cell r="LLT1" t="str">
            <v>--</v>
          </cell>
          <cell r="LLU1" t="str">
            <v>--</v>
          </cell>
          <cell r="LLV1" t="str">
            <v>--</v>
          </cell>
          <cell r="LLW1" t="str">
            <v>--</v>
          </cell>
          <cell r="LLX1" t="str">
            <v>--</v>
          </cell>
          <cell r="LLY1" t="str">
            <v>--</v>
          </cell>
          <cell r="LLZ1" t="str">
            <v>--</v>
          </cell>
          <cell r="LMA1" t="str">
            <v>--</v>
          </cell>
          <cell r="LMB1" t="str">
            <v>--</v>
          </cell>
          <cell r="LMC1" t="str">
            <v>--</v>
          </cell>
          <cell r="LMD1" t="str">
            <v>--</v>
          </cell>
          <cell r="LME1" t="str">
            <v>--</v>
          </cell>
          <cell r="LMF1" t="str">
            <v>--</v>
          </cell>
          <cell r="LMG1" t="str">
            <v>--</v>
          </cell>
          <cell r="LMH1" t="str">
            <v>--</v>
          </cell>
          <cell r="LMI1" t="str">
            <v>--</v>
          </cell>
          <cell r="LMJ1" t="str">
            <v>--</v>
          </cell>
          <cell r="LMK1" t="str">
            <v>--</v>
          </cell>
          <cell r="LML1" t="str">
            <v>--</v>
          </cell>
          <cell r="LMM1" t="str">
            <v>--</v>
          </cell>
          <cell r="LMN1" t="str">
            <v>--</v>
          </cell>
          <cell r="LMO1" t="str">
            <v>--</v>
          </cell>
          <cell r="LMP1" t="str">
            <v>--</v>
          </cell>
          <cell r="LMQ1" t="str">
            <v>--</v>
          </cell>
          <cell r="LMR1" t="str">
            <v>--</v>
          </cell>
          <cell r="LMS1" t="str">
            <v>--</v>
          </cell>
          <cell r="LMT1" t="str">
            <v>--</v>
          </cell>
          <cell r="LMU1" t="str">
            <v>--</v>
          </cell>
          <cell r="LMV1" t="str">
            <v>--</v>
          </cell>
          <cell r="LMW1" t="str">
            <v>--</v>
          </cell>
          <cell r="LMX1" t="str">
            <v>--</v>
          </cell>
          <cell r="LMY1" t="str">
            <v>--</v>
          </cell>
          <cell r="LMZ1" t="str">
            <v>--</v>
          </cell>
          <cell r="LNA1" t="str">
            <v>--</v>
          </cell>
          <cell r="LNB1" t="str">
            <v>--</v>
          </cell>
          <cell r="LNC1" t="str">
            <v>--</v>
          </cell>
          <cell r="LND1" t="str">
            <v>--</v>
          </cell>
          <cell r="LNE1" t="str">
            <v>--</v>
          </cell>
          <cell r="LNF1" t="str">
            <v>--</v>
          </cell>
          <cell r="LNG1" t="str">
            <v>--</v>
          </cell>
          <cell r="LNH1" t="str">
            <v>--</v>
          </cell>
          <cell r="LNI1" t="str">
            <v>--</v>
          </cell>
          <cell r="LNJ1" t="str">
            <v>--</v>
          </cell>
          <cell r="LNK1" t="str">
            <v>--</v>
          </cell>
          <cell r="LNL1" t="str">
            <v>--</v>
          </cell>
          <cell r="LNM1" t="str">
            <v>--</v>
          </cell>
          <cell r="LNN1" t="str">
            <v>--</v>
          </cell>
          <cell r="LNO1" t="str">
            <v>--</v>
          </cell>
          <cell r="LNP1" t="str">
            <v>--</v>
          </cell>
          <cell r="LNQ1" t="str">
            <v>--</v>
          </cell>
          <cell r="LNR1" t="str">
            <v>--</v>
          </cell>
          <cell r="LNS1" t="str">
            <v>--</v>
          </cell>
          <cell r="LNT1" t="str">
            <v>--</v>
          </cell>
          <cell r="LNU1" t="str">
            <v>--</v>
          </cell>
          <cell r="LNV1" t="str">
            <v>--</v>
          </cell>
          <cell r="LNW1" t="str">
            <v>--</v>
          </cell>
          <cell r="LNX1" t="str">
            <v>--</v>
          </cell>
          <cell r="LNY1" t="str">
            <v>--</v>
          </cell>
          <cell r="LNZ1" t="str">
            <v>--</v>
          </cell>
          <cell r="LOA1" t="str">
            <v>--</v>
          </cell>
          <cell r="LOB1" t="str">
            <v>--</v>
          </cell>
          <cell r="LOC1" t="str">
            <v>--</v>
          </cell>
          <cell r="LOD1" t="str">
            <v>--</v>
          </cell>
          <cell r="LOE1" t="str">
            <v>--</v>
          </cell>
          <cell r="LOF1" t="str">
            <v>--</v>
          </cell>
          <cell r="LOG1" t="str">
            <v>--</v>
          </cell>
          <cell r="LOH1" t="str">
            <v>--</v>
          </cell>
          <cell r="LOI1" t="str">
            <v>--</v>
          </cell>
          <cell r="LOJ1" t="str">
            <v>--</v>
          </cell>
          <cell r="LOK1" t="str">
            <v>--</v>
          </cell>
          <cell r="LOL1" t="str">
            <v>--</v>
          </cell>
          <cell r="LOM1" t="str">
            <v>--</v>
          </cell>
          <cell r="LON1" t="str">
            <v>--</v>
          </cell>
          <cell r="LOO1" t="str">
            <v>--</v>
          </cell>
          <cell r="LOP1" t="str">
            <v>--</v>
          </cell>
          <cell r="LOQ1" t="str">
            <v>--</v>
          </cell>
          <cell r="LOR1" t="str">
            <v>--</v>
          </cell>
          <cell r="LOS1" t="str">
            <v>--</v>
          </cell>
          <cell r="LOT1" t="str">
            <v>--</v>
          </cell>
          <cell r="LOU1" t="str">
            <v>--</v>
          </cell>
          <cell r="LOV1" t="str">
            <v>--</v>
          </cell>
          <cell r="LOW1" t="str">
            <v>--</v>
          </cell>
          <cell r="LOX1" t="str">
            <v>--</v>
          </cell>
          <cell r="LOY1" t="str">
            <v>--</v>
          </cell>
          <cell r="LOZ1" t="str">
            <v>--</v>
          </cell>
          <cell r="LPA1" t="str">
            <v>--</v>
          </cell>
          <cell r="LPB1" t="str">
            <v>--</v>
          </cell>
          <cell r="LPC1" t="str">
            <v>--</v>
          </cell>
          <cell r="LPD1" t="str">
            <v>--</v>
          </cell>
          <cell r="LPE1" t="str">
            <v>--</v>
          </cell>
          <cell r="LPF1" t="str">
            <v>--</v>
          </cell>
          <cell r="LPG1" t="str">
            <v>--</v>
          </cell>
          <cell r="LPH1" t="str">
            <v>--</v>
          </cell>
          <cell r="LPI1" t="str">
            <v>--</v>
          </cell>
          <cell r="LPJ1" t="str">
            <v>--</v>
          </cell>
          <cell r="LPK1" t="str">
            <v>--</v>
          </cell>
          <cell r="LPL1" t="str">
            <v>--</v>
          </cell>
          <cell r="LPM1" t="str">
            <v>--</v>
          </cell>
          <cell r="LPN1" t="str">
            <v>--</v>
          </cell>
          <cell r="LPO1" t="str">
            <v>--</v>
          </cell>
          <cell r="LPP1" t="str">
            <v>--</v>
          </cell>
          <cell r="LPQ1" t="str">
            <v>--</v>
          </cell>
          <cell r="LPR1" t="str">
            <v>--</v>
          </cell>
          <cell r="LPS1" t="str">
            <v>--</v>
          </cell>
          <cell r="LPT1" t="str">
            <v>--</v>
          </cell>
          <cell r="LPU1" t="str">
            <v>--</v>
          </cell>
          <cell r="LPV1" t="str">
            <v>--</v>
          </cell>
          <cell r="LPW1" t="str">
            <v>--</v>
          </cell>
          <cell r="LPX1" t="str">
            <v>--</v>
          </cell>
          <cell r="LPY1" t="str">
            <v>--</v>
          </cell>
          <cell r="LPZ1" t="str">
            <v>--</v>
          </cell>
          <cell r="LQA1" t="str">
            <v>--</v>
          </cell>
          <cell r="LQB1" t="str">
            <v>--</v>
          </cell>
          <cell r="LQC1" t="str">
            <v>--</v>
          </cell>
          <cell r="LQD1" t="str">
            <v>--</v>
          </cell>
          <cell r="LQE1" t="str">
            <v>--</v>
          </cell>
          <cell r="LQF1" t="str">
            <v>--</v>
          </cell>
          <cell r="LQG1" t="str">
            <v>--</v>
          </cell>
          <cell r="LQH1" t="str">
            <v>--</v>
          </cell>
          <cell r="LQI1" t="str">
            <v>--</v>
          </cell>
          <cell r="LQJ1" t="str">
            <v>--</v>
          </cell>
          <cell r="LQK1" t="str">
            <v>--</v>
          </cell>
          <cell r="LQL1" t="str">
            <v>--</v>
          </cell>
          <cell r="LQM1" t="str">
            <v>--</v>
          </cell>
          <cell r="LQN1" t="str">
            <v>--</v>
          </cell>
          <cell r="LQO1" t="str">
            <v>--</v>
          </cell>
          <cell r="LQP1" t="str">
            <v>--</v>
          </cell>
          <cell r="LQQ1" t="str">
            <v>--</v>
          </cell>
          <cell r="LQR1" t="str">
            <v>--</v>
          </cell>
          <cell r="LQS1" t="str">
            <v>--</v>
          </cell>
          <cell r="LQT1" t="str">
            <v>--</v>
          </cell>
          <cell r="LQU1" t="str">
            <v>--</v>
          </cell>
          <cell r="LQV1" t="str">
            <v>--</v>
          </cell>
          <cell r="LQW1" t="str">
            <v>--</v>
          </cell>
          <cell r="LQX1" t="str">
            <v>--</v>
          </cell>
          <cell r="LQY1" t="str">
            <v>--</v>
          </cell>
          <cell r="LQZ1" t="str">
            <v>--</v>
          </cell>
          <cell r="LRA1" t="str">
            <v>--</v>
          </cell>
          <cell r="LRB1" t="str">
            <v>--</v>
          </cell>
          <cell r="LRC1" t="str">
            <v>--</v>
          </cell>
          <cell r="LRD1" t="str">
            <v>--</v>
          </cell>
          <cell r="LRE1" t="str">
            <v>--</v>
          </cell>
          <cell r="LRF1" t="str">
            <v>--</v>
          </cell>
          <cell r="LRG1" t="str">
            <v>--</v>
          </cell>
          <cell r="LRH1" t="str">
            <v>--</v>
          </cell>
          <cell r="LRI1" t="str">
            <v>--</v>
          </cell>
          <cell r="LRJ1" t="str">
            <v>--</v>
          </cell>
          <cell r="LRK1" t="str">
            <v>--</v>
          </cell>
          <cell r="LRL1" t="str">
            <v>--</v>
          </cell>
          <cell r="LRM1" t="str">
            <v>--</v>
          </cell>
          <cell r="LRN1" t="str">
            <v>--</v>
          </cell>
          <cell r="LRO1" t="str">
            <v>--</v>
          </cell>
          <cell r="LRP1" t="str">
            <v>--</v>
          </cell>
          <cell r="LRQ1" t="str">
            <v>--</v>
          </cell>
          <cell r="LRR1" t="str">
            <v>--</v>
          </cell>
          <cell r="LRS1" t="str">
            <v>--</v>
          </cell>
          <cell r="LRT1" t="str">
            <v>--</v>
          </cell>
          <cell r="LRU1" t="str">
            <v>--</v>
          </cell>
          <cell r="LRV1" t="str">
            <v>--</v>
          </cell>
          <cell r="LRW1" t="str">
            <v>--</v>
          </cell>
          <cell r="LRX1" t="str">
            <v>--</v>
          </cell>
          <cell r="LRY1" t="str">
            <v>--</v>
          </cell>
          <cell r="LRZ1" t="str">
            <v>--</v>
          </cell>
          <cell r="LSA1" t="str">
            <v>--</v>
          </cell>
          <cell r="LSB1" t="str">
            <v>--</v>
          </cell>
          <cell r="LSC1" t="str">
            <v>--</v>
          </cell>
          <cell r="LSD1" t="str">
            <v>--</v>
          </cell>
          <cell r="LSE1" t="str">
            <v>--</v>
          </cell>
          <cell r="LSF1" t="str">
            <v>--</v>
          </cell>
          <cell r="LSG1" t="str">
            <v>--</v>
          </cell>
          <cell r="LSH1" t="str">
            <v>--</v>
          </cell>
          <cell r="LSI1" t="str">
            <v>--</v>
          </cell>
          <cell r="LSJ1" t="str">
            <v>--</v>
          </cell>
          <cell r="LSK1" t="str">
            <v>--</v>
          </cell>
          <cell r="LSL1" t="str">
            <v>--</v>
          </cell>
          <cell r="LSM1" t="str">
            <v>--</v>
          </cell>
          <cell r="LSN1" t="str">
            <v>--</v>
          </cell>
          <cell r="LSO1" t="str">
            <v>--</v>
          </cell>
          <cell r="LSP1" t="str">
            <v>--</v>
          </cell>
          <cell r="LSQ1" t="str">
            <v>--</v>
          </cell>
          <cell r="LSR1" t="str">
            <v>--</v>
          </cell>
          <cell r="LSS1" t="str">
            <v>--</v>
          </cell>
          <cell r="LST1" t="str">
            <v>--</v>
          </cell>
          <cell r="LSU1" t="str">
            <v>--</v>
          </cell>
          <cell r="LSV1" t="str">
            <v>--</v>
          </cell>
          <cell r="LSW1" t="str">
            <v>--</v>
          </cell>
          <cell r="LSX1" t="str">
            <v>--</v>
          </cell>
          <cell r="LSY1" t="str">
            <v>--</v>
          </cell>
          <cell r="LSZ1" t="str">
            <v>--</v>
          </cell>
          <cell r="LTA1" t="str">
            <v>--</v>
          </cell>
          <cell r="LTB1" t="str">
            <v>--</v>
          </cell>
          <cell r="LTC1" t="str">
            <v>--</v>
          </cell>
          <cell r="LTD1" t="str">
            <v>--</v>
          </cell>
          <cell r="LTE1" t="str">
            <v>--</v>
          </cell>
          <cell r="LTF1" t="str">
            <v>--</v>
          </cell>
          <cell r="LTG1" t="str">
            <v>--</v>
          </cell>
          <cell r="LTH1" t="str">
            <v>--</v>
          </cell>
          <cell r="LTI1" t="str">
            <v>--</v>
          </cell>
          <cell r="LTJ1" t="str">
            <v>--</v>
          </cell>
          <cell r="LTK1" t="str">
            <v>--</v>
          </cell>
          <cell r="LTL1" t="str">
            <v>--</v>
          </cell>
          <cell r="LTM1" t="str">
            <v>--</v>
          </cell>
          <cell r="LTN1" t="str">
            <v>--</v>
          </cell>
          <cell r="LTO1" t="str">
            <v>--</v>
          </cell>
          <cell r="LTP1" t="str">
            <v>--</v>
          </cell>
          <cell r="LTQ1" t="str">
            <v>--</v>
          </cell>
          <cell r="LTR1" t="str">
            <v>--</v>
          </cell>
          <cell r="LTS1" t="str">
            <v>--</v>
          </cell>
          <cell r="LTT1" t="str">
            <v>--</v>
          </cell>
          <cell r="LTU1" t="str">
            <v>--</v>
          </cell>
          <cell r="LTV1" t="str">
            <v>--</v>
          </cell>
          <cell r="LTW1" t="str">
            <v>--</v>
          </cell>
          <cell r="LTX1" t="str">
            <v>--</v>
          </cell>
          <cell r="LTY1" t="str">
            <v>--</v>
          </cell>
          <cell r="LTZ1" t="str">
            <v>--</v>
          </cell>
          <cell r="LUA1" t="str">
            <v>--</v>
          </cell>
          <cell r="LUB1" t="str">
            <v>--</v>
          </cell>
          <cell r="LUC1" t="str">
            <v>--</v>
          </cell>
          <cell r="LUD1" t="str">
            <v>--</v>
          </cell>
          <cell r="LUE1" t="str">
            <v>--</v>
          </cell>
          <cell r="LUF1" t="str">
            <v>--</v>
          </cell>
          <cell r="LUG1" t="str">
            <v>--</v>
          </cell>
          <cell r="LUH1" t="str">
            <v>--</v>
          </cell>
          <cell r="LUI1" t="str">
            <v>--</v>
          </cell>
          <cell r="LUJ1" t="str">
            <v>--</v>
          </cell>
          <cell r="LUK1" t="str">
            <v>--</v>
          </cell>
          <cell r="LUL1" t="str">
            <v>--</v>
          </cell>
          <cell r="LUM1" t="str">
            <v>--</v>
          </cell>
          <cell r="LUN1" t="str">
            <v>--</v>
          </cell>
          <cell r="LUO1" t="str">
            <v>--</v>
          </cell>
          <cell r="LUP1" t="str">
            <v>--</v>
          </cell>
          <cell r="LUQ1" t="str">
            <v>--</v>
          </cell>
          <cell r="LUR1" t="str">
            <v>--</v>
          </cell>
          <cell r="LUS1" t="str">
            <v>--</v>
          </cell>
          <cell r="LUT1" t="str">
            <v>--</v>
          </cell>
          <cell r="LUU1" t="str">
            <v>--</v>
          </cell>
          <cell r="LUV1" t="str">
            <v>--</v>
          </cell>
          <cell r="LUW1" t="str">
            <v>--</v>
          </cell>
          <cell r="LUX1" t="str">
            <v>--</v>
          </cell>
          <cell r="LUY1" t="str">
            <v>--</v>
          </cell>
          <cell r="LUZ1" t="str">
            <v>--</v>
          </cell>
          <cell r="LVA1" t="str">
            <v>--</v>
          </cell>
          <cell r="LVB1" t="str">
            <v>--</v>
          </cell>
          <cell r="LVC1" t="str">
            <v>--</v>
          </cell>
          <cell r="LVD1" t="str">
            <v>--</v>
          </cell>
          <cell r="LVE1" t="str">
            <v>--</v>
          </cell>
          <cell r="LVF1" t="str">
            <v>--</v>
          </cell>
          <cell r="LVG1" t="str">
            <v>--</v>
          </cell>
          <cell r="LVH1" t="str">
            <v>--</v>
          </cell>
          <cell r="LVI1" t="str">
            <v>--</v>
          </cell>
          <cell r="LVJ1" t="str">
            <v>--</v>
          </cell>
          <cell r="LVK1" t="str">
            <v>--</v>
          </cell>
          <cell r="LVL1" t="str">
            <v>--</v>
          </cell>
          <cell r="LVM1" t="str">
            <v>--</v>
          </cell>
          <cell r="LVN1" t="str">
            <v>--</v>
          </cell>
          <cell r="LVO1" t="str">
            <v>--</v>
          </cell>
          <cell r="LVP1" t="str">
            <v>--</v>
          </cell>
          <cell r="LVQ1" t="str">
            <v>--</v>
          </cell>
          <cell r="LVR1" t="str">
            <v>--</v>
          </cell>
          <cell r="LVS1" t="str">
            <v>--</v>
          </cell>
          <cell r="LVT1" t="str">
            <v>--</v>
          </cell>
          <cell r="LVU1" t="str">
            <v>--</v>
          </cell>
          <cell r="LVV1" t="str">
            <v>--</v>
          </cell>
          <cell r="LVW1" t="str">
            <v>--</v>
          </cell>
          <cell r="LVX1" t="str">
            <v>--</v>
          </cell>
          <cell r="LVY1" t="str">
            <v>--</v>
          </cell>
          <cell r="LVZ1" t="str">
            <v>--</v>
          </cell>
          <cell r="LWA1" t="str">
            <v>--</v>
          </cell>
          <cell r="LWB1" t="str">
            <v>--</v>
          </cell>
          <cell r="LWC1" t="str">
            <v>--</v>
          </cell>
          <cell r="LWD1" t="str">
            <v>--</v>
          </cell>
          <cell r="LWE1" t="str">
            <v>--</v>
          </cell>
          <cell r="LWF1" t="str">
            <v>--</v>
          </cell>
          <cell r="LWG1" t="str">
            <v>--</v>
          </cell>
          <cell r="LWH1" t="str">
            <v>--</v>
          </cell>
          <cell r="LWI1" t="str">
            <v>--</v>
          </cell>
          <cell r="LWJ1" t="str">
            <v>--</v>
          </cell>
          <cell r="LWK1" t="str">
            <v>--</v>
          </cell>
          <cell r="LWL1" t="str">
            <v>--</v>
          </cell>
          <cell r="LWM1" t="str">
            <v>--</v>
          </cell>
          <cell r="LWN1" t="str">
            <v>--</v>
          </cell>
          <cell r="LWO1" t="str">
            <v>--</v>
          </cell>
          <cell r="LWP1" t="str">
            <v>--</v>
          </cell>
          <cell r="LWQ1" t="str">
            <v>--</v>
          </cell>
          <cell r="LWR1" t="str">
            <v>--</v>
          </cell>
          <cell r="LWS1" t="str">
            <v>--</v>
          </cell>
          <cell r="LWT1" t="str">
            <v>--</v>
          </cell>
          <cell r="LWU1" t="str">
            <v>--</v>
          </cell>
          <cell r="LWV1" t="str">
            <v>--</v>
          </cell>
          <cell r="LWW1" t="str">
            <v>--</v>
          </cell>
          <cell r="LWX1" t="str">
            <v>--</v>
          </cell>
          <cell r="LWY1" t="str">
            <v>--</v>
          </cell>
          <cell r="LWZ1" t="str">
            <v>--</v>
          </cell>
          <cell r="LXA1" t="str">
            <v>--</v>
          </cell>
          <cell r="LXB1" t="str">
            <v>--</v>
          </cell>
          <cell r="LXC1" t="str">
            <v>--</v>
          </cell>
          <cell r="LXD1" t="str">
            <v>--</v>
          </cell>
          <cell r="LXE1" t="str">
            <v>--</v>
          </cell>
          <cell r="LXF1" t="str">
            <v>--</v>
          </cell>
          <cell r="LXG1" t="str">
            <v>--</v>
          </cell>
          <cell r="LXH1" t="str">
            <v>--</v>
          </cell>
          <cell r="LXI1" t="str">
            <v>--</v>
          </cell>
          <cell r="LXJ1" t="str">
            <v>--</v>
          </cell>
          <cell r="LXK1" t="str">
            <v>--</v>
          </cell>
          <cell r="LXL1" t="str">
            <v>--</v>
          </cell>
          <cell r="LXM1" t="str">
            <v>--</v>
          </cell>
          <cell r="LXN1" t="str">
            <v>--</v>
          </cell>
          <cell r="LXO1" t="str">
            <v>--</v>
          </cell>
          <cell r="LXP1" t="str">
            <v>--</v>
          </cell>
          <cell r="LXQ1" t="str">
            <v>--</v>
          </cell>
          <cell r="LXR1" t="str">
            <v>--</v>
          </cell>
          <cell r="LXS1" t="str">
            <v>--</v>
          </cell>
          <cell r="LXT1" t="str">
            <v>--</v>
          </cell>
          <cell r="LXU1" t="str">
            <v>--</v>
          </cell>
          <cell r="LXV1" t="str">
            <v>--</v>
          </cell>
          <cell r="LXW1" t="str">
            <v>--</v>
          </cell>
          <cell r="LXX1" t="str">
            <v>--</v>
          </cell>
          <cell r="LXY1" t="str">
            <v>--</v>
          </cell>
          <cell r="LXZ1" t="str">
            <v>--</v>
          </cell>
          <cell r="LYA1" t="str">
            <v>--</v>
          </cell>
          <cell r="LYB1" t="str">
            <v>--</v>
          </cell>
          <cell r="LYC1" t="str">
            <v>--</v>
          </cell>
          <cell r="LYD1" t="str">
            <v>--</v>
          </cell>
          <cell r="LYE1" t="str">
            <v>--</v>
          </cell>
          <cell r="LYF1" t="str">
            <v>--</v>
          </cell>
          <cell r="LYG1" t="str">
            <v>--</v>
          </cell>
          <cell r="LYH1" t="str">
            <v>--</v>
          </cell>
          <cell r="LYI1" t="str">
            <v>--</v>
          </cell>
          <cell r="LYJ1" t="str">
            <v>--</v>
          </cell>
          <cell r="LYK1" t="str">
            <v>--</v>
          </cell>
          <cell r="LYL1" t="str">
            <v>--</v>
          </cell>
          <cell r="LYM1" t="str">
            <v>--</v>
          </cell>
          <cell r="LYN1" t="str">
            <v>--</v>
          </cell>
          <cell r="LYO1" t="str">
            <v>--</v>
          </cell>
          <cell r="LYP1" t="str">
            <v>--</v>
          </cell>
          <cell r="LYQ1" t="str">
            <v>--</v>
          </cell>
          <cell r="LYR1" t="str">
            <v>--</v>
          </cell>
          <cell r="LYS1" t="str">
            <v>--</v>
          </cell>
          <cell r="LYT1" t="str">
            <v>--</v>
          </cell>
          <cell r="LYU1" t="str">
            <v>--</v>
          </cell>
          <cell r="LYV1" t="str">
            <v>--</v>
          </cell>
          <cell r="LYW1" t="str">
            <v>--</v>
          </cell>
          <cell r="LYX1" t="str">
            <v>--</v>
          </cell>
          <cell r="LYY1" t="str">
            <v>--</v>
          </cell>
          <cell r="LYZ1" t="str">
            <v>--</v>
          </cell>
          <cell r="LZA1" t="str">
            <v>--</v>
          </cell>
          <cell r="LZB1" t="str">
            <v>--</v>
          </cell>
          <cell r="LZC1" t="str">
            <v>--</v>
          </cell>
          <cell r="LZD1" t="str">
            <v>--</v>
          </cell>
          <cell r="LZE1" t="str">
            <v>--</v>
          </cell>
          <cell r="LZF1" t="str">
            <v>--</v>
          </cell>
          <cell r="LZG1" t="str">
            <v>--</v>
          </cell>
          <cell r="LZH1" t="str">
            <v>--</v>
          </cell>
          <cell r="LZI1" t="str">
            <v>--</v>
          </cell>
          <cell r="LZJ1" t="str">
            <v>--</v>
          </cell>
          <cell r="LZK1" t="str">
            <v>--</v>
          </cell>
          <cell r="LZL1" t="str">
            <v>--</v>
          </cell>
          <cell r="LZM1" t="str">
            <v>--</v>
          </cell>
          <cell r="LZN1" t="str">
            <v>--</v>
          </cell>
          <cell r="LZO1" t="str">
            <v>--</v>
          </cell>
          <cell r="LZP1" t="str">
            <v>--</v>
          </cell>
          <cell r="LZQ1" t="str">
            <v>--</v>
          </cell>
          <cell r="LZR1" t="str">
            <v>--</v>
          </cell>
          <cell r="LZS1" t="str">
            <v>--</v>
          </cell>
          <cell r="LZT1" t="str">
            <v>--</v>
          </cell>
          <cell r="LZU1" t="str">
            <v>--</v>
          </cell>
          <cell r="LZV1" t="str">
            <v>--</v>
          </cell>
          <cell r="LZW1" t="str">
            <v>--</v>
          </cell>
          <cell r="LZX1" t="str">
            <v>--</v>
          </cell>
          <cell r="LZY1" t="str">
            <v>--</v>
          </cell>
          <cell r="LZZ1" t="str">
            <v>--</v>
          </cell>
          <cell r="MAA1" t="str">
            <v>--</v>
          </cell>
          <cell r="MAB1" t="str">
            <v>--</v>
          </cell>
          <cell r="MAC1" t="str">
            <v>--</v>
          </cell>
          <cell r="MAD1" t="str">
            <v>--</v>
          </cell>
          <cell r="MAE1" t="str">
            <v>--</v>
          </cell>
          <cell r="MAF1" t="str">
            <v>--</v>
          </cell>
          <cell r="MAG1" t="str">
            <v>--</v>
          </cell>
          <cell r="MAH1" t="str">
            <v>--</v>
          </cell>
          <cell r="MAI1" t="str">
            <v>--</v>
          </cell>
          <cell r="MAJ1" t="str">
            <v>--</v>
          </cell>
          <cell r="MAK1" t="str">
            <v>--</v>
          </cell>
          <cell r="MAL1" t="str">
            <v>--</v>
          </cell>
          <cell r="MAM1" t="str">
            <v>--</v>
          </cell>
          <cell r="MAN1" t="str">
            <v>--</v>
          </cell>
          <cell r="MAO1" t="str">
            <v>--</v>
          </cell>
          <cell r="MAP1" t="str">
            <v>--</v>
          </cell>
          <cell r="MAQ1" t="str">
            <v>--</v>
          </cell>
          <cell r="MAR1" t="str">
            <v>--</v>
          </cell>
          <cell r="MAS1" t="str">
            <v>--</v>
          </cell>
          <cell r="MAT1" t="str">
            <v>--</v>
          </cell>
          <cell r="MAU1" t="str">
            <v>--</v>
          </cell>
          <cell r="MAV1" t="str">
            <v>--</v>
          </cell>
          <cell r="MAW1" t="str">
            <v>--</v>
          </cell>
          <cell r="MAX1" t="str">
            <v>--</v>
          </cell>
          <cell r="MAY1" t="str">
            <v>--</v>
          </cell>
          <cell r="MAZ1" t="str">
            <v>--</v>
          </cell>
          <cell r="MBA1" t="str">
            <v>--</v>
          </cell>
          <cell r="MBB1" t="str">
            <v>--</v>
          </cell>
          <cell r="MBC1" t="str">
            <v>--</v>
          </cell>
          <cell r="MBD1" t="str">
            <v>--</v>
          </cell>
          <cell r="MBE1" t="str">
            <v>--</v>
          </cell>
          <cell r="MBF1" t="str">
            <v>--</v>
          </cell>
          <cell r="MBG1" t="str">
            <v>--</v>
          </cell>
          <cell r="MBH1" t="str">
            <v>--</v>
          </cell>
          <cell r="MBI1" t="str">
            <v>--</v>
          </cell>
          <cell r="MBJ1" t="str">
            <v>--</v>
          </cell>
          <cell r="MBK1" t="str">
            <v>--</v>
          </cell>
          <cell r="MBL1" t="str">
            <v>--</v>
          </cell>
          <cell r="MBM1" t="str">
            <v>--</v>
          </cell>
          <cell r="MBN1" t="str">
            <v>--</v>
          </cell>
          <cell r="MBO1" t="str">
            <v>--</v>
          </cell>
          <cell r="MBP1" t="str">
            <v>--</v>
          </cell>
          <cell r="MBQ1" t="str">
            <v>--</v>
          </cell>
          <cell r="MBR1" t="str">
            <v>--</v>
          </cell>
          <cell r="MBS1" t="str">
            <v>--</v>
          </cell>
          <cell r="MBT1" t="str">
            <v>--</v>
          </cell>
          <cell r="MBU1" t="str">
            <v>--</v>
          </cell>
          <cell r="MBV1" t="str">
            <v>--</v>
          </cell>
          <cell r="MBW1" t="str">
            <v>--</v>
          </cell>
          <cell r="MBX1" t="str">
            <v>--</v>
          </cell>
          <cell r="MBY1" t="str">
            <v>--</v>
          </cell>
          <cell r="MBZ1" t="str">
            <v>--</v>
          </cell>
          <cell r="MCA1" t="str">
            <v>--</v>
          </cell>
          <cell r="MCB1" t="str">
            <v>--</v>
          </cell>
          <cell r="MCC1" t="str">
            <v>--</v>
          </cell>
          <cell r="MCD1" t="str">
            <v>--</v>
          </cell>
          <cell r="MCE1" t="str">
            <v>--</v>
          </cell>
          <cell r="MCF1" t="str">
            <v>--</v>
          </cell>
          <cell r="MCG1" t="str">
            <v>--</v>
          </cell>
          <cell r="MCH1" t="str">
            <v>--</v>
          </cell>
          <cell r="MCI1" t="str">
            <v>--</v>
          </cell>
          <cell r="MCJ1" t="str">
            <v>--</v>
          </cell>
          <cell r="MCK1" t="str">
            <v>--</v>
          </cell>
          <cell r="MCL1" t="str">
            <v>--</v>
          </cell>
          <cell r="MCM1" t="str">
            <v>--</v>
          </cell>
          <cell r="MCN1" t="str">
            <v>--</v>
          </cell>
          <cell r="MCO1" t="str">
            <v>--</v>
          </cell>
          <cell r="MCP1" t="str">
            <v>--</v>
          </cell>
          <cell r="MCQ1" t="str">
            <v>--</v>
          </cell>
          <cell r="MCR1" t="str">
            <v>--</v>
          </cell>
          <cell r="MCS1" t="str">
            <v>--</v>
          </cell>
          <cell r="MCT1" t="str">
            <v>--</v>
          </cell>
          <cell r="MCU1" t="str">
            <v>--</v>
          </cell>
          <cell r="MCV1" t="str">
            <v>--</v>
          </cell>
          <cell r="MCW1" t="str">
            <v>--</v>
          </cell>
          <cell r="MCX1" t="str">
            <v>--</v>
          </cell>
          <cell r="MCY1" t="str">
            <v>--</v>
          </cell>
          <cell r="MCZ1" t="str">
            <v>--</v>
          </cell>
          <cell r="MDA1" t="str">
            <v>--</v>
          </cell>
          <cell r="MDB1" t="str">
            <v>--</v>
          </cell>
          <cell r="MDC1" t="str">
            <v>--</v>
          </cell>
          <cell r="MDD1" t="str">
            <v>--</v>
          </cell>
          <cell r="MDE1" t="str">
            <v>--</v>
          </cell>
          <cell r="MDF1" t="str">
            <v>--</v>
          </cell>
          <cell r="MDG1" t="str">
            <v>--</v>
          </cell>
          <cell r="MDH1" t="str">
            <v>--</v>
          </cell>
          <cell r="MDI1" t="str">
            <v>--</v>
          </cell>
          <cell r="MDJ1" t="str">
            <v>--</v>
          </cell>
          <cell r="MDK1" t="str">
            <v>--</v>
          </cell>
          <cell r="MDL1" t="str">
            <v>--</v>
          </cell>
          <cell r="MDM1" t="str">
            <v>--</v>
          </cell>
          <cell r="MDN1" t="str">
            <v>--</v>
          </cell>
          <cell r="MDO1" t="str">
            <v>--</v>
          </cell>
          <cell r="MDP1" t="str">
            <v>--</v>
          </cell>
          <cell r="MDQ1" t="str">
            <v>--</v>
          </cell>
          <cell r="MDR1" t="str">
            <v>--</v>
          </cell>
          <cell r="MDS1" t="str">
            <v>--</v>
          </cell>
          <cell r="MDT1" t="str">
            <v>--</v>
          </cell>
          <cell r="MDU1" t="str">
            <v>--</v>
          </cell>
          <cell r="MDV1" t="str">
            <v>--</v>
          </cell>
          <cell r="MDW1" t="str">
            <v>--</v>
          </cell>
          <cell r="MDX1" t="str">
            <v>--</v>
          </cell>
          <cell r="MDY1" t="str">
            <v>--</v>
          </cell>
          <cell r="MDZ1" t="str">
            <v>--</v>
          </cell>
          <cell r="MEA1" t="str">
            <v>--</v>
          </cell>
          <cell r="MEB1" t="str">
            <v>--</v>
          </cell>
          <cell r="MEC1" t="str">
            <v>--</v>
          </cell>
          <cell r="MED1" t="str">
            <v>--</v>
          </cell>
          <cell r="MEE1" t="str">
            <v>--</v>
          </cell>
          <cell r="MEF1" t="str">
            <v>--</v>
          </cell>
          <cell r="MEG1" t="str">
            <v>--</v>
          </cell>
          <cell r="MEH1" t="str">
            <v>--</v>
          </cell>
          <cell r="MEI1" t="str">
            <v>--</v>
          </cell>
          <cell r="MEJ1" t="str">
            <v>--</v>
          </cell>
          <cell r="MEK1" t="str">
            <v>--</v>
          </cell>
          <cell r="MEL1" t="str">
            <v>--</v>
          </cell>
          <cell r="MEM1" t="str">
            <v>--</v>
          </cell>
          <cell r="MEN1" t="str">
            <v>--</v>
          </cell>
          <cell r="MEO1" t="str">
            <v>--</v>
          </cell>
          <cell r="MEP1" t="str">
            <v>--</v>
          </cell>
          <cell r="MEQ1" t="str">
            <v>--</v>
          </cell>
          <cell r="MER1" t="str">
            <v>--</v>
          </cell>
          <cell r="MES1" t="str">
            <v>--</v>
          </cell>
          <cell r="MET1" t="str">
            <v>--</v>
          </cell>
          <cell r="MEU1" t="str">
            <v>--</v>
          </cell>
          <cell r="MEV1" t="str">
            <v>--</v>
          </cell>
          <cell r="MEW1" t="str">
            <v>--</v>
          </cell>
          <cell r="MEX1" t="str">
            <v>--</v>
          </cell>
          <cell r="MEY1" t="str">
            <v>--</v>
          </cell>
          <cell r="MEZ1" t="str">
            <v>--</v>
          </cell>
          <cell r="MFA1" t="str">
            <v>--</v>
          </cell>
          <cell r="MFB1" t="str">
            <v>--</v>
          </cell>
          <cell r="MFC1" t="str">
            <v>--</v>
          </cell>
          <cell r="MFD1" t="str">
            <v>--</v>
          </cell>
          <cell r="MFE1" t="str">
            <v>--</v>
          </cell>
          <cell r="MFF1" t="str">
            <v>--</v>
          </cell>
          <cell r="MFG1" t="str">
            <v>--</v>
          </cell>
          <cell r="MFH1" t="str">
            <v>--</v>
          </cell>
          <cell r="MFI1" t="str">
            <v>--</v>
          </cell>
          <cell r="MFJ1" t="str">
            <v>--</v>
          </cell>
          <cell r="MFK1" t="str">
            <v>--</v>
          </cell>
          <cell r="MFL1" t="str">
            <v>--</v>
          </cell>
          <cell r="MFM1" t="str">
            <v>--</v>
          </cell>
          <cell r="MFN1" t="str">
            <v>--</v>
          </cell>
          <cell r="MFO1" t="str">
            <v>--</v>
          </cell>
          <cell r="MFP1" t="str">
            <v>--</v>
          </cell>
          <cell r="MFQ1" t="str">
            <v>--</v>
          </cell>
          <cell r="MFR1" t="str">
            <v>--</v>
          </cell>
          <cell r="MFS1" t="str">
            <v>--</v>
          </cell>
          <cell r="MFT1" t="str">
            <v>--</v>
          </cell>
          <cell r="MFU1" t="str">
            <v>--</v>
          </cell>
          <cell r="MFV1" t="str">
            <v>--</v>
          </cell>
          <cell r="MFW1" t="str">
            <v>--</v>
          </cell>
          <cell r="MFX1" t="str">
            <v>--</v>
          </cell>
          <cell r="MFY1" t="str">
            <v>--</v>
          </cell>
          <cell r="MFZ1" t="str">
            <v>--</v>
          </cell>
          <cell r="MGA1" t="str">
            <v>--</v>
          </cell>
          <cell r="MGB1" t="str">
            <v>--</v>
          </cell>
          <cell r="MGC1" t="str">
            <v>--</v>
          </cell>
          <cell r="MGD1" t="str">
            <v>--</v>
          </cell>
          <cell r="MGE1" t="str">
            <v>--</v>
          </cell>
          <cell r="MGF1" t="str">
            <v>--</v>
          </cell>
          <cell r="MGG1" t="str">
            <v>--</v>
          </cell>
          <cell r="MGH1" t="str">
            <v>--</v>
          </cell>
          <cell r="MGI1" t="str">
            <v>--</v>
          </cell>
          <cell r="MGJ1" t="str">
            <v>--</v>
          </cell>
          <cell r="MGK1" t="str">
            <v>--</v>
          </cell>
          <cell r="MGL1" t="str">
            <v>--</v>
          </cell>
          <cell r="MGM1" t="str">
            <v>--</v>
          </cell>
          <cell r="MGN1" t="str">
            <v>--</v>
          </cell>
          <cell r="MGO1" t="str">
            <v>--</v>
          </cell>
          <cell r="MGP1" t="str">
            <v>--</v>
          </cell>
          <cell r="MGQ1" t="str">
            <v>--</v>
          </cell>
          <cell r="MGR1" t="str">
            <v>--</v>
          </cell>
          <cell r="MGS1" t="str">
            <v>--</v>
          </cell>
          <cell r="MGT1" t="str">
            <v>--</v>
          </cell>
          <cell r="MGU1" t="str">
            <v>--</v>
          </cell>
          <cell r="MGV1" t="str">
            <v>--</v>
          </cell>
          <cell r="MGW1" t="str">
            <v>--</v>
          </cell>
          <cell r="MGX1" t="str">
            <v>--</v>
          </cell>
          <cell r="MGY1" t="str">
            <v>--</v>
          </cell>
          <cell r="MGZ1" t="str">
            <v>--</v>
          </cell>
          <cell r="MHA1" t="str">
            <v>--</v>
          </cell>
          <cell r="MHB1" t="str">
            <v>--</v>
          </cell>
          <cell r="MHC1" t="str">
            <v>--</v>
          </cell>
          <cell r="MHD1" t="str">
            <v>--</v>
          </cell>
          <cell r="MHE1" t="str">
            <v>--</v>
          </cell>
          <cell r="MHF1" t="str">
            <v>--</v>
          </cell>
          <cell r="MHG1" t="str">
            <v>--</v>
          </cell>
          <cell r="MHH1" t="str">
            <v>--</v>
          </cell>
          <cell r="MHI1" t="str">
            <v>--</v>
          </cell>
          <cell r="MHJ1" t="str">
            <v>--</v>
          </cell>
          <cell r="MHK1" t="str">
            <v>--</v>
          </cell>
          <cell r="MHL1" t="str">
            <v>--</v>
          </cell>
          <cell r="MHM1" t="str">
            <v>--</v>
          </cell>
          <cell r="MHN1" t="str">
            <v>--</v>
          </cell>
          <cell r="MHO1" t="str">
            <v>--</v>
          </cell>
          <cell r="MHP1" t="str">
            <v>--</v>
          </cell>
          <cell r="MHQ1" t="str">
            <v>--</v>
          </cell>
          <cell r="MHR1" t="str">
            <v>--</v>
          </cell>
          <cell r="MHS1" t="str">
            <v>--</v>
          </cell>
          <cell r="MHT1" t="str">
            <v>--</v>
          </cell>
          <cell r="MHU1" t="str">
            <v>--</v>
          </cell>
          <cell r="MHV1" t="str">
            <v>--</v>
          </cell>
          <cell r="MHW1" t="str">
            <v>--</v>
          </cell>
          <cell r="MHX1" t="str">
            <v>--</v>
          </cell>
          <cell r="MHY1" t="str">
            <v>--</v>
          </cell>
          <cell r="MHZ1" t="str">
            <v>--</v>
          </cell>
          <cell r="MIA1" t="str">
            <v>--</v>
          </cell>
          <cell r="MIB1" t="str">
            <v>--</v>
          </cell>
          <cell r="MIC1" t="str">
            <v>--</v>
          </cell>
          <cell r="MID1" t="str">
            <v>--</v>
          </cell>
          <cell r="MIE1" t="str">
            <v>--</v>
          </cell>
          <cell r="MIF1" t="str">
            <v>--</v>
          </cell>
          <cell r="MIG1" t="str">
            <v>--</v>
          </cell>
          <cell r="MIH1" t="str">
            <v>--</v>
          </cell>
          <cell r="MII1" t="str">
            <v>--</v>
          </cell>
          <cell r="MIJ1" t="str">
            <v>--</v>
          </cell>
          <cell r="MIK1" t="str">
            <v>--</v>
          </cell>
          <cell r="MIL1" t="str">
            <v>--</v>
          </cell>
          <cell r="MIM1" t="str">
            <v>--</v>
          </cell>
          <cell r="MIN1" t="str">
            <v>--</v>
          </cell>
          <cell r="MIO1" t="str">
            <v>--</v>
          </cell>
          <cell r="MIP1" t="str">
            <v>--</v>
          </cell>
          <cell r="MIQ1" t="str">
            <v>--</v>
          </cell>
          <cell r="MIR1" t="str">
            <v>--</v>
          </cell>
          <cell r="MIS1" t="str">
            <v>--</v>
          </cell>
          <cell r="MIT1" t="str">
            <v>--</v>
          </cell>
          <cell r="MIU1" t="str">
            <v>--</v>
          </cell>
          <cell r="MIV1" t="str">
            <v>--</v>
          </cell>
          <cell r="MIW1" t="str">
            <v>--</v>
          </cell>
          <cell r="MIX1" t="str">
            <v>--</v>
          </cell>
          <cell r="MIY1" t="str">
            <v>--</v>
          </cell>
          <cell r="MIZ1" t="str">
            <v>--</v>
          </cell>
          <cell r="MJA1" t="str">
            <v>--</v>
          </cell>
          <cell r="MJB1" t="str">
            <v>--</v>
          </cell>
          <cell r="MJC1" t="str">
            <v>--</v>
          </cell>
          <cell r="MJD1" t="str">
            <v>--</v>
          </cell>
          <cell r="MJE1" t="str">
            <v>--</v>
          </cell>
          <cell r="MJF1" t="str">
            <v>--</v>
          </cell>
          <cell r="MJG1" t="str">
            <v>--</v>
          </cell>
          <cell r="MJH1" t="str">
            <v>--</v>
          </cell>
          <cell r="MJI1" t="str">
            <v>--</v>
          </cell>
          <cell r="MJJ1" t="str">
            <v>--</v>
          </cell>
          <cell r="MJK1" t="str">
            <v>--</v>
          </cell>
          <cell r="MJL1" t="str">
            <v>--</v>
          </cell>
          <cell r="MJM1" t="str">
            <v>--</v>
          </cell>
          <cell r="MJN1" t="str">
            <v>--</v>
          </cell>
          <cell r="MJO1" t="str">
            <v>--</v>
          </cell>
          <cell r="MJP1" t="str">
            <v>--</v>
          </cell>
          <cell r="MJQ1" t="str">
            <v>--</v>
          </cell>
          <cell r="MJR1" t="str">
            <v>--</v>
          </cell>
          <cell r="MJS1" t="str">
            <v>--</v>
          </cell>
          <cell r="MJT1" t="str">
            <v>--</v>
          </cell>
          <cell r="MJU1" t="str">
            <v>--</v>
          </cell>
          <cell r="MJV1" t="str">
            <v>--</v>
          </cell>
          <cell r="MJW1" t="str">
            <v>--</v>
          </cell>
          <cell r="MJX1" t="str">
            <v>--</v>
          </cell>
          <cell r="MJY1" t="str">
            <v>--</v>
          </cell>
          <cell r="MJZ1" t="str">
            <v>--</v>
          </cell>
          <cell r="MKA1" t="str">
            <v>--</v>
          </cell>
          <cell r="MKB1" t="str">
            <v>--</v>
          </cell>
          <cell r="MKC1" t="str">
            <v>--</v>
          </cell>
          <cell r="MKD1" t="str">
            <v>--</v>
          </cell>
          <cell r="MKE1" t="str">
            <v>--</v>
          </cell>
          <cell r="MKF1" t="str">
            <v>--</v>
          </cell>
          <cell r="MKG1" t="str">
            <v>--</v>
          </cell>
          <cell r="MKH1" t="str">
            <v>--</v>
          </cell>
          <cell r="MKI1" t="str">
            <v>--</v>
          </cell>
          <cell r="MKJ1" t="str">
            <v>--</v>
          </cell>
          <cell r="MKK1" t="str">
            <v>--</v>
          </cell>
          <cell r="MKL1" t="str">
            <v>--</v>
          </cell>
          <cell r="MKM1" t="str">
            <v>--</v>
          </cell>
          <cell r="MKN1" t="str">
            <v>--</v>
          </cell>
          <cell r="MKO1" t="str">
            <v>--</v>
          </cell>
          <cell r="MKP1" t="str">
            <v>--</v>
          </cell>
          <cell r="MKQ1" t="str">
            <v>--</v>
          </cell>
          <cell r="MKR1" t="str">
            <v>--</v>
          </cell>
          <cell r="MKS1" t="str">
            <v>--</v>
          </cell>
          <cell r="MKT1" t="str">
            <v>--</v>
          </cell>
          <cell r="MKU1" t="str">
            <v>--</v>
          </cell>
          <cell r="MKV1" t="str">
            <v>--</v>
          </cell>
          <cell r="MKW1" t="str">
            <v>--</v>
          </cell>
          <cell r="MKX1" t="str">
            <v>--</v>
          </cell>
          <cell r="MKY1" t="str">
            <v>--</v>
          </cell>
          <cell r="MKZ1" t="str">
            <v>--</v>
          </cell>
          <cell r="MLA1" t="str">
            <v>--</v>
          </cell>
          <cell r="MLB1" t="str">
            <v>--</v>
          </cell>
          <cell r="MLC1" t="str">
            <v>--</v>
          </cell>
          <cell r="MLD1" t="str">
            <v>--</v>
          </cell>
          <cell r="MLE1" t="str">
            <v>--</v>
          </cell>
          <cell r="MLF1" t="str">
            <v>--</v>
          </cell>
          <cell r="MLG1" t="str">
            <v>--</v>
          </cell>
          <cell r="MLH1" t="str">
            <v>--</v>
          </cell>
          <cell r="MLI1" t="str">
            <v>--</v>
          </cell>
          <cell r="MLJ1" t="str">
            <v>--</v>
          </cell>
          <cell r="MLK1" t="str">
            <v>--</v>
          </cell>
          <cell r="MLL1" t="str">
            <v>--</v>
          </cell>
          <cell r="MLM1" t="str">
            <v>--</v>
          </cell>
          <cell r="MLN1" t="str">
            <v>--</v>
          </cell>
          <cell r="MLO1" t="str">
            <v>--</v>
          </cell>
          <cell r="MLP1" t="str">
            <v>--</v>
          </cell>
          <cell r="MLQ1" t="str">
            <v>--</v>
          </cell>
          <cell r="MLR1" t="str">
            <v>--</v>
          </cell>
          <cell r="MLS1" t="str">
            <v>--</v>
          </cell>
          <cell r="MLT1" t="str">
            <v>--</v>
          </cell>
          <cell r="MLU1" t="str">
            <v>--</v>
          </cell>
          <cell r="MLV1" t="str">
            <v>--</v>
          </cell>
          <cell r="MLW1" t="str">
            <v>--</v>
          </cell>
          <cell r="MLX1" t="str">
            <v>--</v>
          </cell>
          <cell r="MLY1" t="str">
            <v>--</v>
          </cell>
          <cell r="MLZ1" t="str">
            <v>--</v>
          </cell>
          <cell r="MMA1" t="str">
            <v>--</v>
          </cell>
          <cell r="MMB1" t="str">
            <v>--</v>
          </cell>
          <cell r="MMC1" t="str">
            <v>--</v>
          </cell>
          <cell r="MMD1" t="str">
            <v>--</v>
          </cell>
          <cell r="MME1" t="str">
            <v>--</v>
          </cell>
          <cell r="MMF1" t="str">
            <v>--</v>
          </cell>
          <cell r="MMG1" t="str">
            <v>--</v>
          </cell>
          <cell r="MMH1" t="str">
            <v>--</v>
          </cell>
          <cell r="MMI1" t="str">
            <v>--</v>
          </cell>
          <cell r="MMJ1" t="str">
            <v>--</v>
          </cell>
          <cell r="MMK1" t="str">
            <v>--</v>
          </cell>
          <cell r="MML1" t="str">
            <v>--</v>
          </cell>
          <cell r="MMM1" t="str">
            <v>--</v>
          </cell>
          <cell r="MMN1" t="str">
            <v>--</v>
          </cell>
          <cell r="MMO1" t="str">
            <v>--</v>
          </cell>
          <cell r="MMP1" t="str">
            <v>--</v>
          </cell>
          <cell r="MMQ1" t="str">
            <v>--</v>
          </cell>
          <cell r="MMR1" t="str">
            <v>--</v>
          </cell>
          <cell r="MMS1" t="str">
            <v>--</v>
          </cell>
          <cell r="MMT1" t="str">
            <v>--</v>
          </cell>
          <cell r="MMU1" t="str">
            <v>--</v>
          </cell>
          <cell r="MMV1" t="str">
            <v>--</v>
          </cell>
          <cell r="MMW1" t="str">
            <v>--</v>
          </cell>
          <cell r="MMX1" t="str">
            <v>--</v>
          </cell>
          <cell r="MMY1" t="str">
            <v>--</v>
          </cell>
          <cell r="MMZ1" t="str">
            <v>--</v>
          </cell>
          <cell r="MNA1" t="str">
            <v>--</v>
          </cell>
          <cell r="MNB1" t="str">
            <v>--</v>
          </cell>
          <cell r="MNC1" t="str">
            <v>--</v>
          </cell>
          <cell r="MND1" t="str">
            <v>--</v>
          </cell>
          <cell r="MNE1" t="str">
            <v>--</v>
          </cell>
          <cell r="MNF1" t="str">
            <v>--</v>
          </cell>
          <cell r="MNG1" t="str">
            <v>--</v>
          </cell>
          <cell r="MNH1" t="str">
            <v>--</v>
          </cell>
          <cell r="MNI1" t="str">
            <v>--</v>
          </cell>
          <cell r="MNJ1" t="str">
            <v>--</v>
          </cell>
          <cell r="MNK1" t="str">
            <v>--</v>
          </cell>
          <cell r="MNL1" t="str">
            <v>--</v>
          </cell>
          <cell r="MNM1" t="str">
            <v>--</v>
          </cell>
          <cell r="MNN1" t="str">
            <v>--</v>
          </cell>
          <cell r="MNO1" t="str">
            <v>--</v>
          </cell>
          <cell r="MNP1" t="str">
            <v>--</v>
          </cell>
          <cell r="MNQ1" t="str">
            <v>--</v>
          </cell>
          <cell r="MNR1" t="str">
            <v>--</v>
          </cell>
          <cell r="MNS1" t="str">
            <v>--</v>
          </cell>
          <cell r="MNT1" t="str">
            <v>--</v>
          </cell>
          <cell r="MNU1" t="str">
            <v>--</v>
          </cell>
          <cell r="MNV1" t="str">
            <v>--</v>
          </cell>
          <cell r="MNW1" t="str">
            <v>--</v>
          </cell>
          <cell r="MNX1" t="str">
            <v>--</v>
          </cell>
          <cell r="MNY1" t="str">
            <v>--</v>
          </cell>
          <cell r="MNZ1" t="str">
            <v>--</v>
          </cell>
          <cell r="MOA1" t="str">
            <v>--</v>
          </cell>
          <cell r="MOB1" t="str">
            <v>--</v>
          </cell>
          <cell r="MOC1" t="str">
            <v>--</v>
          </cell>
          <cell r="MOD1" t="str">
            <v>--</v>
          </cell>
          <cell r="MOE1" t="str">
            <v>--</v>
          </cell>
          <cell r="MOF1" t="str">
            <v>--</v>
          </cell>
          <cell r="MOG1" t="str">
            <v>--</v>
          </cell>
          <cell r="MOH1" t="str">
            <v>--</v>
          </cell>
          <cell r="MOI1" t="str">
            <v>--</v>
          </cell>
          <cell r="MOJ1" t="str">
            <v>--</v>
          </cell>
          <cell r="MOK1" t="str">
            <v>--</v>
          </cell>
          <cell r="MOL1" t="str">
            <v>--</v>
          </cell>
          <cell r="MOM1" t="str">
            <v>--</v>
          </cell>
          <cell r="MON1" t="str">
            <v>--</v>
          </cell>
          <cell r="MOO1" t="str">
            <v>--</v>
          </cell>
          <cell r="MOP1" t="str">
            <v>--</v>
          </cell>
          <cell r="MOQ1" t="str">
            <v>--</v>
          </cell>
          <cell r="MOR1" t="str">
            <v>--</v>
          </cell>
          <cell r="MOS1" t="str">
            <v>--</v>
          </cell>
          <cell r="MOT1" t="str">
            <v>--</v>
          </cell>
          <cell r="MOU1" t="str">
            <v>--</v>
          </cell>
          <cell r="MOV1" t="str">
            <v>--</v>
          </cell>
          <cell r="MOW1" t="str">
            <v>--</v>
          </cell>
          <cell r="MOX1" t="str">
            <v>--</v>
          </cell>
          <cell r="MOY1" t="str">
            <v>--</v>
          </cell>
          <cell r="MOZ1" t="str">
            <v>--</v>
          </cell>
          <cell r="MPA1" t="str">
            <v>--</v>
          </cell>
          <cell r="MPB1" t="str">
            <v>--</v>
          </cell>
          <cell r="MPC1" t="str">
            <v>--</v>
          </cell>
          <cell r="MPD1" t="str">
            <v>--</v>
          </cell>
          <cell r="MPE1" t="str">
            <v>--</v>
          </cell>
          <cell r="MPF1" t="str">
            <v>--</v>
          </cell>
          <cell r="MPG1" t="str">
            <v>--</v>
          </cell>
          <cell r="MPH1" t="str">
            <v>--</v>
          </cell>
          <cell r="MPI1" t="str">
            <v>--</v>
          </cell>
          <cell r="MPJ1" t="str">
            <v>--</v>
          </cell>
          <cell r="MPK1" t="str">
            <v>--</v>
          </cell>
          <cell r="MPL1" t="str">
            <v>--</v>
          </cell>
          <cell r="MPM1" t="str">
            <v>--</v>
          </cell>
          <cell r="MPN1" t="str">
            <v>--</v>
          </cell>
          <cell r="MPO1" t="str">
            <v>--</v>
          </cell>
          <cell r="MPP1" t="str">
            <v>--</v>
          </cell>
          <cell r="MPQ1" t="str">
            <v>--</v>
          </cell>
          <cell r="MPR1" t="str">
            <v>--</v>
          </cell>
          <cell r="MPS1" t="str">
            <v>--</v>
          </cell>
          <cell r="MPT1" t="str">
            <v>--</v>
          </cell>
          <cell r="MPU1" t="str">
            <v>--</v>
          </cell>
          <cell r="MPV1" t="str">
            <v>--</v>
          </cell>
          <cell r="MPW1" t="str">
            <v>--</v>
          </cell>
          <cell r="MPX1" t="str">
            <v>--</v>
          </cell>
          <cell r="MPY1" t="str">
            <v>--</v>
          </cell>
          <cell r="MPZ1" t="str">
            <v>--</v>
          </cell>
          <cell r="MQA1" t="str">
            <v>--</v>
          </cell>
          <cell r="MQB1" t="str">
            <v>--</v>
          </cell>
          <cell r="MQC1" t="str">
            <v>--</v>
          </cell>
          <cell r="MQD1" t="str">
            <v>--</v>
          </cell>
          <cell r="MQE1" t="str">
            <v>--</v>
          </cell>
          <cell r="MQF1" t="str">
            <v>--</v>
          </cell>
          <cell r="MQG1" t="str">
            <v>--</v>
          </cell>
          <cell r="MQH1" t="str">
            <v>--</v>
          </cell>
          <cell r="MQI1" t="str">
            <v>--</v>
          </cell>
          <cell r="MQJ1" t="str">
            <v>--</v>
          </cell>
          <cell r="MQK1" t="str">
            <v>--</v>
          </cell>
          <cell r="MQL1" t="str">
            <v>--</v>
          </cell>
          <cell r="MQM1" t="str">
            <v>--</v>
          </cell>
          <cell r="MQN1" t="str">
            <v>--</v>
          </cell>
          <cell r="MQO1" t="str">
            <v>--</v>
          </cell>
          <cell r="MQP1" t="str">
            <v>--</v>
          </cell>
          <cell r="MQQ1" t="str">
            <v>--</v>
          </cell>
          <cell r="MQR1" t="str">
            <v>--</v>
          </cell>
          <cell r="MQS1" t="str">
            <v>--</v>
          </cell>
          <cell r="MQT1" t="str">
            <v>--</v>
          </cell>
          <cell r="MQU1" t="str">
            <v>--</v>
          </cell>
          <cell r="MQV1" t="str">
            <v>--</v>
          </cell>
          <cell r="MQW1" t="str">
            <v>--</v>
          </cell>
          <cell r="MQX1" t="str">
            <v>--</v>
          </cell>
          <cell r="MQY1" t="str">
            <v>--</v>
          </cell>
          <cell r="MQZ1" t="str">
            <v>--</v>
          </cell>
          <cell r="MRA1" t="str">
            <v>--</v>
          </cell>
          <cell r="MRB1" t="str">
            <v>--</v>
          </cell>
          <cell r="MRC1" t="str">
            <v>--</v>
          </cell>
          <cell r="MRD1" t="str">
            <v>--</v>
          </cell>
          <cell r="MRE1" t="str">
            <v>--</v>
          </cell>
          <cell r="MRF1" t="str">
            <v>--</v>
          </cell>
          <cell r="MRG1" t="str">
            <v>--</v>
          </cell>
          <cell r="MRH1" t="str">
            <v>--</v>
          </cell>
          <cell r="MRI1" t="str">
            <v>--</v>
          </cell>
          <cell r="MRJ1" t="str">
            <v>--</v>
          </cell>
          <cell r="MRK1" t="str">
            <v>--</v>
          </cell>
          <cell r="MRL1" t="str">
            <v>--</v>
          </cell>
          <cell r="MRM1" t="str">
            <v>--</v>
          </cell>
          <cell r="MRN1" t="str">
            <v>--</v>
          </cell>
          <cell r="MRO1" t="str">
            <v>--</v>
          </cell>
          <cell r="MRP1" t="str">
            <v>--</v>
          </cell>
          <cell r="MRQ1" t="str">
            <v>--</v>
          </cell>
          <cell r="MRR1" t="str">
            <v>--</v>
          </cell>
          <cell r="MRS1" t="str">
            <v>--</v>
          </cell>
          <cell r="MRT1" t="str">
            <v>--</v>
          </cell>
          <cell r="MRU1" t="str">
            <v>--</v>
          </cell>
          <cell r="MRV1" t="str">
            <v>--</v>
          </cell>
          <cell r="MRW1" t="str">
            <v>--</v>
          </cell>
          <cell r="MRX1" t="str">
            <v>--</v>
          </cell>
          <cell r="MRY1" t="str">
            <v>--</v>
          </cell>
          <cell r="MRZ1" t="str">
            <v>--</v>
          </cell>
          <cell r="MSA1" t="str">
            <v>--</v>
          </cell>
          <cell r="MSB1" t="str">
            <v>--</v>
          </cell>
          <cell r="MSC1" t="str">
            <v>--</v>
          </cell>
          <cell r="MSD1" t="str">
            <v>--</v>
          </cell>
          <cell r="MSE1" t="str">
            <v>--</v>
          </cell>
          <cell r="MSF1" t="str">
            <v>--</v>
          </cell>
          <cell r="MSG1" t="str">
            <v>--</v>
          </cell>
          <cell r="MSH1" t="str">
            <v>--</v>
          </cell>
          <cell r="MSI1" t="str">
            <v>--</v>
          </cell>
          <cell r="MSJ1" t="str">
            <v>--</v>
          </cell>
          <cell r="MSK1" t="str">
            <v>--</v>
          </cell>
          <cell r="MSL1" t="str">
            <v>--</v>
          </cell>
          <cell r="MSM1" t="str">
            <v>--</v>
          </cell>
          <cell r="MSN1" t="str">
            <v>--</v>
          </cell>
          <cell r="MSO1" t="str">
            <v>--</v>
          </cell>
          <cell r="MSP1" t="str">
            <v>--</v>
          </cell>
          <cell r="MSQ1" t="str">
            <v>--</v>
          </cell>
          <cell r="MSR1" t="str">
            <v>--</v>
          </cell>
          <cell r="MSS1" t="str">
            <v>--</v>
          </cell>
          <cell r="MST1" t="str">
            <v>--</v>
          </cell>
          <cell r="MSU1" t="str">
            <v>--</v>
          </cell>
          <cell r="MSV1" t="str">
            <v>--</v>
          </cell>
          <cell r="MSW1" t="str">
            <v>--</v>
          </cell>
          <cell r="MSX1" t="str">
            <v>--</v>
          </cell>
          <cell r="MSY1" t="str">
            <v>--</v>
          </cell>
          <cell r="MSZ1" t="str">
            <v>--</v>
          </cell>
          <cell r="MTA1" t="str">
            <v>--</v>
          </cell>
          <cell r="MTB1" t="str">
            <v>--</v>
          </cell>
          <cell r="MTC1" t="str">
            <v>--</v>
          </cell>
          <cell r="MTD1" t="str">
            <v>--</v>
          </cell>
          <cell r="MTE1" t="str">
            <v>--</v>
          </cell>
          <cell r="MTF1" t="str">
            <v>--</v>
          </cell>
          <cell r="MTG1" t="str">
            <v>--</v>
          </cell>
          <cell r="MTH1" t="str">
            <v>--</v>
          </cell>
          <cell r="MTI1" t="str">
            <v>--</v>
          </cell>
          <cell r="MTJ1" t="str">
            <v>--</v>
          </cell>
          <cell r="MTK1" t="str">
            <v>--</v>
          </cell>
          <cell r="MTL1" t="str">
            <v>--</v>
          </cell>
          <cell r="MTM1" t="str">
            <v>--</v>
          </cell>
          <cell r="MTN1" t="str">
            <v>--</v>
          </cell>
          <cell r="MTO1" t="str">
            <v>--</v>
          </cell>
          <cell r="MTP1" t="str">
            <v>--</v>
          </cell>
          <cell r="MTQ1" t="str">
            <v>--</v>
          </cell>
          <cell r="MTR1" t="str">
            <v>--</v>
          </cell>
          <cell r="MTS1" t="str">
            <v>--</v>
          </cell>
          <cell r="MTT1" t="str">
            <v>--</v>
          </cell>
          <cell r="MTU1" t="str">
            <v>--</v>
          </cell>
          <cell r="MTV1" t="str">
            <v>--</v>
          </cell>
          <cell r="MTW1" t="str">
            <v>--</v>
          </cell>
          <cell r="MTX1" t="str">
            <v>--</v>
          </cell>
          <cell r="MTY1" t="str">
            <v>--</v>
          </cell>
          <cell r="MTZ1" t="str">
            <v>--</v>
          </cell>
          <cell r="MUA1" t="str">
            <v>--</v>
          </cell>
          <cell r="MUB1" t="str">
            <v>--</v>
          </cell>
          <cell r="MUC1" t="str">
            <v>--</v>
          </cell>
          <cell r="MUD1" t="str">
            <v>--</v>
          </cell>
          <cell r="MUE1" t="str">
            <v>--</v>
          </cell>
          <cell r="MUF1" t="str">
            <v>--</v>
          </cell>
          <cell r="MUG1" t="str">
            <v>--</v>
          </cell>
          <cell r="MUH1" t="str">
            <v>--</v>
          </cell>
          <cell r="MUI1" t="str">
            <v>--</v>
          </cell>
          <cell r="MUJ1" t="str">
            <v>--</v>
          </cell>
          <cell r="MUK1" t="str">
            <v>--</v>
          </cell>
          <cell r="MUL1" t="str">
            <v>--</v>
          </cell>
          <cell r="MUM1" t="str">
            <v>--</v>
          </cell>
          <cell r="MUN1" t="str">
            <v>--</v>
          </cell>
          <cell r="MUO1" t="str">
            <v>--</v>
          </cell>
          <cell r="MUP1" t="str">
            <v>--</v>
          </cell>
          <cell r="MUQ1" t="str">
            <v>--</v>
          </cell>
          <cell r="MUR1" t="str">
            <v>--</v>
          </cell>
          <cell r="MUS1" t="str">
            <v>--</v>
          </cell>
          <cell r="MUT1" t="str">
            <v>--</v>
          </cell>
          <cell r="MUU1" t="str">
            <v>--</v>
          </cell>
          <cell r="MUV1" t="str">
            <v>--</v>
          </cell>
          <cell r="MUW1" t="str">
            <v>--</v>
          </cell>
          <cell r="MUX1" t="str">
            <v>--</v>
          </cell>
          <cell r="MUY1" t="str">
            <v>--</v>
          </cell>
          <cell r="MUZ1" t="str">
            <v>--</v>
          </cell>
          <cell r="MVA1" t="str">
            <v>--</v>
          </cell>
          <cell r="MVB1" t="str">
            <v>--</v>
          </cell>
          <cell r="MVC1" t="str">
            <v>--</v>
          </cell>
          <cell r="MVD1" t="str">
            <v>--</v>
          </cell>
          <cell r="MVE1" t="str">
            <v>--</v>
          </cell>
          <cell r="MVF1" t="str">
            <v>--</v>
          </cell>
          <cell r="MVG1" t="str">
            <v>--</v>
          </cell>
          <cell r="MVH1" t="str">
            <v>--</v>
          </cell>
          <cell r="MVI1" t="str">
            <v>--</v>
          </cell>
          <cell r="MVJ1" t="str">
            <v>--</v>
          </cell>
          <cell r="MVK1" t="str">
            <v>--</v>
          </cell>
          <cell r="MVL1" t="str">
            <v>--</v>
          </cell>
          <cell r="MVM1" t="str">
            <v>--</v>
          </cell>
          <cell r="MVN1" t="str">
            <v>--</v>
          </cell>
          <cell r="MVO1" t="str">
            <v>--</v>
          </cell>
          <cell r="MVP1" t="str">
            <v>--</v>
          </cell>
          <cell r="MVQ1" t="str">
            <v>--</v>
          </cell>
          <cell r="MVR1" t="str">
            <v>--</v>
          </cell>
          <cell r="MVS1" t="str">
            <v>--</v>
          </cell>
          <cell r="MVT1" t="str">
            <v>--</v>
          </cell>
          <cell r="MVU1" t="str">
            <v>--</v>
          </cell>
          <cell r="MVV1" t="str">
            <v>--</v>
          </cell>
          <cell r="MVW1" t="str">
            <v>--</v>
          </cell>
          <cell r="MVX1" t="str">
            <v>--</v>
          </cell>
          <cell r="MVY1" t="str">
            <v>--</v>
          </cell>
          <cell r="MVZ1" t="str">
            <v>--</v>
          </cell>
          <cell r="MWA1" t="str">
            <v>--</v>
          </cell>
          <cell r="MWB1" t="str">
            <v>--</v>
          </cell>
          <cell r="MWC1" t="str">
            <v>--</v>
          </cell>
          <cell r="MWD1" t="str">
            <v>--</v>
          </cell>
          <cell r="MWE1" t="str">
            <v>--</v>
          </cell>
          <cell r="MWF1" t="str">
            <v>--</v>
          </cell>
          <cell r="MWG1" t="str">
            <v>--</v>
          </cell>
          <cell r="MWH1" t="str">
            <v>--</v>
          </cell>
          <cell r="MWI1" t="str">
            <v>--</v>
          </cell>
          <cell r="MWJ1" t="str">
            <v>--</v>
          </cell>
          <cell r="MWK1" t="str">
            <v>--</v>
          </cell>
          <cell r="MWL1" t="str">
            <v>--</v>
          </cell>
          <cell r="MWM1" t="str">
            <v>--</v>
          </cell>
          <cell r="MWN1" t="str">
            <v>--</v>
          </cell>
          <cell r="MWO1" t="str">
            <v>--</v>
          </cell>
          <cell r="MWP1" t="str">
            <v>--</v>
          </cell>
          <cell r="MWQ1" t="str">
            <v>--</v>
          </cell>
          <cell r="MWR1" t="str">
            <v>--</v>
          </cell>
          <cell r="MWS1" t="str">
            <v>--</v>
          </cell>
          <cell r="MWT1" t="str">
            <v>--</v>
          </cell>
          <cell r="MWU1" t="str">
            <v>--</v>
          </cell>
          <cell r="MWV1" t="str">
            <v>--</v>
          </cell>
          <cell r="MWW1" t="str">
            <v>--</v>
          </cell>
          <cell r="MWX1" t="str">
            <v>--</v>
          </cell>
          <cell r="MWY1" t="str">
            <v>--</v>
          </cell>
          <cell r="MWZ1" t="str">
            <v>--</v>
          </cell>
          <cell r="MXA1" t="str">
            <v>--</v>
          </cell>
          <cell r="MXB1" t="str">
            <v>--</v>
          </cell>
          <cell r="MXC1" t="str">
            <v>--</v>
          </cell>
          <cell r="MXD1" t="str">
            <v>--</v>
          </cell>
          <cell r="MXE1" t="str">
            <v>--</v>
          </cell>
          <cell r="MXF1" t="str">
            <v>--</v>
          </cell>
          <cell r="MXG1" t="str">
            <v>--</v>
          </cell>
          <cell r="MXH1" t="str">
            <v>--</v>
          </cell>
          <cell r="MXI1" t="str">
            <v>--</v>
          </cell>
          <cell r="MXJ1" t="str">
            <v>--</v>
          </cell>
          <cell r="MXK1" t="str">
            <v>--</v>
          </cell>
          <cell r="MXL1" t="str">
            <v>--</v>
          </cell>
          <cell r="MXM1" t="str">
            <v>--</v>
          </cell>
          <cell r="MXN1" t="str">
            <v>--</v>
          </cell>
          <cell r="MXO1" t="str">
            <v>--</v>
          </cell>
          <cell r="MXP1" t="str">
            <v>--</v>
          </cell>
          <cell r="MXQ1" t="str">
            <v>--</v>
          </cell>
          <cell r="MXR1" t="str">
            <v>--</v>
          </cell>
          <cell r="MXS1" t="str">
            <v>--</v>
          </cell>
          <cell r="MXT1" t="str">
            <v>--</v>
          </cell>
          <cell r="MXU1" t="str">
            <v>--</v>
          </cell>
          <cell r="MXV1" t="str">
            <v>--</v>
          </cell>
          <cell r="MXW1" t="str">
            <v>--</v>
          </cell>
          <cell r="MXX1" t="str">
            <v>--</v>
          </cell>
          <cell r="MXY1" t="str">
            <v>--</v>
          </cell>
          <cell r="MXZ1" t="str">
            <v>--</v>
          </cell>
          <cell r="MYA1" t="str">
            <v>--</v>
          </cell>
          <cell r="MYB1" t="str">
            <v>--</v>
          </cell>
          <cell r="MYC1" t="str">
            <v>--</v>
          </cell>
          <cell r="MYD1" t="str">
            <v>--</v>
          </cell>
          <cell r="MYE1" t="str">
            <v>--</v>
          </cell>
          <cell r="MYF1" t="str">
            <v>--</v>
          </cell>
          <cell r="MYG1" t="str">
            <v>--</v>
          </cell>
          <cell r="MYH1" t="str">
            <v>--</v>
          </cell>
          <cell r="MYI1" t="str">
            <v>--</v>
          </cell>
          <cell r="MYJ1" t="str">
            <v>--</v>
          </cell>
          <cell r="MYK1" t="str">
            <v>--</v>
          </cell>
          <cell r="MYL1" t="str">
            <v>--</v>
          </cell>
          <cell r="MYM1" t="str">
            <v>--</v>
          </cell>
          <cell r="MYN1" t="str">
            <v>--</v>
          </cell>
          <cell r="MYO1" t="str">
            <v>--</v>
          </cell>
          <cell r="MYP1" t="str">
            <v>--</v>
          </cell>
          <cell r="MYQ1" t="str">
            <v>--</v>
          </cell>
          <cell r="MYR1" t="str">
            <v>--</v>
          </cell>
          <cell r="MYS1" t="str">
            <v>--</v>
          </cell>
          <cell r="MYT1" t="str">
            <v>--</v>
          </cell>
          <cell r="MYU1" t="str">
            <v>--</v>
          </cell>
          <cell r="MYV1" t="str">
            <v>--</v>
          </cell>
          <cell r="MYW1" t="str">
            <v>--</v>
          </cell>
          <cell r="MYX1" t="str">
            <v>--</v>
          </cell>
          <cell r="MYY1" t="str">
            <v>--</v>
          </cell>
          <cell r="MYZ1" t="str">
            <v>--</v>
          </cell>
          <cell r="MZA1" t="str">
            <v>--</v>
          </cell>
          <cell r="MZB1" t="str">
            <v>--</v>
          </cell>
          <cell r="MZC1" t="str">
            <v>--</v>
          </cell>
          <cell r="MZD1" t="str">
            <v>--</v>
          </cell>
          <cell r="MZE1" t="str">
            <v>--</v>
          </cell>
          <cell r="MZF1" t="str">
            <v>--</v>
          </cell>
          <cell r="MZG1" t="str">
            <v>--</v>
          </cell>
          <cell r="MZH1" t="str">
            <v>--</v>
          </cell>
          <cell r="MZI1" t="str">
            <v>--</v>
          </cell>
          <cell r="MZJ1" t="str">
            <v>--</v>
          </cell>
          <cell r="MZK1" t="str">
            <v>--</v>
          </cell>
          <cell r="MZL1" t="str">
            <v>--</v>
          </cell>
          <cell r="MZM1" t="str">
            <v>--</v>
          </cell>
          <cell r="MZN1" t="str">
            <v>--</v>
          </cell>
          <cell r="MZO1" t="str">
            <v>--</v>
          </cell>
          <cell r="MZP1" t="str">
            <v>--</v>
          </cell>
          <cell r="MZQ1" t="str">
            <v>--</v>
          </cell>
          <cell r="MZR1" t="str">
            <v>--</v>
          </cell>
          <cell r="MZS1" t="str">
            <v>--</v>
          </cell>
          <cell r="MZT1" t="str">
            <v>--</v>
          </cell>
          <cell r="MZU1" t="str">
            <v>--</v>
          </cell>
          <cell r="MZV1" t="str">
            <v>--</v>
          </cell>
          <cell r="MZW1" t="str">
            <v>--</v>
          </cell>
          <cell r="MZX1" t="str">
            <v>--</v>
          </cell>
          <cell r="MZY1" t="str">
            <v>--</v>
          </cell>
          <cell r="MZZ1" t="str">
            <v>--</v>
          </cell>
          <cell r="NAA1" t="str">
            <v>--</v>
          </cell>
          <cell r="NAB1" t="str">
            <v>--</v>
          </cell>
          <cell r="NAC1" t="str">
            <v>--</v>
          </cell>
          <cell r="NAD1" t="str">
            <v>--</v>
          </cell>
          <cell r="NAE1" t="str">
            <v>--</v>
          </cell>
          <cell r="NAF1" t="str">
            <v>--</v>
          </cell>
          <cell r="NAG1" t="str">
            <v>--</v>
          </cell>
          <cell r="NAH1" t="str">
            <v>--</v>
          </cell>
          <cell r="NAI1" t="str">
            <v>--</v>
          </cell>
          <cell r="NAJ1" t="str">
            <v>--</v>
          </cell>
          <cell r="NAK1" t="str">
            <v>--</v>
          </cell>
          <cell r="NAL1" t="str">
            <v>--</v>
          </cell>
          <cell r="NAM1" t="str">
            <v>--</v>
          </cell>
          <cell r="NAN1" t="str">
            <v>--</v>
          </cell>
          <cell r="NAO1" t="str">
            <v>--</v>
          </cell>
          <cell r="NAP1" t="str">
            <v>--</v>
          </cell>
          <cell r="NAQ1" t="str">
            <v>--</v>
          </cell>
          <cell r="NAR1" t="str">
            <v>--</v>
          </cell>
          <cell r="NAS1" t="str">
            <v>--</v>
          </cell>
          <cell r="NAT1" t="str">
            <v>--</v>
          </cell>
          <cell r="NAU1" t="str">
            <v>--</v>
          </cell>
          <cell r="NAV1" t="str">
            <v>--</v>
          </cell>
          <cell r="NAW1" t="str">
            <v>--</v>
          </cell>
          <cell r="NAX1" t="str">
            <v>--</v>
          </cell>
          <cell r="NAY1" t="str">
            <v>--</v>
          </cell>
          <cell r="NAZ1" t="str">
            <v>--</v>
          </cell>
          <cell r="NBA1" t="str">
            <v>--</v>
          </cell>
          <cell r="NBB1" t="str">
            <v>--</v>
          </cell>
          <cell r="NBC1" t="str">
            <v>--</v>
          </cell>
          <cell r="NBD1" t="str">
            <v>--</v>
          </cell>
          <cell r="NBE1" t="str">
            <v>--</v>
          </cell>
          <cell r="NBF1" t="str">
            <v>--</v>
          </cell>
          <cell r="NBG1" t="str">
            <v>--</v>
          </cell>
          <cell r="NBH1" t="str">
            <v>--</v>
          </cell>
          <cell r="NBI1" t="str">
            <v>--</v>
          </cell>
          <cell r="NBJ1" t="str">
            <v>--</v>
          </cell>
          <cell r="NBK1" t="str">
            <v>--</v>
          </cell>
          <cell r="NBL1" t="str">
            <v>--</v>
          </cell>
          <cell r="NBM1" t="str">
            <v>--</v>
          </cell>
          <cell r="NBN1" t="str">
            <v>--</v>
          </cell>
          <cell r="NBO1" t="str">
            <v>--</v>
          </cell>
          <cell r="NBP1" t="str">
            <v>--</v>
          </cell>
          <cell r="NBQ1" t="str">
            <v>--</v>
          </cell>
          <cell r="NBR1" t="str">
            <v>--</v>
          </cell>
          <cell r="NBS1" t="str">
            <v>--</v>
          </cell>
          <cell r="NBT1" t="str">
            <v>--</v>
          </cell>
          <cell r="NBU1" t="str">
            <v>--</v>
          </cell>
          <cell r="NBV1" t="str">
            <v>--</v>
          </cell>
          <cell r="NBW1" t="str">
            <v>--</v>
          </cell>
          <cell r="NBX1" t="str">
            <v>--</v>
          </cell>
          <cell r="NBY1" t="str">
            <v>--</v>
          </cell>
          <cell r="NBZ1" t="str">
            <v>--</v>
          </cell>
          <cell r="NCA1" t="str">
            <v>--</v>
          </cell>
          <cell r="NCB1" t="str">
            <v>--</v>
          </cell>
          <cell r="NCC1" t="str">
            <v>--</v>
          </cell>
          <cell r="NCD1" t="str">
            <v>--</v>
          </cell>
          <cell r="NCE1" t="str">
            <v>--</v>
          </cell>
          <cell r="NCF1" t="str">
            <v>--</v>
          </cell>
          <cell r="NCG1" t="str">
            <v>--</v>
          </cell>
          <cell r="NCH1" t="str">
            <v>--</v>
          </cell>
          <cell r="NCI1" t="str">
            <v>--</v>
          </cell>
          <cell r="NCJ1" t="str">
            <v>--</v>
          </cell>
          <cell r="NCK1" t="str">
            <v>--</v>
          </cell>
          <cell r="NCL1" t="str">
            <v>--</v>
          </cell>
          <cell r="NCM1" t="str">
            <v>--</v>
          </cell>
          <cell r="NCN1" t="str">
            <v>--</v>
          </cell>
          <cell r="NCO1" t="str">
            <v>--</v>
          </cell>
          <cell r="NCP1" t="str">
            <v>--</v>
          </cell>
          <cell r="NCQ1" t="str">
            <v>--</v>
          </cell>
          <cell r="NCR1" t="str">
            <v>--</v>
          </cell>
          <cell r="NCS1" t="str">
            <v>--</v>
          </cell>
          <cell r="NCT1" t="str">
            <v>--</v>
          </cell>
          <cell r="NCU1" t="str">
            <v>--</v>
          </cell>
          <cell r="NCV1" t="str">
            <v>--</v>
          </cell>
          <cell r="NCW1" t="str">
            <v>--</v>
          </cell>
          <cell r="NCX1" t="str">
            <v>--</v>
          </cell>
          <cell r="NCY1" t="str">
            <v>--</v>
          </cell>
          <cell r="NCZ1" t="str">
            <v>--</v>
          </cell>
          <cell r="NDA1" t="str">
            <v>--</v>
          </cell>
          <cell r="NDB1" t="str">
            <v>--</v>
          </cell>
          <cell r="NDC1" t="str">
            <v>--</v>
          </cell>
          <cell r="NDD1" t="str">
            <v>--</v>
          </cell>
          <cell r="NDE1" t="str">
            <v>--</v>
          </cell>
          <cell r="NDF1" t="str">
            <v>--</v>
          </cell>
          <cell r="NDG1" t="str">
            <v>--</v>
          </cell>
          <cell r="NDH1" t="str">
            <v>--</v>
          </cell>
          <cell r="NDI1" t="str">
            <v>--</v>
          </cell>
          <cell r="NDJ1" t="str">
            <v>--</v>
          </cell>
          <cell r="NDK1" t="str">
            <v>--</v>
          </cell>
          <cell r="NDL1" t="str">
            <v>--</v>
          </cell>
          <cell r="NDM1" t="str">
            <v>--</v>
          </cell>
          <cell r="NDN1" t="str">
            <v>--</v>
          </cell>
          <cell r="NDO1" t="str">
            <v>--</v>
          </cell>
          <cell r="NDP1" t="str">
            <v>--</v>
          </cell>
          <cell r="NDQ1" t="str">
            <v>--</v>
          </cell>
          <cell r="NDR1" t="str">
            <v>--</v>
          </cell>
          <cell r="NDS1" t="str">
            <v>--</v>
          </cell>
          <cell r="NDT1" t="str">
            <v>--</v>
          </cell>
          <cell r="NDU1" t="str">
            <v>--</v>
          </cell>
          <cell r="NDV1" t="str">
            <v>--</v>
          </cell>
          <cell r="NDW1" t="str">
            <v>--</v>
          </cell>
          <cell r="NDX1" t="str">
            <v>--</v>
          </cell>
          <cell r="NDY1" t="str">
            <v>--</v>
          </cell>
          <cell r="NDZ1" t="str">
            <v>--</v>
          </cell>
          <cell r="NEA1" t="str">
            <v>--</v>
          </cell>
          <cell r="NEB1" t="str">
            <v>--</v>
          </cell>
          <cell r="NEC1" t="str">
            <v>--</v>
          </cell>
          <cell r="NED1" t="str">
            <v>--</v>
          </cell>
          <cell r="NEE1" t="str">
            <v>--</v>
          </cell>
          <cell r="NEF1" t="str">
            <v>--</v>
          </cell>
          <cell r="NEG1" t="str">
            <v>--</v>
          </cell>
          <cell r="NEH1" t="str">
            <v>--</v>
          </cell>
          <cell r="NEI1" t="str">
            <v>--</v>
          </cell>
          <cell r="NEJ1" t="str">
            <v>--</v>
          </cell>
          <cell r="NEK1" t="str">
            <v>--</v>
          </cell>
          <cell r="NEL1" t="str">
            <v>--</v>
          </cell>
          <cell r="NEM1" t="str">
            <v>--</v>
          </cell>
          <cell r="NEN1" t="str">
            <v>--</v>
          </cell>
          <cell r="NEO1" t="str">
            <v>--</v>
          </cell>
          <cell r="NEP1" t="str">
            <v>--</v>
          </cell>
          <cell r="NEQ1" t="str">
            <v>--</v>
          </cell>
          <cell r="NER1" t="str">
            <v>--</v>
          </cell>
          <cell r="NES1" t="str">
            <v>--</v>
          </cell>
          <cell r="NET1" t="str">
            <v>--</v>
          </cell>
          <cell r="NEU1" t="str">
            <v>--</v>
          </cell>
          <cell r="NEV1" t="str">
            <v>--</v>
          </cell>
          <cell r="NEW1" t="str">
            <v>--</v>
          </cell>
          <cell r="NEX1" t="str">
            <v>--</v>
          </cell>
          <cell r="NEY1" t="str">
            <v>--</v>
          </cell>
          <cell r="NEZ1" t="str">
            <v>--</v>
          </cell>
          <cell r="NFA1" t="str">
            <v>--</v>
          </cell>
          <cell r="NFB1" t="str">
            <v>--</v>
          </cell>
          <cell r="NFC1" t="str">
            <v>--</v>
          </cell>
          <cell r="NFD1" t="str">
            <v>--</v>
          </cell>
          <cell r="NFE1" t="str">
            <v>--</v>
          </cell>
          <cell r="NFF1" t="str">
            <v>--</v>
          </cell>
          <cell r="NFG1" t="str">
            <v>--</v>
          </cell>
          <cell r="NFH1" t="str">
            <v>--</v>
          </cell>
          <cell r="NFI1" t="str">
            <v>--</v>
          </cell>
          <cell r="NFJ1" t="str">
            <v>--</v>
          </cell>
          <cell r="NFK1" t="str">
            <v>--</v>
          </cell>
          <cell r="NFL1" t="str">
            <v>--</v>
          </cell>
          <cell r="NFM1" t="str">
            <v>--</v>
          </cell>
          <cell r="NFN1" t="str">
            <v>--</v>
          </cell>
          <cell r="NFO1" t="str">
            <v>--</v>
          </cell>
          <cell r="NFP1" t="str">
            <v>--</v>
          </cell>
          <cell r="NFQ1" t="str">
            <v>--</v>
          </cell>
          <cell r="NFR1" t="str">
            <v>--</v>
          </cell>
          <cell r="NFS1" t="str">
            <v>--</v>
          </cell>
          <cell r="NFT1" t="str">
            <v>--</v>
          </cell>
          <cell r="NFU1" t="str">
            <v>--</v>
          </cell>
          <cell r="NFV1" t="str">
            <v>--</v>
          </cell>
          <cell r="NFW1" t="str">
            <v>--</v>
          </cell>
          <cell r="NFX1" t="str">
            <v>--</v>
          </cell>
          <cell r="NFY1" t="str">
            <v>--</v>
          </cell>
          <cell r="NFZ1" t="str">
            <v>--</v>
          </cell>
          <cell r="NGA1" t="str">
            <v>--</v>
          </cell>
          <cell r="NGB1" t="str">
            <v>--</v>
          </cell>
          <cell r="NGC1" t="str">
            <v>--</v>
          </cell>
          <cell r="NGD1" t="str">
            <v>--</v>
          </cell>
          <cell r="NGE1" t="str">
            <v>--</v>
          </cell>
          <cell r="NGF1" t="str">
            <v>--</v>
          </cell>
          <cell r="NGG1" t="str">
            <v>--</v>
          </cell>
          <cell r="NGH1" t="str">
            <v>--</v>
          </cell>
          <cell r="NGI1" t="str">
            <v>--</v>
          </cell>
          <cell r="NGJ1" t="str">
            <v>--</v>
          </cell>
          <cell r="NGK1" t="str">
            <v>--</v>
          </cell>
          <cell r="NGL1" t="str">
            <v>--</v>
          </cell>
          <cell r="NGM1" t="str">
            <v>--</v>
          </cell>
          <cell r="NGN1" t="str">
            <v>--</v>
          </cell>
          <cell r="NGO1" t="str">
            <v>--</v>
          </cell>
          <cell r="NGP1" t="str">
            <v>--</v>
          </cell>
          <cell r="NGQ1" t="str">
            <v>--</v>
          </cell>
          <cell r="NGR1" t="str">
            <v>--</v>
          </cell>
          <cell r="NGS1" t="str">
            <v>--</v>
          </cell>
          <cell r="NGT1" t="str">
            <v>--</v>
          </cell>
          <cell r="NGU1" t="str">
            <v>--</v>
          </cell>
          <cell r="NGV1" t="str">
            <v>--</v>
          </cell>
          <cell r="NGW1" t="str">
            <v>--</v>
          </cell>
          <cell r="NGX1" t="str">
            <v>--</v>
          </cell>
          <cell r="NGY1" t="str">
            <v>--</v>
          </cell>
          <cell r="NGZ1" t="str">
            <v>--</v>
          </cell>
          <cell r="NHA1" t="str">
            <v>--</v>
          </cell>
          <cell r="NHB1" t="str">
            <v>--</v>
          </cell>
          <cell r="NHC1" t="str">
            <v>--</v>
          </cell>
          <cell r="NHD1" t="str">
            <v>--</v>
          </cell>
          <cell r="NHE1" t="str">
            <v>--</v>
          </cell>
          <cell r="NHF1" t="str">
            <v>--</v>
          </cell>
          <cell r="NHG1" t="str">
            <v>--</v>
          </cell>
          <cell r="NHH1" t="str">
            <v>--</v>
          </cell>
          <cell r="NHI1" t="str">
            <v>--</v>
          </cell>
          <cell r="NHJ1" t="str">
            <v>--</v>
          </cell>
          <cell r="NHK1" t="str">
            <v>--</v>
          </cell>
          <cell r="NHL1" t="str">
            <v>--</v>
          </cell>
          <cell r="NHM1" t="str">
            <v>--</v>
          </cell>
          <cell r="NHN1" t="str">
            <v>--</v>
          </cell>
          <cell r="NHO1" t="str">
            <v>--</v>
          </cell>
          <cell r="NHP1" t="str">
            <v>--</v>
          </cell>
          <cell r="NHQ1" t="str">
            <v>--</v>
          </cell>
          <cell r="NHR1" t="str">
            <v>--</v>
          </cell>
          <cell r="NHS1" t="str">
            <v>--</v>
          </cell>
          <cell r="NHT1" t="str">
            <v>--</v>
          </cell>
          <cell r="NHU1" t="str">
            <v>--</v>
          </cell>
          <cell r="NHV1" t="str">
            <v>--</v>
          </cell>
          <cell r="NHW1" t="str">
            <v>--</v>
          </cell>
          <cell r="NHX1" t="str">
            <v>--</v>
          </cell>
          <cell r="NHY1" t="str">
            <v>--</v>
          </cell>
          <cell r="NHZ1" t="str">
            <v>--</v>
          </cell>
          <cell r="NIA1" t="str">
            <v>--</v>
          </cell>
          <cell r="NIB1" t="str">
            <v>--</v>
          </cell>
          <cell r="NIC1" t="str">
            <v>--</v>
          </cell>
          <cell r="NID1" t="str">
            <v>--</v>
          </cell>
          <cell r="NIE1" t="str">
            <v>--</v>
          </cell>
          <cell r="NIF1" t="str">
            <v>--</v>
          </cell>
          <cell r="NIG1" t="str">
            <v>--</v>
          </cell>
          <cell r="NIH1" t="str">
            <v>--</v>
          </cell>
          <cell r="NII1" t="str">
            <v>--</v>
          </cell>
          <cell r="NIJ1" t="str">
            <v>--</v>
          </cell>
          <cell r="NIK1" t="str">
            <v>--</v>
          </cell>
          <cell r="NIL1" t="str">
            <v>--</v>
          </cell>
          <cell r="NIM1" t="str">
            <v>--</v>
          </cell>
          <cell r="NIN1" t="str">
            <v>--</v>
          </cell>
          <cell r="NIO1" t="str">
            <v>--</v>
          </cell>
          <cell r="NIP1" t="str">
            <v>--</v>
          </cell>
          <cell r="NIQ1" t="str">
            <v>--</v>
          </cell>
          <cell r="NIR1" t="str">
            <v>--</v>
          </cell>
          <cell r="NIS1" t="str">
            <v>--</v>
          </cell>
          <cell r="NIT1" t="str">
            <v>--</v>
          </cell>
          <cell r="NIU1" t="str">
            <v>--</v>
          </cell>
          <cell r="NIV1" t="str">
            <v>--</v>
          </cell>
          <cell r="NIW1" t="str">
            <v>--</v>
          </cell>
          <cell r="NIX1" t="str">
            <v>--</v>
          </cell>
          <cell r="NIY1" t="str">
            <v>--</v>
          </cell>
          <cell r="NIZ1" t="str">
            <v>--</v>
          </cell>
          <cell r="NJA1" t="str">
            <v>--</v>
          </cell>
          <cell r="NJB1" t="str">
            <v>--</v>
          </cell>
          <cell r="NJC1" t="str">
            <v>--</v>
          </cell>
          <cell r="NJD1" t="str">
            <v>--</v>
          </cell>
          <cell r="NJE1" t="str">
            <v>--</v>
          </cell>
          <cell r="NJF1" t="str">
            <v>--</v>
          </cell>
          <cell r="NJG1" t="str">
            <v>--</v>
          </cell>
          <cell r="NJH1" t="str">
            <v>--</v>
          </cell>
          <cell r="NJI1" t="str">
            <v>--</v>
          </cell>
          <cell r="NJJ1" t="str">
            <v>--</v>
          </cell>
          <cell r="NJK1" t="str">
            <v>--</v>
          </cell>
          <cell r="NJL1" t="str">
            <v>--</v>
          </cell>
          <cell r="NJM1" t="str">
            <v>--</v>
          </cell>
          <cell r="NJN1" t="str">
            <v>--</v>
          </cell>
          <cell r="NJO1" t="str">
            <v>--</v>
          </cell>
          <cell r="NJP1" t="str">
            <v>--</v>
          </cell>
          <cell r="NJQ1" t="str">
            <v>--</v>
          </cell>
          <cell r="NJR1" t="str">
            <v>--</v>
          </cell>
          <cell r="NJS1" t="str">
            <v>--</v>
          </cell>
          <cell r="NJT1" t="str">
            <v>--</v>
          </cell>
          <cell r="NJU1" t="str">
            <v>--</v>
          </cell>
          <cell r="NJV1" t="str">
            <v>--</v>
          </cell>
          <cell r="NJW1" t="str">
            <v>--</v>
          </cell>
          <cell r="NJX1" t="str">
            <v>--</v>
          </cell>
          <cell r="NJY1" t="str">
            <v>--</v>
          </cell>
          <cell r="NJZ1" t="str">
            <v>--</v>
          </cell>
          <cell r="NKA1" t="str">
            <v>--</v>
          </cell>
          <cell r="NKB1" t="str">
            <v>--</v>
          </cell>
          <cell r="NKC1" t="str">
            <v>--</v>
          </cell>
          <cell r="NKD1" t="str">
            <v>--</v>
          </cell>
          <cell r="NKE1" t="str">
            <v>--</v>
          </cell>
          <cell r="NKF1" t="str">
            <v>--</v>
          </cell>
          <cell r="NKG1" t="str">
            <v>--</v>
          </cell>
          <cell r="NKH1" t="str">
            <v>--</v>
          </cell>
          <cell r="NKI1" t="str">
            <v>--</v>
          </cell>
          <cell r="NKJ1" t="str">
            <v>--</v>
          </cell>
          <cell r="NKK1" t="str">
            <v>--</v>
          </cell>
          <cell r="NKL1" t="str">
            <v>--</v>
          </cell>
          <cell r="NKM1" t="str">
            <v>--</v>
          </cell>
          <cell r="NKN1" t="str">
            <v>--</v>
          </cell>
          <cell r="NKO1" t="str">
            <v>--</v>
          </cell>
          <cell r="NKP1" t="str">
            <v>--</v>
          </cell>
          <cell r="NKQ1" t="str">
            <v>--</v>
          </cell>
          <cell r="NKR1" t="str">
            <v>--</v>
          </cell>
          <cell r="NKS1" t="str">
            <v>--</v>
          </cell>
          <cell r="NKT1" t="str">
            <v>--</v>
          </cell>
          <cell r="NKU1" t="str">
            <v>--</v>
          </cell>
          <cell r="NKV1" t="str">
            <v>--</v>
          </cell>
          <cell r="NKW1" t="str">
            <v>--</v>
          </cell>
          <cell r="NKX1" t="str">
            <v>--</v>
          </cell>
          <cell r="NKY1" t="str">
            <v>--</v>
          </cell>
          <cell r="NKZ1" t="str">
            <v>--</v>
          </cell>
          <cell r="NLA1" t="str">
            <v>--</v>
          </cell>
          <cell r="NLB1" t="str">
            <v>--</v>
          </cell>
          <cell r="NLC1" t="str">
            <v>--</v>
          </cell>
          <cell r="NLD1" t="str">
            <v>--</v>
          </cell>
          <cell r="NLE1" t="str">
            <v>--</v>
          </cell>
          <cell r="NLF1" t="str">
            <v>--</v>
          </cell>
          <cell r="NLG1" t="str">
            <v>--</v>
          </cell>
          <cell r="NLH1" t="str">
            <v>--</v>
          </cell>
          <cell r="NLI1" t="str">
            <v>--</v>
          </cell>
          <cell r="NLJ1" t="str">
            <v>--</v>
          </cell>
          <cell r="NLK1" t="str">
            <v>--</v>
          </cell>
          <cell r="NLL1" t="str">
            <v>--</v>
          </cell>
          <cell r="NLM1" t="str">
            <v>--</v>
          </cell>
          <cell r="NLN1" t="str">
            <v>--</v>
          </cell>
          <cell r="NLO1" t="str">
            <v>--</v>
          </cell>
          <cell r="NLP1" t="str">
            <v>--</v>
          </cell>
          <cell r="NLQ1" t="str">
            <v>--</v>
          </cell>
          <cell r="NLR1" t="str">
            <v>--</v>
          </cell>
          <cell r="NLS1" t="str">
            <v>--</v>
          </cell>
          <cell r="NLT1" t="str">
            <v>--</v>
          </cell>
          <cell r="NLU1" t="str">
            <v>--</v>
          </cell>
          <cell r="NLV1" t="str">
            <v>--</v>
          </cell>
          <cell r="NLW1" t="str">
            <v>--</v>
          </cell>
          <cell r="NLX1" t="str">
            <v>--</v>
          </cell>
          <cell r="NLY1" t="str">
            <v>--</v>
          </cell>
          <cell r="NLZ1" t="str">
            <v>--</v>
          </cell>
          <cell r="NMA1" t="str">
            <v>--</v>
          </cell>
          <cell r="NMB1" t="str">
            <v>--</v>
          </cell>
          <cell r="NMC1" t="str">
            <v>--</v>
          </cell>
          <cell r="NMD1" t="str">
            <v>--</v>
          </cell>
          <cell r="NME1" t="str">
            <v>--</v>
          </cell>
          <cell r="NMF1" t="str">
            <v>--</v>
          </cell>
          <cell r="NMG1" t="str">
            <v>--</v>
          </cell>
          <cell r="NMH1" t="str">
            <v>--</v>
          </cell>
          <cell r="NMI1" t="str">
            <v>--</v>
          </cell>
          <cell r="NMJ1" t="str">
            <v>--</v>
          </cell>
          <cell r="NMK1" t="str">
            <v>--</v>
          </cell>
          <cell r="NML1" t="str">
            <v>--</v>
          </cell>
          <cell r="NMM1" t="str">
            <v>--</v>
          </cell>
          <cell r="NMN1" t="str">
            <v>--</v>
          </cell>
          <cell r="NMO1" t="str">
            <v>--</v>
          </cell>
          <cell r="NMP1" t="str">
            <v>--</v>
          </cell>
          <cell r="NMQ1" t="str">
            <v>--</v>
          </cell>
          <cell r="NMR1" t="str">
            <v>--</v>
          </cell>
          <cell r="NMS1" t="str">
            <v>--</v>
          </cell>
          <cell r="NMT1" t="str">
            <v>--</v>
          </cell>
          <cell r="NMU1" t="str">
            <v>--</v>
          </cell>
          <cell r="NMV1" t="str">
            <v>--</v>
          </cell>
          <cell r="NMW1" t="str">
            <v>--</v>
          </cell>
          <cell r="NMX1" t="str">
            <v>--</v>
          </cell>
          <cell r="NMY1" t="str">
            <v>--</v>
          </cell>
          <cell r="NMZ1" t="str">
            <v>--</v>
          </cell>
          <cell r="NNA1" t="str">
            <v>--</v>
          </cell>
          <cell r="NNB1" t="str">
            <v>--</v>
          </cell>
          <cell r="NNC1" t="str">
            <v>--</v>
          </cell>
          <cell r="NND1" t="str">
            <v>--</v>
          </cell>
          <cell r="NNE1" t="str">
            <v>--</v>
          </cell>
          <cell r="NNF1" t="str">
            <v>--</v>
          </cell>
          <cell r="NNG1" t="str">
            <v>--</v>
          </cell>
          <cell r="NNH1" t="str">
            <v>--</v>
          </cell>
          <cell r="NNI1" t="str">
            <v>--</v>
          </cell>
          <cell r="NNJ1" t="str">
            <v>--</v>
          </cell>
          <cell r="NNK1" t="str">
            <v>--</v>
          </cell>
          <cell r="NNL1" t="str">
            <v>--</v>
          </cell>
          <cell r="NNM1" t="str">
            <v>--</v>
          </cell>
          <cell r="NNN1" t="str">
            <v>--</v>
          </cell>
          <cell r="NNO1" t="str">
            <v>--</v>
          </cell>
          <cell r="NNP1" t="str">
            <v>--</v>
          </cell>
          <cell r="NNQ1" t="str">
            <v>--</v>
          </cell>
          <cell r="NNR1" t="str">
            <v>--</v>
          </cell>
          <cell r="NNS1" t="str">
            <v>--</v>
          </cell>
          <cell r="NNT1" t="str">
            <v>--</v>
          </cell>
          <cell r="NNU1" t="str">
            <v>--</v>
          </cell>
          <cell r="NNV1" t="str">
            <v>--</v>
          </cell>
          <cell r="NNW1" t="str">
            <v>--</v>
          </cell>
          <cell r="NNX1" t="str">
            <v>--</v>
          </cell>
          <cell r="NNY1" t="str">
            <v>--</v>
          </cell>
          <cell r="NNZ1" t="str">
            <v>--</v>
          </cell>
          <cell r="NOA1" t="str">
            <v>--</v>
          </cell>
          <cell r="NOB1" t="str">
            <v>--</v>
          </cell>
          <cell r="NOC1" t="str">
            <v>--</v>
          </cell>
          <cell r="NOD1" t="str">
            <v>--</v>
          </cell>
          <cell r="NOE1" t="str">
            <v>--</v>
          </cell>
          <cell r="NOF1" t="str">
            <v>--</v>
          </cell>
          <cell r="NOG1" t="str">
            <v>--</v>
          </cell>
          <cell r="NOH1" t="str">
            <v>--</v>
          </cell>
          <cell r="NOI1" t="str">
            <v>--</v>
          </cell>
          <cell r="NOJ1" t="str">
            <v>--</v>
          </cell>
          <cell r="NOK1" t="str">
            <v>--</v>
          </cell>
          <cell r="NOL1" t="str">
            <v>--</v>
          </cell>
          <cell r="NOM1" t="str">
            <v>--</v>
          </cell>
          <cell r="NON1" t="str">
            <v>--</v>
          </cell>
          <cell r="NOO1" t="str">
            <v>--</v>
          </cell>
          <cell r="NOP1" t="str">
            <v>--</v>
          </cell>
          <cell r="NOQ1" t="str">
            <v>--</v>
          </cell>
          <cell r="NOR1" t="str">
            <v>--</v>
          </cell>
          <cell r="NOS1" t="str">
            <v>--</v>
          </cell>
          <cell r="NOT1" t="str">
            <v>--</v>
          </cell>
          <cell r="NOU1" t="str">
            <v>--</v>
          </cell>
          <cell r="NOV1" t="str">
            <v>--</v>
          </cell>
          <cell r="NOW1" t="str">
            <v>--</v>
          </cell>
          <cell r="NOX1" t="str">
            <v>--</v>
          </cell>
          <cell r="NOY1" t="str">
            <v>--</v>
          </cell>
          <cell r="NOZ1" t="str">
            <v>--</v>
          </cell>
          <cell r="NPA1" t="str">
            <v>--</v>
          </cell>
          <cell r="NPB1" t="str">
            <v>--</v>
          </cell>
          <cell r="NPC1" t="str">
            <v>--</v>
          </cell>
          <cell r="NPD1" t="str">
            <v>--</v>
          </cell>
          <cell r="NPE1" t="str">
            <v>--</v>
          </cell>
          <cell r="NPF1" t="str">
            <v>--</v>
          </cell>
          <cell r="NPG1" t="str">
            <v>--</v>
          </cell>
          <cell r="NPH1" t="str">
            <v>--</v>
          </cell>
          <cell r="NPI1" t="str">
            <v>--</v>
          </cell>
          <cell r="NPJ1" t="str">
            <v>--</v>
          </cell>
          <cell r="NPK1" t="str">
            <v>--</v>
          </cell>
          <cell r="NPL1" t="str">
            <v>--</v>
          </cell>
          <cell r="NPM1" t="str">
            <v>--</v>
          </cell>
          <cell r="NPN1" t="str">
            <v>--</v>
          </cell>
          <cell r="NPO1" t="str">
            <v>--</v>
          </cell>
          <cell r="NPP1" t="str">
            <v>--</v>
          </cell>
          <cell r="NPQ1" t="str">
            <v>--</v>
          </cell>
          <cell r="NPR1" t="str">
            <v>--</v>
          </cell>
          <cell r="NPS1" t="str">
            <v>--</v>
          </cell>
          <cell r="NPT1" t="str">
            <v>--</v>
          </cell>
          <cell r="NPU1" t="str">
            <v>--</v>
          </cell>
          <cell r="NPV1" t="str">
            <v>--</v>
          </cell>
          <cell r="NPW1" t="str">
            <v>--</v>
          </cell>
          <cell r="NPX1" t="str">
            <v>--</v>
          </cell>
          <cell r="NPY1" t="str">
            <v>--</v>
          </cell>
          <cell r="NPZ1" t="str">
            <v>--</v>
          </cell>
          <cell r="NQA1" t="str">
            <v>--</v>
          </cell>
          <cell r="NQB1" t="str">
            <v>--</v>
          </cell>
          <cell r="NQC1" t="str">
            <v>--</v>
          </cell>
          <cell r="NQD1" t="str">
            <v>--</v>
          </cell>
          <cell r="NQE1" t="str">
            <v>--</v>
          </cell>
          <cell r="NQF1" t="str">
            <v>--</v>
          </cell>
          <cell r="NQG1" t="str">
            <v>--</v>
          </cell>
          <cell r="NQH1" t="str">
            <v>--</v>
          </cell>
          <cell r="NQI1" t="str">
            <v>--</v>
          </cell>
          <cell r="NQJ1" t="str">
            <v>--</v>
          </cell>
          <cell r="NQK1" t="str">
            <v>--</v>
          </cell>
          <cell r="NQL1" t="str">
            <v>--</v>
          </cell>
          <cell r="NQM1" t="str">
            <v>--</v>
          </cell>
          <cell r="NQN1" t="str">
            <v>--</v>
          </cell>
          <cell r="NQO1" t="str">
            <v>--</v>
          </cell>
          <cell r="NQP1" t="str">
            <v>--</v>
          </cell>
          <cell r="NQQ1" t="str">
            <v>--</v>
          </cell>
          <cell r="NQR1" t="str">
            <v>--</v>
          </cell>
          <cell r="NQS1" t="str">
            <v>--</v>
          </cell>
          <cell r="NQT1" t="str">
            <v>--</v>
          </cell>
          <cell r="NQU1" t="str">
            <v>--</v>
          </cell>
          <cell r="NQV1" t="str">
            <v>--</v>
          </cell>
          <cell r="NQW1" t="str">
            <v>--</v>
          </cell>
          <cell r="NQX1" t="str">
            <v>--</v>
          </cell>
          <cell r="NQY1" t="str">
            <v>--</v>
          </cell>
          <cell r="NQZ1" t="str">
            <v>--</v>
          </cell>
          <cell r="NRA1" t="str">
            <v>--</v>
          </cell>
          <cell r="NRB1" t="str">
            <v>--</v>
          </cell>
          <cell r="NRC1" t="str">
            <v>--</v>
          </cell>
          <cell r="NRD1" t="str">
            <v>--</v>
          </cell>
          <cell r="NRE1" t="str">
            <v>--</v>
          </cell>
          <cell r="NRF1" t="str">
            <v>--</v>
          </cell>
          <cell r="NRG1" t="str">
            <v>--</v>
          </cell>
          <cell r="NRH1" t="str">
            <v>--</v>
          </cell>
          <cell r="NRI1" t="str">
            <v>--</v>
          </cell>
          <cell r="NRJ1" t="str">
            <v>--</v>
          </cell>
          <cell r="NRK1" t="str">
            <v>--</v>
          </cell>
          <cell r="NRL1" t="str">
            <v>--</v>
          </cell>
          <cell r="NRM1" t="str">
            <v>--</v>
          </cell>
          <cell r="NRN1" t="str">
            <v>--</v>
          </cell>
          <cell r="NRO1" t="str">
            <v>--</v>
          </cell>
          <cell r="NRP1" t="str">
            <v>--</v>
          </cell>
          <cell r="NRQ1" t="str">
            <v>--</v>
          </cell>
          <cell r="NRR1" t="str">
            <v>--</v>
          </cell>
          <cell r="NRS1" t="str">
            <v>--</v>
          </cell>
          <cell r="NRT1" t="str">
            <v>--</v>
          </cell>
          <cell r="NRU1" t="str">
            <v>--</v>
          </cell>
          <cell r="NRV1" t="str">
            <v>--</v>
          </cell>
          <cell r="NRW1" t="str">
            <v>--</v>
          </cell>
          <cell r="NRX1" t="str">
            <v>--</v>
          </cell>
          <cell r="NRY1" t="str">
            <v>--</v>
          </cell>
          <cell r="NRZ1" t="str">
            <v>--</v>
          </cell>
          <cell r="NSA1" t="str">
            <v>--</v>
          </cell>
          <cell r="NSB1" t="str">
            <v>--</v>
          </cell>
          <cell r="NSC1" t="str">
            <v>--</v>
          </cell>
          <cell r="NSD1" t="str">
            <v>--</v>
          </cell>
          <cell r="NSE1" t="str">
            <v>--</v>
          </cell>
          <cell r="NSF1" t="str">
            <v>--</v>
          </cell>
          <cell r="NSG1" t="str">
            <v>--</v>
          </cell>
          <cell r="NSH1" t="str">
            <v>--</v>
          </cell>
          <cell r="NSI1" t="str">
            <v>--</v>
          </cell>
          <cell r="NSJ1" t="str">
            <v>--</v>
          </cell>
          <cell r="NSK1" t="str">
            <v>--</v>
          </cell>
          <cell r="NSL1" t="str">
            <v>--</v>
          </cell>
          <cell r="NSM1" t="str">
            <v>--</v>
          </cell>
          <cell r="NSN1" t="str">
            <v>--</v>
          </cell>
          <cell r="NSO1" t="str">
            <v>--</v>
          </cell>
          <cell r="NSP1" t="str">
            <v>--</v>
          </cell>
          <cell r="NSQ1" t="str">
            <v>--</v>
          </cell>
          <cell r="NSR1" t="str">
            <v>--</v>
          </cell>
          <cell r="NSS1" t="str">
            <v>--</v>
          </cell>
          <cell r="NST1" t="str">
            <v>--</v>
          </cell>
          <cell r="NSU1" t="str">
            <v>--</v>
          </cell>
          <cell r="NSV1" t="str">
            <v>--</v>
          </cell>
          <cell r="NSW1" t="str">
            <v>--</v>
          </cell>
          <cell r="NSX1" t="str">
            <v>--</v>
          </cell>
          <cell r="NSY1" t="str">
            <v>--</v>
          </cell>
          <cell r="NSZ1" t="str">
            <v>--</v>
          </cell>
          <cell r="NTA1" t="str">
            <v>--</v>
          </cell>
          <cell r="NTB1" t="str">
            <v>--</v>
          </cell>
          <cell r="NTC1" t="str">
            <v>--</v>
          </cell>
          <cell r="NTD1" t="str">
            <v>--</v>
          </cell>
          <cell r="NTE1" t="str">
            <v>--</v>
          </cell>
          <cell r="NTF1" t="str">
            <v>--</v>
          </cell>
          <cell r="NTG1" t="str">
            <v>--</v>
          </cell>
          <cell r="NTH1" t="str">
            <v>--</v>
          </cell>
          <cell r="NTI1" t="str">
            <v>--</v>
          </cell>
          <cell r="NTJ1" t="str">
            <v>--</v>
          </cell>
          <cell r="NTK1" t="str">
            <v>--</v>
          </cell>
          <cell r="NTL1" t="str">
            <v>--</v>
          </cell>
          <cell r="NTM1" t="str">
            <v>--</v>
          </cell>
          <cell r="NTN1" t="str">
            <v>--</v>
          </cell>
          <cell r="NTO1" t="str">
            <v>--</v>
          </cell>
          <cell r="NTP1" t="str">
            <v>--</v>
          </cell>
          <cell r="NTQ1" t="str">
            <v>--</v>
          </cell>
          <cell r="NTR1" t="str">
            <v>--</v>
          </cell>
          <cell r="NTS1" t="str">
            <v>--</v>
          </cell>
          <cell r="NTT1" t="str">
            <v>--</v>
          </cell>
          <cell r="NTU1" t="str">
            <v>--</v>
          </cell>
          <cell r="NTV1" t="str">
            <v>--</v>
          </cell>
          <cell r="NTW1" t="str">
            <v>--</v>
          </cell>
          <cell r="NTX1" t="str">
            <v>--</v>
          </cell>
          <cell r="NTY1" t="str">
            <v>--</v>
          </cell>
          <cell r="NTZ1" t="str">
            <v>--</v>
          </cell>
          <cell r="NUA1" t="str">
            <v>--</v>
          </cell>
          <cell r="NUB1" t="str">
            <v>--</v>
          </cell>
          <cell r="NUC1" t="str">
            <v>--</v>
          </cell>
          <cell r="NUD1" t="str">
            <v>--</v>
          </cell>
          <cell r="NUE1" t="str">
            <v>--</v>
          </cell>
          <cell r="NUF1" t="str">
            <v>--</v>
          </cell>
          <cell r="NUG1" t="str">
            <v>--</v>
          </cell>
          <cell r="NUH1" t="str">
            <v>--</v>
          </cell>
          <cell r="NUI1" t="str">
            <v>--</v>
          </cell>
          <cell r="NUJ1" t="str">
            <v>--</v>
          </cell>
          <cell r="NUK1" t="str">
            <v>--</v>
          </cell>
          <cell r="NUL1" t="str">
            <v>--</v>
          </cell>
          <cell r="NUM1" t="str">
            <v>--</v>
          </cell>
          <cell r="NUN1" t="str">
            <v>--</v>
          </cell>
          <cell r="NUO1" t="str">
            <v>--</v>
          </cell>
          <cell r="NUP1" t="str">
            <v>--</v>
          </cell>
          <cell r="NUQ1" t="str">
            <v>--</v>
          </cell>
          <cell r="NUR1" t="str">
            <v>--</v>
          </cell>
          <cell r="NUS1" t="str">
            <v>--</v>
          </cell>
          <cell r="NUT1" t="str">
            <v>--</v>
          </cell>
          <cell r="NUU1" t="str">
            <v>--</v>
          </cell>
          <cell r="NUV1" t="str">
            <v>--</v>
          </cell>
          <cell r="NUW1" t="str">
            <v>--</v>
          </cell>
          <cell r="NUX1" t="str">
            <v>--</v>
          </cell>
          <cell r="NUY1" t="str">
            <v>--</v>
          </cell>
          <cell r="NUZ1" t="str">
            <v>--</v>
          </cell>
          <cell r="NVA1" t="str">
            <v>--</v>
          </cell>
          <cell r="NVB1" t="str">
            <v>--</v>
          </cell>
          <cell r="NVC1" t="str">
            <v>--</v>
          </cell>
          <cell r="NVD1" t="str">
            <v>--</v>
          </cell>
          <cell r="NVE1" t="str">
            <v>--</v>
          </cell>
          <cell r="NVF1" t="str">
            <v>--</v>
          </cell>
          <cell r="NVG1" t="str">
            <v>--</v>
          </cell>
          <cell r="NVH1" t="str">
            <v>--</v>
          </cell>
          <cell r="NVI1" t="str">
            <v>--</v>
          </cell>
          <cell r="NVJ1" t="str">
            <v>--</v>
          </cell>
          <cell r="NVK1" t="str">
            <v>--</v>
          </cell>
          <cell r="NVL1" t="str">
            <v>--</v>
          </cell>
          <cell r="NVM1" t="str">
            <v>--</v>
          </cell>
          <cell r="NVN1" t="str">
            <v>--</v>
          </cell>
          <cell r="NVO1" t="str">
            <v>--</v>
          </cell>
          <cell r="NVP1" t="str">
            <v>--</v>
          </cell>
          <cell r="NVQ1" t="str">
            <v>--</v>
          </cell>
          <cell r="NVR1" t="str">
            <v>--</v>
          </cell>
          <cell r="NVS1" t="str">
            <v>--</v>
          </cell>
          <cell r="NVT1" t="str">
            <v>--</v>
          </cell>
          <cell r="NVU1" t="str">
            <v>--</v>
          </cell>
          <cell r="NVV1" t="str">
            <v>--</v>
          </cell>
          <cell r="NVW1" t="str">
            <v>--</v>
          </cell>
          <cell r="NVX1" t="str">
            <v>--</v>
          </cell>
          <cell r="NVY1" t="str">
            <v>--</v>
          </cell>
          <cell r="NVZ1" t="str">
            <v>--</v>
          </cell>
          <cell r="NWA1" t="str">
            <v>--</v>
          </cell>
          <cell r="NWB1" t="str">
            <v>--</v>
          </cell>
          <cell r="NWC1" t="str">
            <v>--</v>
          </cell>
          <cell r="NWD1" t="str">
            <v>--</v>
          </cell>
          <cell r="NWE1" t="str">
            <v>--</v>
          </cell>
          <cell r="NWF1" t="str">
            <v>--</v>
          </cell>
          <cell r="NWG1" t="str">
            <v>--</v>
          </cell>
          <cell r="NWH1" t="str">
            <v>--</v>
          </cell>
          <cell r="NWI1" t="str">
            <v>--</v>
          </cell>
          <cell r="NWJ1" t="str">
            <v>--</v>
          </cell>
          <cell r="NWK1" t="str">
            <v>--</v>
          </cell>
          <cell r="NWL1" t="str">
            <v>--</v>
          </cell>
          <cell r="NWM1" t="str">
            <v>--</v>
          </cell>
          <cell r="NWN1" t="str">
            <v>--</v>
          </cell>
          <cell r="NWO1" t="str">
            <v>--</v>
          </cell>
          <cell r="NWP1" t="str">
            <v>--</v>
          </cell>
          <cell r="NWQ1" t="str">
            <v>--</v>
          </cell>
          <cell r="NWR1" t="str">
            <v>--</v>
          </cell>
          <cell r="NWS1" t="str">
            <v>--</v>
          </cell>
          <cell r="NWT1" t="str">
            <v>--</v>
          </cell>
          <cell r="NWU1" t="str">
            <v>--</v>
          </cell>
          <cell r="NWV1" t="str">
            <v>--</v>
          </cell>
          <cell r="NWW1" t="str">
            <v>--</v>
          </cell>
          <cell r="NWX1" t="str">
            <v>--</v>
          </cell>
          <cell r="NWY1" t="str">
            <v>--</v>
          </cell>
          <cell r="NWZ1" t="str">
            <v>--</v>
          </cell>
          <cell r="NXA1" t="str">
            <v>--</v>
          </cell>
          <cell r="NXB1" t="str">
            <v>--</v>
          </cell>
          <cell r="NXC1" t="str">
            <v>--</v>
          </cell>
          <cell r="NXD1" t="str">
            <v>--</v>
          </cell>
          <cell r="NXE1" t="str">
            <v>--</v>
          </cell>
          <cell r="NXF1" t="str">
            <v>--</v>
          </cell>
          <cell r="NXG1" t="str">
            <v>--</v>
          </cell>
          <cell r="NXH1" t="str">
            <v>--</v>
          </cell>
          <cell r="NXI1" t="str">
            <v>--</v>
          </cell>
          <cell r="NXJ1" t="str">
            <v>--</v>
          </cell>
          <cell r="NXK1" t="str">
            <v>--</v>
          </cell>
          <cell r="NXL1" t="str">
            <v>--</v>
          </cell>
          <cell r="NXM1" t="str">
            <v>--</v>
          </cell>
          <cell r="NXN1" t="str">
            <v>--</v>
          </cell>
          <cell r="NXO1" t="str">
            <v>--</v>
          </cell>
          <cell r="NXP1" t="str">
            <v>--</v>
          </cell>
          <cell r="NXQ1" t="str">
            <v>--</v>
          </cell>
          <cell r="NXR1" t="str">
            <v>--</v>
          </cell>
          <cell r="NXS1" t="str">
            <v>--</v>
          </cell>
          <cell r="NXT1" t="str">
            <v>--</v>
          </cell>
          <cell r="NXU1" t="str">
            <v>--</v>
          </cell>
          <cell r="NXV1" t="str">
            <v>--</v>
          </cell>
          <cell r="NXW1" t="str">
            <v>--</v>
          </cell>
          <cell r="NXX1" t="str">
            <v>--</v>
          </cell>
          <cell r="NXY1" t="str">
            <v>--</v>
          </cell>
          <cell r="NXZ1" t="str">
            <v>--</v>
          </cell>
          <cell r="NYA1" t="str">
            <v>--</v>
          </cell>
          <cell r="NYB1" t="str">
            <v>--</v>
          </cell>
          <cell r="NYC1" t="str">
            <v>--</v>
          </cell>
          <cell r="NYD1" t="str">
            <v>--</v>
          </cell>
          <cell r="NYE1" t="str">
            <v>--</v>
          </cell>
          <cell r="NYF1" t="str">
            <v>--</v>
          </cell>
          <cell r="NYG1" t="str">
            <v>--</v>
          </cell>
          <cell r="NYH1" t="str">
            <v>--</v>
          </cell>
          <cell r="NYI1" t="str">
            <v>--</v>
          </cell>
          <cell r="NYJ1" t="str">
            <v>--</v>
          </cell>
          <cell r="NYK1" t="str">
            <v>--</v>
          </cell>
          <cell r="NYL1" t="str">
            <v>--</v>
          </cell>
          <cell r="NYM1" t="str">
            <v>--</v>
          </cell>
          <cell r="NYN1" t="str">
            <v>--</v>
          </cell>
          <cell r="NYO1" t="str">
            <v>--</v>
          </cell>
          <cell r="NYP1" t="str">
            <v>--</v>
          </cell>
          <cell r="NYQ1" t="str">
            <v>--</v>
          </cell>
          <cell r="NYR1" t="str">
            <v>--</v>
          </cell>
          <cell r="NYS1" t="str">
            <v>--</v>
          </cell>
          <cell r="NYT1" t="str">
            <v>--</v>
          </cell>
          <cell r="NYU1" t="str">
            <v>--</v>
          </cell>
          <cell r="NYV1" t="str">
            <v>--</v>
          </cell>
          <cell r="NYW1" t="str">
            <v>--</v>
          </cell>
          <cell r="NYX1" t="str">
            <v>--</v>
          </cell>
          <cell r="NYY1" t="str">
            <v>--</v>
          </cell>
          <cell r="NYZ1" t="str">
            <v>--</v>
          </cell>
          <cell r="NZA1" t="str">
            <v>--</v>
          </cell>
          <cell r="NZB1" t="str">
            <v>--</v>
          </cell>
          <cell r="NZC1" t="str">
            <v>--</v>
          </cell>
          <cell r="NZD1" t="str">
            <v>--</v>
          </cell>
          <cell r="NZE1" t="str">
            <v>--</v>
          </cell>
          <cell r="NZF1" t="str">
            <v>--</v>
          </cell>
          <cell r="NZG1" t="str">
            <v>--</v>
          </cell>
          <cell r="NZH1" t="str">
            <v>--</v>
          </cell>
          <cell r="NZI1" t="str">
            <v>--</v>
          </cell>
          <cell r="NZJ1" t="str">
            <v>--</v>
          </cell>
          <cell r="NZK1" t="str">
            <v>--</v>
          </cell>
          <cell r="NZL1" t="str">
            <v>--</v>
          </cell>
          <cell r="NZM1" t="str">
            <v>--</v>
          </cell>
          <cell r="NZN1" t="str">
            <v>--</v>
          </cell>
          <cell r="NZO1" t="str">
            <v>--</v>
          </cell>
          <cell r="NZP1" t="str">
            <v>--</v>
          </cell>
          <cell r="NZQ1" t="str">
            <v>--</v>
          </cell>
          <cell r="NZR1" t="str">
            <v>--</v>
          </cell>
          <cell r="NZS1" t="str">
            <v>--</v>
          </cell>
          <cell r="NZT1" t="str">
            <v>--</v>
          </cell>
          <cell r="NZU1" t="str">
            <v>--</v>
          </cell>
          <cell r="NZV1" t="str">
            <v>--</v>
          </cell>
          <cell r="NZW1" t="str">
            <v>--</v>
          </cell>
          <cell r="NZX1" t="str">
            <v>--</v>
          </cell>
          <cell r="NZY1" t="str">
            <v>--</v>
          </cell>
          <cell r="NZZ1" t="str">
            <v>--</v>
          </cell>
          <cell r="OAA1" t="str">
            <v>--</v>
          </cell>
          <cell r="OAB1" t="str">
            <v>--</v>
          </cell>
          <cell r="OAC1" t="str">
            <v>--</v>
          </cell>
          <cell r="OAD1" t="str">
            <v>--</v>
          </cell>
          <cell r="OAE1" t="str">
            <v>--</v>
          </cell>
          <cell r="OAF1" t="str">
            <v>--</v>
          </cell>
          <cell r="OAG1" t="str">
            <v>--</v>
          </cell>
          <cell r="OAH1" t="str">
            <v>--</v>
          </cell>
          <cell r="OAI1" t="str">
            <v>--</v>
          </cell>
          <cell r="OAJ1" t="str">
            <v>--</v>
          </cell>
          <cell r="OAK1" t="str">
            <v>--</v>
          </cell>
          <cell r="OAL1" t="str">
            <v>--</v>
          </cell>
          <cell r="OAM1" t="str">
            <v>--</v>
          </cell>
          <cell r="OAN1" t="str">
            <v>--</v>
          </cell>
          <cell r="OAO1" t="str">
            <v>--</v>
          </cell>
          <cell r="OAP1" t="str">
            <v>--</v>
          </cell>
          <cell r="OAQ1" t="str">
            <v>--</v>
          </cell>
          <cell r="OAR1" t="str">
            <v>--</v>
          </cell>
          <cell r="OAS1" t="str">
            <v>--</v>
          </cell>
          <cell r="OAT1" t="str">
            <v>--</v>
          </cell>
          <cell r="OAU1" t="str">
            <v>--</v>
          </cell>
          <cell r="OAV1" t="str">
            <v>--</v>
          </cell>
          <cell r="OAW1" t="str">
            <v>--</v>
          </cell>
          <cell r="OAX1" t="str">
            <v>--</v>
          </cell>
          <cell r="OAY1" t="str">
            <v>--</v>
          </cell>
          <cell r="OAZ1" t="str">
            <v>--</v>
          </cell>
          <cell r="OBA1" t="str">
            <v>--</v>
          </cell>
          <cell r="OBB1" t="str">
            <v>--</v>
          </cell>
          <cell r="OBC1" t="str">
            <v>--</v>
          </cell>
          <cell r="OBD1" t="str">
            <v>--</v>
          </cell>
          <cell r="OBE1" t="str">
            <v>--</v>
          </cell>
          <cell r="OBF1" t="str">
            <v>--</v>
          </cell>
          <cell r="OBG1" t="str">
            <v>--</v>
          </cell>
          <cell r="OBH1" t="str">
            <v>--</v>
          </cell>
          <cell r="OBI1" t="str">
            <v>--</v>
          </cell>
          <cell r="OBJ1" t="str">
            <v>--</v>
          </cell>
          <cell r="OBK1" t="str">
            <v>--</v>
          </cell>
          <cell r="OBL1" t="str">
            <v>--</v>
          </cell>
          <cell r="OBM1" t="str">
            <v>--</v>
          </cell>
          <cell r="OBN1" t="str">
            <v>--</v>
          </cell>
          <cell r="OBO1" t="str">
            <v>--</v>
          </cell>
          <cell r="OBP1" t="str">
            <v>--</v>
          </cell>
          <cell r="OBQ1" t="str">
            <v>--</v>
          </cell>
          <cell r="OBR1" t="str">
            <v>--</v>
          </cell>
          <cell r="OBS1" t="str">
            <v>--</v>
          </cell>
          <cell r="OBT1" t="str">
            <v>--</v>
          </cell>
          <cell r="OBU1" t="str">
            <v>--</v>
          </cell>
          <cell r="OBV1" t="str">
            <v>--</v>
          </cell>
          <cell r="OBW1" t="str">
            <v>--</v>
          </cell>
          <cell r="OBX1" t="str">
            <v>--</v>
          </cell>
          <cell r="OBY1" t="str">
            <v>--</v>
          </cell>
          <cell r="OBZ1" t="str">
            <v>--</v>
          </cell>
          <cell r="OCA1" t="str">
            <v>--</v>
          </cell>
          <cell r="OCB1" t="str">
            <v>--</v>
          </cell>
          <cell r="OCC1" t="str">
            <v>--</v>
          </cell>
          <cell r="OCD1" t="str">
            <v>--</v>
          </cell>
          <cell r="OCE1" t="str">
            <v>--</v>
          </cell>
          <cell r="OCF1" t="str">
            <v>--</v>
          </cell>
          <cell r="OCG1" t="str">
            <v>--</v>
          </cell>
          <cell r="OCH1" t="str">
            <v>--</v>
          </cell>
          <cell r="OCI1" t="str">
            <v>--</v>
          </cell>
          <cell r="OCJ1" t="str">
            <v>--</v>
          </cell>
          <cell r="OCK1" t="str">
            <v>--</v>
          </cell>
          <cell r="OCL1" t="str">
            <v>--</v>
          </cell>
          <cell r="OCM1" t="str">
            <v>--</v>
          </cell>
          <cell r="OCN1" t="str">
            <v>--</v>
          </cell>
          <cell r="OCO1" t="str">
            <v>--</v>
          </cell>
          <cell r="OCP1" t="str">
            <v>--</v>
          </cell>
          <cell r="OCQ1" t="str">
            <v>--</v>
          </cell>
          <cell r="OCR1" t="str">
            <v>--</v>
          </cell>
          <cell r="OCS1" t="str">
            <v>--</v>
          </cell>
          <cell r="OCT1" t="str">
            <v>--</v>
          </cell>
          <cell r="OCU1" t="str">
            <v>--</v>
          </cell>
          <cell r="OCV1" t="str">
            <v>--</v>
          </cell>
          <cell r="OCW1" t="str">
            <v>--</v>
          </cell>
          <cell r="OCX1" t="str">
            <v>--</v>
          </cell>
          <cell r="OCY1" t="str">
            <v>--</v>
          </cell>
          <cell r="OCZ1" t="str">
            <v>--</v>
          </cell>
          <cell r="ODA1" t="str">
            <v>--</v>
          </cell>
          <cell r="ODB1" t="str">
            <v>--</v>
          </cell>
          <cell r="ODC1" t="str">
            <v>--</v>
          </cell>
          <cell r="ODD1" t="str">
            <v>--</v>
          </cell>
          <cell r="ODE1" t="str">
            <v>--</v>
          </cell>
          <cell r="ODF1" t="str">
            <v>--</v>
          </cell>
          <cell r="ODG1" t="str">
            <v>--</v>
          </cell>
          <cell r="ODH1" t="str">
            <v>--</v>
          </cell>
          <cell r="ODI1" t="str">
            <v>--</v>
          </cell>
          <cell r="ODJ1" t="str">
            <v>--</v>
          </cell>
          <cell r="ODK1" t="str">
            <v>--</v>
          </cell>
          <cell r="ODL1" t="str">
            <v>--</v>
          </cell>
          <cell r="ODM1" t="str">
            <v>--</v>
          </cell>
          <cell r="ODN1" t="str">
            <v>--</v>
          </cell>
          <cell r="ODO1" t="str">
            <v>--</v>
          </cell>
          <cell r="ODP1" t="str">
            <v>--</v>
          </cell>
          <cell r="ODQ1" t="str">
            <v>--</v>
          </cell>
          <cell r="ODR1" t="str">
            <v>--</v>
          </cell>
          <cell r="ODS1" t="str">
            <v>--</v>
          </cell>
          <cell r="ODT1" t="str">
            <v>--</v>
          </cell>
          <cell r="ODU1" t="str">
            <v>--</v>
          </cell>
          <cell r="ODV1" t="str">
            <v>--</v>
          </cell>
          <cell r="ODW1" t="str">
            <v>--</v>
          </cell>
          <cell r="ODX1" t="str">
            <v>--</v>
          </cell>
          <cell r="ODY1" t="str">
            <v>--</v>
          </cell>
          <cell r="ODZ1" t="str">
            <v>--</v>
          </cell>
          <cell r="OEA1" t="str">
            <v>--</v>
          </cell>
          <cell r="OEB1" t="str">
            <v>--</v>
          </cell>
          <cell r="OEC1" t="str">
            <v>--</v>
          </cell>
          <cell r="OED1" t="str">
            <v>--</v>
          </cell>
          <cell r="OEE1" t="str">
            <v>--</v>
          </cell>
          <cell r="OEF1" t="str">
            <v>--</v>
          </cell>
          <cell r="OEG1" t="str">
            <v>--</v>
          </cell>
          <cell r="OEH1" t="str">
            <v>--</v>
          </cell>
          <cell r="OEI1" t="str">
            <v>--</v>
          </cell>
          <cell r="OEJ1" t="str">
            <v>--</v>
          </cell>
          <cell r="OEK1" t="str">
            <v>--</v>
          </cell>
          <cell r="OEL1" t="str">
            <v>--</v>
          </cell>
          <cell r="OEM1" t="str">
            <v>--</v>
          </cell>
          <cell r="OEN1" t="str">
            <v>--</v>
          </cell>
          <cell r="OEO1" t="str">
            <v>--</v>
          </cell>
          <cell r="OEP1" t="str">
            <v>--</v>
          </cell>
          <cell r="OEQ1" t="str">
            <v>--</v>
          </cell>
          <cell r="OER1" t="str">
            <v>--</v>
          </cell>
          <cell r="OES1" t="str">
            <v>--</v>
          </cell>
          <cell r="OET1" t="str">
            <v>--</v>
          </cell>
          <cell r="OEU1" t="str">
            <v>--</v>
          </cell>
          <cell r="OEV1" t="str">
            <v>--</v>
          </cell>
          <cell r="OEW1" t="str">
            <v>--</v>
          </cell>
          <cell r="OEX1" t="str">
            <v>--</v>
          </cell>
          <cell r="OEY1" t="str">
            <v>--</v>
          </cell>
          <cell r="OEZ1" t="str">
            <v>--</v>
          </cell>
          <cell r="OFA1" t="str">
            <v>--</v>
          </cell>
          <cell r="OFB1" t="str">
            <v>--</v>
          </cell>
          <cell r="OFC1" t="str">
            <v>--</v>
          </cell>
          <cell r="OFD1" t="str">
            <v>--</v>
          </cell>
          <cell r="OFE1" t="str">
            <v>--</v>
          </cell>
          <cell r="OFF1" t="str">
            <v>--</v>
          </cell>
          <cell r="OFG1" t="str">
            <v>--</v>
          </cell>
          <cell r="OFH1" t="str">
            <v>--</v>
          </cell>
          <cell r="OFI1" t="str">
            <v>--</v>
          </cell>
          <cell r="OFJ1" t="str">
            <v>--</v>
          </cell>
          <cell r="OFK1" t="str">
            <v>--</v>
          </cell>
          <cell r="OFL1" t="str">
            <v>--</v>
          </cell>
          <cell r="OFM1" t="str">
            <v>--</v>
          </cell>
          <cell r="OFN1" t="str">
            <v>--</v>
          </cell>
          <cell r="OFO1" t="str">
            <v>--</v>
          </cell>
          <cell r="OFP1" t="str">
            <v>--</v>
          </cell>
          <cell r="OFQ1" t="str">
            <v>--</v>
          </cell>
          <cell r="OFR1" t="str">
            <v>--</v>
          </cell>
          <cell r="OFS1" t="str">
            <v>--</v>
          </cell>
          <cell r="OFT1" t="str">
            <v>--</v>
          </cell>
          <cell r="OFU1" t="str">
            <v>--</v>
          </cell>
          <cell r="OFV1" t="str">
            <v>--</v>
          </cell>
          <cell r="OFW1" t="str">
            <v>--</v>
          </cell>
          <cell r="OFX1" t="str">
            <v>--</v>
          </cell>
          <cell r="OFY1" t="str">
            <v>--</v>
          </cell>
          <cell r="OFZ1" t="str">
            <v>--</v>
          </cell>
          <cell r="OGA1" t="str">
            <v>--</v>
          </cell>
          <cell r="OGB1" t="str">
            <v>--</v>
          </cell>
          <cell r="OGC1" t="str">
            <v>--</v>
          </cell>
          <cell r="OGD1" t="str">
            <v>--</v>
          </cell>
          <cell r="OGE1" t="str">
            <v>--</v>
          </cell>
          <cell r="OGF1" t="str">
            <v>--</v>
          </cell>
          <cell r="OGG1" t="str">
            <v>--</v>
          </cell>
          <cell r="OGH1" t="str">
            <v>--</v>
          </cell>
          <cell r="OGI1" t="str">
            <v>--</v>
          </cell>
          <cell r="OGJ1" t="str">
            <v>--</v>
          </cell>
          <cell r="OGK1" t="str">
            <v>--</v>
          </cell>
          <cell r="OGL1" t="str">
            <v>--</v>
          </cell>
          <cell r="OGM1" t="str">
            <v>--</v>
          </cell>
          <cell r="OGN1" t="str">
            <v>--</v>
          </cell>
          <cell r="OGO1" t="str">
            <v>--</v>
          </cell>
          <cell r="OGP1" t="str">
            <v>--</v>
          </cell>
          <cell r="OGQ1" t="str">
            <v>--</v>
          </cell>
          <cell r="OGR1" t="str">
            <v>--</v>
          </cell>
          <cell r="OGS1" t="str">
            <v>--</v>
          </cell>
          <cell r="OGT1" t="str">
            <v>--</v>
          </cell>
          <cell r="OGU1" t="str">
            <v>--</v>
          </cell>
          <cell r="OGV1" t="str">
            <v>--</v>
          </cell>
          <cell r="OGW1" t="str">
            <v>--</v>
          </cell>
          <cell r="OGX1" t="str">
            <v>--</v>
          </cell>
          <cell r="OGY1" t="str">
            <v>--</v>
          </cell>
          <cell r="OGZ1" t="str">
            <v>--</v>
          </cell>
          <cell r="OHA1" t="str">
            <v>--</v>
          </cell>
          <cell r="OHB1" t="str">
            <v>--</v>
          </cell>
          <cell r="OHC1" t="str">
            <v>--</v>
          </cell>
          <cell r="OHD1" t="str">
            <v>--</v>
          </cell>
          <cell r="OHE1" t="str">
            <v>--</v>
          </cell>
          <cell r="OHF1" t="str">
            <v>--</v>
          </cell>
          <cell r="OHG1" t="str">
            <v>--</v>
          </cell>
          <cell r="OHH1" t="str">
            <v>--</v>
          </cell>
          <cell r="OHI1" t="str">
            <v>--</v>
          </cell>
          <cell r="OHJ1" t="str">
            <v>--</v>
          </cell>
          <cell r="OHK1" t="str">
            <v>--</v>
          </cell>
          <cell r="OHL1" t="str">
            <v>--</v>
          </cell>
          <cell r="OHM1" t="str">
            <v>--</v>
          </cell>
          <cell r="OHN1" t="str">
            <v>--</v>
          </cell>
          <cell r="OHO1" t="str">
            <v>--</v>
          </cell>
          <cell r="OHP1" t="str">
            <v>--</v>
          </cell>
          <cell r="OHQ1" t="str">
            <v>--</v>
          </cell>
          <cell r="OHR1" t="str">
            <v>--</v>
          </cell>
          <cell r="OHS1" t="str">
            <v>--</v>
          </cell>
          <cell r="OHT1" t="str">
            <v>--</v>
          </cell>
          <cell r="OHU1" t="str">
            <v>--</v>
          </cell>
          <cell r="OHV1" t="str">
            <v>--</v>
          </cell>
          <cell r="OHW1" t="str">
            <v>--</v>
          </cell>
          <cell r="OHX1" t="str">
            <v>--</v>
          </cell>
          <cell r="OHY1" t="str">
            <v>--</v>
          </cell>
          <cell r="OHZ1" t="str">
            <v>--</v>
          </cell>
          <cell r="OIA1" t="str">
            <v>--</v>
          </cell>
          <cell r="OIB1" t="str">
            <v>--</v>
          </cell>
          <cell r="OIC1" t="str">
            <v>--</v>
          </cell>
          <cell r="OID1" t="str">
            <v>--</v>
          </cell>
          <cell r="OIE1" t="str">
            <v>--</v>
          </cell>
          <cell r="OIF1" t="str">
            <v>--</v>
          </cell>
          <cell r="OIG1" t="str">
            <v>--</v>
          </cell>
          <cell r="OIH1" t="str">
            <v>--</v>
          </cell>
          <cell r="OII1" t="str">
            <v>--</v>
          </cell>
          <cell r="OIJ1" t="str">
            <v>--</v>
          </cell>
          <cell r="OIK1" t="str">
            <v>--</v>
          </cell>
          <cell r="OIL1" t="str">
            <v>--</v>
          </cell>
          <cell r="OIM1" t="str">
            <v>--</v>
          </cell>
          <cell r="OIN1" t="str">
            <v>--</v>
          </cell>
          <cell r="OIO1" t="str">
            <v>--</v>
          </cell>
          <cell r="OIP1" t="str">
            <v>--</v>
          </cell>
          <cell r="OIQ1" t="str">
            <v>--</v>
          </cell>
          <cell r="OIR1" t="str">
            <v>--</v>
          </cell>
          <cell r="OIS1" t="str">
            <v>--</v>
          </cell>
          <cell r="OIT1" t="str">
            <v>--</v>
          </cell>
          <cell r="OIU1" t="str">
            <v>--</v>
          </cell>
          <cell r="OIV1" t="str">
            <v>--</v>
          </cell>
          <cell r="OIW1" t="str">
            <v>--</v>
          </cell>
          <cell r="OIX1" t="str">
            <v>--</v>
          </cell>
          <cell r="OIY1" t="str">
            <v>--</v>
          </cell>
          <cell r="OIZ1" t="str">
            <v>--</v>
          </cell>
          <cell r="OJA1" t="str">
            <v>--</v>
          </cell>
          <cell r="OJB1" t="str">
            <v>--</v>
          </cell>
          <cell r="OJC1" t="str">
            <v>--</v>
          </cell>
          <cell r="OJD1" t="str">
            <v>--</v>
          </cell>
          <cell r="OJE1" t="str">
            <v>--</v>
          </cell>
          <cell r="OJF1" t="str">
            <v>--</v>
          </cell>
          <cell r="OJG1" t="str">
            <v>--</v>
          </cell>
          <cell r="OJH1" t="str">
            <v>--</v>
          </cell>
          <cell r="OJI1" t="str">
            <v>--</v>
          </cell>
          <cell r="OJJ1" t="str">
            <v>--</v>
          </cell>
          <cell r="OJK1" t="str">
            <v>--</v>
          </cell>
          <cell r="OJL1" t="str">
            <v>--</v>
          </cell>
          <cell r="OJM1" t="str">
            <v>--</v>
          </cell>
          <cell r="OJN1" t="str">
            <v>--</v>
          </cell>
          <cell r="OJO1" t="str">
            <v>--</v>
          </cell>
          <cell r="OJP1" t="str">
            <v>--</v>
          </cell>
          <cell r="OJQ1" t="str">
            <v>--</v>
          </cell>
          <cell r="OJR1" t="str">
            <v>--</v>
          </cell>
          <cell r="OJS1" t="str">
            <v>--</v>
          </cell>
          <cell r="OJT1" t="str">
            <v>--</v>
          </cell>
          <cell r="OJU1" t="str">
            <v>--</v>
          </cell>
          <cell r="OJV1" t="str">
            <v>--</v>
          </cell>
          <cell r="OJW1" t="str">
            <v>--</v>
          </cell>
          <cell r="OJX1" t="str">
            <v>--</v>
          </cell>
          <cell r="OJY1" t="str">
            <v>--</v>
          </cell>
          <cell r="OJZ1" t="str">
            <v>--</v>
          </cell>
          <cell r="OKA1" t="str">
            <v>--</v>
          </cell>
          <cell r="OKB1" t="str">
            <v>--</v>
          </cell>
          <cell r="OKC1" t="str">
            <v>--</v>
          </cell>
          <cell r="OKD1" t="str">
            <v>--</v>
          </cell>
          <cell r="OKE1" t="str">
            <v>--</v>
          </cell>
          <cell r="OKF1" t="str">
            <v>--</v>
          </cell>
          <cell r="OKG1" t="str">
            <v>--</v>
          </cell>
          <cell r="OKH1" t="str">
            <v>--</v>
          </cell>
          <cell r="OKI1" t="str">
            <v>--</v>
          </cell>
          <cell r="OKJ1" t="str">
            <v>--</v>
          </cell>
          <cell r="OKK1" t="str">
            <v>--</v>
          </cell>
          <cell r="OKL1" t="str">
            <v>--</v>
          </cell>
          <cell r="OKM1" t="str">
            <v>--</v>
          </cell>
          <cell r="OKN1" t="str">
            <v>--</v>
          </cell>
          <cell r="OKO1" t="str">
            <v>--</v>
          </cell>
          <cell r="OKP1" t="str">
            <v>--</v>
          </cell>
          <cell r="OKQ1" t="str">
            <v>--</v>
          </cell>
          <cell r="OKR1" t="str">
            <v>--</v>
          </cell>
          <cell r="OKS1" t="str">
            <v>--</v>
          </cell>
          <cell r="OKT1" t="str">
            <v>--</v>
          </cell>
          <cell r="OKU1" t="str">
            <v>--</v>
          </cell>
          <cell r="OKV1" t="str">
            <v>--</v>
          </cell>
          <cell r="OKW1" t="str">
            <v>--</v>
          </cell>
          <cell r="OKX1" t="str">
            <v>--</v>
          </cell>
          <cell r="OKY1" t="str">
            <v>--</v>
          </cell>
          <cell r="OKZ1" t="str">
            <v>--</v>
          </cell>
          <cell r="OLA1" t="str">
            <v>--</v>
          </cell>
          <cell r="OLB1" t="str">
            <v>--</v>
          </cell>
          <cell r="OLC1" t="str">
            <v>--</v>
          </cell>
          <cell r="OLD1" t="str">
            <v>--</v>
          </cell>
          <cell r="OLE1" t="str">
            <v>--</v>
          </cell>
          <cell r="OLF1" t="str">
            <v>--</v>
          </cell>
          <cell r="OLG1" t="str">
            <v>--</v>
          </cell>
          <cell r="OLH1" t="str">
            <v>--</v>
          </cell>
          <cell r="OLI1" t="str">
            <v>--</v>
          </cell>
          <cell r="OLJ1" t="str">
            <v>--</v>
          </cell>
          <cell r="OLK1" t="str">
            <v>--</v>
          </cell>
          <cell r="OLL1" t="str">
            <v>--</v>
          </cell>
          <cell r="OLM1" t="str">
            <v>--</v>
          </cell>
          <cell r="OLN1" t="str">
            <v>--</v>
          </cell>
          <cell r="OLO1" t="str">
            <v>--</v>
          </cell>
          <cell r="OLP1" t="str">
            <v>--</v>
          </cell>
          <cell r="OLQ1" t="str">
            <v>--</v>
          </cell>
          <cell r="OLR1" t="str">
            <v>--</v>
          </cell>
          <cell r="OLS1" t="str">
            <v>--</v>
          </cell>
          <cell r="OLT1" t="str">
            <v>--</v>
          </cell>
          <cell r="OLU1" t="str">
            <v>--</v>
          </cell>
          <cell r="OLV1" t="str">
            <v>--</v>
          </cell>
          <cell r="OLW1" t="str">
            <v>--</v>
          </cell>
          <cell r="OLX1" t="str">
            <v>--</v>
          </cell>
          <cell r="OLY1" t="str">
            <v>--</v>
          </cell>
          <cell r="OLZ1" t="str">
            <v>--</v>
          </cell>
          <cell r="OMA1" t="str">
            <v>--</v>
          </cell>
          <cell r="OMB1" t="str">
            <v>--</v>
          </cell>
          <cell r="OMC1" t="str">
            <v>--</v>
          </cell>
          <cell r="OMD1" t="str">
            <v>--</v>
          </cell>
          <cell r="OME1" t="str">
            <v>--</v>
          </cell>
          <cell r="OMF1" t="str">
            <v>--</v>
          </cell>
          <cell r="OMG1" t="str">
            <v>--</v>
          </cell>
          <cell r="OMH1" t="str">
            <v>--</v>
          </cell>
          <cell r="OMI1" t="str">
            <v>--</v>
          </cell>
          <cell r="OMJ1" t="str">
            <v>--</v>
          </cell>
          <cell r="OMK1" t="str">
            <v>--</v>
          </cell>
          <cell r="OML1" t="str">
            <v>--</v>
          </cell>
          <cell r="OMM1" t="str">
            <v>--</v>
          </cell>
          <cell r="OMN1" t="str">
            <v>--</v>
          </cell>
          <cell r="OMO1" t="str">
            <v>--</v>
          </cell>
          <cell r="OMP1" t="str">
            <v>--</v>
          </cell>
          <cell r="OMQ1" t="str">
            <v>--</v>
          </cell>
          <cell r="OMR1" t="str">
            <v>--</v>
          </cell>
          <cell r="OMS1" t="str">
            <v>--</v>
          </cell>
          <cell r="OMT1" t="str">
            <v>--</v>
          </cell>
          <cell r="OMU1" t="str">
            <v>--</v>
          </cell>
          <cell r="OMV1" t="str">
            <v>--</v>
          </cell>
          <cell r="OMW1" t="str">
            <v>--</v>
          </cell>
          <cell r="OMX1" t="str">
            <v>--</v>
          </cell>
          <cell r="OMY1" t="str">
            <v>--</v>
          </cell>
          <cell r="OMZ1" t="str">
            <v>--</v>
          </cell>
          <cell r="ONA1" t="str">
            <v>--</v>
          </cell>
          <cell r="ONB1" t="str">
            <v>--</v>
          </cell>
          <cell r="ONC1" t="str">
            <v>--</v>
          </cell>
          <cell r="OND1" t="str">
            <v>--</v>
          </cell>
          <cell r="ONE1" t="str">
            <v>--</v>
          </cell>
          <cell r="ONF1" t="str">
            <v>--</v>
          </cell>
          <cell r="ONG1" t="str">
            <v>--</v>
          </cell>
          <cell r="ONH1" t="str">
            <v>--</v>
          </cell>
          <cell r="ONI1" t="str">
            <v>--</v>
          </cell>
          <cell r="ONJ1" t="str">
            <v>--</v>
          </cell>
          <cell r="ONK1" t="str">
            <v>--</v>
          </cell>
          <cell r="ONL1" t="str">
            <v>--</v>
          </cell>
          <cell r="ONM1" t="str">
            <v>--</v>
          </cell>
          <cell r="ONN1" t="str">
            <v>--</v>
          </cell>
          <cell r="ONO1" t="str">
            <v>--</v>
          </cell>
          <cell r="ONP1" t="str">
            <v>--</v>
          </cell>
          <cell r="ONQ1" t="str">
            <v>--</v>
          </cell>
          <cell r="ONR1" t="str">
            <v>--</v>
          </cell>
          <cell r="ONS1" t="str">
            <v>--</v>
          </cell>
          <cell r="ONT1" t="str">
            <v>--</v>
          </cell>
          <cell r="ONU1" t="str">
            <v>--</v>
          </cell>
          <cell r="ONV1" t="str">
            <v>--</v>
          </cell>
          <cell r="ONW1" t="str">
            <v>--</v>
          </cell>
          <cell r="ONX1" t="str">
            <v>--</v>
          </cell>
          <cell r="ONY1" t="str">
            <v>--</v>
          </cell>
          <cell r="ONZ1" t="str">
            <v>--</v>
          </cell>
          <cell r="OOA1" t="str">
            <v>--</v>
          </cell>
          <cell r="OOB1" t="str">
            <v>--</v>
          </cell>
          <cell r="OOC1" t="str">
            <v>--</v>
          </cell>
          <cell r="OOD1" t="str">
            <v>--</v>
          </cell>
          <cell r="OOE1" t="str">
            <v>--</v>
          </cell>
          <cell r="OOF1" t="str">
            <v>--</v>
          </cell>
          <cell r="OOG1" t="str">
            <v>--</v>
          </cell>
          <cell r="OOH1" t="str">
            <v>--</v>
          </cell>
          <cell r="OOI1" t="str">
            <v>--</v>
          </cell>
          <cell r="OOJ1" t="str">
            <v>--</v>
          </cell>
          <cell r="OOK1" t="str">
            <v>--</v>
          </cell>
          <cell r="OOL1" t="str">
            <v>--</v>
          </cell>
          <cell r="OOM1" t="str">
            <v>--</v>
          </cell>
          <cell r="OON1" t="str">
            <v>--</v>
          </cell>
          <cell r="OOO1" t="str">
            <v>--</v>
          </cell>
          <cell r="OOP1" t="str">
            <v>--</v>
          </cell>
          <cell r="OOQ1" t="str">
            <v>--</v>
          </cell>
          <cell r="OOR1" t="str">
            <v>--</v>
          </cell>
          <cell r="OOS1" t="str">
            <v>--</v>
          </cell>
          <cell r="OOT1" t="str">
            <v>--</v>
          </cell>
          <cell r="OOU1" t="str">
            <v>--</v>
          </cell>
          <cell r="OOV1" t="str">
            <v>--</v>
          </cell>
          <cell r="OOW1" t="str">
            <v>--</v>
          </cell>
          <cell r="OOX1" t="str">
            <v>--</v>
          </cell>
          <cell r="OOY1" t="str">
            <v>--</v>
          </cell>
          <cell r="OOZ1" t="str">
            <v>--</v>
          </cell>
          <cell r="OPA1" t="str">
            <v>--</v>
          </cell>
          <cell r="OPB1" t="str">
            <v>--</v>
          </cell>
          <cell r="OPC1" t="str">
            <v>--</v>
          </cell>
          <cell r="OPD1" t="str">
            <v>--</v>
          </cell>
          <cell r="OPE1" t="str">
            <v>--</v>
          </cell>
          <cell r="OPF1" t="str">
            <v>--</v>
          </cell>
          <cell r="OPG1" t="str">
            <v>--</v>
          </cell>
          <cell r="OPH1" t="str">
            <v>--</v>
          </cell>
          <cell r="OPI1" t="str">
            <v>--</v>
          </cell>
          <cell r="OPJ1" t="str">
            <v>--</v>
          </cell>
          <cell r="OPK1" t="str">
            <v>--</v>
          </cell>
          <cell r="OPL1" t="str">
            <v>--</v>
          </cell>
          <cell r="OPM1" t="str">
            <v>--</v>
          </cell>
          <cell r="OPN1" t="str">
            <v>--</v>
          </cell>
          <cell r="OPO1" t="str">
            <v>--</v>
          </cell>
          <cell r="OPP1" t="str">
            <v>--</v>
          </cell>
          <cell r="OPQ1" t="str">
            <v>--</v>
          </cell>
          <cell r="OPR1" t="str">
            <v>--</v>
          </cell>
          <cell r="OPS1" t="str">
            <v>--</v>
          </cell>
          <cell r="OPT1" t="str">
            <v>--</v>
          </cell>
          <cell r="OPU1" t="str">
            <v>--</v>
          </cell>
          <cell r="OPV1" t="str">
            <v>--</v>
          </cell>
          <cell r="OPW1" t="str">
            <v>--</v>
          </cell>
          <cell r="OPX1" t="str">
            <v>--</v>
          </cell>
          <cell r="OPY1" t="str">
            <v>--</v>
          </cell>
          <cell r="OPZ1" t="str">
            <v>--</v>
          </cell>
          <cell r="OQA1" t="str">
            <v>--</v>
          </cell>
          <cell r="OQB1" t="str">
            <v>--</v>
          </cell>
          <cell r="OQC1" t="str">
            <v>--</v>
          </cell>
          <cell r="OQD1" t="str">
            <v>--</v>
          </cell>
          <cell r="OQE1" t="str">
            <v>--</v>
          </cell>
          <cell r="OQF1" t="str">
            <v>--</v>
          </cell>
          <cell r="OQG1" t="str">
            <v>--</v>
          </cell>
          <cell r="OQH1" t="str">
            <v>--</v>
          </cell>
          <cell r="OQI1" t="str">
            <v>--</v>
          </cell>
          <cell r="OQJ1" t="str">
            <v>--</v>
          </cell>
          <cell r="OQK1" t="str">
            <v>--</v>
          </cell>
          <cell r="OQL1" t="str">
            <v>--</v>
          </cell>
          <cell r="OQM1" t="str">
            <v>--</v>
          </cell>
          <cell r="OQN1" t="str">
            <v>--</v>
          </cell>
          <cell r="OQO1" t="str">
            <v>--</v>
          </cell>
          <cell r="OQP1" t="str">
            <v>--</v>
          </cell>
          <cell r="OQQ1" t="str">
            <v>--</v>
          </cell>
          <cell r="OQR1" t="str">
            <v>--</v>
          </cell>
          <cell r="OQS1" t="str">
            <v>--</v>
          </cell>
          <cell r="OQT1" t="str">
            <v>--</v>
          </cell>
          <cell r="OQU1" t="str">
            <v>--</v>
          </cell>
          <cell r="OQV1" t="str">
            <v>--</v>
          </cell>
          <cell r="OQW1" t="str">
            <v>--</v>
          </cell>
          <cell r="OQX1" t="str">
            <v>--</v>
          </cell>
          <cell r="OQY1" t="str">
            <v>--</v>
          </cell>
          <cell r="OQZ1" t="str">
            <v>--</v>
          </cell>
          <cell r="ORA1" t="str">
            <v>--</v>
          </cell>
          <cell r="ORB1" t="str">
            <v>--</v>
          </cell>
          <cell r="ORC1" t="str">
            <v>--</v>
          </cell>
          <cell r="ORD1" t="str">
            <v>--</v>
          </cell>
          <cell r="ORE1" t="str">
            <v>--</v>
          </cell>
          <cell r="ORF1" t="str">
            <v>--</v>
          </cell>
          <cell r="ORG1" t="str">
            <v>--</v>
          </cell>
          <cell r="ORH1" t="str">
            <v>--</v>
          </cell>
          <cell r="ORI1" t="str">
            <v>--</v>
          </cell>
          <cell r="ORJ1" t="str">
            <v>--</v>
          </cell>
          <cell r="ORK1" t="str">
            <v>--</v>
          </cell>
          <cell r="ORL1" t="str">
            <v>--</v>
          </cell>
          <cell r="ORM1" t="str">
            <v>--</v>
          </cell>
          <cell r="ORN1" t="str">
            <v>--</v>
          </cell>
          <cell r="ORO1" t="str">
            <v>--</v>
          </cell>
          <cell r="ORP1" t="str">
            <v>--</v>
          </cell>
          <cell r="ORQ1" t="str">
            <v>--</v>
          </cell>
          <cell r="ORR1" t="str">
            <v>--</v>
          </cell>
          <cell r="ORS1" t="str">
            <v>--</v>
          </cell>
          <cell r="ORT1" t="str">
            <v>--</v>
          </cell>
          <cell r="ORU1" t="str">
            <v>--</v>
          </cell>
          <cell r="ORV1" t="str">
            <v>--</v>
          </cell>
          <cell r="ORW1" t="str">
            <v>--</v>
          </cell>
          <cell r="ORX1" t="str">
            <v>--</v>
          </cell>
          <cell r="ORY1" t="str">
            <v>--</v>
          </cell>
          <cell r="ORZ1" t="str">
            <v>--</v>
          </cell>
          <cell r="OSA1" t="str">
            <v>--</v>
          </cell>
          <cell r="OSB1" t="str">
            <v>--</v>
          </cell>
          <cell r="OSC1" t="str">
            <v>--</v>
          </cell>
          <cell r="OSD1" t="str">
            <v>--</v>
          </cell>
          <cell r="OSE1" t="str">
            <v>--</v>
          </cell>
          <cell r="OSF1" t="str">
            <v>--</v>
          </cell>
          <cell r="OSG1" t="str">
            <v>--</v>
          </cell>
          <cell r="OSH1" t="str">
            <v>--</v>
          </cell>
          <cell r="OSI1" t="str">
            <v>--</v>
          </cell>
          <cell r="OSJ1" t="str">
            <v>--</v>
          </cell>
          <cell r="OSK1" t="str">
            <v>--</v>
          </cell>
          <cell r="OSL1" t="str">
            <v>--</v>
          </cell>
          <cell r="OSM1" t="str">
            <v>--</v>
          </cell>
          <cell r="OSN1" t="str">
            <v>--</v>
          </cell>
          <cell r="OSO1" t="str">
            <v>--</v>
          </cell>
          <cell r="OSP1" t="str">
            <v>--</v>
          </cell>
          <cell r="OSQ1" t="str">
            <v>--</v>
          </cell>
          <cell r="OSR1" t="str">
            <v>--</v>
          </cell>
          <cell r="OSS1" t="str">
            <v>--</v>
          </cell>
          <cell r="OST1" t="str">
            <v>--</v>
          </cell>
          <cell r="OSU1" t="str">
            <v>--</v>
          </cell>
          <cell r="OSV1" t="str">
            <v>--</v>
          </cell>
          <cell r="OSW1" t="str">
            <v>--</v>
          </cell>
          <cell r="OSX1" t="str">
            <v>--</v>
          </cell>
          <cell r="OSY1" t="str">
            <v>--</v>
          </cell>
          <cell r="OSZ1" t="str">
            <v>--</v>
          </cell>
          <cell r="OTA1" t="str">
            <v>--</v>
          </cell>
          <cell r="OTB1" t="str">
            <v>--</v>
          </cell>
          <cell r="OTC1" t="str">
            <v>--</v>
          </cell>
          <cell r="OTD1" t="str">
            <v>--</v>
          </cell>
          <cell r="OTE1" t="str">
            <v>--</v>
          </cell>
          <cell r="OTF1" t="str">
            <v>--</v>
          </cell>
          <cell r="OTG1" t="str">
            <v>--</v>
          </cell>
          <cell r="OTH1" t="str">
            <v>--</v>
          </cell>
          <cell r="OTI1" t="str">
            <v>--</v>
          </cell>
          <cell r="OTJ1" t="str">
            <v>--</v>
          </cell>
          <cell r="OTK1" t="str">
            <v>--</v>
          </cell>
          <cell r="OTL1" t="str">
            <v>--</v>
          </cell>
          <cell r="OTM1" t="str">
            <v>--</v>
          </cell>
          <cell r="OTN1" t="str">
            <v>--</v>
          </cell>
          <cell r="OTO1" t="str">
            <v>--</v>
          </cell>
          <cell r="OTP1" t="str">
            <v>--</v>
          </cell>
          <cell r="OTQ1" t="str">
            <v>--</v>
          </cell>
          <cell r="OTR1" t="str">
            <v>--</v>
          </cell>
          <cell r="OTS1" t="str">
            <v>--</v>
          </cell>
          <cell r="OTT1" t="str">
            <v>--</v>
          </cell>
          <cell r="OTU1" t="str">
            <v>--</v>
          </cell>
          <cell r="OTV1" t="str">
            <v>--</v>
          </cell>
          <cell r="OTW1" t="str">
            <v>--</v>
          </cell>
          <cell r="OTX1" t="str">
            <v>--</v>
          </cell>
          <cell r="OTY1" t="str">
            <v>--</v>
          </cell>
          <cell r="OTZ1" t="str">
            <v>--</v>
          </cell>
          <cell r="OUA1" t="str">
            <v>--</v>
          </cell>
          <cell r="OUB1" t="str">
            <v>--</v>
          </cell>
          <cell r="OUC1" t="str">
            <v>--</v>
          </cell>
          <cell r="OUD1" t="str">
            <v>--</v>
          </cell>
          <cell r="OUE1" t="str">
            <v>--</v>
          </cell>
          <cell r="OUF1" t="str">
            <v>--</v>
          </cell>
          <cell r="OUG1" t="str">
            <v>--</v>
          </cell>
          <cell r="OUH1" t="str">
            <v>--</v>
          </cell>
          <cell r="OUI1" t="str">
            <v>--</v>
          </cell>
          <cell r="OUJ1" t="str">
            <v>--</v>
          </cell>
          <cell r="OUK1" t="str">
            <v>--</v>
          </cell>
          <cell r="OUL1" t="str">
            <v>--</v>
          </cell>
          <cell r="OUM1" t="str">
            <v>--</v>
          </cell>
          <cell r="OUN1" t="str">
            <v>--</v>
          </cell>
          <cell r="OUO1" t="str">
            <v>--</v>
          </cell>
          <cell r="OUP1" t="str">
            <v>--</v>
          </cell>
          <cell r="OUQ1" t="str">
            <v>--</v>
          </cell>
          <cell r="OUR1" t="str">
            <v>--</v>
          </cell>
          <cell r="OUS1" t="str">
            <v>--</v>
          </cell>
          <cell r="OUT1" t="str">
            <v>--</v>
          </cell>
          <cell r="OUU1" t="str">
            <v>--</v>
          </cell>
          <cell r="OUV1" t="str">
            <v>--</v>
          </cell>
          <cell r="OUW1" t="str">
            <v>--</v>
          </cell>
          <cell r="OUX1" t="str">
            <v>--</v>
          </cell>
          <cell r="OUY1" t="str">
            <v>--</v>
          </cell>
          <cell r="OUZ1" t="str">
            <v>--</v>
          </cell>
          <cell r="OVA1" t="str">
            <v>--</v>
          </cell>
          <cell r="OVB1" t="str">
            <v>--</v>
          </cell>
          <cell r="OVC1" t="str">
            <v>--</v>
          </cell>
          <cell r="OVD1" t="str">
            <v>--</v>
          </cell>
          <cell r="OVE1" t="str">
            <v>--</v>
          </cell>
          <cell r="OVF1" t="str">
            <v>--</v>
          </cell>
          <cell r="OVG1" t="str">
            <v>--</v>
          </cell>
          <cell r="OVH1" t="str">
            <v>--</v>
          </cell>
          <cell r="OVI1" t="str">
            <v>--</v>
          </cell>
          <cell r="OVJ1" t="str">
            <v>--</v>
          </cell>
          <cell r="OVK1" t="str">
            <v>--</v>
          </cell>
          <cell r="OVL1" t="str">
            <v>--</v>
          </cell>
          <cell r="OVM1" t="str">
            <v>--</v>
          </cell>
          <cell r="OVN1" t="str">
            <v>--</v>
          </cell>
          <cell r="OVO1" t="str">
            <v>--</v>
          </cell>
          <cell r="OVP1" t="str">
            <v>--</v>
          </cell>
          <cell r="OVQ1" t="str">
            <v>--</v>
          </cell>
          <cell r="OVR1" t="str">
            <v>--</v>
          </cell>
          <cell r="OVS1" t="str">
            <v>--</v>
          </cell>
          <cell r="OVT1" t="str">
            <v>--</v>
          </cell>
          <cell r="OVU1" t="str">
            <v>--</v>
          </cell>
          <cell r="OVV1" t="str">
            <v>--</v>
          </cell>
          <cell r="OVW1" t="str">
            <v>--</v>
          </cell>
          <cell r="OVX1" t="str">
            <v>--</v>
          </cell>
          <cell r="OVY1" t="str">
            <v>--</v>
          </cell>
          <cell r="OVZ1" t="str">
            <v>--</v>
          </cell>
          <cell r="OWA1" t="str">
            <v>--</v>
          </cell>
          <cell r="OWB1" t="str">
            <v>--</v>
          </cell>
          <cell r="OWC1" t="str">
            <v>--</v>
          </cell>
          <cell r="OWD1" t="str">
            <v>--</v>
          </cell>
          <cell r="OWE1" t="str">
            <v>--</v>
          </cell>
          <cell r="OWF1" t="str">
            <v>--</v>
          </cell>
          <cell r="OWG1" t="str">
            <v>--</v>
          </cell>
          <cell r="OWH1" t="str">
            <v>--</v>
          </cell>
          <cell r="OWI1" t="str">
            <v>--</v>
          </cell>
          <cell r="OWJ1" t="str">
            <v>--</v>
          </cell>
          <cell r="OWK1" t="str">
            <v>--</v>
          </cell>
          <cell r="OWL1" t="str">
            <v>--</v>
          </cell>
          <cell r="OWM1" t="str">
            <v>--</v>
          </cell>
          <cell r="OWN1" t="str">
            <v>--</v>
          </cell>
          <cell r="OWO1" t="str">
            <v>--</v>
          </cell>
          <cell r="OWP1" t="str">
            <v>--</v>
          </cell>
          <cell r="OWQ1" t="str">
            <v>--</v>
          </cell>
          <cell r="OWR1" t="str">
            <v>--</v>
          </cell>
          <cell r="OWS1" t="str">
            <v>--</v>
          </cell>
          <cell r="OWT1" t="str">
            <v>--</v>
          </cell>
          <cell r="OWU1" t="str">
            <v>--</v>
          </cell>
          <cell r="OWV1" t="str">
            <v>--</v>
          </cell>
          <cell r="OWW1" t="str">
            <v>--</v>
          </cell>
          <cell r="OWX1" t="str">
            <v>--</v>
          </cell>
          <cell r="OWY1" t="str">
            <v>--</v>
          </cell>
          <cell r="OWZ1" t="str">
            <v>--</v>
          </cell>
          <cell r="OXA1" t="str">
            <v>--</v>
          </cell>
          <cell r="OXB1" t="str">
            <v>--</v>
          </cell>
          <cell r="OXC1" t="str">
            <v>--</v>
          </cell>
          <cell r="OXD1" t="str">
            <v>--</v>
          </cell>
          <cell r="OXE1" t="str">
            <v>--</v>
          </cell>
          <cell r="OXF1" t="str">
            <v>--</v>
          </cell>
          <cell r="OXG1" t="str">
            <v>--</v>
          </cell>
          <cell r="OXH1" t="str">
            <v>--</v>
          </cell>
          <cell r="OXI1" t="str">
            <v>--</v>
          </cell>
          <cell r="OXJ1" t="str">
            <v>--</v>
          </cell>
          <cell r="OXK1" t="str">
            <v>--</v>
          </cell>
          <cell r="OXL1" t="str">
            <v>--</v>
          </cell>
          <cell r="OXM1" t="str">
            <v>--</v>
          </cell>
          <cell r="OXN1" t="str">
            <v>--</v>
          </cell>
          <cell r="OXO1" t="str">
            <v>--</v>
          </cell>
          <cell r="OXP1" t="str">
            <v>--</v>
          </cell>
          <cell r="OXQ1" t="str">
            <v>--</v>
          </cell>
          <cell r="OXR1" t="str">
            <v>--</v>
          </cell>
          <cell r="OXS1" t="str">
            <v>--</v>
          </cell>
          <cell r="OXT1" t="str">
            <v>--</v>
          </cell>
          <cell r="OXU1" t="str">
            <v>--</v>
          </cell>
          <cell r="OXV1" t="str">
            <v>--</v>
          </cell>
          <cell r="OXW1" t="str">
            <v>--</v>
          </cell>
          <cell r="OXX1" t="str">
            <v>--</v>
          </cell>
          <cell r="OXY1" t="str">
            <v>--</v>
          </cell>
          <cell r="OXZ1" t="str">
            <v>--</v>
          </cell>
          <cell r="OYA1" t="str">
            <v>--</v>
          </cell>
          <cell r="OYB1" t="str">
            <v>--</v>
          </cell>
          <cell r="OYC1" t="str">
            <v>--</v>
          </cell>
          <cell r="OYD1" t="str">
            <v>--</v>
          </cell>
          <cell r="OYE1" t="str">
            <v>--</v>
          </cell>
          <cell r="OYF1" t="str">
            <v>--</v>
          </cell>
          <cell r="OYG1" t="str">
            <v>--</v>
          </cell>
          <cell r="OYH1" t="str">
            <v>--</v>
          </cell>
          <cell r="OYI1" t="str">
            <v>--</v>
          </cell>
          <cell r="OYJ1" t="str">
            <v>--</v>
          </cell>
          <cell r="OYK1" t="str">
            <v>--</v>
          </cell>
          <cell r="OYL1" t="str">
            <v>--</v>
          </cell>
          <cell r="OYM1" t="str">
            <v>--</v>
          </cell>
          <cell r="OYN1" t="str">
            <v>--</v>
          </cell>
          <cell r="OYO1" t="str">
            <v>--</v>
          </cell>
          <cell r="OYP1" t="str">
            <v>--</v>
          </cell>
          <cell r="OYQ1" t="str">
            <v>--</v>
          </cell>
          <cell r="OYR1" t="str">
            <v>--</v>
          </cell>
          <cell r="OYS1" t="str">
            <v>--</v>
          </cell>
          <cell r="OYT1" t="str">
            <v>--</v>
          </cell>
          <cell r="OYU1" t="str">
            <v>--</v>
          </cell>
          <cell r="OYV1" t="str">
            <v>--</v>
          </cell>
          <cell r="OYW1" t="str">
            <v>--</v>
          </cell>
          <cell r="OYX1" t="str">
            <v>--</v>
          </cell>
          <cell r="OYY1" t="str">
            <v>--</v>
          </cell>
          <cell r="OYZ1" t="str">
            <v>--</v>
          </cell>
          <cell r="OZA1" t="str">
            <v>--</v>
          </cell>
          <cell r="OZB1" t="str">
            <v>--</v>
          </cell>
          <cell r="OZC1" t="str">
            <v>--</v>
          </cell>
          <cell r="OZD1" t="str">
            <v>--</v>
          </cell>
          <cell r="OZE1" t="str">
            <v>--</v>
          </cell>
          <cell r="OZF1" t="str">
            <v>--</v>
          </cell>
          <cell r="OZG1" t="str">
            <v>--</v>
          </cell>
          <cell r="OZH1" t="str">
            <v>--</v>
          </cell>
          <cell r="OZI1" t="str">
            <v>--</v>
          </cell>
          <cell r="OZJ1" t="str">
            <v>--</v>
          </cell>
          <cell r="OZK1" t="str">
            <v>--</v>
          </cell>
          <cell r="OZL1" t="str">
            <v>--</v>
          </cell>
          <cell r="OZM1" t="str">
            <v>--</v>
          </cell>
          <cell r="OZN1" t="str">
            <v>--</v>
          </cell>
          <cell r="OZO1" t="str">
            <v>--</v>
          </cell>
          <cell r="OZP1" t="str">
            <v>--</v>
          </cell>
          <cell r="OZQ1" t="str">
            <v>--</v>
          </cell>
          <cell r="OZR1" t="str">
            <v>--</v>
          </cell>
          <cell r="OZS1" t="str">
            <v>--</v>
          </cell>
          <cell r="OZT1" t="str">
            <v>--</v>
          </cell>
          <cell r="OZU1" t="str">
            <v>--</v>
          </cell>
          <cell r="OZV1" t="str">
            <v>--</v>
          </cell>
          <cell r="OZW1" t="str">
            <v>--</v>
          </cell>
          <cell r="OZX1" t="str">
            <v>--</v>
          </cell>
          <cell r="OZY1" t="str">
            <v>--</v>
          </cell>
          <cell r="OZZ1" t="str">
            <v>--</v>
          </cell>
          <cell r="PAA1" t="str">
            <v>--</v>
          </cell>
          <cell r="PAB1" t="str">
            <v>--</v>
          </cell>
          <cell r="PAC1" t="str">
            <v>--</v>
          </cell>
          <cell r="PAD1" t="str">
            <v>--</v>
          </cell>
          <cell r="PAE1" t="str">
            <v>--</v>
          </cell>
          <cell r="PAF1" t="str">
            <v>--</v>
          </cell>
          <cell r="PAG1" t="str">
            <v>--</v>
          </cell>
          <cell r="PAH1" t="str">
            <v>--</v>
          </cell>
          <cell r="PAI1" t="str">
            <v>--</v>
          </cell>
          <cell r="PAJ1" t="str">
            <v>--</v>
          </cell>
          <cell r="PAK1" t="str">
            <v>--</v>
          </cell>
          <cell r="PAL1" t="str">
            <v>--</v>
          </cell>
          <cell r="PAM1" t="str">
            <v>--</v>
          </cell>
          <cell r="PAN1" t="str">
            <v>--</v>
          </cell>
          <cell r="PAO1" t="str">
            <v>--</v>
          </cell>
          <cell r="PAP1" t="str">
            <v>--</v>
          </cell>
          <cell r="PAQ1" t="str">
            <v>--</v>
          </cell>
          <cell r="PAR1" t="str">
            <v>--</v>
          </cell>
          <cell r="PAS1" t="str">
            <v>--</v>
          </cell>
          <cell r="PAT1" t="str">
            <v>--</v>
          </cell>
          <cell r="PAU1" t="str">
            <v>--</v>
          </cell>
          <cell r="PAV1" t="str">
            <v>--</v>
          </cell>
          <cell r="PAW1" t="str">
            <v>--</v>
          </cell>
          <cell r="PAX1" t="str">
            <v>--</v>
          </cell>
          <cell r="PAY1" t="str">
            <v>--</v>
          </cell>
          <cell r="PAZ1" t="str">
            <v>--</v>
          </cell>
          <cell r="PBA1" t="str">
            <v>--</v>
          </cell>
          <cell r="PBB1" t="str">
            <v>--</v>
          </cell>
          <cell r="PBC1" t="str">
            <v>--</v>
          </cell>
          <cell r="PBD1" t="str">
            <v>--</v>
          </cell>
          <cell r="PBE1" t="str">
            <v>--</v>
          </cell>
          <cell r="PBF1" t="str">
            <v>--</v>
          </cell>
          <cell r="PBG1" t="str">
            <v>--</v>
          </cell>
          <cell r="PBH1" t="str">
            <v>--</v>
          </cell>
          <cell r="PBI1" t="str">
            <v>--</v>
          </cell>
          <cell r="PBJ1" t="str">
            <v>--</v>
          </cell>
          <cell r="PBK1" t="str">
            <v>--</v>
          </cell>
          <cell r="PBL1" t="str">
            <v>--</v>
          </cell>
          <cell r="PBM1" t="str">
            <v>--</v>
          </cell>
          <cell r="PBN1" t="str">
            <v>--</v>
          </cell>
          <cell r="PBO1" t="str">
            <v>--</v>
          </cell>
          <cell r="PBP1" t="str">
            <v>--</v>
          </cell>
          <cell r="PBQ1" t="str">
            <v>--</v>
          </cell>
          <cell r="PBR1" t="str">
            <v>--</v>
          </cell>
          <cell r="PBS1" t="str">
            <v>--</v>
          </cell>
          <cell r="PBT1" t="str">
            <v>--</v>
          </cell>
          <cell r="PBU1" t="str">
            <v>--</v>
          </cell>
          <cell r="PBV1" t="str">
            <v>--</v>
          </cell>
          <cell r="PBW1" t="str">
            <v>--</v>
          </cell>
          <cell r="PBX1" t="str">
            <v>--</v>
          </cell>
          <cell r="PBY1" t="str">
            <v>--</v>
          </cell>
          <cell r="PBZ1" t="str">
            <v>--</v>
          </cell>
          <cell r="PCA1" t="str">
            <v>--</v>
          </cell>
          <cell r="PCB1" t="str">
            <v>--</v>
          </cell>
          <cell r="PCC1" t="str">
            <v>--</v>
          </cell>
          <cell r="PCD1" t="str">
            <v>--</v>
          </cell>
          <cell r="PCE1" t="str">
            <v>--</v>
          </cell>
          <cell r="PCF1" t="str">
            <v>--</v>
          </cell>
          <cell r="PCG1" t="str">
            <v>--</v>
          </cell>
          <cell r="PCH1" t="str">
            <v>--</v>
          </cell>
          <cell r="PCI1" t="str">
            <v>--</v>
          </cell>
          <cell r="PCJ1" t="str">
            <v>--</v>
          </cell>
          <cell r="PCK1" t="str">
            <v>--</v>
          </cell>
          <cell r="PCL1" t="str">
            <v>--</v>
          </cell>
          <cell r="PCM1" t="str">
            <v>--</v>
          </cell>
          <cell r="PCN1" t="str">
            <v>--</v>
          </cell>
          <cell r="PCO1" t="str">
            <v>--</v>
          </cell>
          <cell r="PCP1" t="str">
            <v>--</v>
          </cell>
          <cell r="PCQ1" t="str">
            <v>--</v>
          </cell>
          <cell r="PCR1" t="str">
            <v>--</v>
          </cell>
          <cell r="PCS1" t="str">
            <v>--</v>
          </cell>
          <cell r="PCT1" t="str">
            <v>--</v>
          </cell>
          <cell r="PCU1" t="str">
            <v>--</v>
          </cell>
          <cell r="PCV1" t="str">
            <v>--</v>
          </cell>
          <cell r="PCW1" t="str">
            <v>--</v>
          </cell>
          <cell r="PCX1" t="str">
            <v>--</v>
          </cell>
          <cell r="PCY1" t="str">
            <v>--</v>
          </cell>
          <cell r="PCZ1" t="str">
            <v>--</v>
          </cell>
          <cell r="PDA1" t="str">
            <v>--</v>
          </cell>
          <cell r="PDB1" t="str">
            <v>--</v>
          </cell>
          <cell r="PDC1" t="str">
            <v>--</v>
          </cell>
          <cell r="PDD1" t="str">
            <v>--</v>
          </cell>
          <cell r="PDE1" t="str">
            <v>--</v>
          </cell>
          <cell r="PDF1" t="str">
            <v>--</v>
          </cell>
          <cell r="PDG1" t="str">
            <v>--</v>
          </cell>
          <cell r="PDH1" t="str">
            <v>--</v>
          </cell>
          <cell r="PDI1" t="str">
            <v>--</v>
          </cell>
          <cell r="PDJ1" t="str">
            <v>--</v>
          </cell>
          <cell r="PDK1" t="str">
            <v>--</v>
          </cell>
          <cell r="PDL1" t="str">
            <v>--</v>
          </cell>
          <cell r="PDM1" t="str">
            <v>--</v>
          </cell>
          <cell r="PDN1" t="str">
            <v>--</v>
          </cell>
          <cell r="PDO1" t="str">
            <v>--</v>
          </cell>
          <cell r="PDP1" t="str">
            <v>--</v>
          </cell>
          <cell r="PDQ1" t="str">
            <v>--</v>
          </cell>
          <cell r="PDR1" t="str">
            <v>--</v>
          </cell>
          <cell r="PDS1" t="str">
            <v>--</v>
          </cell>
          <cell r="PDT1" t="str">
            <v>--</v>
          </cell>
          <cell r="PDU1" t="str">
            <v>--</v>
          </cell>
          <cell r="PDV1" t="str">
            <v>--</v>
          </cell>
          <cell r="PDW1" t="str">
            <v>--</v>
          </cell>
          <cell r="PDX1" t="str">
            <v>--</v>
          </cell>
          <cell r="PDY1" t="str">
            <v>--</v>
          </cell>
          <cell r="PDZ1" t="str">
            <v>--</v>
          </cell>
          <cell r="PEA1" t="str">
            <v>--</v>
          </cell>
          <cell r="PEB1" t="str">
            <v>--</v>
          </cell>
          <cell r="PEC1" t="str">
            <v>--</v>
          </cell>
          <cell r="PED1" t="str">
            <v>--</v>
          </cell>
          <cell r="PEE1" t="str">
            <v>--</v>
          </cell>
          <cell r="PEF1" t="str">
            <v>--</v>
          </cell>
          <cell r="PEG1" t="str">
            <v>--</v>
          </cell>
          <cell r="PEH1" t="str">
            <v>--</v>
          </cell>
          <cell r="PEI1" t="str">
            <v>--</v>
          </cell>
          <cell r="PEJ1" t="str">
            <v>--</v>
          </cell>
          <cell r="PEK1" t="str">
            <v>--</v>
          </cell>
          <cell r="PEL1" t="str">
            <v>--</v>
          </cell>
          <cell r="PEM1" t="str">
            <v>--</v>
          </cell>
          <cell r="PEN1" t="str">
            <v>--</v>
          </cell>
          <cell r="PEO1" t="str">
            <v>--</v>
          </cell>
          <cell r="PEP1" t="str">
            <v>--</v>
          </cell>
          <cell r="PEQ1" t="str">
            <v>--</v>
          </cell>
          <cell r="PER1" t="str">
            <v>--</v>
          </cell>
          <cell r="PES1" t="str">
            <v>--</v>
          </cell>
          <cell r="PET1" t="str">
            <v>--</v>
          </cell>
          <cell r="PEU1" t="str">
            <v>--</v>
          </cell>
          <cell r="PEV1" t="str">
            <v>--</v>
          </cell>
          <cell r="PEW1" t="str">
            <v>--</v>
          </cell>
          <cell r="PEX1" t="str">
            <v>--</v>
          </cell>
          <cell r="PEY1" t="str">
            <v>--</v>
          </cell>
          <cell r="PEZ1" t="str">
            <v>--</v>
          </cell>
          <cell r="PFA1" t="str">
            <v>--</v>
          </cell>
          <cell r="PFB1" t="str">
            <v>--</v>
          </cell>
          <cell r="PFC1" t="str">
            <v>--</v>
          </cell>
          <cell r="PFD1" t="str">
            <v>--</v>
          </cell>
          <cell r="PFE1" t="str">
            <v>--</v>
          </cell>
          <cell r="PFF1" t="str">
            <v>--</v>
          </cell>
          <cell r="PFG1" t="str">
            <v>--</v>
          </cell>
          <cell r="PFH1" t="str">
            <v>--</v>
          </cell>
          <cell r="PFI1" t="str">
            <v>--</v>
          </cell>
          <cell r="PFJ1" t="str">
            <v>--</v>
          </cell>
          <cell r="PFK1" t="str">
            <v>--</v>
          </cell>
          <cell r="PFL1" t="str">
            <v>--</v>
          </cell>
          <cell r="PFM1" t="str">
            <v>--</v>
          </cell>
          <cell r="PFN1" t="str">
            <v>--</v>
          </cell>
          <cell r="PFO1" t="str">
            <v>--</v>
          </cell>
          <cell r="PFP1" t="str">
            <v>--</v>
          </cell>
          <cell r="PFQ1" t="str">
            <v>--</v>
          </cell>
          <cell r="PFR1" t="str">
            <v>--</v>
          </cell>
          <cell r="PFS1" t="str">
            <v>--</v>
          </cell>
          <cell r="PFT1" t="str">
            <v>--</v>
          </cell>
          <cell r="PFU1" t="str">
            <v>--</v>
          </cell>
          <cell r="PFV1" t="str">
            <v>--</v>
          </cell>
          <cell r="PFW1" t="str">
            <v>--</v>
          </cell>
          <cell r="PFX1" t="str">
            <v>--</v>
          </cell>
          <cell r="PFY1" t="str">
            <v>--</v>
          </cell>
          <cell r="PFZ1" t="str">
            <v>--</v>
          </cell>
          <cell r="PGA1" t="str">
            <v>--</v>
          </cell>
          <cell r="PGB1" t="str">
            <v>--</v>
          </cell>
          <cell r="PGC1" t="str">
            <v>--</v>
          </cell>
          <cell r="PGD1" t="str">
            <v>--</v>
          </cell>
          <cell r="PGE1" t="str">
            <v>--</v>
          </cell>
          <cell r="PGF1" t="str">
            <v>--</v>
          </cell>
          <cell r="PGG1" t="str">
            <v>--</v>
          </cell>
          <cell r="PGH1" t="str">
            <v>--</v>
          </cell>
          <cell r="PGI1" t="str">
            <v>--</v>
          </cell>
          <cell r="PGJ1" t="str">
            <v>--</v>
          </cell>
          <cell r="PGK1" t="str">
            <v>--</v>
          </cell>
          <cell r="PGL1" t="str">
            <v>--</v>
          </cell>
          <cell r="PGM1" t="str">
            <v>--</v>
          </cell>
          <cell r="PGN1" t="str">
            <v>--</v>
          </cell>
          <cell r="PGO1" t="str">
            <v>--</v>
          </cell>
          <cell r="PGP1" t="str">
            <v>--</v>
          </cell>
          <cell r="PGQ1" t="str">
            <v>--</v>
          </cell>
          <cell r="PGR1" t="str">
            <v>--</v>
          </cell>
          <cell r="PGS1" t="str">
            <v>--</v>
          </cell>
          <cell r="PGT1" t="str">
            <v>--</v>
          </cell>
          <cell r="PGU1" t="str">
            <v>--</v>
          </cell>
          <cell r="PGV1" t="str">
            <v>--</v>
          </cell>
          <cell r="PGW1" t="str">
            <v>--</v>
          </cell>
          <cell r="PGX1" t="str">
            <v>--</v>
          </cell>
          <cell r="PGY1" t="str">
            <v>--</v>
          </cell>
          <cell r="PGZ1" t="str">
            <v>--</v>
          </cell>
          <cell r="PHA1" t="str">
            <v>--</v>
          </cell>
          <cell r="PHB1" t="str">
            <v>--</v>
          </cell>
          <cell r="PHC1" t="str">
            <v>--</v>
          </cell>
          <cell r="PHD1" t="str">
            <v>--</v>
          </cell>
          <cell r="PHE1" t="str">
            <v>--</v>
          </cell>
          <cell r="PHF1" t="str">
            <v>--</v>
          </cell>
          <cell r="PHG1" t="str">
            <v>--</v>
          </cell>
          <cell r="PHH1" t="str">
            <v>--</v>
          </cell>
          <cell r="PHI1" t="str">
            <v>--</v>
          </cell>
          <cell r="PHJ1" t="str">
            <v>--</v>
          </cell>
          <cell r="PHK1" t="str">
            <v>--</v>
          </cell>
          <cell r="PHL1" t="str">
            <v>--</v>
          </cell>
          <cell r="PHM1" t="str">
            <v>--</v>
          </cell>
          <cell r="PHN1" t="str">
            <v>--</v>
          </cell>
          <cell r="PHO1" t="str">
            <v>--</v>
          </cell>
          <cell r="PHP1" t="str">
            <v>--</v>
          </cell>
          <cell r="PHQ1" t="str">
            <v>--</v>
          </cell>
          <cell r="PHR1" t="str">
            <v>--</v>
          </cell>
          <cell r="PHS1" t="str">
            <v>--</v>
          </cell>
          <cell r="PHT1" t="str">
            <v>--</v>
          </cell>
          <cell r="PHU1" t="str">
            <v>--</v>
          </cell>
          <cell r="PHV1" t="str">
            <v>--</v>
          </cell>
          <cell r="PHW1" t="str">
            <v>--</v>
          </cell>
          <cell r="PHX1" t="str">
            <v>--</v>
          </cell>
          <cell r="PHY1" t="str">
            <v>--</v>
          </cell>
          <cell r="PHZ1" t="str">
            <v>--</v>
          </cell>
          <cell r="PIA1" t="str">
            <v>--</v>
          </cell>
          <cell r="PIB1" t="str">
            <v>--</v>
          </cell>
          <cell r="PIC1" t="str">
            <v>--</v>
          </cell>
          <cell r="PID1" t="str">
            <v>--</v>
          </cell>
          <cell r="PIE1" t="str">
            <v>--</v>
          </cell>
          <cell r="PIF1" t="str">
            <v>--</v>
          </cell>
          <cell r="PIG1" t="str">
            <v>--</v>
          </cell>
          <cell r="PIH1" t="str">
            <v>--</v>
          </cell>
          <cell r="PII1" t="str">
            <v>--</v>
          </cell>
          <cell r="PIJ1" t="str">
            <v>--</v>
          </cell>
          <cell r="PIK1" t="str">
            <v>--</v>
          </cell>
          <cell r="PIL1" t="str">
            <v>--</v>
          </cell>
          <cell r="PIM1" t="str">
            <v>--</v>
          </cell>
          <cell r="PIN1" t="str">
            <v>--</v>
          </cell>
          <cell r="PIO1" t="str">
            <v>--</v>
          </cell>
          <cell r="PIP1" t="str">
            <v>--</v>
          </cell>
          <cell r="PIQ1" t="str">
            <v>--</v>
          </cell>
          <cell r="PIR1" t="str">
            <v>--</v>
          </cell>
          <cell r="PIS1" t="str">
            <v>--</v>
          </cell>
          <cell r="PIT1" t="str">
            <v>--</v>
          </cell>
          <cell r="PIU1" t="str">
            <v>--</v>
          </cell>
          <cell r="PIV1" t="str">
            <v>--</v>
          </cell>
          <cell r="PIW1" t="str">
            <v>--</v>
          </cell>
          <cell r="PIX1" t="str">
            <v>--</v>
          </cell>
          <cell r="PIY1" t="str">
            <v>--</v>
          </cell>
          <cell r="PIZ1" t="str">
            <v>--</v>
          </cell>
          <cell r="PJA1" t="str">
            <v>--</v>
          </cell>
          <cell r="PJB1" t="str">
            <v>--</v>
          </cell>
          <cell r="PJC1" t="str">
            <v>--</v>
          </cell>
          <cell r="PJD1" t="str">
            <v>--</v>
          </cell>
          <cell r="PJE1" t="str">
            <v>--</v>
          </cell>
          <cell r="PJF1" t="str">
            <v>--</v>
          </cell>
          <cell r="PJG1" t="str">
            <v>--</v>
          </cell>
          <cell r="PJH1" t="str">
            <v>--</v>
          </cell>
          <cell r="PJI1" t="str">
            <v>--</v>
          </cell>
          <cell r="PJJ1" t="str">
            <v>--</v>
          </cell>
          <cell r="PJK1" t="str">
            <v>--</v>
          </cell>
          <cell r="PJL1" t="str">
            <v>--</v>
          </cell>
          <cell r="PJM1" t="str">
            <v>--</v>
          </cell>
          <cell r="PJN1" t="str">
            <v>--</v>
          </cell>
          <cell r="PJO1" t="str">
            <v>--</v>
          </cell>
          <cell r="PJP1" t="str">
            <v>--</v>
          </cell>
          <cell r="PJQ1" t="str">
            <v>--</v>
          </cell>
          <cell r="PJR1" t="str">
            <v>--</v>
          </cell>
          <cell r="PJS1" t="str">
            <v>--</v>
          </cell>
          <cell r="PJT1" t="str">
            <v>--</v>
          </cell>
          <cell r="PJU1" t="str">
            <v>--</v>
          </cell>
          <cell r="PJV1" t="str">
            <v>--</v>
          </cell>
          <cell r="PJW1" t="str">
            <v>--</v>
          </cell>
          <cell r="PJX1" t="str">
            <v>--</v>
          </cell>
          <cell r="PJY1" t="str">
            <v>--</v>
          </cell>
          <cell r="PJZ1" t="str">
            <v>--</v>
          </cell>
          <cell r="PKA1" t="str">
            <v>--</v>
          </cell>
          <cell r="PKB1" t="str">
            <v>--</v>
          </cell>
          <cell r="PKC1" t="str">
            <v>--</v>
          </cell>
          <cell r="PKD1" t="str">
            <v>--</v>
          </cell>
          <cell r="PKE1" t="str">
            <v>--</v>
          </cell>
          <cell r="PKF1" t="str">
            <v>--</v>
          </cell>
          <cell r="PKG1" t="str">
            <v>--</v>
          </cell>
          <cell r="PKH1" t="str">
            <v>--</v>
          </cell>
          <cell r="PKI1" t="str">
            <v>--</v>
          </cell>
          <cell r="PKJ1" t="str">
            <v>--</v>
          </cell>
          <cell r="PKK1" t="str">
            <v>--</v>
          </cell>
          <cell r="PKL1" t="str">
            <v>--</v>
          </cell>
          <cell r="PKM1" t="str">
            <v>--</v>
          </cell>
          <cell r="PKN1" t="str">
            <v>--</v>
          </cell>
          <cell r="PKO1" t="str">
            <v>--</v>
          </cell>
          <cell r="PKP1" t="str">
            <v>--</v>
          </cell>
          <cell r="PKQ1" t="str">
            <v>--</v>
          </cell>
          <cell r="PKR1" t="str">
            <v>--</v>
          </cell>
          <cell r="PKS1" t="str">
            <v>--</v>
          </cell>
          <cell r="PKT1" t="str">
            <v>--</v>
          </cell>
          <cell r="PKU1" t="str">
            <v>--</v>
          </cell>
          <cell r="PKV1" t="str">
            <v>--</v>
          </cell>
          <cell r="PKW1" t="str">
            <v>--</v>
          </cell>
          <cell r="PKX1" t="str">
            <v>--</v>
          </cell>
          <cell r="PKY1" t="str">
            <v>--</v>
          </cell>
          <cell r="PKZ1" t="str">
            <v>--</v>
          </cell>
          <cell r="PLA1" t="str">
            <v>--</v>
          </cell>
          <cell r="PLB1" t="str">
            <v>--</v>
          </cell>
          <cell r="PLC1" t="str">
            <v>--</v>
          </cell>
          <cell r="PLD1" t="str">
            <v>--</v>
          </cell>
          <cell r="PLE1" t="str">
            <v>--</v>
          </cell>
          <cell r="PLF1" t="str">
            <v>--</v>
          </cell>
          <cell r="PLG1" t="str">
            <v>--</v>
          </cell>
          <cell r="PLH1" t="str">
            <v>--</v>
          </cell>
          <cell r="PLI1" t="str">
            <v>--</v>
          </cell>
          <cell r="PLJ1" t="str">
            <v>--</v>
          </cell>
          <cell r="PLK1" t="str">
            <v>--</v>
          </cell>
          <cell r="PLL1" t="str">
            <v>--</v>
          </cell>
          <cell r="PLM1" t="str">
            <v>--</v>
          </cell>
          <cell r="PLN1" t="str">
            <v>--</v>
          </cell>
          <cell r="PLO1" t="str">
            <v>--</v>
          </cell>
          <cell r="PLP1" t="str">
            <v>--</v>
          </cell>
          <cell r="PLQ1" t="str">
            <v>--</v>
          </cell>
          <cell r="PLR1" t="str">
            <v>--</v>
          </cell>
          <cell r="PLS1" t="str">
            <v>--</v>
          </cell>
          <cell r="PLT1" t="str">
            <v>--</v>
          </cell>
          <cell r="PLU1" t="str">
            <v>--</v>
          </cell>
          <cell r="PLV1" t="str">
            <v>--</v>
          </cell>
          <cell r="PLW1" t="str">
            <v>--</v>
          </cell>
          <cell r="PLX1" t="str">
            <v>--</v>
          </cell>
          <cell r="PLY1" t="str">
            <v>--</v>
          </cell>
          <cell r="PLZ1" t="str">
            <v>--</v>
          </cell>
          <cell r="PMA1" t="str">
            <v>--</v>
          </cell>
          <cell r="PMB1" t="str">
            <v>--</v>
          </cell>
          <cell r="PMC1" t="str">
            <v>--</v>
          </cell>
          <cell r="PMD1" t="str">
            <v>--</v>
          </cell>
          <cell r="PME1" t="str">
            <v>--</v>
          </cell>
          <cell r="PMF1" t="str">
            <v>--</v>
          </cell>
          <cell r="PMG1" t="str">
            <v>--</v>
          </cell>
          <cell r="PMH1" t="str">
            <v>--</v>
          </cell>
          <cell r="PMI1" t="str">
            <v>--</v>
          </cell>
          <cell r="PMJ1" t="str">
            <v>--</v>
          </cell>
          <cell r="PMK1" t="str">
            <v>--</v>
          </cell>
          <cell r="PML1" t="str">
            <v>--</v>
          </cell>
          <cell r="PMM1" t="str">
            <v>--</v>
          </cell>
          <cell r="PMN1" t="str">
            <v>--</v>
          </cell>
          <cell r="PMO1" t="str">
            <v>--</v>
          </cell>
          <cell r="PMP1" t="str">
            <v>--</v>
          </cell>
          <cell r="PMQ1" t="str">
            <v>--</v>
          </cell>
          <cell r="PMR1" t="str">
            <v>--</v>
          </cell>
          <cell r="PMS1" t="str">
            <v>--</v>
          </cell>
          <cell r="PMT1" t="str">
            <v>--</v>
          </cell>
          <cell r="PMU1" t="str">
            <v>--</v>
          </cell>
          <cell r="PMV1" t="str">
            <v>--</v>
          </cell>
          <cell r="PMW1" t="str">
            <v>--</v>
          </cell>
          <cell r="PMX1" t="str">
            <v>--</v>
          </cell>
          <cell r="PMY1" t="str">
            <v>--</v>
          </cell>
          <cell r="PMZ1" t="str">
            <v>--</v>
          </cell>
          <cell r="PNA1" t="str">
            <v>--</v>
          </cell>
          <cell r="PNB1" t="str">
            <v>--</v>
          </cell>
          <cell r="PNC1" t="str">
            <v>--</v>
          </cell>
          <cell r="PND1" t="str">
            <v>--</v>
          </cell>
          <cell r="PNE1" t="str">
            <v>--</v>
          </cell>
          <cell r="PNF1" t="str">
            <v>--</v>
          </cell>
          <cell r="PNG1" t="str">
            <v>--</v>
          </cell>
          <cell r="PNH1" t="str">
            <v>--</v>
          </cell>
          <cell r="PNI1" t="str">
            <v>--</v>
          </cell>
          <cell r="PNJ1" t="str">
            <v>--</v>
          </cell>
          <cell r="PNK1" t="str">
            <v>--</v>
          </cell>
          <cell r="PNL1" t="str">
            <v>--</v>
          </cell>
          <cell r="PNM1" t="str">
            <v>--</v>
          </cell>
          <cell r="PNN1" t="str">
            <v>--</v>
          </cell>
          <cell r="PNO1" t="str">
            <v>--</v>
          </cell>
          <cell r="PNP1" t="str">
            <v>--</v>
          </cell>
          <cell r="PNQ1" t="str">
            <v>--</v>
          </cell>
          <cell r="PNR1" t="str">
            <v>--</v>
          </cell>
          <cell r="PNS1" t="str">
            <v>--</v>
          </cell>
          <cell r="PNT1" t="str">
            <v>--</v>
          </cell>
          <cell r="PNU1" t="str">
            <v>--</v>
          </cell>
          <cell r="PNV1" t="str">
            <v>--</v>
          </cell>
          <cell r="PNW1" t="str">
            <v>--</v>
          </cell>
          <cell r="PNX1" t="str">
            <v>--</v>
          </cell>
          <cell r="PNY1" t="str">
            <v>--</v>
          </cell>
          <cell r="PNZ1" t="str">
            <v>--</v>
          </cell>
          <cell r="POA1" t="str">
            <v>--</v>
          </cell>
          <cell r="POB1" t="str">
            <v>--</v>
          </cell>
          <cell r="POC1" t="str">
            <v>--</v>
          </cell>
          <cell r="POD1" t="str">
            <v>--</v>
          </cell>
          <cell r="POE1" t="str">
            <v>--</v>
          </cell>
          <cell r="POF1" t="str">
            <v>--</v>
          </cell>
          <cell r="POG1" t="str">
            <v>--</v>
          </cell>
          <cell r="POH1" t="str">
            <v>--</v>
          </cell>
          <cell r="POI1" t="str">
            <v>--</v>
          </cell>
          <cell r="POJ1" t="str">
            <v>--</v>
          </cell>
          <cell r="POK1" t="str">
            <v>--</v>
          </cell>
          <cell r="POL1" t="str">
            <v>--</v>
          </cell>
          <cell r="POM1" t="str">
            <v>--</v>
          </cell>
          <cell r="PON1" t="str">
            <v>--</v>
          </cell>
          <cell r="POO1" t="str">
            <v>--</v>
          </cell>
          <cell r="POP1" t="str">
            <v>--</v>
          </cell>
          <cell r="POQ1" t="str">
            <v>--</v>
          </cell>
          <cell r="POR1" t="str">
            <v>--</v>
          </cell>
          <cell r="POS1" t="str">
            <v>--</v>
          </cell>
          <cell r="POT1" t="str">
            <v>--</v>
          </cell>
          <cell r="POU1" t="str">
            <v>--</v>
          </cell>
          <cell r="POV1" t="str">
            <v>--</v>
          </cell>
          <cell r="POW1" t="str">
            <v>--</v>
          </cell>
          <cell r="POX1" t="str">
            <v>--</v>
          </cell>
          <cell r="POY1" t="str">
            <v>--</v>
          </cell>
          <cell r="POZ1" t="str">
            <v>--</v>
          </cell>
          <cell r="PPA1" t="str">
            <v>--</v>
          </cell>
          <cell r="PPB1" t="str">
            <v>--</v>
          </cell>
          <cell r="PPC1" t="str">
            <v>--</v>
          </cell>
          <cell r="PPD1" t="str">
            <v>--</v>
          </cell>
          <cell r="PPE1" t="str">
            <v>--</v>
          </cell>
          <cell r="PPF1" t="str">
            <v>--</v>
          </cell>
          <cell r="PPG1" t="str">
            <v>--</v>
          </cell>
          <cell r="PPH1" t="str">
            <v>--</v>
          </cell>
          <cell r="PPI1" t="str">
            <v>--</v>
          </cell>
          <cell r="PPJ1" t="str">
            <v>--</v>
          </cell>
          <cell r="PPK1" t="str">
            <v>--</v>
          </cell>
          <cell r="PPL1" t="str">
            <v>--</v>
          </cell>
          <cell r="PPM1" t="str">
            <v>--</v>
          </cell>
          <cell r="PPN1" t="str">
            <v>--</v>
          </cell>
          <cell r="PPO1" t="str">
            <v>--</v>
          </cell>
          <cell r="PPP1" t="str">
            <v>--</v>
          </cell>
          <cell r="PPQ1" t="str">
            <v>--</v>
          </cell>
          <cell r="PPR1" t="str">
            <v>--</v>
          </cell>
          <cell r="PPS1" t="str">
            <v>--</v>
          </cell>
          <cell r="PPT1" t="str">
            <v>--</v>
          </cell>
          <cell r="PPU1" t="str">
            <v>--</v>
          </cell>
          <cell r="PPV1" t="str">
            <v>--</v>
          </cell>
          <cell r="PPW1" t="str">
            <v>--</v>
          </cell>
          <cell r="PPX1" t="str">
            <v>--</v>
          </cell>
          <cell r="PPY1" t="str">
            <v>--</v>
          </cell>
          <cell r="PPZ1" t="str">
            <v>--</v>
          </cell>
          <cell r="PQA1" t="str">
            <v>--</v>
          </cell>
          <cell r="PQB1" t="str">
            <v>--</v>
          </cell>
          <cell r="PQC1" t="str">
            <v>--</v>
          </cell>
          <cell r="PQD1" t="str">
            <v>--</v>
          </cell>
          <cell r="PQE1" t="str">
            <v>--</v>
          </cell>
          <cell r="PQF1" t="str">
            <v>--</v>
          </cell>
          <cell r="PQG1" t="str">
            <v>--</v>
          </cell>
          <cell r="PQH1" t="str">
            <v>--</v>
          </cell>
          <cell r="PQI1" t="str">
            <v>--</v>
          </cell>
          <cell r="PQJ1" t="str">
            <v>--</v>
          </cell>
          <cell r="PQK1" t="str">
            <v>--</v>
          </cell>
          <cell r="PQL1" t="str">
            <v>--</v>
          </cell>
          <cell r="PQM1" t="str">
            <v>--</v>
          </cell>
          <cell r="PQN1" t="str">
            <v>--</v>
          </cell>
          <cell r="PQO1" t="str">
            <v>--</v>
          </cell>
          <cell r="PQP1" t="str">
            <v>--</v>
          </cell>
          <cell r="PQQ1" t="str">
            <v>--</v>
          </cell>
          <cell r="PQR1" t="str">
            <v>--</v>
          </cell>
          <cell r="PQS1" t="str">
            <v>--</v>
          </cell>
          <cell r="PQT1" t="str">
            <v>--</v>
          </cell>
          <cell r="PQU1" t="str">
            <v>--</v>
          </cell>
          <cell r="PQV1" t="str">
            <v>--</v>
          </cell>
          <cell r="PQW1" t="str">
            <v>--</v>
          </cell>
          <cell r="PQX1" t="str">
            <v>--</v>
          </cell>
          <cell r="PQY1" t="str">
            <v>--</v>
          </cell>
          <cell r="PQZ1" t="str">
            <v>--</v>
          </cell>
          <cell r="PRA1" t="str">
            <v>--</v>
          </cell>
          <cell r="PRB1" t="str">
            <v>--</v>
          </cell>
          <cell r="PRC1" t="str">
            <v>--</v>
          </cell>
          <cell r="PRD1" t="str">
            <v>--</v>
          </cell>
          <cell r="PRE1" t="str">
            <v>--</v>
          </cell>
          <cell r="PRF1" t="str">
            <v>--</v>
          </cell>
          <cell r="PRG1" t="str">
            <v>--</v>
          </cell>
          <cell r="PRH1" t="str">
            <v>--</v>
          </cell>
          <cell r="PRI1" t="str">
            <v>--</v>
          </cell>
          <cell r="PRJ1" t="str">
            <v>--</v>
          </cell>
          <cell r="PRK1" t="str">
            <v>--</v>
          </cell>
          <cell r="PRL1" t="str">
            <v>--</v>
          </cell>
          <cell r="PRM1" t="str">
            <v>--</v>
          </cell>
          <cell r="PRN1" t="str">
            <v>--</v>
          </cell>
          <cell r="PRO1" t="str">
            <v>--</v>
          </cell>
          <cell r="PRP1" t="str">
            <v>--</v>
          </cell>
          <cell r="PRQ1" t="str">
            <v>--</v>
          </cell>
          <cell r="PRR1" t="str">
            <v>--</v>
          </cell>
          <cell r="PRS1" t="str">
            <v>--</v>
          </cell>
          <cell r="PRT1" t="str">
            <v>--</v>
          </cell>
          <cell r="PRU1" t="str">
            <v>--</v>
          </cell>
          <cell r="PRV1" t="str">
            <v>--</v>
          </cell>
          <cell r="PRW1" t="str">
            <v>--</v>
          </cell>
          <cell r="PRX1" t="str">
            <v>--</v>
          </cell>
          <cell r="PRY1" t="str">
            <v>--</v>
          </cell>
          <cell r="PRZ1" t="str">
            <v>--</v>
          </cell>
          <cell r="PSA1" t="str">
            <v>--</v>
          </cell>
          <cell r="PSB1" t="str">
            <v>--</v>
          </cell>
          <cell r="PSC1" t="str">
            <v>--</v>
          </cell>
          <cell r="PSD1" t="str">
            <v>--</v>
          </cell>
          <cell r="PSE1" t="str">
            <v>--</v>
          </cell>
          <cell r="PSF1" t="str">
            <v>--</v>
          </cell>
          <cell r="PSG1" t="str">
            <v>--</v>
          </cell>
          <cell r="PSH1" t="str">
            <v>--</v>
          </cell>
          <cell r="PSI1" t="str">
            <v>--</v>
          </cell>
          <cell r="PSJ1" t="str">
            <v>--</v>
          </cell>
          <cell r="PSK1" t="str">
            <v>--</v>
          </cell>
          <cell r="PSL1" t="str">
            <v>--</v>
          </cell>
          <cell r="PSM1" t="str">
            <v>--</v>
          </cell>
          <cell r="PSN1" t="str">
            <v>--</v>
          </cell>
          <cell r="PSO1" t="str">
            <v>--</v>
          </cell>
          <cell r="PSP1" t="str">
            <v>--</v>
          </cell>
          <cell r="PSQ1" t="str">
            <v>--</v>
          </cell>
          <cell r="PSR1" t="str">
            <v>--</v>
          </cell>
          <cell r="PSS1" t="str">
            <v>--</v>
          </cell>
          <cell r="PST1" t="str">
            <v>--</v>
          </cell>
          <cell r="PSU1" t="str">
            <v>--</v>
          </cell>
          <cell r="PSV1" t="str">
            <v>--</v>
          </cell>
          <cell r="PSW1" t="str">
            <v>--</v>
          </cell>
          <cell r="PSX1" t="str">
            <v>--</v>
          </cell>
          <cell r="PSY1" t="str">
            <v>--</v>
          </cell>
          <cell r="PSZ1" t="str">
            <v>--</v>
          </cell>
          <cell r="PTA1" t="str">
            <v>--</v>
          </cell>
          <cell r="PTB1" t="str">
            <v>--</v>
          </cell>
          <cell r="PTC1" t="str">
            <v>--</v>
          </cell>
          <cell r="PTD1" t="str">
            <v>--</v>
          </cell>
          <cell r="PTE1" t="str">
            <v>--</v>
          </cell>
          <cell r="PTF1" t="str">
            <v>--</v>
          </cell>
          <cell r="PTG1" t="str">
            <v>--</v>
          </cell>
          <cell r="PTH1" t="str">
            <v>--</v>
          </cell>
          <cell r="PTI1" t="str">
            <v>--</v>
          </cell>
          <cell r="PTJ1" t="str">
            <v>--</v>
          </cell>
          <cell r="PTK1" t="str">
            <v>--</v>
          </cell>
          <cell r="PTL1" t="str">
            <v>--</v>
          </cell>
          <cell r="PTM1" t="str">
            <v>--</v>
          </cell>
          <cell r="PTN1" t="str">
            <v>--</v>
          </cell>
          <cell r="PTO1" t="str">
            <v>--</v>
          </cell>
          <cell r="PTP1" t="str">
            <v>--</v>
          </cell>
          <cell r="PTQ1" t="str">
            <v>--</v>
          </cell>
          <cell r="PTR1" t="str">
            <v>--</v>
          </cell>
          <cell r="PTS1" t="str">
            <v>--</v>
          </cell>
          <cell r="PTT1" t="str">
            <v>--</v>
          </cell>
          <cell r="PTU1" t="str">
            <v>--</v>
          </cell>
          <cell r="PTV1" t="str">
            <v>--</v>
          </cell>
          <cell r="PTW1" t="str">
            <v>--</v>
          </cell>
          <cell r="PTX1" t="str">
            <v>--</v>
          </cell>
          <cell r="PTY1" t="str">
            <v>--</v>
          </cell>
          <cell r="PTZ1" t="str">
            <v>--</v>
          </cell>
          <cell r="PUA1" t="str">
            <v>--</v>
          </cell>
          <cell r="PUB1" t="str">
            <v>--</v>
          </cell>
          <cell r="PUC1" t="str">
            <v>--</v>
          </cell>
          <cell r="PUD1" t="str">
            <v>--</v>
          </cell>
          <cell r="PUE1" t="str">
            <v>--</v>
          </cell>
          <cell r="PUF1" t="str">
            <v>--</v>
          </cell>
          <cell r="PUG1" t="str">
            <v>--</v>
          </cell>
          <cell r="PUH1" t="str">
            <v>--</v>
          </cell>
          <cell r="PUI1" t="str">
            <v>--</v>
          </cell>
          <cell r="PUJ1" t="str">
            <v>--</v>
          </cell>
          <cell r="PUK1" t="str">
            <v>--</v>
          </cell>
          <cell r="PUL1" t="str">
            <v>--</v>
          </cell>
          <cell r="PUM1" t="str">
            <v>--</v>
          </cell>
          <cell r="PUN1" t="str">
            <v>--</v>
          </cell>
          <cell r="PUO1" t="str">
            <v>--</v>
          </cell>
          <cell r="PUP1" t="str">
            <v>--</v>
          </cell>
          <cell r="PUQ1" t="str">
            <v>--</v>
          </cell>
          <cell r="PUR1" t="str">
            <v>--</v>
          </cell>
          <cell r="PUS1" t="str">
            <v>--</v>
          </cell>
          <cell r="PUT1" t="str">
            <v>--</v>
          </cell>
          <cell r="PUU1" t="str">
            <v>--</v>
          </cell>
          <cell r="PUV1" t="str">
            <v>--</v>
          </cell>
          <cell r="PUW1" t="str">
            <v>--</v>
          </cell>
          <cell r="PUX1" t="str">
            <v>--</v>
          </cell>
          <cell r="PUY1" t="str">
            <v>--</v>
          </cell>
          <cell r="PUZ1" t="str">
            <v>--</v>
          </cell>
          <cell r="PVA1" t="str">
            <v>--</v>
          </cell>
          <cell r="PVB1" t="str">
            <v>--</v>
          </cell>
          <cell r="PVC1" t="str">
            <v>--</v>
          </cell>
          <cell r="PVD1" t="str">
            <v>--</v>
          </cell>
          <cell r="PVE1" t="str">
            <v>--</v>
          </cell>
          <cell r="PVF1" t="str">
            <v>--</v>
          </cell>
          <cell r="PVG1" t="str">
            <v>--</v>
          </cell>
          <cell r="PVH1" t="str">
            <v>--</v>
          </cell>
          <cell r="PVI1" t="str">
            <v>--</v>
          </cell>
          <cell r="PVJ1" t="str">
            <v>--</v>
          </cell>
          <cell r="PVK1" t="str">
            <v>--</v>
          </cell>
          <cell r="PVL1" t="str">
            <v>--</v>
          </cell>
          <cell r="PVM1" t="str">
            <v>--</v>
          </cell>
          <cell r="PVN1" t="str">
            <v>--</v>
          </cell>
          <cell r="PVO1" t="str">
            <v>--</v>
          </cell>
          <cell r="PVP1" t="str">
            <v>--</v>
          </cell>
          <cell r="PVQ1" t="str">
            <v>--</v>
          </cell>
          <cell r="PVR1" t="str">
            <v>--</v>
          </cell>
          <cell r="PVS1" t="str">
            <v>--</v>
          </cell>
          <cell r="PVT1" t="str">
            <v>--</v>
          </cell>
          <cell r="PVU1" t="str">
            <v>--</v>
          </cell>
          <cell r="PVV1" t="str">
            <v>--</v>
          </cell>
          <cell r="PVW1" t="str">
            <v>--</v>
          </cell>
          <cell r="PVX1" t="str">
            <v>--</v>
          </cell>
          <cell r="PVY1" t="str">
            <v>--</v>
          </cell>
          <cell r="PVZ1" t="str">
            <v>--</v>
          </cell>
          <cell r="PWA1" t="str">
            <v>--</v>
          </cell>
          <cell r="PWB1" t="str">
            <v>--</v>
          </cell>
          <cell r="PWC1" t="str">
            <v>--</v>
          </cell>
          <cell r="PWD1" t="str">
            <v>--</v>
          </cell>
          <cell r="PWE1" t="str">
            <v>--</v>
          </cell>
          <cell r="PWF1" t="str">
            <v>--</v>
          </cell>
          <cell r="PWG1" t="str">
            <v>--</v>
          </cell>
          <cell r="PWH1" t="str">
            <v>--</v>
          </cell>
          <cell r="PWI1" t="str">
            <v>--</v>
          </cell>
          <cell r="PWJ1" t="str">
            <v>--</v>
          </cell>
          <cell r="PWK1" t="str">
            <v>--</v>
          </cell>
          <cell r="PWL1" t="str">
            <v>--</v>
          </cell>
          <cell r="PWM1" t="str">
            <v>--</v>
          </cell>
          <cell r="PWN1" t="str">
            <v>--</v>
          </cell>
          <cell r="PWO1" t="str">
            <v>--</v>
          </cell>
          <cell r="PWP1" t="str">
            <v>--</v>
          </cell>
          <cell r="PWQ1" t="str">
            <v>--</v>
          </cell>
          <cell r="PWR1" t="str">
            <v>--</v>
          </cell>
          <cell r="PWS1" t="str">
            <v>--</v>
          </cell>
          <cell r="PWT1" t="str">
            <v>--</v>
          </cell>
          <cell r="PWU1" t="str">
            <v>--</v>
          </cell>
          <cell r="PWV1" t="str">
            <v>--</v>
          </cell>
          <cell r="PWW1" t="str">
            <v>--</v>
          </cell>
          <cell r="PWX1" t="str">
            <v>--</v>
          </cell>
          <cell r="PWY1" t="str">
            <v>--</v>
          </cell>
          <cell r="PWZ1" t="str">
            <v>--</v>
          </cell>
          <cell r="PXA1" t="str">
            <v>--</v>
          </cell>
          <cell r="PXB1" t="str">
            <v>--</v>
          </cell>
          <cell r="PXC1" t="str">
            <v>--</v>
          </cell>
          <cell r="PXD1" t="str">
            <v>--</v>
          </cell>
          <cell r="PXE1" t="str">
            <v>--</v>
          </cell>
          <cell r="PXF1" t="str">
            <v>--</v>
          </cell>
          <cell r="PXG1" t="str">
            <v>--</v>
          </cell>
          <cell r="PXH1" t="str">
            <v>--</v>
          </cell>
          <cell r="PXI1" t="str">
            <v>--</v>
          </cell>
          <cell r="PXJ1" t="str">
            <v>--</v>
          </cell>
          <cell r="PXK1" t="str">
            <v>--</v>
          </cell>
          <cell r="PXL1" t="str">
            <v>--</v>
          </cell>
          <cell r="PXM1" t="str">
            <v>--</v>
          </cell>
          <cell r="PXN1" t="str">
            <v>--</v>
          </cell>
          <cell r="PXO1" t="str">
            <v>--</v>
          </cell>
          <cell r="PXP1" t="str">
            <v>--</v>
          </cell>
          <cell r="PXQ1" t="str">
            <v>--</v>
          </cell>
          <cell r="PXR1" t="str">
            <v>--</v>
          </cell>
          <cell r="PXS1" t="str">
            <v>--</v>
          </cell>
          <cell r="PXT1" t="str">
            <v>--</v>
          </cell>
          <cell r="PXU1" t="str">
            <v>--</v>
          </cell>
          <cell r="PXV1" t="str">
            <v>--</v>
          </cell>
          <cell r="PXW1" t="str">
            <v>--</v>
          </cell>
          <cell r="PXX1" t="str">
            <v>--</v>
          </cell>
          <cell r="PXY1" t="str">
            <v>--</v>
          </cell>
          <cell r="PXZ1" t="str">
            <v>--</v>
          </cell>
          <cell r="PYA1" t="str">
            <v>--</v>
          </cell>
          <cell r="PYB1" t="str">
            <v>--</v>
          </cell>
          <cell r="PYC1" t="str">
            <v>--</v>
          </cell>
          <cell r="PYD1" t="str">
            <v>--</v>
          </cell>
          <cell r="PYE1" t="str">
            <v>--</v>
          </cell>
          <cell r="PYF1" t="str">
            <v>--</v>
          </cell>
          <cell r="PYG1" t="str">
            <v>--</v>
          </cell>
          <cell r="PYH1" t="str">
            <v>--</v>
          </cell>
          <cell r="PYI1" t="str">
            <v>--</v>
          </cell>
          <cell r="PYJ1" t="str">
            <v>--</v>
          </cell>
          <cell r="PYK1" t="str">
            <v>--</v>
          </cell>
          <cell r="PYL1" t="str">
            <v>--</v>
          </cell>
          <cell r="PYM1" t="str">
            <v>--</v>
          </cell>
          <cell r="PYN1" t="str">
            <v>--</v>
          </cell>
          <cell r="PYO1" t="str">
            <v>--</v>
          </cell>
          <cell r="PYP1" t="str">
            <v>--</v>
          </cell>
          <cell r="PYQ1" t="str">
            <v>--</v>
          </cell>
          <cell r="PYR1" t="str">
            <v>--</v>
          </cell>
          <cell r="PYS1" t="str">
            <v>--</v>
          </cell>
          <cell r="PYT1" t="str">
            <v>--</v>
          </cell>
          <cell r="PYU1" t="str">
            <v>--</v>
          </cell>
          <cell r="PYV1" t="str">
            <v>--</v>
          </cell>
          <cell r="PYW1" t="str">
            <v>--</v>
          </cell>
          <cell r="PYX1" t="str">
            <v>--</v>
          </cell>
          <cell r="PYY1" t="str">
            <v>--</v>
          </cell>
          <cell r="PYZ1" t="str">
            <v>--</v>
          </cell>
          <cell r="PZA1" t="str">
            <v>--</v>
          </cell>
          <cell r="PZB1" t="str">
            <v>--</v>
          </cell>
          <cell r="PZC1" t="str">
            <v>--</v>
          </cell>
          <cell r="PZD1" t="str">
            <v>--</v>
          </cell>
          <cell r="PZE1" t="str">
            <v>--</v>
          </cell>
          <cell r="PZF1" t="str">
            <v>--</v>
          </cell>
          <cell r="PZG1" t="str">
            <v>--</v>
          </cell>
          <cell r="PZH1" t="str">
            <v>--</v>
          </cell>
          <cell r="PZI1" t="str">
            <v>--</v>
          </cell>
          <cell r="PZJ1" t="str">
            <v>--</v>
          </cell>
          <cell r="PZK1" t="str">
            <v>--</v>
          </cell>
          <cell r="PZL1" t="str">
            <v>--</v>
          </cell>
          <cell r="PZM1" t="str">
            <v>--</v>
          </cell>
          <cell r="PZN1" t="str">
            <v>--</v>
          </cell>
          <cell r="PZO1" t="str">
            <v>--</v>
          </cell>
          <cell r="PZP1" t="str">
            <v>--</v>
          </cell>
          <cell r="PZQ1" t="str">
            <v>--</v>
          </cell>
          <cell r="PZR1" t="str">
            <v>--</v>
          </cell>
          <cell r="PZS1" t="str">
            <v>--</v>
          </cell>
          <cell r="PZT1" t="str">
            <v>--</v>
          </cell>
          <cell r="PZU1" t="str">
            <v>--</v>
          </cell>
          <cell r="PZV1" t="str">
            <v>--</v>
          </cell>
          <cell r="PZW1" t="str">
            <v>--</v>
          </cell>
          <cell r="PZX1" t="str">
            <v>--</v>
          </cell>
          <cell r="PZY1" t="str">
            <v>--</v>
          </cell>
          <cell r="PZZ1" t="str">
            <v>--</v>
          </cell>
          <cell r="QAA1" t="str">
            <v>--</v>
          </cell>
          <cell r="QAB1" t="str">
            <v>--</v>
          </cell>
          <cell r="QAC1" t="str">
            <v>--</v>
          </cell>
          <cell r="QAD1" t="str">
            <v>--</v>
          </cell>
          <cell r="QAE1" t="str">
            <v>--</v>
          </cell>
          <cell r="QAF1" t="str">
            <v>--</v>
          </cell>
          <cell r="QAG1" t="str">
            <v>--</v>
          </cell>
          <cell r="QAH1" t="str">
            <v>--</v>
          </cell>
          <cell r="QAI1" t="str">
            <v>--</v>
          </cell>
          <cell r="QAJ1" t="str">
            <v>--</v>
          </cell>
          <cell r="QAK1" t="str">
            <v>--</v>
          </cell>
          <cell r="QAL1" t="str">
            <v>--</v>
          </cell>
          <cell r="QAM1" t="str">
            <v>--</v>
          </cell>
          <cell r="QAN1" t="str">
            <v>--</v>
          </cell>
          <cell r="QAO1" t="str">
            <v>--</v>
          </cell>
          <cell r="QAP1" t="str">
            <v>--</v>
          </cell>
          <cell r="QAQ1" t="str">
            <v>--</v>
          </cell>
          <cell r="QAR1" t="str">
            <v>--</v>
          </cell>
          <cell r="QAS1" t="str">
            <v>--</v>
          </cell>
          <cell r="QAT1" t="str">
            <v>--</v>
          </cell>
          <cell r="QAU1" t="str">
            <v>--</v>
          </cell>
          <cell r="QAV1" t="str">
            <v>--</v>
          </cell>
          <cell r="QAW1" t="str">
            <v>--</v>
          </cell>
          <cell r="QAX1" t="str">
            <v>--</v>
          </cell>
          <cell r="QAY1" t="str">
            <v>--</v>
          </cell>
          <cell r="QAZ1" t="str">
            <v>--</v>
          </cell>
          <cell r="QBA1" t="str">
            <v>--</v>
          </cell>
          <cell r="QBB1" t="str">
            <v>--</v>
          </cell>
          <cell r="QBC1" t="str">
            <v>--</v>
          </cell>
          <cell r="QBD1" t="str">
            <v>--</v>
          </cell>
          <cell r="QBE1" t="str">
            <v>--</v>
          </cell>
          <cell r="QBF1" t="str">
            <v>--</v>
          </cell>
          <cell r="QBG1" t="str">
            <v>--</v>
          </cell>
          <cell r="QBH1" t="str">
            <v>--</v>
          </cell>
          <cell r="QBI1" t="str">
            <v>--</v>
          </cell>
          <cell r="QBJ1" t="str">
            <v>--</v>
          </cell>
          <cell r="QBK1" t="str">
            <v>--</v>
          </cell>
          <cell r="QBL1" t="str">
            <v>--</v>
          </cell>
          <cell r="QBM1" t="str">
            <v>--</v>
          </cell>
          <cell r="QBN1" t="str">
            <v>--</v>
          </cell>
          <cell r="QBO1" t="str">
            <v>--</v>
          </cell>
          <cell r="QBP1" t="str">
            <v>--</v>
          </cell>
          <cell r="QBQ1" t="str">
            <v>--</v>
          </cell>
          <cell r="QBR1" t="str">
            <v>--</v>
          </cell>
          <cell r="QBS1" t="str">
            <v>--</v>
          </cell>
          <cell r="QBT1" t="str">
            <v>--</v>
          </cell>
          <cell r="QBU1" t="str">
            <v>--</v>
          </cell>
          <cell r="QBV1" t="str">
            <v>--</v>
          </cell>
          <cell r="QBW1" t="str">
            <v>--</v>
          </cell>
          <cell r="QBX1" t="str">
            <v>--</v>
          </cell>
          <cell r="QBY1" t="str">
            <v>--</v>
          </cell>
          <cell r="QBZ1" t="str">
            <v>--</v>
          </cell>
          <cell r="QCA1" t="str">
            <v>--</v>
          </cell>
          <cell r="QCB1" t="str">
            <v>--</v>
          </cell>
          <cell r="QCC1" t="str">
            <v>--</v>
          </cell>
          <cell r="QCD1" t="str">
            <v>--</v>
          </cell>
          <cell r="QCE1" t="str">
            <v>--</v>
          </cell>
          <cell r="QCF1" t="str">
            <v>--</v>
          </cell>
          <cell r="QCG1" t="str">
            <v>--</v>
          </cell>
          <cell r="QCH1" t="str">
            <v>--</v>
          </cell>
          <cell r="QCI1" t="str">
            <v>--</v>
          </cell>
          <cell r="QCJ1" t="str">
            <v>--</v>
          </cell>
          <cell r="QCK1" t="str">
            <v>--</v>
          </cell>
          <cell r="QCL1" t="str">
            <v>--</v>
          </cell>
          <cell r="QCM1" t="str">
            <v>--</v>
          </cell>
          <cell r="QCN1" t="str">
            <v>--</v>
          </cell>
          <cell r="QCO1" t="str">
            <v>--</v>
          </cell>
          <cell r="QCP1" t="str">
            <v>--</v>
          </cell>
          <cell r="QCQ1" t="str">
            <v>--</v>
          </cell>
          <cell r="QCR1" t="str">
            <v>--</v>
          </cell>
          <cell r="QCS1" t="str">
            <v>--</v>
          </cell>
          <cell r="QCT1" t="str">
            <v>--</v>
          </cell>
          <cell r="QCU1" t="str">
            <v>--</v>
          </cell>
          <cell r="QCV1" t="str">
            <v>--</v>
          </cell>
          <cell r="QCW1" t="str">
            <v>--</v>
          </cell>
          <cell r="QCX1" t="str">
            <v>--</v>
          </cell>
          <cell r="QCY1" t="str">
            <v>--</v>
          </cell>
          <cell r="QCZ1" t="str">
            <v>--</v>
          </cell>
          <cell r="QDA1" t="str">
            <v>--</v>
          </cell>
          <cell r="QDB1" t="str">
            <v>--</v>
          </cell>
          <cell r="QDC1" t="str">
            <v>--</v>
          </cell>
          <cell r="QDD1" t="str">
            <v>--</v>
          </cell>
          <cell r="QDE1" t="str">
            <v>--</v>
          </cell>
          <cell r="QDF1" t="str">
            <v>--</v>
          </cell>
          <cell r="QDG1" t="str">
            <v>--</v>
          </cell>
          <cell r="QDH1" t="str">
            <v>--</v>
          </cell>
          <cell r="QDI1" t="str">
            <v>--</v>
          </cell>
          <cell r="QDJ1" t="str">
            <v>--</v>
          </cell>
          <cell r="QDK1" t="str">
            <v>--</v>
          </cell>
          <cell r="QDL1" t="str">
            <v>--</v>
          </cell>
          <cell r="QDM1" t="str">
            <v>--</v>
          </cell>
          <cell r="QDN1" t="str">
            <v>--</v>
          </cell>
          <cell r="QDO1" t="str">
            <v>--</v>
          </cell>
          <cell r="QDP1" t="str">
            <v>--</v>
          </cell>
          <cell r="QDQ1" t="str">
            <v>--</v>
          </cell>
          <cell r="QDR1" t="str">
            <v>--</v>
          </cell>
          <cell r="QDS1" t="str">
            <v>--</v>
          </cell>
          <cell r="QDT1" t="str">
            <v>--</v>
          </cell>
          <cell r="QDU1" t="str">
            <v>--</v>
          </cell>
          <cell r="QDV1" t="str">
            <v>--</v>
          </cell>
          <cell r="QDW1" t="str">
            <v>--</v>
          </cell>
          <cell r="QDX1" t="str">
            <v>--</v>
          </cell>
          <cell r="QDY1" t="str">
            <v>--</v>
          </cell>
          <cell r="QDZ1" t="str">
            <v>--</v>
          </cell>
          <cell r="QEA1" t="str">
            <v>--</v>
          </cell>
          <cell r="QEB1" t="str">
            <v>--</v>
          </cell>
          <cell r="QEC1" t="str">
            <v>--</v>
          </cell>
          <cell r="QED1" t="str">
            <v>--</v>
          </cell>
          <cell r="QEE1" t="str">
            <v>--</v>
          </cell>
          <cell r="QEF1" t="str">
            <v>--</v>
          </cell>
          <cell r="QEG1" t="str">
            <v>--</v>
          </cell>
          <cell r="QEH1" t="str">
            <v>--</v>
          </cell>
          <cell r="QEI1" t="str">
            <v>--</v>
          </cell>
          <cell r="QEJ1" t="str">
            <v>--</v>
          </cell>
          <cell r="QEK1" t="str">
            <v>--</v>
          </cell>
          <cell r="QEL1" t="str">
            <v>--</v>
          </cell>
          <cell r="QEM1" t="str">
            <v>--</v>
          </cell>
          <cell r="QEN1" t="str">
            <v>--</v>
          </cell>
          <cell r="QEO1" t="str">
            <v>--</v>
          </cell>
          <cell r="QEP1" t="str">
            <v>--</v>
          </cell>
          <cell r="QEQ1" t="str">
            <v>--</v>
          </cell>
          <cell r="QER1" t="str">
            <v>--</v>
          </cell>
          <cell r="QES1" t="str">
            <v>--</v>
          </cell>
          <cell r="QET1" t="str">
            <v>--</v>
          </cell>
          <cell r="QEU1" t="str">
            <v>--</v>
          </cell>
          <cell r="QEV1" t="str">
            <v>--</v>
          </cell>
          <cell r="QEW1" t="str">
            <v>--</v>
          </cell>
          <cell r="QEX1" t="str">
            <v>--</v>
          </cell>
          <cell r="QEY1" t="str">
            <v>--</v>
          </cell>
          <cell r="QEZ1" t="str">
            <v>--</v>
          </cell>
          <cell r="QFA1" t="str">
            <v>--</v>
          </cell>
          <cell r="QFB1" t="str">
            <v>--</v>
          </cell>
          <cell r="QFC1" t="str">
            <v>--</v>
          </cell>
          <cell r="QFD1" t="str">
            <v>--</v>
          </cell>
          <cell r="QFE1" t="str">
            <v>--</v>
          </cell>
          <cell r="QFF1" t="str">
            <v>--</v>
          </cell>
          <cell r="QFG1" t="str">
            <v>--</v>
          </cell>
          <cell r="QFH1" t="str">
            <v>--</v>
          </cell>
          <cell r="QFI1" t="str">
            <v>--</v>
          </cell>
          <cell r="QFJ1" t="str">
            <v>--</v>
          </cell>
          <cell r="QFK1" t="str">
            <v>--</v>
          </cell>
          <cell r="QFL1" t="str">
            <v>--</v>
          </cell>
          <cell r="QFM1" t="str">
            <v>--</v>
          </cell>
          <cell r="QFN1" t="str">
            <v>--</v>
          </cell>
          <cell r="QFO1" t="str">
            <v>--</v>
          </cell>
          <cell r="QFP1" t="str">
            <v>--</v>
          </cell>
          <cell r="QFQ1" t="str">
            <v>--</v>
          </cell>
          <cell r="QFR1" t="str">
            <v>--</v>
          </cell>
          <cell r="QFS1" t="str">
            <v>--</v>
          </cell>
          <cell r="QFT1" t="str">
            <v>--</v>
          </cell>
          <cell r="QFU1" t="str">
            <v>--</v>
          </cell>
          <cell r="QFV1" t="str">
            <v>--</v>
          </cell>
          <cell r="QFW1" t="str">
            <v>--</v>
          </cell>
          <cell r="QFX1" t="str">
            <v>--</v>
          </cell>
          <cell r="QFY1" t="str">
            <v>--</v>
          </cell>
          <cell r="QFZ1" t="str">
            <v>--</v>
          </cell>
          <cell r="QGA1" t="str">
            <v>--</v>
          </cell>
          <cell r="QGB1" t="str">
            <v>--</v>
          </cell>
          <cell r="QGC1" t="str">
            <v>--</v>
          </cell>
          <cell r="QGD1" t="str">
            <v>--</v>
          </cell>
          <cell r="QGE1" t="str">
            <v>--</v>
          </cell>
          <cell r="QGF1" t="str">
            <v>--</v>
          </cell>
          <cell r="QGG1" t="str">
            <v>--</v>
          </cell>
          <cell r="QGH1" t="str">
            <v>--</v>
          </cell>
          <cell r="QGI1" t="str">
            <v>--</v>
          </cell>
          <cell r="QGJ1" t="str">
            <v>--</v>
          </cell>
          <cell r="QGK1" t="str">
            <v>--</v>
          </cell>
          <cell r="QGL1" t="str">
            <v>--</v>
          </cell>
          <cell r="QGM1" t="str">
            <v>--</v>
          </cell>
          <cell r="QGN1" t="str">
            <v>--</v>
          </cell>
          <cell r="QGO1" t="str">
            <v>--</v>
          </cell>
          <cell r="QGP1" t="str">
            <v>--</v>
          </cell>
          <cell r="QGQ1" t="str">
            <v>--</v>
          </cell>
          <cell r="QGR1" t="str">
            <v>--</v>
          </cell>
          <cell r="QGS1" t="str">
            <v>--</v>
          </cell>
          <cell r="QGT1" t="str">
            <v>--</v>
          </cell>
          <cell r="QGU1" t="str">
            <v>--</v>
          </cell>
          <cell r="QGV1" t="str">
            <v>--</v>
          </cell>
          <cell r="QGW1" t="str">
            <v>--</v>
          </cell>
          <cell r="QGX1" t="str">
            <v>--</v>
          </cell>
          <cell r="QGY1" t="str">
            <v>--</v>
          </cell>
          <cell r="QGZ1" t="str">
            <v>--</v>
          </cell>
          <cell r="QHA1" t="str">
            <v>--</v>
          </cell>
          <cell r="QHB1" t="str">
            <v>--</v>
          </cell>
          <cell r="QHC1" t="str">
            <v>--</v>
          </cell>
          <cell r="QHD1" t="str">
            <v>--</v>
          </cell>
          <cell r="QHE1" t="str">
            <v>--</v>
          </cell>
          <cell r="QHF1" t="str">
            <v>--</v>
          </cell>
          <cell r="QHG1" t="str">
            <v>--</v>
          </cell>
          <cell r="QHH1" t="str">
            <v>--</v>
          </cell>
          <cell r="QHI1" t="str">
            <v>--</v>
          </cell>
          <cell r="QHJ1" t="str">
            <v>--</v>
          </cell>
          <cell r="QHK1" t="str">
            <v>--</v>
          </cell>
          <cell r="QHL1" t="str">
            <v>--</v>
          </cell>
          <cell r="QHM1" t="str">
            <v>--</v>
          </cell>
          <cell r="QHN1" t="str">
            <v>--</v>
          </cell>
          <cell r="QHO1" t="str">
            <v>--</v>
          </cell>
          <cell r="QHP1" t="str">
            <v>--</v>
          </cell>
          <cell r="QHQ1" t="str">
            <v>--</v>
          </cell>
          <cell r="QHR1" t="str">
            <v>--</v>
          </cell>
          <cell r="QHS1" t="str">
            <v>--</v>
          </cell>
          <cell r="QHT1" t="str">
            <v>--</v>
          </cell>
          <cell r="QHU1" t="str">
            <v>--</v>
          </cell>
          <cell r="QHV1" t="str">
            <v>--</v>
          </cell>
          <cell r="QHW1" t="str">
            <v>--</v>
          </cell>
          <cell r="QHX1" t="str">
            <v>--</v>
          </cell>
          <cell r="QHY1" t="str">
            <v>--</v>
          </cell>
          <cell r="QHZ1" t="str">
            <v>--</v>
          </cell>
          <cell r="QIA1" t="str">
            <v>--</v>
          </cell>
          <cell r="QIB1" t="str">
            <v>--</v>
          </cell>
          <cell r="QIC1" t="str">
            <v>--</v>
          </cell>
          <cell r="QID1" t="str">
            <v>--</v>
          </cell>
          <cell r="QIE1" t="str">
            <v>--</v>
          </cell>
          <cell r="QIF1" t="str">
            <v>--</v>
          </cell>
          <cell r="QIG1" t="str">
            <v>--</v>
          </cell>
          <cell r="QIH1" t="str">
            <v>--</v>
          </cell>
          <cell r="QII1" t="str">
            <v>--</v>
          </cell>
          <cell r="QIJ1" t="str">
            <v>--</v>
          </cell>
          <cell r="QIK1" t="str">
            <v>--</v>
          </cell>
          <cell r="QIL1" t="str">
            <v>--</v>
          </cell>
          <cell r="QIM1" t="str">
            <v>--</v>
          </cell>
          <cell r="QIN1" t="str">
            <v>--</v>
          </cell>
          <cell r="QIO1" t="str">
            <v>--</v>
          </cell>
          <cell r="QIP1" t="str">
            <v>--</v>
          </cell>
          <cell r="QIQ1" t="str">
            <v>--</v>
          </cell>
          <cell r="QIR1" t="str">
            <v>--</v>
          </cell>
          <cell r="QIS1" t="str">
            <v>--</v>
          </cell>
          <cell r="QIT1" t="str">
            <v>--</v>
          </cell>
          <cell r="QIU1" t="str">
            <v>--</v>
          </cell>
          <cell r="QIV1" t="str">
            <v>--</v>
          </cell>
          <cell r="QIW1" t="str">
            <v>--</v>
          </cell>
          <cell r="QIX1" t="str">
            <v>--</v>
          </cell>
          <cell r="QIY1" t="str">
            <v>--</v>
          </cell>
          <cell r="QIZ1" t="str">
            <v>--</v>
          </cell>
          <cell r="QJA1" t="str">
            <v>--</v>
          </cell>
          <cell r="QJB1" t="str">
            <v>--</v>
          </cell>
          <cell r="QJC1" t="str">
            <v>--</v>
          </cell>
          <cell r="QJD1" t="str">
            <v>--</v>
          </cell>
          <cell r="QJE1" t="str">
            <v>--</v>
          </cell>
          <cell r="QJF1" t="str">
            <v>--</v>
          </cell>
          <cell r="QJG1" t="str">
            <v>--</v>
          </cell>
          <cell r="QJH1" t="str">
            <v>--</v>
          </cell>
          <cell r="QJI1" t="str">
            <v>--</v>
          </cell>
          <cell r="QJJ1" t="str">
            <v>--</v>
          </cell>
          <cell r="QJK1" t="str">
            <v>--</v>
          </cell>
          <cell r="QJL1" t="str">
            <v>--</v>
          </cell>
          <cell r="QJM1" t="str">
            <v>--</v>
          </cell>
          <cell r="QJN1" t="str">
            <v>--</v>
          </cell>
          <cell r="QJO1" t="str">
            <v>--</v>
          </cell>
          <cell r="QJP1" t="str">
            <v>--</v>
          </cell>
          <cell r="QJQ1" t="str">
            <v>--</v>
          </cell>
          <cell r="QJR1" t="str">
            <v>--</v>
          </cell>
          <cell r="QJS1" t="str">
            <v>--</v>
          </cell>
          <cell r="QJT1" t="str">
            <v>--</v>
          </cell>
          <cell r="QJU1" t="str">
            <v>--</v>
          </cell>
          <cell r="QJV1" t="str">
            <v>--</v>
          </cell>
          <cell r="QJW1" t="str">
            <v>--</v>
          </cell>
          <cell r="QJX1" t="str">
            <v>--</v>
          </cell>
          <cell r="QJY1" t="str">
            <v>--</v>
          </cell>
          <cell r="QJZ1" t="str">
            <v>--</v>
          </cell>
          <cell r="QKA1" t="str">
            <v>--</v>
          </cell>
          <cell r="QKB1" t="str">
            <v>--</v>
          </cell>
          <cell r="QKC1" t="str">
            <v>--</v>
          </cell>
          <cell r="QKD1" t="str">
            <v>--</v>
          </cell>
          <cell r="QKE1" t="str">
            <v>--</v>
          </cell>
          <cell r="QKF1" t="str">
            <v>--</v>
          </cell>
          <cell r="QKG1" t="str">
            <v>--</v>
          </cell>
          <cell r="QKH1" t="str">
            <v>--</v>
          </cell>
          <cell r="QKI1" t="str">
            <v>--</v>
          </cell>
          <cell r="QKJ1" t="str">
            <v>--</v>
          </cell>
          <cell r="QKK1" t="str">
            <v>--</v>
          </cell>
          <cell r="QKL1" t="str">
            <v>--</v>
          </cell>
          <cell r="QKM1" t="str">
            <v>--</v>
          </cell>
          <cell r="QKN1" t="str">
            <v>--</v>
          </cell>
          <cell r="QKO1" t="str">
            <v>--</v>
          </cell>
          <cell r="QKP1" t="str">
            <v>--</v>
          </cell>
          <cell r="QKQ1" t="str">
            <v>--</v>
          </cell>
          <cell r="QKR1" t="str">
            <v>--</v>
          </cell>
          <cell r="QKS1" t="str">
            <v>--</v>
          </cell>
          <cell r="QKT1" t="str">
            <v>--</v>
          </cell>
          <cell r="QKU1" t="str">
            <v>--</v>
          </cell>
          <cell r="QKV1" t="str">
            <v>--</v>
          </cell>
          <cell r="QKW1" t="str">
            <v>--</v>
          </cell>
          <cell r="QKX1" t="str">
            <v>--</v>
          </cell>
          <cell r="QKY1" t="str">
            <v>--</v>
          </cell>
          <cell r="QKZ1" t="str">
            <v>--</v>
          </cell>
          <cell r="QLA1" t="str">
            <v>--</v>
          </cell>
          <cell r="QLB1" t="str">
            <v>--</v>
          </cell>
          <cell r="QLC1" t="str">
            <v>--</v>
          </cell>
          <cell r="QLD1" t="str">
            <v>--</v>
          </cell>
          <cell r="QLE1" t="str">
            <v>--</v>
          </cell>
          <cell r="QLF1" t="str">
            <v>--</v>
          </cell>
          <cell r="QLG1" t="str">
            <v>--</v>
          </cell>
          <cell r="QLH1" t="str">
            <v>--</v>
          </cell>
          <cell r="QLI1" t="str">
            <v>--</v>
          </cell>
          <cell r="QLJ1" t="str">
            <v>--</v>
          </cell>
          <cell r="QLK1" t="str">
            <v>--</v>
          </cell>
          <cell r="QLL1" t="str">
            <v>--</v>
          </cell>
          <cell r="QLM1" t="str">
            <v>--</v>
          </cell>
          <cell r="QLN1" t="str">
            <v>--</v>
          </cell>
          <cell r="QLO1" t="str">
            <v>--</v>
          </cell>
          <cell r="QLP1" t="str">
            <v>--</v>
          </cell>
          <cell r="QLQ1" t="str">
            <v>--</v>
          </cell>
          <cell r="QLR1" t="str">
            <v>--</v>
          </cell>
          <cell r="QLS1" t="str">
            <v>--</v>
          </cell>
          <cell r="QLT1" t="str">
            <v>--</v>
          </cell>
          <cell r="QLU1" t="str">
            <v>--</v>
          </cell>
          <cell r="QLV1" t="str">
            <v>--</v>
          </cell>
          <cell r="QLW1" t="str">
            <v>--</v>
          </cell>
          <cell r="QLX1" t="str">
            <v>--</v>
          </cell>
          <cell r="QLY1" t="str">
            <v>--</v>
          </cell>
          <cell r="QLZ1" t="str">
            <v>--</v>
          </cell>
          <cell r="QMA1" t="str">
            <v>--</v>
          </cell>
          <cell r="QMB1" t="str">
            <v>--</v>
          </cell>
          <cell r="QMC1" t="str">
            <v>--</v>
          </cell>
          <cell r="QMD1" t="str">
            <v>--</v>
          </cell>
          <cell r="QME1" t="str">
            <v>--</v>
          </cell>
          <cell r="QMF1" t="str">
            <v>--</v>
          </cell>
          <cell r="QMG1" t="str">
            <v>--</v>
          </cell>
          <cell r="QMH1" t="str">
            <v>--</v>
          </cell>
          <cell r="QMI1" t="str">
            <v>--</v>
          </cell>
          <cell r="QMJ1" t="str">
            <v>--</v>
          </cell>
          <cell r="QMK1" t="str">
            <v>--</v>
          </cell>
          <cell r="QML1" t="str">
            <v>--</v>
          </cell>
          <cell r="QMM1" t="str">
            <v>--</v>
          </cell>
          <cell r="QMN1" t="str">
            <v>--</v>
          </cell>
          <cell r="QMO1" t="str">
            <v>--</v>
          </cell>
          <cell r="QMP1" t="str">
            <v>--</v>
          </cell>
          <cell r="QMQ1" t="str">
            <v>--</v>
          </cell>
          <cell r="QMR1" t="str">
            <v>--</v>
          </cell>
          <cell r="QMS1" t="str">
            <v>--</v>
          </cell>
          <cell r="QMT1" t="str">
            <v>--</v>
          </cell>
          <cell r="QMU1" t="str">
            <v>--</v>
          </cell>
          <cell r="QMV1" t="str">
            <v>--</v>
          </cell>
          <cell r="QMW1" t="str">
            <v>--</v>
          </cell>
          <cell r="QMX1" t="str">
            <v>--</v>
          </cell>
          <cell r="QMY1" t="str">
            <v>--</v>
          </cell>
          <cell r="QMZ1" t="str">
            <v>--</v>
          </cell>
          <cell r="QNA1" t="str">
            <v>--</v>
          </cell>
          <cell r="QNB1" t="str">
            <v>--</v>
          </cell>
          <cell r="QNC1" t="str">
            <v>--</v>
          </cell>
          <cell r="QND1" t="str">
            <v>--</v>
          </cell>
          <cell r="QNE1" t="str">
            <v>--</v>
          </cell>
          <cell r="QNF1" t="str">
            <v>--</v>
          </cell>
          <cell r="QNG1" t="str">
            <v>--</v>
          </cell>
          <cell r="QNH1" t="str">
            <v>--</v>
          </cell>
          <cell r="QNI1" t="str">
            <v>--</v>
          </cell>
          <cell r="QNJ1" t="str">
            <v>--</v>
          </cell>
          <cell r="QNK1" t="str">
            <v>--</v>
          </cell>
          <cell r="QNL1" t="str">
            <v>--</v>
          </cell>
          <cell r="QNM1" t="str">
            <v>--</v>
          </cell>
          <cell r="QNN1" t="str">
            <v>--</v>
          </cell>
          <cell r="QNO1" t="str">
            <v>--</v>
          </cell>
          <cell r="QNP1" t="str">
            <v>--</v>
          </cell>
          <cell r="QNQ1" t="str">
            <v>--</v>
          </cell>
          <cell r="QNR1" t="str">
            <v>--</v>
          </cell>
          <cell r="QNS1" t="str">
            <v>--</v>
          </cell>
          <cell r="QNT1" t="str">
            <v>--</v>
          </cell>
          <cell r="QNU1" t="str">
            <v>--</v>
          </cell>
          <cell r="QNV1" t="str">
            <v>--</v>
          </cell>
          <cell r="QNW1" t="str">
            <v>--</v>
          </cell>
          <cell r="QNX1" t="str">
            <v>--</v>
          </cell>
          <cell r="QNY1" t="str">
            <v>--</v>
          </cell>
          <cell r="QNZ1" t="str">
            <v>--</v>
          </cell>
          <cell r="QOA1" t="str">
            <v>--</v>
          </cell>
          <cell r="QOB1" t="str">
            <v>--</v>
          </cell>
          <cell r="QOC1" t="str">
            <v>--</v>
          </cell>
          <cell r="QOD1" t="str">
            <v>--</v>
          </cell>
          <cell r="QOE1" t="str">
            <v>--</v>
          </cell>
          <cell r="QOF1" t="str">
            <v>--</v>
          </cell>
          <cell r="QOG1" t="str">
            <v>--</v>
          </cell>
          <cell r="QOH1" t="str">
            <v>--</v>
          </cell>
          <cell r="QOI1" t="str">
            <v>--</v>
          </cell>
          <cell r="QOJ1" t="str">
            <v>--</v>
          </cell>
          <cell r="QOK1" t="str">
            <v>--</v>
          </cell>
          <cell r="QOL1" t="str">
            <v>--</v>
          </cell>
          <cell r="QOM1" t="str">
            <v>--</v>
          </cell>
          <cell r="QON1" t="str">
            <v>--</v>
          </cell>
          <cell r="QOO1" t="str">
            <v>--</v>
          </cell>
          <cell r="QOP1" t="str">
            <v>--</v>
          </cell>
          <cell r="QOQ1" t="str">
            <v>--</v>
          </cell>
          <cell r="QOR1" t="str">
            <v>--</v>
          </cell>
          <cell r="QOS1" t="str">
            <v>--</v>
          </cell>
          <cell r="QOT1" t="str">
            <v>--</v>
          </cell>
          <cell r="QOU1" t="str">
            <v>--</v>
          </cell>
          <cell r="QOV1" t="str">
            <v>--</v>
          </cell>
          <cell r="QOW1" t="str">
            <v>--</v>
          </cell>
          <cell r="QOX1" t="str">
            <v>--</v>
          </cell>
          <cell r="QOY1" t="str">
            <v>--</v>
          </cell>
          <cell r="QOZ1" t="str">
            <v>--</v>
          </cell>
          <cell r="QPA1" t="str">
            <v>--</v>
          </cell>
          <cell r="QPB1" t="str">
            <v>--</v>
          </cell>
          <cell r="QPC1" t="str">
            <v>--</v>
          </cell>
          <cell r="QPD1" t="str">
            <v>--</v>
          </cell>
          <cell r="QPE1" t="str">
            <v>--</v>
          </cell>
          <cell r="QPF1" t="str">
            <v>--</v>
          </cell>
          <cell r="QPG1" t="str">
            <v>--</v>
          </cell>
          <cell r="QPH1" t="str">
            <v>--</v>
          </cell>
          <cell r="QPI1" t="str">
            <v>--</v>
          </cell>
          <cell r="QPJ1" t="str">
            <v>--</v>
          </cell>
          <cell r="QPK1" t="str">
            <v>--</v>
          </cell>
          <cell r="QPL1" t="str">
            <v>--</v>
          </cell>
          <cell r="QPM1" t="str">
            <v>--</v>
          </cell>
          <cell r="QPN1" t="str">
            <v>--</v>
          </cell>
          <cell r="QPO1" t="str">
            <v>--</v>
          </cell>
          <cell r="QPP1" t="str">
            <v>--</v>
          </cell>
          <cell r="QPQ1" t="str">
            <v>--</v>
          </cell>
          <cell r="QPR1" t="str">
            <v>--</v>
          </cell>
          <cell r="QPS1" t="str">
            <v>--</v>
          </cell>
          <cell r="QPT1" t="str">
            <v>--</v>
          </cell>
          <cell r="QPU1" t="str">
            <v>--</v>
          </cell>
          <cell r="QPV1" t="str">
            <v>--</v>
          </cell>
          <cell r="QPW1" t="str">
            <v>--</v>
          </cell>
          <cell r="QPX1" t="str">
            <v>--</v>
          </cell>
          <cell r="QPY1" t="str">
            <v>--</v>
          </cell>
          <cell r="QPZ1" t="str">
            <v>--</v>
          </cell>
          <cell r="QQA1" t="str">
            <v>--</v>
          </cell>
          <cell r="QQB1" t="str">
            <v>--</v>
          </cell>
          <cell r="QQC1" t="str">
            <v>--</v>
          </cell>
          <cell r="QQD1" t="str">
            <v>--</v>
          </cell>
          <cell r="QQE1" t="str">
            <v>--</v>
          </cell>
          <cell r="QQF1" t="str">
            <v>--</v>
          </cell>
          <cell r="QQG1" t="str">
            <v>--</v>
          </cell>
          <cell r="QQH1" t="str">
            <v>--</v>
          </cell>
          <cell r="QQI1" t="str">
            <v>--</v>
          </cell>
          <cell r="QQJ1" t="str">
            <v>--</v>
          </cell>
          <cell r="QQK1" t="str">
            <v>--</v>
          </cell>
          <cell r="QQL1" t="str">
            <v>--</v>
          </cell>
          <cell r="QQM1" t="str">
            <v>--</v>
          </cell>
          <cell r="QQN1" t="str">
            <v>--</v>
          </cell>
          <cell r="QQO1" t="str">
            <v>--</v>
          </cell>
          <cell r="QQP1" t="str">
            <v>--</v>
          </cell>
          <cell r="QQQ1" t="str">
            <v>--</v>
          </cell>
          <cell r="QQR1" t="str">
            <v>--</v>
          </cell>
          <cell r="QQS1" t="str">
            <v>--</v>
          </cell>
          <cell r="QQT1" t="str">
            <v>--</v>
          </cell>
          <cell r="QQU1" t="str">
            <v>--</v>
          </cell>
          <cell r="QQV1" t="str">
            <v>--</v>
          </cell>
          <cell r="QQW1" t="str">
            <v>--</v>
          </cell>
          <cell r="QQX1" t="str">
            <v>--</v>
          </cell>
          <cell r="QQY1" t="str">
            <v>--</v>
          </cell>
          <cell r="QQZ1" t="str">
            <v>--</v>
          </cell>
          <cell r="QRA1" t="str">
            <v>--</v>
          </cell>
          <cell r="QRB1" t="str">
            <v>--</v>
          </cell>
          <cell r="QRC1" t="str">
            <v>--</v>
          </cell>
          <cell r="QRD1" t="str">
            <v>--</v>
          </cell>
          <cell r="QRE1" t="str">
            <v>--</v>
          </cell>
          <cell r="QRF1" t="str">
            <v>--</v>
          </cell>
          <cell r="QRG1" t="str">
            <v>--</v>
          </cell>
          <cell r="QRH1" t="str">
            <v>--</v>
          </cell>
          <cell r="QRI1" t="str">
            <v>--</v>
          </cell>
          <cell r="QRJ1" t="str">
            <v>--</v>
          </cell>
          <cell r="QRK1" t="str">
            <v>--</v>
          </cell>
          <cell r="QRL1" t="str">
            <v>--</v>
          </cell>
          <cell r="QRM1" t="str">
            <v>--</v>
          </cell>
          <cell r="QRN1" t="str">
            <v>--</v>
          </cell>
          <cell r="QRO1" t="str">
            <v>--</v>
          </cell>
          <cell r="QRP1" t="str">
            <v>--</v>
          </cell>
          <cell r="QRQ1" t="str">
            <v>--</v>
          </cell>
          <cell r="QRR1" t="str">
            <v>--</v>
          </cell>
          <cell r="QRS1" t="str">
            <v>--</v>
          </cell>
          <cell r="QRT1" t="str">
            <v>--</v>
          </cell>
          <cell r="QRU1" t="str">
            <v>--</v>
          </cell>
          <cell r="QRV1" t="str">
            <v>--</v>
          </cell>
          <cell r="QRW1" t="str">
            <v>--</v>
          </cell>
          <cell r="QRX1" t="str">
            <v>--</v>
          </cell>
          <cell r="QRY1" t="str">
            <v>--</v>
          </cell>
          <cell r="QRZ1" t="str">
            <v>--</v>
          </cell>
          <cell r="QSA1" t="str">
            <v>--</v>
          </cell>
          <cell r="QSB1" t="str">
            <v>--</v>
          </cell>
          <cell r="QSC1" t="str">
            <v>--</v>
          </cell>
          <cell r="QSD1" t="str">
            <v>--</v>
          </cell>
          <cell r="QSE1" t="str">
            <v>--</v>
          </cell>
          <cell r="QSF1" t="str">
            <v>--</v>
          </cell>
          <cell r="QSG1" t="str">
            <v>--</v>
          </cell>
          <cell r="QSH1" t="str">
            <v>--</v>
          </cell>
          <cell r="QSI1" t="str">
            <v>--</v>
          </cell>
          <cell r="QSJ1" t="str">
            <v>--</v>
          </cell>
          <cell r="QSK1" t="str">
            <v>--</v>
          </cell>
          <cell r="QSL1" t="str">
            <v>--</v>
          </cell>
          <cell r="QSM1" t="str">
            <v>--</v>
          </cell>
          <cell r="QSN1" t="str">
            <v>--</v>
          </cell>
          <cell r="QSO1" t="str">
            <v>--</v>
          </cell>
          <cell r="QSP1" t="str">
            <v>--</v>
          </cell>
          <cell r="QSQ1" t="str">
            <v>--</v>
          </cell>
          <cell r="QSR1" t="str">
            <v>--</v>
          </cell>
          <cell r="QSS1" t="str">
            <v>--</v>
          </cell>
          <cell r="QST1" t="str">
            <v>--</v>
          </cell>
          <cell r="QSU1" t="str">
            <v>--</v>
          </cell>
          <cell r="QSV1" t="str">
            <v>--</v>
          </cell>
          <cell r="QSW1" t="str">
            <v>--</v>
          </cell>
          <cell r="QSX1" t="str">
            <v>--</v>
          </cell>
          <cell r="QSY1" t="str">
            <v>--</v>
          </cell>
          <cell r="QSZ1" t="str">
            <v>--</v>
          </cell>
          <cell r="QTA1" t="str">
            <v>--</v>
          </cell>
          <cell r="QTB1" t="str">
            <v>--</v>
          </cell>
          <cell r="QTC1" t="str">
            <v>--</v>
          </cell>
          <cell r="QTD1" t="str">
            <v>--</v>
          </cell>
          <cell r="QTE1" t="str">
            <v>--</v>
          </cell>
          <cell r="QTF1" t="str">
            <v>--</v>
          </cell>
          <cell r="QTG1" t="str">
            <v>--</v>
          </cell>
          <cell r="QTH1" t="str">
            <v>--</v>
          </cell>
          <cell r="QTI1" t="str">
            <v>--</v>
          </cell>
          <cell r="QTJ1" t="str">
            <v>--</v>
          </cell>
          <cell r="QTK1" t="str">
            <v>--</v>
          </cell>
          <cell r="QTL1" t="str">
            <v>--</v>
          </cell>
          <cell r="QTM1" t="str">
            <v>--</v>
          </cell>
          <cell r="QTN1" t="str">
            <v>--</v>
          </cell>
          <cell r="QTO1" t="str">
            <v>--</v>
          </cell>
          <cell r="QTP1" t="str">
            <v>--</v>
          </cell>
          <cell r="QTQ1" t="str">
            <v>--</v>
          </cell>
          <cell r="QTR1" t="str">
            <v>--</v>
          </cell>
          <cell r="QTS1" t="str">
            <v>--</v>
          </cell>
          <cell r="QTT1" t="str">
            <v>--</v>
          </cell>
          <cell r="QTU1" t="str">
            <v>--</v>
          </cell>
          <cell r="QTV1" t="str">
            <v>--</v>
          </cell>
          <cell r="QTW1" t="str">
            <v>--</v>
          </cell>
          <cell r="QTX1" t="str">
            <v>--</v>
          </cell>
          <cell r="QTY1" t="str">
            <v>--</v>
          </cell>
          <cell r="QTZ1" t="str">
            <v>--</v>
          </cell>
          <cell r="QUA1" t="str">
            <v>--</v>
          </cell>
          <cell r="QUB1" t="str">
            <v>--</v>
          </cell>
          <cell r="QUC1" t="str">
            <v>--</v>
          </cell>
          <cell r="QUD1" t="str">
            <v>--</v>
          </cell>
          <cell r="QUE1" t="str">
            <v>--</v>
          </cell>
          <cell r="QUF1" t="str">
            <v>--</v>
          </cell>
          <cell r="QUG1" t="str">
            <v>--</v>
          </cell>
          <cell r="QUH1" t="str">
            <v>--</v>
          </cell>
          <cell r="QUI1" t="str">
            <v>--</v>
          </cell>
          <cell r="QUJ1" t="str">
            <v>--</v>
          </cell>
          <cell r="QUK1" t="str">
            <v>--</v>
          </cell>
          <cell r="QUL1" t="str">
            <v>--</v>
          </cell>
          <cell r="QUM1" t="str">
            <v>--</v>
          </cell>
          <cell r="QUN1" t="str">
            <v>--</v>
          </cell>
          <cell r="QUO1" t="str">
            <v>--</v>
          </cell>
          <cell r="QUP1" t="str">
            <v>--</v>
          </cell>
          <cell r="QUQ1" t="str">
            <v>--</v>
          </cell>
          <cell r="QUR1" t="str">
            <v>--</v>
          </cell>
          <cell r="QUS1" t="str">
            <v>--</v>
          </cell>
          <cell r="QUT1" t="str">
            <v>--</v>
          </cell>
          <cell r="QUU1" t="str">
            <v>--</v>
          </cell>
          <cell r="QUV1" t="str">
            <v>--</v>
          </cell>
          <cell r="QUW1" t="str">
            <v>--</v>
          </cell>
          <cell r="QUX1" t="str">
            <v>--</v>
          </cell>
          <cell r="QUY1" t="str">
            <v>--</v>
          </cell>
          <cell r="QUZ1" t="str">
            <v>--</v>
          </cell>
          <cell r="QVA1" t="str">
            <v>--</v>
          </cell>
          <cell r="QVB1" t="str">
            <v>--</v>
          </cell>
          <cell r="QVC1" t="str">
            <v>--</v>
          </cell>
          <cell r="QVD1" t="str">
            <v>--</v>
          </cell>
          <cell r="QVE1" t="str">
            <v>--</v>
          </cell>
          <cell r="QVF1" t="str">
            <v>--</v>
          </cell>
          <cell r="QVG1" t="str">
            <v>--</v>
          </cell>
          <cell r="QVH1" t="str">
            <v>--</v>
          </cell>
          <cell r="QVI1" t="str">
            <v>--</v>
          </cell>
          <cell r="QVJ1" t="str">
            <v>--</v>
          </cell>
          <cell r="QVK1" t="str">
            <v>--</v>
          </cell>
          <cell r="QVL1" t="str">
            <v>--</v>
          </cell>
          <cell r="QVM1" t="str">
            <v>--</v>
          </cell>
          <cell r="QVN1" t="str">
            <v>--</v>
          </cell>
          <cell r="QVO1" t="str">
            <v>--</v>
          </cell>
          <cell r="QVP1" t="str">
            <v>--</v>
          </cell>
          <cell r="QVQ1" t="str">
            <v>--</v>
          </cell>
          <cell r="QVR1" t="str">
            <v>--</v>
          </cell>
          <cell r="QVS1" t="str">
            <v>--</v>
          </cell>
          <cell r="QVT1" t="str">
            <v>--</v>
          </cell>
          <cell r="QVU1" t="str">
            <v>--</v>
          </cell>
          <cell r="QVV1" t="str">
            <v>--</v>
          </cell>
          <cell r="QVW1" t="str">
            <v>--</v>
          </cell>
          <cell r="QVX1" t="str">
            <v>--</v>
          </cell>
          <cell r="QVY1" t="str">
            <v>--</v>
          </cell>
          <cell r="QVZ1" t="str">
            <v>--</v>
          </cell>
          <cell r="QWA1" t="str">
            <v>--</v>
          </cell>
          <cell r="QWB1" t="str">
            <v>--</v>
          </cell>
          <cell r="QWC1" t="str">
            <v>--</v>
          </cell>
          <cell r="QWD1" t="str">
            <v>--</v>
          </cell>
          <cell r="QWE1" t="str">
            <v>--</v>
          </cell>
          <cell r="QWF1" t="str">
            <v>--</v>
          </cell>
          <cell r="QWG1" t="str">
            <v>--</v>
          </cell>
          <cell r="QWH1" t="str">
            <v>--</v>
          </cell>
          <cell r="QWI1" t="str">
            <v>--</v>
          </cell>
          <cell r="QWJ1" t="str">
            <v>--</v>
          </cell>
          <cell r="QWK1" t="str">
            <v>--</v>
          </cell>
          <cell r="QWL1" t="str">
            <v>--</v>
          </cell>
          <cell r="QWM1" t="str">
            <v>--</v>
          </cell>
          <cell r="QWN1" t="str">
            <v>--</v>
          </cell>
          <cell r="QWO1" t="str">
            <v>--</v>
          </cell>
          <cell r="QWP1" t="str">
            <v>--</v>
          </cell>
          <cell r="QWQ1" t="str">
            <v>--</v>
          </cell>
          <cell r="QWR1" t="str">
            <v>--</v>
          </cell>
          <cell r="QWS1" t="str">
            <v>--</v>
          </cell>
          <cell r="QWT1" t="str">
            <v>--</v>
          </cell>
          <cell r="QWU1" t="str">
            <v>--</v>
          </cell>
          <cell r="QWV1" t="str">
            <v>--</v>
          </cell>
          <cell r="QWW1" t="str">
            <v>--</v>
          </cell>
          <cell r="QWX1" t="str">
            <v>--</v>
          </cell>
          <cell r="QWY1" t="str">
            <v>--</v>
          </cell>
          <cell r="QWZ1" t="str">
            <v>--</v>
          </cell>
          <cell r="QXA1" t="str">
            <v>--</v>
          </cell>
          <cell r="QXB1" t="str">
            <v>--</v>
          </cell>
          <cell r="QXC1" t="str">
            <v>--</v>
          </cell>
          <cell r="QXD1" t="str">
            <v>--</v>
          </cell>
          <cell r="QXE1" t="str">
            <v>--</v>
          </cell>
          <cell r="QXF1" t="str">
            <v>--</v>
          </cell>
          <cell r="QXG1" t="str">
            <v>--</v>
          </cell>
          <cell r="QXH1" t="str">
            <v>--</v>
          </cell>
          <cell r="QXI1" t="str">
            <v>--</v>
          </cell>
          <cell r="QXJ1" t="str">
            <v>--</v>
          </cell>
          <cell r="QXK1" t="str">
            <v>--</v>
          </cell>
          <cell r="QXL1" t="str">
            <v>--</v>
          </cell>
          <cell r="QXM1" t="str">
            <v>--</v>
          </cell>
          <cell r="QXN1" t="str">
            <v>--</v>
          </cell>
          <cell r="QXO1" t="str">
            <v>--</v>
          </cell>
          <cell r="QXP1" t="str">
            <v>--</v>
          </cell>
          <cell r="QXQ1" t="str">
            <v>--</v>
          </cell>
          <cell r="QXR1" t="str">
            <v>--</v>
          </cell>
          <cell r="QXS1" t="str">
            <v>--</v>
          </cell>
          <cell r="QXT1" t="str">
            <v>--</v>
          </cell>
          <cell r="QXU1" t="str">
            <v>--</v>
          </cell>
          <cell r="QXV1" t="str">
            <v>--</v>
          </cell>
          <cell r="QXW1" t="str">
            <v>--</v>
          </cell>
          <cell r="QXX1" t="str">
            <v>--</v>
          </cell>
          <cell r="QXY1" t="str">
            <v>--</v>
          </cell>
          <cell r="QXZ1" t="str">
            <v>--</v>
          </cell>
          <cell r="QYA1" t="str">
            <v>--</v>
          </cell>
          <cell r="QYB1" t="str">
            <v>--</v>
          </cell>
          <cell r="QYC1" t="str">
            <v>--</v>
          </cell>
          <cell r="QYD1" t="str">
            <v>--</v>
          </cell>
          <cell r="QYE1" t="str">
            <v>--</v>
          </cell>
          <cell r="QYF1" t="str">
            <v>--</v>
          </cell>
          <cell r="QYG1" t="str">
            <v>--</v>
          </cell>
          <cell r="QYH1" t="str">
            <v>--</v>
          </cell>
          <cell r="QYI1" t="str">
            <v>--</v>
          </cell>
          <cell r="QYJ1" t="str">
            <v>--</v>
          </cell>
          <cell r="QYK1" t="str">
            <v>--</v>
          </cell>
          <cell r="QYL1" t="str">
            <v>--</v>
          </cell>
          <cell r="QYM1" t="str">
            <v>--</v>
          </cell>
          <cell r="QYN1" t="str">
            <v>--</v>
          </cell>
          <cell r="QYO1" t="str">
            <v>--</v>
          </cell>
          <cell r="QYP1" t="str">
            <v>--</v>
          </cell>
          <cell r="QYQ1" t="str">
            <v>--</v>
          </cell>
          <cell r="QYR1" t="str">
            <v>--</v>
          </cell>
          <cell r="QYS1" t="str">
            <v>--</v>
          </cell>
          <cell r="QYT1" t="str">
            <v>--</v>
          </cell>
          <cell r="QYU1" t="str">
            <v>--</v>
          </cell>
          <cell r="QYV1" t="str">
            <v>--</v>
          </cell>
          <cell r="QYW1" t="str">
            <v>--</v>
          </cell>
          <cell r="QYX1" t="str">
            <v>--</v>
          </cell>
          <cell r="QYY1" t="str">
            <v>--</v>
          </cell>
          <cell r="QYZ1" t="str">
            <v>--</v>
          </cell>
          <cell r="QZA1" t="str">
            <v>--</v>
          </cell>
          <cell r="QZB1" t="str">
            <v>--</v>
          </cell>
          <cell r="QZC1" t="str">
            <v>--</v>
          </cell>
          <cell r="QZD1" t="str">
            <v>--</v>
          </cell>
          <cell r="QZE1" t="str">
            <v>--</v>
          </cell>
          <cell r="QZF1" t="str">
            <v>--</v>
          </cell>
          <cell r="QZG1" t="str">
            <v>--</v>
          </cell>
          <cell r="QZH1" t="str">
            <v>--</v>
          </cell>
          <cell r="QZI1" t="str">
            <v>--</v>
          </cell>
          <cell r="QZJ1" t="str">
            <v>--</v>
          </cell>
          <cell r="QZK1" t="str">
            <v>--</v>
          </cell>
          <cell r="QZL1" t="str">
            <v>--</v>
          </cell>
          <cell r="QZM1" t="str">
            <v>--</v>
          </cell>
          <cell r="QZN1" t="str">
            <v>--</v>
          </cell>
          <cell r="QZO1" t="str">
            <v>--</v>
          </cell>
          <cell r="QZP1" t="str">
            <v>--</v>
          </cell>
          <cell r="QZQ1" t="str">
            <v>--</v>
          </cell>
          <cell r="QZR1" t="str">
            <v>--</v>
          </cell>
          <cell r="QZS1" t="str">
            <v>--</v>
          </cell>
          <cell r="QZT1" t="str">
            <v>--</v>
          </cell>
          <cell r="QZU1" t="str">
            <v>--</v>
          </cell>
          <cell r="QZV1" t="str">
            <v>--</v>
          </cell>
          <cell r="QZW1" t="str">
            <v>--</v>
          </cell>
          <cell r="QZX1" t="str">
            <v>--</v>
          </cell>
          <cell r="QZY1" t="str">
            <v>--</v>
          </cell>
          <cell r="QZZ1" t="str">
            <v>--</v>
          </cell>
          <cell r="RAA1" t="str">
            <v>--</v>
          </cell>
          <cell r="RAB1" t="str">
            <v>--</v>
          </cell>
          <cell r="RAC1" t="str">
            <v>--</v>
          </cell>
          <cell r="RAD1" t="str">
            <v>--</v>
          </cell>
          <cell r="RAE1" t="str">
            <v>--</v>
          </cell>
          <cell r="RAF1" t="str">
            <v>--</v>
          </cell>
          <cell r="RAG1" t="str">
            <v>--</v>
          </cell>
          <cell r="RAH1" t="str">
            <v>--</v>
          </cell>
          <cell r="RAI1" t="str">
            <v>--</v>
          </cell>
          <cell r="RAJ1" t="str">
            <v>--</v>
          </cell>
          <cell r="RAK1" t="str">
            <v>--</v>
          </cell>
          <cell r="RAL1" t="str">
            <v>--</v>
          </cell>
          <cell r="RAM1" t="str">
            <v>--</v>
          </cell>
          <cell r="RAN1" t="str">
            <v>--</v>
          </cell>
          <cell r="RAO1" t="str">
            <v>--</v>
          </cell>
          <cell r="RAP1" t="str">
            <v>--</v>
          </cell>
          <cell r="RAQ1" t="str">
            <v>--</v>
          </cell>
          <cell r="RAR1" t="str">
            <v>--</v>
          </cell>
          <cell r="RAS1" t="str">
            <v>--</v>
          </cell>
          <cell r="RAT1" t="str">
            <v>--</v>
          </cell>
          <cell r="RAU1" t="str">
            <v>--</v>
          </cell>
          <cell r="RAV1" t="str">
            <v>--</v>
          </cell>
          <cell r="RAW1" t="str">
            <v>--</v>
          </cell>
          <cell r="RAX1" t="str">
            <v>--</v>
          </cell>
          <cell r="RAY1" t="str">
            <v>--</v>
          </cell>
          <cell r="RAZ1" t="str">
            <v>--</v>
          </cell>
          <cell r="RBA1" t="str">
            <v>--</v>
          </cell>
          <cell r="RBB1" t="str">
            <v>--</v>
          </cell>
          <cell r="RBC1" t="str">
            <v>--</v>
          </cell>
          <cell r="RBD1" t="str">
            <v>--</v>
          </cell>
          <cell r="RBE1" t="str">
            <v>--</v>
          </cell>
          <cell r="RBF1" t="str">
            <v>--</v>
          </cell>
          <cell r="RBG1" t="str">
            <v>--</v>
          </cell>
          <cell r="RBH1" t="str">
            <v>--</v>
          </cell>
          <cell r="RBI1" t="str">
            <v>--</v>
          </cell>
          <cell r="RBJ1" t="str">
            <v>--</v>
          </cell>
          <cell r="RBK1" t="str">
            <v>--</v>
          </cell>
          <cell r="RBL1" t="str">
            <v>--</v>
          </cell>
          <cell r="RBM1" t="str">
            <v>--</v>
          </cell>
          <cell r="RBN1" t="str">
            <v>--</v>
          </cell>
          <cell r="RBO1" t="str">
            <v>--</v>
          </cell>
          <cell r="RBP1" t="str">
            <v>--</v>
          </cell>
          <cell r="RBQ1" t="str">
            <v>--</v>
          </cell>
          <cell r="RBR1" t="str">
            <v>--</v>
          </cell>
          <cell r="RBS1" t="str">
            <v>--</v>
          </cell>
          <cell r="RBT1" t="str">
            <v>--</v>
          </cell>
          <cell r="RBU1" t="str">
            <v>--</v>
          </cell>
          <cell r="RBV1" t="str">
            <v>--</v>
          </cell>
          <cell r="RBW1" t="str">
            <v>--</v>
          </cell>
          <cell r="RBX1" t="str">
            <v>--</v>
          </cell>
          <cell r="RBY1" t="str">
            <v>--</v>
          </cell>
          <cell r="RBZ1" t="str">
            <v>--</v>
          </cell>
          <cell r="RCA1" t="str">
            <v>--</v>
          </cell>
          <cell r="RCB1" t="str">
            <v>--</v>
          </cell>
          <cell r="RCC1" t="str">
            <v>--</v>
          </cell>
          <cell r="RCD1" t="str">
            <v>--</v>
          </cell>
          <cell r="RCE1" t="str">
            <v>--</v>
          </cell>
          <cell r="RCF1" t="str">
            <v>--</v>
          </cell>
          <cell r="RCG1" t="str">
            <v>--</v>
          </cell>
          <cell r="RCH1" t="str">
            <v>--</v>
          </cell>
          <cell r="RCI1" t="str">
            <v>--</v>
          </cell>
          <cell r="RCJ1" t="str">
            <v>--</v>
          </cell>
          <cell r="RCK1" t="str">
            <v>--</v>
          </cell>
          <cell r="RCL1" t="str">
            <v>--</v>
          </cell>
          <cell r="RCM1" t="str">
            <v>--</v>
          </cell>
          <cell r="RCN1" t="str">
            <v>--</v>
          </cell>
          <cell r="RCO1" t="str">
            <v>--</v>
          </cell>
          <cell r="RCP1" t="str">
            <v>--</v>
          </cell>
          <cell r="RCQ1" t="str">
            <v>--</v>
          </cell>
          <cell r="RCR1" t="str">
            <v>--</v>
          </cell>
          <cell r="RCS1" t="str">
            <v>--</v>
          </cell>
          <cell r="RCT1" t="str">
            <v>--</v>
          </cell>
          <cell r="RCU1" t="str">
            <v>--</v>
          </cell>
          <cell r="RCV1" t="str">
            <v>--</v>
          </cell>
          <cell r="RCW1" t="str">
            <v>--</v>
          </cell>
          <cell r="RCX1" t="str">
            <v>--</v>
          </cell>
          <cell r="RCY1" t="str">
            <v>--</v>
          </cell>
          <cell r="RCZ1" t="str">
            <v>--</v>
          </cell>
          <cell r="RDA1" t="str">
            <v>--</v>
          </cell>
          <cell r="RDB1" t="str">
            <v>--</v>
          </cell>
          <cell r="RDC1" t="str">
            <v>--</v>
          </cell>
          <cell r="RDD1" t="str">
            <v>--</v>
          </cell>
          <cell r="RDE1" t="str">
            <v>--</v>
          </cell>
          <cell r="RDF1" t="str">
            <v>--</v>
          </cell>
          <cell r="RDG1" t="str">
            <v>--</v>
          </cell>
          <cell r="RDH1" t="str">
            <v>--</v>
          </cell>
          <cell r="RDI1" t="str">
            <v>--</v>
          </cell>
          <cell r="RDJ1" t="str">
            <v>--</v>
          </cell>
          <cell r="RDK1" t="str">
            <v>--</v>
          </cell>
          <cell r="RDL1" t="str">
            <v>--</v>
          </cell>
          <cell r="RDM1" t="str">
            <v>--</v>
          </cell>
          <cell r="RDN1" t="str">
            <v>--</v>
          </cell>
          <cell r="RDO1" t="str">
            <v>--</v>
          </cell>
          <cell r="RDP1" t="str">
            <v>--</v>
          </cell>
          <cell r="RDQ1" t="str">
            <v>--</v>
          </cell>
          <cell r="RDR1" t="str">
            <v>--</v>
          </cell>
          <cell r="RDS1" t="str">
            <v>--</v>
          </cell>
          <cell r="RDT1" t="str">
            <v>--</v>
          </cell>
          <cell r="RDU1" t="str">
            <v>--</v>
          </cell>
          <cell r="RDV1" t="str">
            <v>--</v>
          </cell>
          <cell r="RDW1" t="str">
            <v>--</v>
          </cell>
          <cell r="RDX1" t="str">
            <v>--</v>
          </cell>
          <cell r="RDY1" t="str">
            <v>--</v>
          </cell>
          <cell r="RDZ1" t="str">
            <v>--</v>
          </cell>
          <cell r="REA1" t="str">
            <v>--</v>
          </cell>
          <cell r="REB1" t="str">
            <v>--</v>
          </cell>
          <cell r="REC1" t="str">
            <v>--</v>
          </cell>
          <cell r="RED1" t="str">
            <v>--</v>
          </cell>
          <cell r="REE1" t="str">
            <v>--</v>
          </cell>
          <cell r="REF1" t="str">
            <v>--</v>
          </cell>
          <cell r="REG1" t="str">
            <v>--</v>
          </cell>
          <cell r="REH1" t="str">
            <v>--</v>
          </cell>
          <cell r="REI1" t="str">
            <v>--</v>
          </cell>
          <cell r="REJ1" t="str">
            <v>--</v>
          </cell>
          <cell r="REK1" t="str">
            <v>--</v>
          </cell>
          <cell r="REL1" t="str">
            <v>--</v>
          </cell>
          <cell r="REM1" t="str">
            <v>--</v>
          </cell>
          <cell r="REN1" t="str">
            <v>--</v>
          </cell>
          <cell r="REO1" t="str">
            <v>--</v>
          </cell>
          <cell r="REP1" t="str">
            <v>--</v>
          </cell>
          <cell r="REQ1" t="str">
            <v>--</v>
          </cell>
          <cell r="RER1" t="str">
            <v>--</v>
          </cell>
          <cell r="RES1" t="str">
            <v>--</v>
          </cell>
          <cell r="RET1" t="str">
            <v>--</v>
          </cell>
          <cell r="REU1" t="str">
            <v>--</v>
          </cell>
          <cell r="REV1" t="str">
            <v>--</v>
          </cell>
          <cell r="REW1" t="str">
            <v>--</v>
          </cell>
          <cell r="REX1" t="str">
            <v>--</v>
          </cell>
          <cell r="REY1" t="str">
            <v>--</v>
          </cell>
          <cell r="REZ1" t="str">
            <v>--</v>
          </cell>
          <cell r="RFA1" t="str">
            <v>--</v>
          </cell>
          <cell r="RFB1" t="str">
            <v>--</v>
          </cell>
          <cell r="RFC1" t="str">
            <v>--</v>
          </cell>
          <cell r="RFD1" t="str">
            <v>--</v>
          </cell>
          <cell r="RFE1" t="str">
            <v>--</v>
          </cell>
          <cell r="RFF1" t="str">
            <v>--</v>
          </cell>
          <cell r="RFG1" t="str">
            <v>--</v>
          </cell>
          <cell r="RFH1" t="str">
            <v>--</v>
          </cell>
          <cell r="RFI1" t="str">
            <v>--</v>
          </cell>
          <cell r="RFJ1" t="str">
            <v>--</v>
          </cell>
          <cell r="RFK1" t="str">
            <v>--</v>
          </cell>
          <cell r="RFL1" t="str">
            <v>--</v>
          </cell>
          <cell r="RFM1" t="str">
            <v>--</v>
          </cell>
          <cell r="RFN1" t="str">
            <v>--</v>
          </cell>
          <cell r="RFO1" t="str">
            <v>--</v>
          </cell>
          <cell r="RFP1" t="str">
            <v>--</v>
          </cell>
          <cell r="RFQ1" t="str">
            <v>--</v>
          </cell>
          <cell r="RFR1" t="str">
            <v>--</v>
          </cell>
          <cell r="RFS1" t="str">
            <v>--</v>
          </cell>
          <cell r="RFT1" t="str">
            <v>--</v>
          </cell>
          <cell r="RFU1" t="str">
            <v>--</v>
          </cell>
          <cell r="RFV1" t="str">
            <v>--</v>
          </cell>
          <cell r="RFW1" t="str">
            <v>--</v>
          </cell>
          <cell r="RFX1" t="str">
            <v>--</v>
          </cell>
          <cell r="RFY1" t="str">
            <v>--</v>
          </cell>
          <cell r="RFZ1" t="str">
            <v>--</v>
          </cell>
          <cell r="RGA1" t="str">
            <v>--</v>
          </cell>
          <cell r="RGB1" t="str">
            <v>--</v>
          </cell>
          <cell r="RGC1" t="str">
            <v>--</v>
          </cell>
          <cell r="RGD1" t="str">
            <v>--</v>
          </cell>
          <cell r="RGE1" t="str">
            <v>--</v>
          </cell>
          <cell r="RGF1" t="str">
            <v>--</v>
          </cell>
          <cell r="RGG1" t="str">
            <v>--</v>
          </cell>
          <cell r="RGH1" t="str">
            <v>--</v>
          </cell>
          <cell r="RGI1" t="str">
            <v>--</v>
          </cell>
          <cell r="RGJ1" t="str">
            <v>--</v>
          </cell>
          <cell r="RGK1" t="str">
            <v>--</v>
          </cell>
          <cell r="RGL1" t="str">
            <v>--</v>
          </cell>
          <cell r="RGM1" t="str">
            <v>--</v>
          </cell>
          <cell r="RGN1" t="str">
            <v>--</v>
          </cell>
          <cell r="RGO1" t="str">
            <v>--</v>
          </cell>
          <cell r="RGP1" t="str">
            <v>--</v>
          </cell>
          <cell r="RGQ1" t="str">
            <v>--</v>
          </cell>
          <cell r="RGR1" t="str">
            <v>--</v>
          </cell>
          <cell r="RGS1" t="str">
            <v>--</v>
          </cell>
          <cell r="RGT1" t="str">
            <v>--</v>
          </cell>
          <cell r="RGU1" t="str">
            <v>--</v>
          </cell>
          <cell r="RGV1" t="str">
            <v>--</v>
          </cell>
          <cell r="RGW1" t="str">
            <v>--</v>
          </cell>
          <cell r="RGX1" t="str">
            <v>--</v>
          </cell>
          <cell r="RGY1" t="str">
            <v>--</v>
          </cell>
          <cell r="RGZ1" t="str">
            <v>--</v>
          </cell>
          <cell r="RHA1" t="str">
            <v>--</v>
          </cell>
          <cell r="RHB1" t="str">
            <v>--</v>
          </cell>
          <cell r="RHC1" t="str">
            <v>--</v>
          </cell>
          <cell r="RHD1" t="str">
            <v>--</v>
          </cell>
          <cell r="RHE1" t="str">
            <v>--</v>
          </cell>
          <cell r="RHF1" t="str">
            <v>--</v>
          </cell>
          <cell r="RHG1" t="str">
            <v>--</v>
          </cell>
          <cell r="RHH1" t="str">
            <v>--</v>
          </cell>
          <cell r="RHI1" t="str">
            <v>--</v>
          </cell>
          <cell r="RHJ1" t="str">
            <v>--</v>
          </cell>
          <cell r="RHK1" t="str">
            <v>--</v>
          </cell>
          <cell r="RHL1" t="str">
            <v>--</v>
          </cell>
          <cell r="RHM1" t="str">
            <v>--</v>
          </cell>
          <cell r="RHN1" t="str">
            <v>--</v>
          </cell>
          <cell r="RHO1" t="str">
            <v>--</v>
          </cell>
          <cell r="RHP1" t="str">
            <v>--</v>
          </cell>
          <cell r="RHQ1" t="str">
            <v>--</v>
          </cell>
          <cell r="RHR1" t="str">
            <v>--</v>
          </cell>
          <cell r="RHS1" t="str">
            <v>--</v>
          </cell>
          <cell r="RHT1" t="str">
            <v>--</v>
          </cell>
          <cell r="RHU1" t="str">
            <v>--</v>
          </cell>
          <cell r="RHV1" t="str">
            <v>--</v>
          </cell>
          <cell r="RHW1" t="str">
            <v>--</v>
          </cell>
          <cell r="RHX1" t="str">
            <v>--</v>
          </cell>
          <cell r="RHY1" t="str">
            <v>--</v>
          </cell>
          <cell r="RHZ1" t="str">
            <v>--</v>
          </cell>
          <cell r="RIA1" t="str">
            <v>--</v>
          </cell>
          <cell r="RIB1" t="str">
            <v>--</v>
          </cell>
          <cell r="RIC1" t="str">
            <v>--</v>
          </cell>
          <cell r="RID1" t="str">
            <v>--</v>
          </cell>
          <cell r="RIE1" t="str">
            <v>--</v>
          </cell>
          <cell r="RIF1" t="str">
            <v>--</v>
          </cell>
          <cell r="RIG1" t="str">
            <v>--</v>
          </cell>
          <cell r="RIH1" t="str">
            <v>--</v>
          </cell>
          <cell r="RII1" t="str">
            <v>--</v>
          </cell>
          <cell r="RIJ1" t="str">
            <v>--</v>
          </cell>
          <cell r="RIK1" t="str">
            <v>--</v>
          </cell>
          <cell r="RIL1" t="str">
            <v>--</v>
          </cell>
          <cell r="RIM1" t="str">
            <v>--</v>
          </cell>
          <cell r="RIN1" t="str">
            <v>--</v>
          </cell>
          <cell r="RIO1" t="str">
            <v>--</v>
          </cell>
          <cell r="RIP1" t="str">
            <v>--</v>
          </cell>
          <cell r="RIQ1" t="str">
            <v>--</v>
          </cell>
          <cell r="RIR1" t="str">
            <v>--</v>
          </cell>
          <cell r="RIS1" t="str">
            <v>--</v>
          </cell>
          <cell r="RIT1" t="str">
            <v>--</v>
          </cell>
          <cell r="RIU1" t="str">
            <v>--</v>
          </cell>
          <cell r="RIV1" t="str">
            <v>--</v>
          </cell>
          <cell r="RIW1" t="str">
            <v>--</v>
          </cell>
          <cell r="RIX1" t="str">
            <v>--</v>
          </cell>
          <cell r="RIY1" t="str">
            <v>--</v>
          </cell>
          <cell r="RIZ1" t="str">
            <v>--</v>
          </cell>
          <cell r="RJA1" t="str">
            <v>--</v>
          </cell>
          <cell r="RJB1" t="str">
            <v>--</v>
          </cell>
          <cell r="RJC1" t="str">
            <v>--</v>
          </cell>
          <cell r="RJD1" t="str">
            <v>--</v>
          </cell>
          <cell r="RJE1" t="str">
            <v>--</v>
          </cell>
          <cell r="RJF1" t="str">
            <v>--</v>
          </cell>
          <cell r="RJG1" t="str">
            <v>--</v>
          </cell>
          <cell r="RJH1" t="str">
            <v>--</v>
          </cell>
          <cell r="RJI1" t="str">
            <v>--</v>
          </cell>
          <cell r="RJJ1" t="str">
            <v>--</v>
          </cell>
          <cell r="RJK1" t="str">
            <v>--</v>
          </cell>
          <cell r="RJL1" t="str">
            <v>--</v>
          </cell>
          <cell r="RJM1" t="str">
            <v>--</v>
          </cell>
          <cell r="RJN1" t="str">
            <v>--</v>
          </cell>
          <cell r="RJO1" t="str">
            <v>--</v>
          </cell>
          <cell r="RJP1" t="str">
            <v>--</v>
          </cell>
          <cell r="RJQ1" t="str">
            <v>--</v>
          </cell>
          <cell r="RJR1" t="str">
            <v>--</v>
          </cell>
          <cell r="RJS1" t="str">
            <v>--</v>
          </cell>
          <cell r="RJT1" t="str">
            <v>--</v>
          </cell>
          <cell r="RJU1" t="str">
            <v>--</v>
          </cell>
          <cell r="RJV1" t="str">
            <v>--</v>
          </cell>
          <cell r="RJW1" t="str">
            <v>--</v>
          </cell>
          <cell r="RJX1" t="str">
            <v>--</v>
          </cell>
          <cell r="RJY1" t="str">
            <v>--</v>
          </cell>
          <cell r="RJZ1" t="str">
            <v>--</v>
          </cell>
          <cell r="RKA1" t="str">
            <v>--</v>
          </cell>
          <cell r="RKB1" t="str">
            <v>--</v>
          </cell>
          <cell r="RKC1" t="str">
            <v>--</v>
          </cell>
          <cell r="RKD1" t="str">
            <v>--</v>
          </cell>
          <cell r="RKE1" t="str">
            <v>--</v>
          </cell>
          <cell r="RKF1" t="str">
            <v>--</v>
          </cell>
          <cell r="RKG1" t="str">
            <v>--</v>
          </cell>
          <cell r="RKH1" t="str">
            <v>--</v>
          </cell>
          <cell r="RKI1" t="str">
            <v>--</v>
          </cell>
          <cell r="RKJ1" t="str">
            <v>--</v>
          </cell>
          <cell r="RKK1" t="str">
            <v>--</v>
          </cell>
          <cell r="RKL1" t="str">
            <v>--</v>
          </cell>
          <cell r="RKM1" t="str">
            <v>--</v>
          </cell>
          <cell r="RKN1" t="str">
            <v>--</v>
          </cell>
          <cell r="RKO1" t="str">
            <v>--</v>
          </cell>
          <cell r="RKP1" t="str">
            <v>--</v>
          </cell>
          <cell r="RKQ1" t="str">
            <v>--</v>
          </cell>
          <cell r="RKR1" t="str">
            <v>--</v>
          </cell>
          <cell r="RKS1" t="str">
            <v>--</v>
          </cell>
          <cell r="RKT1" t="str">
            <v>--</v>
          </cell>
          <cell r="RKU1" t="str">
            <v>--</v>
          </cell>
          <cell r="RKV1" t="str">
            <v>--</v>
          </cell>
          <cell r="RKW1" t="str">
            <v>--</v>
          </cell>
          <cell r="RKX1" t="str">
            <v>--</v>
          </cell>
          <cell r="RKY1" t="str">
            <v>--</v>
          </cell>
          <cell r="RKZ1" t="str">
            <v>--</v>
          </cell>
          <cell r="RLA1" t="str">
            <v>--</v>
          </cell>
          <cell r="RLB1" t="str">
            <v>--</v>
          </cell>
          <cell r="RLC1" t="str">
            <v>--</v>
          </cell>
          <cell r="RLD1" t="str">
            <v>--</v>
          </cell>
          <cell r="RLE1" t="str">
            <v>--</v>
          </cell>
          <cell r="RLF1" t="str">
            <v>--</v>
          </cell>
          <cell r="RLG1" t="str">
            <v>--</v>
          </cell>
          <cell r="RLH1" t="str">
            <v>--</v>
          </cell>
          <cell r="RLI1" t="str">
            <v>--</v>
          </cell>
          <cell r="RLJ1" t="str">
            <v>--</v>
          </cell>
          <cell r="RLK1" t="str">
            <v>--</v>
          </cell>
          <cell r="RLL1" t="str">
            <v>--</v>
          </cell>
          <cell r="RLM1" t="str">
            <v>--</v>
          </cell>
          <cell r="RLN1" t="str">
            <v>--</v>
          </cell>
          <cell r="RLO1" t="str">
            <v>--</v>
          </cell>
          <cell r="RLP1" t="str">
            <v>--</v>
          </cell>
          <cell r="RLQ1" t="str">
            <v>--</v>
          </cell>
          <cell r="RLR1" t="str">
            <v>--</v>
          </cell>
          <cell r="RLS1" t="str">
            <v>--</v>
          </cell>
          <cell r="RLT1" t="str">
            <v>--</v>
          </cell>
          <cell r="RLU1" t="str">
            <v>--</v>
          </cell>
          <cell r="RLV1" t="str">
            <v>--</v>
          </cell>
          <cell r="RLW1" t="str">
            <v>--</v>
          </cell>
          <cell r="RLX1" t="str">
            <v>--</v>
          </cell>
          <cell r="RLY1" t="str">
            <v>--</v>
          </cell>
          <cell r="RLZ1" t="str">
            <v>--</v>
          </cell>
          <cell r="RMA1" t="str">
            <v>--</v>
          </cell>
          <cell r="RMB1" t="str">
            <v>--</v>
          </cell>
          <cell r="RMC1" t="str">
            <v>--</v>
          </cell>
          <cell r="RMD1" t="str">
            <v>--</v>
          </cell>
          <cell r="RME1" t="str">
            <v>--</v>
          </cell>
          <cell r="RMF1" t="str">
            <v>--</v>
          </cell>
          <cell r="RMG1" t="str">
            <v>--</v>
          </cell>
          <cell r="RMH1" t="str">
            <v>--</v>
          </cell>
          <cell r="RMI1" t="str">
            <v>--</v>
          </cell>
          <cell r="RMJ1" t="str">
            <v>--</v>
          </cell>
          <cell r="RMK1" t="str">
            <v>--</v>
          </cell>
          <cell r="RML1" t="str">
            <v>--</v>
          </cell>
          <cell r="RMM1" t="str">
            <v>--</v>
          </cell>
          <cell r="RMN1" t="str">
            <v>--</v>
          </cell>
          <cell r="RMO1" t="str">
            <v>--</v>
          </cell>
          <cell r="RMP1" t="str">
            <v>--</v>
          </cell>
          <cell r="RMQ1" t="str">
            <v>--</v>
          </cell>
          <cell r="RMR1" t="str">
            <v>--</v>
          </cell>
          <cell r="RMS1" t="str">
            <v>--</v>
          </cell>
          <cell r="RMT1" t="str">
            <v>--</v>
          </cell>
          <cell r="RMU1" t="str">
            <v>--</v>
          </cell>
          <cell r="RMV1" t="str">
            <v>--</v>
          </cell>
          <cell r="RMW1" t="str">
            <v>--</v>
          </cell>
          <cell r="RMX1" t="str">
            <v>--</v>
          </cell>
          <cell r="RMY1" t="str">
            <v>--</v>
          </cell>
          <cell r="RMZ1" t="str">
            <v>--</v>
          </cell>
          <cell r="RNA1" t="str">
            <v>--</v>
          </cell>
          <cell r="RNB1" t="str">
            <v>--</v>
          </cell>
          <cell r="RNC1" t="str">
            <v>--</v>
          </cell>
          <cell r="RND1" t="str">
            <v>--</v>
          </cell>
          <cell r="RNE1" t="str">
            <v>--</v>
          </cell>
          <cell r="RNF1" t="str">
            <v>--</v>
          </cell>
          <cell r="RNG1" t="str">
            <v>--</v>
          </cell>
          <cell r="RNH1" t="str">
            <v>--</v>
          </cell>
          <cell r="RNI1" t="str">
            <v>--</v>
          </cell>
          <cell r="RNJ1" t="str">
            <v>--</v>
          </cell>
          <cell r="RNK1" t="str">
            <v>--</v>
          </cell>
          <cell r="RNL1" t="str">
            <v>--</v>
          </cell>
          <cell r="RNM1" t="str">
            <v>--</v>
          </cell>
          <cell r="RNN1" t="str">
            <v>--</v>
          </cell>
          <cell r="RNO1" t="str">
            <v>--</v>
          </cell>
          <cell r="RNP1" t="str">
            <v>--</v>
          </cell>
          <cell r="RNQ1" t="str">
            <v>--</v>
          </cell>
          <cell r="RNR1" t="str">
            <v>--</v>
          </cell>
          <cell r="RNS1" t="str">
            <v>--</v>
          </cell>
          <cell r="RNT1" t="str">
            <v>--</v>
          </cell>
          <cell r="RNU1" t="str">
            <v>--</v>
          </cell>
          <cell r="RNV1" t="str">
            <v>--</v>
          </cell>
          <cell r="RNW1" t="str">
            <v>--</v>
          </cell>
          <cell r="RNX1" t="str">
            <v>--</v>
          </cell>
          <cell r="RNY1" t="str">
            <v>--</v>
          </cell>
          <cell r="RNZ1" t="str">
            <v>--</v>
          </cell>
          <cell r="ROA1" t="str">
            <v>--</v>
          </cell>
          <cell r="ROB1" t="str">
            <v>--</v>
          </cell>
          <cell r="ROC1" t="str">
            <v>--</v>
          </cell>
          <cell r="ROD1" t="str">
            <v>--</v>
          </cell>
          <cell r="ROE1" t="str">
            <v>--</v>
          </cell>
          <cell r="ROF1" t="str">
            <v>--</v>
          </cell>
          <cell r="ROG1" t="str">
            <v>--</v>
          </cell>
          <cell r="ROH1" t="str">
            <v>--</v>
          </cell>
          <cell r="ROI1" t="str">
            <v>--</v>
          </cell>
          <cell r="ROJ1" t="str">
            <v>--</v>
          </cell>
          <cell r="ROK1" t="str">
            <v>--</v>
          </cell>
          <cell r="ROL1" t="str">
            <v>--</v>
          </cell>
          <cell r="ROM1" t="str">
            <v>--</v>
          </cell>
          <cell r="RON1" t="str">
            <v>--</v>
          </cell>
          <cell r="ROO1" t="str">
            <v>--</v>
          </cell>
          <cell r="ROP1" t="str">
            <v>--</v>
          </cell>
          <cell r="ROQ1" t="str">
            <v>--</v>
          </cell>
          <cell r="ROR1" t="str">
            <v>--</v>
          </cell>
          <cell r="ROS1" t="str">
            <v>--</v>
          </cell>
          <cell r="ROT1" t="str">
            <v>--</v>
          </cell>
          <cell r="ROU1" t="str">
            <v>--</v>
          </cell>
          <cell r="ROV1" t="str">
            <v>--</v>
          </cell>
          <cell r="ROW1" t="str">
            <v>--</v>
          </cell>
          <cell r="ROX1" t="str">
            <v>--</v>
          </cell>
          <cell r="ROY1" t="str">
            <v>--</v>
          </cell>
          <cell r="ROZ1" t="str">
            <v>--</v>
          </cell>
          <cell r="RPA1" t="str">
            <v>--</v>
          </cell>
          <cell r="RPB1" t="str">
            <v>--</v>
          </cell>
          <cell r="RPC1" t="str">
            <v>--</v>
          </cell>
          <cell r="RPD1" t="str">
            <v>--</v>
          </cell>
          <cell r="RPE1" t="str">
            <v>--</v>
          </cell>
          <cell r="RPF1" t="str">
            <v>--</v>
          </cell>
          <cell r="RPG1" t="str">
            <v>--</v>
          </cell>
          <cell r="RPH1" t="str">
            <v>--</v>
          </cell>
          <cell r="RPI1" t="str">
            <v>--</v>
          </cell>
          <cell r="RPJ1" t="str">
            <v>--</v>
          </cell>
          <cell r="RPK1" t="str">
            <v>--</v>
          </cell>
          <cell r="RPL1" t="str">
            <v>--</v>
          </cell>
          <cell r="RPM1" t="str">
            <v>--</v>
          </cell>
          <cell r="RPN1" t="str">
            <v>--</v>
          </cell>
          <cell r="RPO1" t="str">
            <v>--</v>
          </cell>
          <cell r="RPP1" t="str">
            <v>--</v>
          </cell>
          <cell r="RPQ1" t="str">
            <v>--</v>
          </cell>
          <cell r="RPR1" t="str">
            <v>--</v>
          </cell>
          <cell r="RPS1" t="str">
            <v>--</v>
          </cell>
          <cell r="RPT1" t="str">
            <v>--</v>
          </cell>
          <cell r="RPU1" t="str">
            <v>--</v>
          </cell>
          <cell r="RPV1" t="str">
            <v>--</v>
          </cell>
          <cell r="RPW1" t="str">
            <v>--</v>
          </cell>
          <cell r="RPX1" t="str">
            <v>--</v>
          </cell>
          <cell r="RPY1" t="str">
            <v>--</v>
          </cell>
          <cell r="RPZ1" t="str">
            <v>--</v>
          </cell>
          <cell r="RQA1" t="str">
            <v>--</v>
          </cell>
          <cell r="RQB1" t="str">
            <v>--</v>
          </cell>
          <cell r="RQC1" t="str">
            <v>--</v>
          </cell>
          <cell r="RQD1" t="str">
            <v>--</v>
          </cell>
          <cell r="RQE1" t="str">
            <v>--</v>
          </cell>
          <cell r="RQF1" t="str">
            <v>--</v>
          </cell>
          <cell r="RQG1" t="str">
            <v>--</v>
          </cell>
          <cell r="RQH1" t="str">
            <v>--</v>
          </cell>
          <cell r="RQI1" t="str">
            <v>--</v>
          </cell>
          <cell r="RQJ1" t="str">
            <v>--</v>
          </cell>
          <cell r="RQK1" t="str">
            <v>--</v>
          </cell>
          <cell r="RQL1" t="str">
            <v>--</v>
          </cell>
          <cell r="RQM1" t="str">
            <v>--</v>
          </cell>
          <cell r="RQN1" t="str">
            <v>--</v>
          </cell>
          <cell r="RQO1" t="str">
            <v>--</v>
          </cell>
          <cell r="RQP1" t="str">
            <v>--</v>
          </cell>
          <cell r="RQQ1" t="str">
            <v>--</v>
          </cell>
          <cell r="RQR1" t="str">
            <v>--</v>
          </cell>
          <cell r="RQS1" t="str">
            <v>--</v>
          </cell>
          <cell r="RQT1" t="str">
            <v>--</v>
          </cell>
          <cell r="RQU1" t="str">
            <v>--</v>
          </cell>
          <cell r="RQV1" t="str">
            <v>--</v>
          </cell>
          <cell r="RQW1" t="str">
            <v>--</v>
          </cell>
          <cell r="RQX1" t="str">
            <v>--</v>
          </cell>
          <cell r="RQY1" t="str">
            <v>--</v>
          </cell>
          <cell r="RQZ1" t="str">
            <v>--</v>
          </cell>
          <cell r="RRA1" t="str">
            <v>--</v>
          </cell>
          <cell r="RRB1" t="str">
            <v>--</v>
          </cell>
          <cell r="RRC1" t="str">
            <v>--</v>
          </cell>
          <cell r="RRD1" t="str">
            <v>--</v>
          </cell>
          <cell r="RRE1" t="str">
            <v>--</v>
          </cell>
          <cell r="RRF1" t="str">
            <v>--</v>
          </cell>
          <cell r="RRG1" t="str">
            <v>--</v>
          </cell>
          <cell r="RRH1" t="str">
            <v>--</v>
          </cell>
          <cell r="RRI1" t="str">
            <v>--</v>
          </cell>
          <cell r="RRJ1" t="str">
            <v>--</v>
          </cell>
          <cell r="RRK1" t="str">
            <v>--</v>
          </cell>
          <cell r="RRL1" t="str">
            <v>--</v>
          </cell>
          <cell r="RRM1" t="str">
            <v>--</v>
          </cell>
          <cell r="RRN1" t="str">
            <v>--</v>
          </cell>
          <cell r="RRO1" t="str">
            <v>--</v>
          </cell>
          <cell r="RRP1" t="str">
            <v>--</v>
          </cell>
          <cell r="RRQ1" t="str">
            <v>--</v>
          </cell>
          <cell r="RRR1" t="str">
            <v>--</v>
          </cell>
          <cell r="RRS1" t="str">
            <v>--</v>
          </cell>
          <cell r="RRT1" t="str">
            <v>--</v>
          </cell>
          <cell r="RRU1" t="str">
            <v>--</v>
          </cell>
          <cell r="RRV1" t="str">
            <v>--</v>
          </cell>
          <cell r="RRW1" t="str">
            <v>--</v>
          </cell>
          <cell r="RRX1" t="str">
            <v>--</v>
          </cell>
          <cell r="RRY1" t="str">
            <v>--</v>
          </cell>
          <cell r="RRZ1" t="str">
            <v>--</v>
          </cell>
          <cell r="RSA1" t="str">
            <v>--</v>
          </cell>
          <cell r="RSB1" t="str">
            <v>--</v>
          </cell>
          <cell r="RSC1" t="str">
            <v>--</v>
          </cell>
          <cell r="RSD1" t="str">
            <v>--</v>
          </cell>
          <cell r="RSE1" t="str">
            <v>--</v>
          </cell>
          <cell r="RSF1" t="str">
            <v>--</v>
          </cell>
          <cell r="RSG1" t="str">
            <v>--</v>
          </cell>
          <cell r="RSH1" t="str">
            <v>--</v>
          </cell>
          <cell r="RSI1" t="str">
            <v>--</v>
          </cell>
          <cell r="RSJ1" t="str">
            <v>--</v>
          </cell>
          <cell r="RSK1" t="str">
            <v>--</v>
          </cell>
          <cell r="RSL1" t="str">
            <v>--</v>
          </cell>
          <cell r="RSM1" t="str">
            <v>--</v>
          </cell>
          <cell r="RSN1" t="str">
            <v>--</v>
          </cell>
          <cell r="RSO1" t="str">
            <v>--</v>
          </cell>
          <cell r="RSP1" t="str">
            <v>--</v>
          </cell>
          <cell r="RSQ1" t="str">
            <v>--</v>
          </cell>
          <cell r="RSR1" t="str">
            <v>--</v>
          </cell>
          <cell r="RSS1" t="str">
            <v>--</v>
          </cell>
          <cell r="RST1" t="str">
            <v>--</v>
          </cell>
          <cell r="RSU1" t="str">
            <v>--</v>
          </cell>
          <cell r="RSV1" t="str">
            <v>--</v>
          </cell>
          <cell r="RSW1" t="str">
            <v>--</v>
          </cell>
          <cell r="RSX1" t="str">
            <v>--</v>
          </cell>
          <cell r="RSY1" t="str">
            <v>--</v>
          </cell>
          <cell r="RSZ1" t="str">
            <v>--</v>
          </cell>
          <cell r="RTA1" t="str">
            <v>--</v>
          </cell>
          <cell r="RTB1" t="str">
            <v>--</v>
          </cell>
          <cell r="RTC1" t="str">
            <v>--</v>
          </cell>
          <cell r="RTD1" t="str">
            <v>--</v>
          </cell>
          <cell r="RTE1" t="str">
            <v>--</v>
          </cell>
          <cell r="RTF1" t="str">
            <v>--</v>
          </cell>
          <cell r="RTG1" t="str">
            <v>--</v>
          </cell>
          <cell r="RTH1" t="str">
            <v>--</v>
          </cell>
          <cell r="RTI1" t="str">
            <v>--</v>
          </cell>
          <cell r="RTJ1" t="str">
            <v>--</v>
          </cell>
          <cell r="RTK1" t="str">
            <v>--</v>
          </cell>
          <cell r="RTL1" t="str">
            <v>--</v>
          </cell>
          <cell r="RTM1" t="str">
            <v>--</v>
          </cell>
          <cell r="RTN1" t="str">
            <v>--</v>
          </cell>
          <cell r="RTO1" t="str">
            <v>--</v>
          </cell>
          <cell r="RTP1" t="str">
            <v>--</v>
          </cell>
          <cell r="RTQ1" t="str">
            <v>--</v>
          </cell>
          <cell r="RTR1" t="str">
            <v>--</v>
          </cell>
          <cell r="RTS1" t="str">
            <v>--</v>
          </cell>
          <cell r="RTT1" t="str">
            <v>--</v>
          </cell>
          <cell r="RTU1" t="str">
            <v>--</v>
          </cell>
          <cell r="RTV1" t="str">
            <v>--</v>
          </cell>
          <cell r="RTW1" t="str">
            <v>--</v>
          </cell>
          <cell r="RTX1" t="str">
            <v>--</v>
          </cell>
          <cell r="RTY1" t="str">
            <v>--</v>
          </cell>
          <cell r="RTZ1" t="str">
            <v>--</v>
          </cell>
          <cell r="RUA1" t="str">
            <v>--</v>
          </cell>
          <cell r="RUB1" t="str">
            <v>--</v>
          </cell>
          <cell r="RUC1" t="str">
            <v>--</v>
          </cell>
          <cell r="RUD1" t="str">
            <v>--</v>
          </cell>
          <cell r="RUE1" t="str">
            <v>--</v>
          </cell>
          <cell r="RUF1" t="str">
            <v>--</v>
          </cell>
          <cell r="RUG1" t="str">
            <v>--</v>
          </cell>
          <cell r="RUH1" t="str">
            <v>--</v>
          </cell>
          <cell r="RUI1" t="str">
            <v>--</v>
          </cell>
          <cell r="RUJ1" t="str">
            <v>--</v>
          </cell>
          <cell r="RUK1" t="str">
            <v>--</v>
          </cell>
          <cell r="RUL1" t="str">
            <v>--</v>
          </cell>
          <cell r="RUM1" t="str">
            <v>--</v>
          </cell>
          <cell r="RUN1" t="str">
            <v>--</v>
          </cell>
          <cell r="RUO1" t="str">
            <v>--</v>
          </cell>
          <cell r="RUP1" t="str">
            <v>--</v>
          </cell>
          <cell r="RUQ1" t="str">
            <v>--</v>
          </cell>
          <cell r="RUR1" t="str">
            <v>--</v>
          </cell>
          <cell r="RUS1" t="str">
            <v>--</v>
          </cell>
          <cell r="RUT1" t="str">
            <v>--</v>
          </cell>
          <cell r="RUU1" t="str">
            <v>--</v>
          </cell>
          <cell r="RUV1" t="str">
            <v>--</v>
          </cell>
          <cell r="RUW1" t="str">
            <v>--</v>
          </cell>
          <cell r="RUX1" t="str">
            <v>--</v>
          </cell>
          <cell r="RUY1" t="str">
            <v>--</v>
          </cell>
          <cell r="RUZ1" t="str">
            <v>--</v>
          </cell>
          <cell r="RVA1" t="str">
            <v>--</v>
          </cell>
          <cell r="RVB1" t="str">
            <v>--</v>
          </cell>
          <cell r="RVC1" t="str">
            <v>--</v>
          </cell>
          <cell r="RVD1" t="str">
            <v>--</v>
          </cell>
          <cell r="RVE1" t="str">
            <v>--</v>
          </cell>
          <cell r="RVF1" t="str">
            <v>--</v>
          </cell>
          <cell r="RVG1" t="str">
            <v>--</v>
          </cell>
          <cell r="RVH1" t="str">
            <v>--</v>
          </cell>
          <cell r="RVI1" t="str">
            <v>--</v>
          </cell>
          <cell r="RVJ1" t="str">
            <v>--</v>
          </cell>
          <cell r="RVK1" t="str">
            <v>--</v>
          </cell>
          <cell r="RVL1" t="str">
            <v>--</v>
          </cell>
          <cell r="RVM1" t="str">
            <v>--</v>
          </cell>
          <cell r="RVN1" t="str">
            <v>--</v>
          </cell>
          <cell r="RVO1" t="str">
            <v>--</v>
          </cell>
          <cell r="RVP1" t="str">
            <v>--</v>
          </cell>
          <cell r="RVQ1" t="str">
            <v>--</v>
          </cell>
          <cell r="RVR1" t="str">
            <v>--</v>
          </cell>
          <cell r="RVS1" t="str">
            <v>--</v>
          </cell>
          <cell r="RVT1" t="str">
            <v>--</v>
          </cell>
          <cell r="RVU1" t="str">
            <v>--</v>
          </cell>
          <cell r="RVV1" t="str">
            <v>--</v>
          </cell>
          <cell r="RVW1" t="str">
            <v>--</v>
          </cell>
          <cell r="RVX1" t="str">
            <v>--</v>
          </cell>
          <cell r="RVY1" t="str">
            <v>--</v>
          </cell>
          <cell r="RVZ1" t="str">
            <v>--</v>
          </cell>
          <cell r="RWA1" t="str">
            <v>--</v>
          </cell>
          <cell r="RWB1" t="str">
            <v>--</v>
          </cell>
          <cell r="RWC1" t="str">
            <v>--</v>
          </cell>
          <cell r="RWD1" t="str">
            <v>--</v>
          </cell>
          <cell r="RWE1" t="str">
            <v>--</v>
          </cell>
          <cell r="RWF1" t="str">
            <v>--</v>
          </cell>
          <cell r="RWG1" t="str">
            <v>--</v>
          </cell>
          <cell r="RWH1" t="str">
            <v>--</v>
          </cell>
          <cell r="RWI1" t="str">
            <v>--</v>
          </cell>
          <cell r="RWJ1" t="str">
            <v>--</v>
          </cell>
          <cell r="RWK1" t="str">
            <v>--</v>
          </cell>
          <cell r="RWL1" t="str">
            <v>--</v>
          </cell>
          <cell r="RWM1" t="str">
            <v>--</v>
          </cell>
          <cell r="RWN1" t="str">
            <v>--</v>
          </cell>
          <cell r="RWO1" t="str">
            <v>--</v>
          </cell>
          <cell r="RWP1" t="str">
            <v>--</v>
          </cell>
          <cell r="RWQ1" t="str">
            <v>--</v>
          </cell>
          <cell r="RWR1" t="str">
            <v>--</v>
          </cell>
          <cell r="RWS1" t="str">
            <v>--</v>
          </cell>
          <cell r="RWT1" t="str">
            <v>--</v>
          </cell>
          <cell r="RWU1" t="str">
            <v>--</v>
          </cell>
          <cell r="RWV1" t="str">
            <v>--</v>
          </cell>
          <cell r="RWW1" t="str">
            <v>--</v>
          </cell>
          <cell r="RWX1" t="str">
            <v>--</v>
          </cell>
          <cell r="RWY1" t="str">
            <v>--</v>
          </cell>
          <cell r="RWZ1" t="str">
            <v>--</v>
          </cell>
          <cell r="RXA1" t="str">
            <v>--</v>
          </cell>
          <cell r="RXB1" t="str">
            <v>--</v>
          </cell>
          <cell r="RXC1" t="str">
            <v>--</v>
          </cell>
          <cell r="RXD1" t="str">
            <v>--</v>
          </cell>
          <cell r="RXE1" t="str">
            <v>--</v>
          </cell>
          <cell r="RXF1" t="str">
            <v>--</v>
          </cell>
          <cell r="RXG1" t="str">
            <v>--</v>
          </cell>
          <cell r="RXH1" t="str">
            <v>--</v>
          </cell>
          <cell r="RXI1" t="str">
            <v>--</v>
          </cell>
          <cell r="RXJ1" t="str">
            <v>--</v>
          </cell>
          <cell r="RXK1" t="str">
            <v>--</v>
          </cell>
          <cell r="RXL1" t="str">
            <v>--</v>
          </cell>
          <cell r="RXM1" t="str">
            <v>--</v>
          </cell>
          <cell r="RXN1" t="str">
            <v>--</v>
          </cell>
          <cell r="RXO1" t="str">
            <v>--</v>
          </cell>
          <cell r="RXP1" t="str">
            <v>--</v>
          </cell>
          <cell r="RXQ1" t="str">
            <v>--</v>
          </cell>
          <cell r="RXR1" t="str">
            <v>--</v>
          </cell>
          <cell r="RXS1" t="str">
            <v>--</v>
          </cell>
          <cell r="RXT1" t="str">
            <v>--</v>
          </cell>
          <cell r="RXU1" t="str">
            <v>--</v>
          </cell>
          <cell r="RXV1" t="str">
            <v>--</v>
          </cell>
          <cell r="RXW1" t="str">
            <v>--</v>
          </cell>
          <cell r="RXX1" t="str">
            <v>--</v>
          </cell>
          <cell r="RXY1" t="str">
            <v>--</v>
          </cell>
          <cell r="RXZ1" t="str">
            <v>--</v>
          </cell>
          <cell r="RYA1" t="str">
            <v>--</v>
          </cell>
          <cell r="RYB1" t="str">
            <v>--</v>
          </cell>
          <cell r="RYC1" t="str">
            <v>--</v>
          </cell>
          <cell r="RYD1" t="str">
            <v>--</v>
          </cell>
          <cell r="RYE1" t="str">
            <v>--</v>
          </cell>
          <cell r="RYF1" t="str">
            <v>--</v>
          </cell>
          <cell r="RYG1" t="str">
            <v>--</v>
          </cell>
          <cell r="RYH1" t="str">
            <v>--</v>
          </cell>
          <cell r="RYI1" t="str">
            <v>--</v>
          </cell>
          <cell r="RYJ1" t="str">
            <v>--</v>
          </cell>
          <cell r="RYK1" t="str">
            <v>--</v>
          </cell>
          <cell r="RYL1" t="str">
            <v>--</v>
          </cell>
          <cell r="RYM1" t="str">
            <v>--</v>
          </cell>
          <cell r="RYN1" t="str">
            <v>--</v>
          </cell>
          <cell r="RYO1" t="str">
            <v>--</v>
          </cell>
          <cell r="RYP1" t="str">
            <v>--</v>
          </cell>
          <cell r="RYQ1" t="str">
            <v>--</v>
          </cell>
          <cell r="RYR1" t="str">
            <v>--</v>
          </cell>
          <cell r="RYS1" t="str">
            <v>--</v>
          </cell>
          <cell r="RYT1" t="str">
            <v>--</v>
          </cell>
          <cell r="RYU1" t="str">
            <v>--</v>
          </cell>
          <cell r="RYV1" t="str">
            <v>--</v>
          </cell>
          <cell r="RYW1" t="str">
            <v>--</v>
          </cell>
          <cell r="RYX1" t="str">
            <v>--</v>
          </cell>
          <cell r="RYY1" t="str">
            <v>--</v>
          </cell>
          <cell r="RYZ1" t="str">
            <v>--</v>
          </cell>
          <cell r="RZA1" t="str">
            <v>--</v>
          </cell>
          <cell r="RZB1" t="str">
            <v>--</v>
          </cell>
          <cell r="RZC1" t="str">
            <v>--</v>
          </cell>
          <cell r="RZD1" t="str">
            <v>--</v>
          </cell>
          <cell r="RZE1" t="str">
            <v>--</v>
          </cell>
          <cell r="RZF1" t="str">
            <v>--</v>
          </cell>
          <cell r="RZG1" t="str">
            <v>--</v>
          </cell>
          <cell r="RZH1" t="str">
            <v>--</v>
          </cell>
          <cell r="RZI1" t="str">
            <v>--</v>
          </cell>
          <cell r="RZJ1" t="str">
            <v>--</v>
          </cell>
          <cell r="RZK1" t="str">
            <v>--</v>
          </cell>
          <cell r="RZL1" t="str">
            <v>--</v>
          </cell>
          <cell r="RZM1" t="str">
            <v>--</v>
          </cell>
          <cell r="RZN1" t="str">
            <v>--</v>
          </cell>
          <cell r="RZO1" t="str">
            <v>--</v>
          </cell>
          <cell r="RZP1" t="str">
            <v>--</v>
          </cell>
          <cell r="RZQ1" t="str">
            <v>--</v>
          </cell>
          <cell r="RZR1" t="str">
            <v>--</v>
          </cell>
          <cell r="RZS1" t="str">
            <v>--</v>
          </cell>
          <cell r="RZT1" t="str">
            <v>--</v>
          </cell>
          <cell r="RZU1" t="str">
            <v>--</v>
          </cell>
          <cell r="RZV1" t="str">
            <v>--</v>
          </cell>
          <cell r="RZW1" t="str">
            <v>--</v>
          </cell>
          <cell r="RZX1" t="str">
            <v>--</v>
          </cell>
          <cell r="RZY1" t="str">
            <v>--</v>
          </cell>
          <cell r="RZZ1" t="str">
            <v>--</v>
          </cell>
          <cell r="SAA1" t="str">
            <v>--</v>
          </cell>
          <cell r="SAB1" t="str">
            <v>--</v>
          </cell>
          <cell r="SAC1" t="str">
            <v>--</v>
          </cell>
          <cell r="SAD1" t="str">
            <v>--</v>
          </cell>
          <cell r="SAE1" t="str">
            <v>--</v>
          </cell>
          <cell r="SAF1" t="str">
            <v>--</v>
          </cell>
          <cell r="SAG1" t="str">
            <v>--</v>
          </cell>
          <cell r="SAH1" t="str">
            <v>--</v>
          </cell>
          <cell r="SAI1" t="str">
            <v>--</v>
          </cell>
          <cell r="SAJ1" t="str">
            <v>--</v>
          </cell>
          <cell r="SAK1" t="str">
            <v>--</v>
          </cell>
          <cell r="SAL1" t="str">
            <v>--</v>
          </cell>
          <cell r="SAM1" t="str">
            <v>--</v>
          </cell>
          <cell r="SAN1" t="str">
            <v>--</v>
          </cell>
          <cell r="SAO1" t="str">
            <v>--</v>
          </cell>
          <cell r="SAP1" t="str">
            <v>--</v>
          </cell>
          <cell r="SAQ1" t="str">
            <v>--</v>
          </cell>
          <cell r="SAR1" t="str">
            <v>--</v>
          </cell>
          <cell r="SAS1" t="str">
            <v>--</v>
          </cell>
          <cell r="SAT1" t="str">
            <v>--</v>
          </cell>
          <cell r="SAU1" t="str">
            <v>--</v>
          </cell>
          <cell r="SAV1" t="str">
            <v>--</v>
          </cell>
          <cell r="SAW1" t="str">
            <v>--</v>
          </cell>
          <cell r="SAX1" t="str">
            <v>--</v>
          </cell>
          <cell r="SAY1" t="str">
            <v>--</v>
          </cell>
          <cell r="SAZ1" t="str">
            <v>--</v>
          </cell>
          <cell r="SBA1" t="str">
            <v>--</v>
          </cell>
          <cell r="SBB1" t="str">
            <v>--</v>
          </cell>
          <cell r="SBC1" t="str">
            <v>--</v>
          </cell>
          <cell r="SBD1" t="str">
            <v>--</v>
          </cell>
          <cell r="SBE1" t="str">
            <v>--</v>
          </cell>
          <cell r="SBF1" t="str">
            <v>--</v>
          </cell>
          <cell r="SBG1" t="str">
            <v>--</v>
          </cell>
          <cell r="SBH1" t="str">
            <v>--</v>
          </cell>
          <cell r="SBI1" t="str">
            <v>--</v>
          </cell>
          <cell r="SBJ1" t="str">
            <v>--</v>
          </cell>
          <cell r="SBK1" t="str">
            <v>--</v>
          </cell>
          <cell r="SBL1" t="str">
            <v>--</v>
          </cell>
          <cell r="SBM1" t="str">
            <v>--</v>
          </cell>
          <cell r="SBN1" t="str">
            <v>--</v>
          </cell>
          <cell r="SBO1" t="str">
            <v>--</v>
          </cell>
          <cell r="SBP1" t="str">
            <v>--</v>
          </cell>
          <cell r="SBQ1" t="str">
            <v>--</v>
          </cell>
          <cell r="SBR1" t="str">
            <v>--</v>
          </cell>
          <cell r="SBS1" t="str">
            <v>--</v>
          </cell>
          <cell r="SBT1" t="str">
            <v>--</v>
          </cell>
          <cell r="SBU1" t="str">
            <v>--</v>
          </cell>
          <cell r="SBV1" t="str">
            <v>--</v>
          </cell>
          <cell r="SBW1" t="str">
            <v>--</v>
          </cell>
          <cell r="SBX1" t="str">
            <v>--</v>
          </cell>
          <cell r="SBY1" t="str">
            <v>--</v>
          </cell>
          <cell r="SBZ1" t="str">
            <v>--</v>
          </cell>
          <cell r="SCA1" t="str">
            <v>--</v>
          </cell>
          <cell r="SCB1" t="str">
            <v>--</v>
          </cell>
          <cell r="SCC1" t="str">
            <v>--</v>
          </cell>
          <cell r="SCD1" t="str">
            <v>--</v>
          </cell>
          <cell r="SCE1" t="str">
            <v>--</v>
          </cell>
          <cell r="SCF1" t="str">
            <v>--</v>
          </cell>
          <cell r="SCG1" t="str">
            <v>--</v>
          </cell>
          <cell r="SCH1" t="str">
            <v>--</v>
          </cell>
          <cell r="SCI1" t="str">
            <v>--</v>
          </cell>
          <cell r="SCJ1" t="str">
            <v>--</v>
          </cell>
          <cell r="SCK1" t="str">
            <v>--</v>
          </cell>
          <cell r="SCL1" t="str">
            <v>--</v>
          </cell>
          <cell r="SCM1" t="str">
            <v>--</v>
          </cell>
          <cell r="SCN1" t="str">
            <v>--</v>
          </cell>
          <cell r="SCO1" t="str">
            <v>--</v>
          </cell>
          <cell r="SCP1" t="str">
            <v>--</v>
          </cell>
          <cell r="SCQ1" t="str">
            <v>--</v>
          </cell>
          <cell r="SCR1" t="str">
            <v>--</v>
          </cell>
          <cell r="SCS1" t="str">
            <v>--</v>
          </cell>
          <cell r="SCT1" t="str">
            <v>--</v>
          </cell>
          <cell r="SCU1" t="str">
            <v>--</v>
          </cell>
          <cell r="SCV1" t="str">
            <v>--</v>
          </cell>
          <cell r="SCW1" t="str">
            <v>--</v>
          </cell>
          <cell r="SCX1" t="str">
            <v>--</v>
          </cell>
          <cell r="SCY1" t="str">
            <v>--</v>
          </cell>
          <cell r="SCZ1" t="str">
            <v>--</v>
          </cell>
          <cell r="SDA1" t="str">
            <v>--</v>
          </cell>
          <cell r="SDB1" t="str">
            <v>--</v>
          </cell>
          <cell r="SDC1" t="str">
            <v>--</v>
          </cell>
          <cell r="SDD1" t="str">
            <v>--</v>
          </cell>
          <cell r="SDE1" t="str">
            <v>--</v>
          </cell>
          <cell r="SDF1" t="str">
            <v>--</v>
          </cell>
          <cell r="SDG1" t="str">
            <v>--</v>
          </cell>
          <cell r="SDH1" t="str">
            <v>--</v>
          </cell>
          <cell r="SDI1" t="str">
            <v>--</v>
          </cell>
          <cell r="SDJ1" t="str">
            <v>--</v>
          </cell>
          <cell r="SDK1" t="str">
            <v>--</v>
          </cell>
          <cell r="SDL1" t="str">
            <v>--</v>
          </cell>
          <cell r="SDM1" t="str">
            <v>--</v>
          </cell>
          <cell r="SDN1" t="str">
            <v>--</v>
          </cell>
          <cell r="SDO1" t="str">
            <v>--</v>
          </cell>
          <cell r="SDP1" t="str">
            <v>--</v>
          </cell>
          <cell r="SDQ1" t="str">
            <v>--</v>
          </cell>
          <cell r="SDR1" t="str">
            <v>--</v>
          </cell>
          <cell r="SDS1" t="str">
            <v>--</v>
          </cell>
          <cell r="SDT1" t="str">
            <v>--</v>
          </cell>
          <cell r="SDU1" t="str">
            <v>--</v>
          </cell>
          <cell r="SDV1" t="str">
            <v>--</v>
          </cell>
          <cell r="SDW1" t="str">
            <v>--</v>
          </cell>
          <cell r="SDX1" t="str">
            <v>--</v>
          </cell>
          <cell r="SDY1" t="str">
            <v>--</v>
          </cell>
          <cell r="SDZ1" t="str">
            <v>--</v>
          </cell>
          <cell r="SEA1" t="str">
            <v>--</v>
          </cell>
          <cell r="SEB1" t="str">
            <v>--</v>
          </cell>
          <cell r="SEC1" t="str">
            <v>--</v>
          </cell>
          <cell r="SED1" t="str">
            <v>--</v>
          </cell>
          <cell r="SEE1" t="str">
            <v>--</v>
          </cell>
          <cell r="SEF1" t="str">
            <v>--</v>
          </cell>
          <cell r="SEG1" t="str">
            <v>--</v>
          </cell>
          <cell r="SEH1" t="str">
            <v>--</v>
          </cell>
          <cell r="SEI1" t="str">
            <v>--</v>
          </cell>
          <cell r="SEJ1" t="str">
            <v>--</v>
          </cell>
          <cell r="SEK1" t="str">
            <v>--</v>
          </cell>
          <cell r="SEL1" t="str">
            <v>--</v>
          </cell>
          <cell r="SEM1" t="str">
            <v>--</v>
          </cell>
          <cell r="SEN1" t="str">
            <v>--</v>
          </cell>
          <cell r="SEO1" t="str">
            <v>--</v>
          </cell>
          <cell r="SEP1" t="str">
            <v>--</v>
          </cell>
          <cell r="SEQ1" t="str">
            <v>--</v>
          </cell>
          <cell r="SER1" t="str">
            <v>--</v>
          </cell>
          <cell r="SES1" t="str">
            <v>--</v>
          </cell>
          <cell r="SET1" t="str">
            <v>--</v>
          </cell>
          <cell r="SEU1" t="str">
            <v>--</v>
          </cell>
          <cell r="SEV1" t="str">
            <v>--</v>
          </cell>
          <cell r="SEW1" t="str">
            <v>--</v>
          </cell>
          <cell r="SEX1" t="str">
            <v>--</v>
          </cell>
          <cell r="SEY1" t="str">
            <v>--</v>
          </cell>
          <cell r="SEZ1" t="str">
            <v>--</v>
          </cell>
          <cell r="SFA1" t="str">
            <v>--</v>
          </cell>
          <cell r="SFB1" t="str">
            <v>--</v>
          </cell>
          <cell r="SFC1" t="str">
            <v>--</v>
          </cell>
          <cell r="SFD1" t="str">
            <v>--</v>
          </cell>
          <cell r="SFE1" t="str">
            <v>--</v>
          </cell>
          <cell r="SFF1" t="str">
            <v>--</v>
          </cell>
          <cell r="SFG1" t="str">
            <v>--</v>
          </cell>
          <cell r="SFH1" t="str">
            <v>--</v>
          </cell>
          <cell r="SFI1" t="str">
            <v>--</v>
          </cell>
          <cell r="SFJ1" t="str">
            <v>--</v>
          </cell>
          <cell r="SFK1" t="str">
            <v>--</v>
          </cell>
          <cell r="SFL1" t="str">
            <v>--</v>
          </cell>
          <cell r="SFM1" t="str">
            <v>--</v>
          </cell>
          <cell r="SFN1" t="str">
            <v>--</v>
          </cell>
          <cell r="SFO1" t="str">
            <v>--</v>
          </cell>
          <cell r="SFP1" t="str">
            <v>--</v>
          </cell>
          <cell r="SFQ1" t="str">
            <v>--</v>
          </cell>
          <cell r="SFR1" t="str">
            <v>--</v>
          </cell>
          <cell r="SFS1" t="str">
            <v>--</v>
          </cell>
          <cell r="SFT1" t="str">
            <v>--</v>
          </cell>
          <cell r="SFU1" t="str">
            <v>--</v>
          </cell>
          <cell r="SFV1" t="str">
            <v>--</v>
          </cell>
          <cell r="SFW1" t="str">
            <v>--</v>
          </cell>
          <cell r="SFX1" t="str">
            <v>--</v>
          </cell>
          <cell r="SFY1" t="str">
            <v>--</v>
          </cell>
          <cell r="SFZ1" t="str">
            <v>--</v>
          </cell>
          <cell r="SGA1" t="str">
            <v>--</v>
          </cell>
          <cell r="SGB1" t="str">
            <v>--</v>
          </cell>
          <cell r="SGC1" t="str">
            <v>--</v>
          </cell>
          <cell r="SGD1" t="str">
            <v>--</v>
          </cell>
          <cell r="SGE1" t="str">
            <v>--</v>
          </cell>
          <cell r="SGF1" t="str">
            <v>--</v>
          </cell>
          <cell r="SGG1" t="str">
            <v>--</v>
          </cell>
          <cell r="SGH1" t="str">
            <v>--</v>
          </cell>
          <cell r="SGI1" t="str">
            <v>--</v>
          </cell>
          <cell r="SGJ1" t="str">
            <v>--</v>
          </cell>
          <cell r="SGK1" t="str">
            <v>--</v>
          </cell>
          <cell r="SGL1" t="str">
            <v>--</v>
          </cell>
          <cell r="SGM1" t="str">
            <v>--</v>
          </cell>
          <cell r="SGN1" t="str">
            <v>--</v>
          </cell>
          <cell r="SGO1" t="str">
            <v>--</v>
          </cell>
          <cell r="SGP1" t="str">
            <v>--</v>
          </cell>
          <cell r="SGQ1" t="str">
            <v>--</v>
          </cell>
          <cell r="SGR1" t="str">
            <v>--</v>
          </cell>
          <cell r="SGS1" t="str">
            <v>--</v>
          </cell>
          <cell r="SGT1" t="str">
            <v>--</v>
          </cell>
          <cell r="SGU1" t="str">
            <v>--</v>
          </cell>
          <cell r="SGV1" t="str">
            <v>--</v>
          </cell>
          <cell r="SGW1" t="str">
            <v>--</v>
          </cell>
          <cell r="SGX1" t="str">
            <v>--</v>
          </cell>
          <cell r="SGY1" t="str">
            <v>--</v>
          </cell>
          <cell r="SGZ1" t="str">
            <v>--</v>
          </cell>
          <cell r="SHA1" t="str">
            <v>--</v>
          </cell>
          <cell r="SHB1" t="str">
            <v>--</v>
          </cell>
          <cell r="SHC1" t="str">
            <v>--</v>
          </cell>
          <cell r="SHD1" t="str">
            <v>--</v>
          </cell>
          <cell r="SHE1" t="str">
            <v>--</v>
          </cell>
          <cell r="SHF1" t="str">
            <v>--</v>
          </cell>
          <cell r="SHG1" t="str">
            <v>--</v>
          </cell>
          <cell r="SHH1" t="str">
            <v>--</v>
          </cell>
          <cell r="SHI1" t="str">
            <v>--</v>
          </cell>
          <cell r="SHJ1" t="str">
            <v>--</v>
          </cell>
          <cell r="SHK1" t="str">
            <v>--</v>
          </cell>
          <cell r="SHL1" t="str">
            <v>--</v>
          </cell>
          <cell r="SHM1" t="str">
            <v>--</v>
          </cell>
          <cell r="SHN1" t="str">
            <v>--</v>
          </cell>
          <cell r="SHO1" t="str">
            <v>--</v>
          </cell>
          <cell r="SHP1" t="str">
            <v>--</v>
          </cell>
          <cell r="SHQ1" t="str">
            <v>--</v>
          </cell>
          <cell r="SHR1" t="str">
            <v>--</v>
          </cell>
          <cell r="SHS1" t="str">
            <v>--</v>
          </cell>
          <cell r="SHT1" t="str">
            <v>--</v>
          </cell>
          <cell r="SHU1" t="str">
            <v>--</v>
          </cell>
          <cell r="SHV1" t="str">
            <v>--</v>
          </cell>
          <cell r="SHW1" t="str">
            <v>--</v>
          </cell>
          <cell r="SHX1" t="str">
            <v>--</v>
          </cell>
          <cell r="SHY1" t="str">
            <v>--</v>
          </cell>
          <cell r="SHZ1" t="str">
            <v>--</v>
          </cell>
          <cell r="SIA1" t="str">
            <v>--</v>
          </cell>
          <cell r="SIB1" t="str">
            <v>--</v>
          </cell>
          <cell r="SIC1" t="str">
            <v>--</v>
          </cell>
          <cell r="SID1" t="str">
            <v>--</v>
          </cell>
          <cell r="SIE1" t="str">
            <v>--</v>
          </cell>
          <cell r="SIF1" t="str">
            <v>--</v>
          </cell>
          <cell r="SIG1" t="str">
            <v>--</v>
          </cell>
          <cell r="SIH1" t="str">
            <v>--</v>
          </cell>
          <cell r="SII1" t="str">
            <v>--</v>
          </cell>
          <cell r="SIJ1" t="str">
            <v>--</v>
          </cell>
          <cell r="SIK1" t="str">
            <v>--</v>
          </cell>
          <cell r="SIL1" t="str">
            <v>--</v>
          </cell>
          <cell r="SIM1" t="str">
            <v>--</v>
          </cell>
          <cell r="SIN1" t="str">
            <v>--</v>
          </cell>
          <cell r="SIO1" t="str">
            <v>--</v>
          </cell>
          <cell r="SIP1" t="str">
            <v>--</v>
          </cell>
          <cell r="SIQ1" t="str">
            <v>--</v>
          </cell>
          <cell r="SIR1" t="str">
            <v>--</v>
          </cell>
          <cell r="SIS1" t="str">
            <v>--</v>
          </cell>
          <cell r="SIT1" t="str">
            <v>--</v>
          </cell>
          <cell r="SIU1" t="str">
            <v>--</v>
          </cell>
          <cell r="SIV1" t="str">
            <v>--</v>
          </cell>
          <cell r="SIW1" t="str">
            <v>--</v>
          </cell>
          <cell r="SIX1" t="str">
            <v>--</v>
          </cell>
          <cell r="SIY1" t="str">
            <v>--</v>
          </cell>
          <cell r="SIZ1" t="str">
            <v>--</v>
          </cell>
          <cell r="SJA1" t="str">
            <v>--</v>
          </cell>
          <cell r="SJB1" t="str">
            <v>--</v>
          </cell>
          <cell r="SJC1" t="str">
            <v>--</v>
          </cell>
          <cell r="SJD1" t="str">
            <v>--</v>
          </cell>
          <cell r="SJE1" t="str">
            <v>--</v>
          </cell>
          <cell r="SJF1" t="str">
            <v>--</v>
          </cell>
          <cell r="SJG1" t="str">
            <v>--</v>
          </cell>
          <cell r="SJH1" t="str">
            <v>--</v>
          </cell>
          <cell r="SJI1" t="str">
            <v>--</v>
          </cell>
          <cell r="SJJ1" t="str">
            <v>--</v>
          </cell>
          <cell r="SJK1" t="str">
            <v>--</v>
          </cell>
          <cell r="SJL1" t="str">
            <v>--</v>
          </cell>
          <cell r="SJM1" t="str">
            <v>--</v>
          </cell>
          <cell r="SJN1" t="str">
            <v>--</v>
          </cell>
          <cell r="SJO1" t="str">
            <v>--</v>
          </cell>
          <cell r="SJP1" t="str">
            <v>--</v>
          </cell>
          <cell r="SJQ1" t="str">
            <v>--</v>
          </cell>
          <cell r="SJR1" t="str">
            <v>--</v>
          </cell>
          <cell r="SJS1" t="str">
            <v>--</v>
          </cell>
          <cell r="SJT1" t="str">
            <v>--</v>
          </cell>
          <cell r="SJU1" t="str">
            <v>--</v>
          </cell>
          <cell r="SJV1" t="str">
            <v>--</v>
          </cell>
          <cell r="SJW1" t="str">
            <v>--</v>
          </cell>
          <cell r="SJX1" t="str">
            <v>--</v>
          </cell>
          <cell r="SJY1" t="str">
            <v>--</v>
          </cell>
          <cell r="SJZ1" t="str">
            <v>--</v>
          </cell>
          <cell r="SKA1" t="str">
            <v>--</v>
          </cell>
          <cell r="SKB1" t="str">
            <v>--</v>
          </cell>
          <cell r="SKC1" t="str">
            <v>--</v>
          </cell>
          <cell r="SKD1" t="str">
            <v>--</v>
          </cell>
          <cell r="SKE1" t="str">
            <v>--</v>
          </cell>
          <cell r="SKF1" t="str">
            <v>--</v>
          </cell>
          <cell r="SKG1" t="str">
            <v>--</v>
          </cell>
          <cell r="SKH1" t="str">
            <v>--</v>
          </cell>
          <cell r="SKI1" t="str">
            <v>--</v>
          </cell>
          <cell r="SKJ1" t="str">
            <v>--</v>
          </cell>
          <cell r="SKK1" t="str">
            <v>--</v>
          </cell>
          <cell r="SKL1" t="str">
            <v>--</v>
          </cell>
          <cell r="SKM1" t="str">
            <v>--</v>
          </cell>
          <cell r="SKN1" t="str">
            <v>--</v>
          </cell>
          <cell r="SKO1" t="str">
            <v>--</v>
          </cell>
          <cell r="SKP1" t="str">
            <v>--</v>
          </cell>
          <cell r="SKQ1" t="str">
            <v>--</v>
          </cell>
          <cell r="SKR1" t="str">
            <v>--</v>
          </cell>
          <cell r="SKS1" t="str">
            <v>--</v>
          </cell>
          <cell r="SKT1" t="str">
            <v>--</v>
          </cell>
          <cell r="SKU1" t="str">
            <v>--</v>
          </cell>
          <cell r="SKV1" t="str">
            <v>--</v>
          </cell>
          <cell r="SKW1" t="str">
            <v>--</v>
          </cell>
          <cell r="SKX1" t="str">
            <v>--</v>
          </cell>
          <cell r="SKY1" t="str">
            <v>--</v>
          </cell>
          <cell r="SKZ1" t="str">
            <v>--</v>
          </cell>
          <cell r="SLA1" t="str">
            <v>--</v>
          </cell>
          <cell r="SLB1" t="str">
            <v>--</v>
          </cell>
          <cell r="SLC1" t="str">
            <v>--</v>
          </cell>
          <cell r="SLD1" t="str">
            <v>--</v>
          </cell>
          <cell r="SLE1" t="str">
            <v>--</v>
          </cell>
          <cell r="SLF1" t="str">
            <v>--</v>
          </cell>
          <cell r="SLG1" t="str">
            <v>--</v>
          </cell>
          <cell r="SLH1" t="str">
            <v>--</v>
          </cell>
          <cell r="SLI1" t="str">
            <v>--</v>
          </cell>
          <cell r="SLJ1" t="str">
            <v>--</v>
          </cell>
          <cell r="SLK1" t="str">
            <v>--</v>
          </cell>
          <cell r="SLL1" t="str">
            <v>--</v>
          </cell>
          <cell r="SLM1" t="str">
            <v>--</v>
          </cell>
          <cell r="SLN1" t="str">
            <v>--</v>
          </cell>
          <cell r="SLO1" t="str">
            <v>--</v>
          </cell>
          <cell r="SLP1" t="str">
            <v>--</v>
          </cell>
          <cell r="SLQ1" t="str">
            <v>--</v>
          </cell>
          <cell r="SLR1" t="str">
            <v>--</v>
          </cell>
          <cell r="SLS1" t="str">
            <v>--</v>
          </cell>
          <cell r="SLT1" t="str">
            <v>--</v>
          </cell>
          <cell r="SLU1" t="str">
            <v>--</v>
          </cell>
          <cell r="SLV1" t="str">
            <v>--</v>
          </cell>
          <cell r="SLW1" t="str">
            <v>--</v>
          </cell>
          <cell r="SLX1" t="str">
            <v>--</v>
          </cell>
          <cell r="SLY1" t="str">
            <v>--</v>
          </cell>
          <cell r="SLZ1" t="str">
            <v>--</v>
          </cell>
          <cell r="SMA1" t="str">
            <v>--</v>
          </cell>
          <cell r="SMB1" t="str">
            <v>--</v>
          </cell>
          <cell r="SMC1" t="str">
            <v>--</v>
          </cell>
          <cell r="SMD1" t="str">
            <v>--</v>
          </cell>
          <cell r="SME1" t="str">
            <v>--</v>
          </cell>
          <cell r="SMF1" t="str">
            <v>--</v>
          </cell>
          <cell r="SMG1" t="str">
            <v>--</v>
          </cell>
          <cell r="SMH1" t="str">
            <v>--</v>
          </cell>
          <cell r="SMI1" t="str">
            <v>--</v>
          </cell>
          <cell r="SMJ1" t="str">
            <v>--</v>
          </cell>
          <cell r="SMK1" t="str">
            <v>--</v>
          </cell>
          <cell r="SML1" t="str">
            <v>--</v>
          </cell>
          <cell r="SMM1" t="str">
            <v>--</v>
          </cell>
          <cell r="SMN1" t="str">
            <v>--</v>
          </cell>
          <cell r="SMO1" t="str">
            <v>--</v>
          </cell>
          <cell r="SMP1" t="str">
            <v>--</v>
          </cell>
          <cell r="SMQ1" t="str">
            <v>--</v>
          </cell>
          <cell r="SMR1" t="str">
            <v>--</v>
          </cell>
          <cell r="SMS1" t="str">
            <v>--</v>
          </cell>
          <cell r="SMT1" t="str">
            <v>--</v>
          </cell>
          <cell r="SMU1" t="str">
            <v>--</v>
          </cell>
          <cell r="SMV1" t="str">
            <v>--</v>
          </cell>
          <cell r="SMW1" t="str">
            <v>--</v>
          </cell>
          <cell r="SMX1" t="str">
            <v>--</v>
          </cell>
          <cell r="SMY1" t="str">
            <v>--</v>
          </cell>
          <cell r="SMZ1" t="str">
            <v>--</v>
          </cell>
          <cell r="SNA1" t="str">
            <v>--</v>
          </cell>
          <cell r="SNB1" t="str">
            <v>--</v>
          </cell>
          <cell r="SNC1" t="str">
            <v>--</v>
          </cell>
          <cell r="SND1" t="str">
            <v>--</v>
          </cell>
          <cell r="SNE1" t="str">
            <v>--</v>
          </cell>
          <cell r="SNF1" t="str">
            <v>--</v>
          </cell>
          <cell r="SNG1" t="str">
            <v>--</v>
          </cell>
          <cell r="SNH1" t="str">
            <v>--</v>
          </cell>
          <cell r="SNI1" t="str">
            <v>--</v>
          </cell>
          <cell r="SNJ1" t="str">
            <v>--</v>
          </cell>
          <cell r="SNK1" t="str">
            <v>--</v>
          </cell>
          <cell r="SNL1" t="str">
            <v>--</v>
          </cell>
          <cell r="SNM1" t="str">
            <v>--</v>
          </cell>
          <cell r="SNN1" t="str">
            <v>--</v>
          </cell>
          <cell r="SNO1" t="str">
            <v>--</v>
          </cell>
          <cell r="SNP1" t="str">
            <v>--</v>
          </cell>
          <cell r="SNQ1" t="str">
            <v>--</v>
          </cell>
          <cell r="SNR1" t="str">
            <v>--</v>
          </cell>
          <cell r="SNS1" t="str">
            <v>--</v>
          </cell>
          <cell r="SNT1" t="str">
            <v>--</v>
          </cell>
          <cell r="SNU1" t="str">
            <v>--</v>
          </cell>
          <cell r="SNV1" t="str">
            <v>--</v>
          </cell>
          <cell r="SNW1" t="str">
            <v>--</v>
          </cell>
          <cell r="SNX1" t="str">
            <v>--</v>
          </cell>
          <cell r="SNY1" t="str">
            <v>--</v>
          </cell>
          <cell r="SNZ1" t="str">
            <v>--</v>
          </cell>
          <cell r="SOA1" t="str">
            <v>--</v>
          </cell>
          <cell r="SOB1" t="str">
            <v>--</v>
          </cell>
          <cell r="SOC1" t="str">
            <v>--</v>
          </cell>
          <cell r="SOD1" t="str">
            <v>--</v>
          </cell>
          <cell r="SOE1" t="str">
            <v>--</v>
          </cell>
          <cell r="SOF1" t="str">
            <v>--</v>
          </cell>
          <cell r="SOG1" t="str">
            <v>--</v>
          </cell>
          <cell r="SOH1" t="str">
            <v>--</v>
          </cell>
          <cell r="SOI1" t="str">
            <v>--</v>
          </cell>
          <cell r="SOJ1" t="str">
            <v>--</v>
          </cell>
          <cell r="SOK1" t="str">
            <v>--</v>
          </cell>
          <cell r="SOL1" t="str">
            <v>--</v>
          </cell>
          <cell r="SOM1" t="str">
            <v>--</v>
          </cell>
          <cell r="SON1" t="str">
            <v>--</v>
          </cell>
          <cell r="SOO1" t="str">
            <v>--</v>
          </cell>
          <cell r="SOP1" t="str">
            <v>--</v>
          </cell>
          <cell r="SOQ1" t="str">
            <v>--</v>
          </cell>
          <cell r="SOR1" t="str">
            <v>--</v>
          </cell>
          <cell r="SOS1" t="str">
            <v>--</v>
          </cell>
          <cell r="SOT1" t="str">
            <v>--</v>
          </cell>
          <cell r="SOU1" t="str">
            <v>--</v>
          </cell>
          <cell r="SOV1" t="str">
            <v>--</v>
          </cell>
          <cell r="SOW1" t="str">
            <v>--</v>
          </cell>
          <cell r="SOX1" t="str">
            <v>--</v>
          </cell>
          <cell r="SOY1" t="str">
            <v>--</v>
          </cell>
          <cell r="SOZ1" t="str">
            <v>--</v>
          </cell>
          <cell r="SPA1" t="str">
            <v>--</v>
          </cell>
          <cell r="SPB1" t="str">
            <v>--</v>
          </cell>
          <cell r="SPC1" t="str">
            <v>--</v>
          </cell>
          <cell r="SPD1" t="str">
            <v>--</v>
          </cell>
          <cell r="SPE1" t="str">
            <v>--</v>
          </cell>
          <cell r="SPF1" t="str">
            <v>--</v>
          </cell>
          <cell r="SPG1" t="str">
            <v>--</v>
          </cell>
          <cell r="SPH1" t="str">
            <v>--</v>
          </cell>
          <cell r="SPI1" t="str">
            <v>--</v>
          </cell>
          <cell r="SPJ1" t="str">
            <v>--</v>
          </cell>
          <cell r="SPK1" t="str">
            <v>--</v>
          </cell>
          <cell r="SPL1" t="str">
            <v>--</v>
          </cell>
          <cell r="SPM1" t="str">
            <v>--</v>
          </cell>
          <cell r="SPN1" t="str">
            <v>--</v>
          </cell>
          <cell r="SPO1" t="str">
            <v>--</v>
          </cell>
          <cell r="SPP1" t="str">
            <v>--</v>
          </cell>
          <cell r="SPQ1" t="str">
            <v>--</v>
          </cell>
          <cell r="SPR1" t="str">
            <v>--</v>
          </cell>
          <cell r="SPS1" t="str">
            <v>--</v>
          </cell>
          <cell r="SPT1" t="str">
            <v>--</v>
          </cell>
          <cell r="SPU1" t="str">
            <v>--</v>
          </cell>
          <cell r="SPV1" t="str">
            <v>--</v>
          </cell>
          <cell r="SPW1" t="str">
            <v>--</v>
          </cell>
          <cell r="SPX1" t="str">
            <v>--</v>
          </cell>
          <cell r="SPY1" t="str">
            <v>--</v>
          </cell>
          <cell r="SPZ1" t="str">
            <v>--</v>
          </cell>
          <cell r="SQA1" t="str">
            <v>--</v>
          </cell>
          <cell r="SQB1" t="str">
            <v>--</v>
          </cell>
          <cell r="SQC1" t="str">
            <v>--</v>
          </cell>
          <cell r="SQD1" t="str">
            <v>--</v>
          </cell>
          <cell r="SQE1" t="str">
            <v>--</v>
          </cell>
          <cell r="SQF1" t="str">
            <v>--</v>
          </cell>
          <cell r="SQG1" t="str">
            <v>--</v>
          </cell>
          <cell r="SQH1" t="str">
            <v>--</v>
          </cell>
          <cell r="SQI1" t="str">
            <v>--</v>
          </cell>
          <cell r="SQJ1" t="str">
            <v>--</v>
          </cell>
          <cell r="SQK1" t="str">
            <v>--</v>
          </cell>
          <cell r="SQL1" t="str">
            <v>--</v>
          </cell>
          <cell r="SQM1" t="str">
            <v>--</v>
          </cell>
          <cell r="SQN1" t="str">
            <v>--</v>
          </cell>
          <cell r="SQO1" t="str">
            <v>--</v>
          </cell>
          <cell r="SQP1" t="str">
            <v>--</v>
          </cell>
          <cell r="SQQ1" t="str">
            <v>--</v>
          </cell>
          <cell r="SQR1" t="str">
            <v>--</v>
          </cell>
          <cell r="SQS1" t="str">
            <v>--</v>
          </cell>
          <cell r="SQT1" t="str">
            <v>--</v>
          </cell>
          <cell r="SQU1" t="str">
            <v>--</v>
          </cell>
          <cell r="SQV1" t="str">
            <v>--</v>
          </cell>
          <cell r="SQW1" t="str">
            <v>--</v>
          </cell>
          <cell r="SQX1" t="str">
            <v>--</v>
          </cell>
          <cell r="SQY1" t="str">
            <v>--</v>
          </cell>
          <cell r="SQZ1" t="str">
            <v>--</v>
          </cell>
          <cell r="SRA1" t="str">
            <v>--</v>
          </cell>
          <cell r="SRB1" t="str">
            <v>--</v>
          </cell>
          <cell r="SRC1" t="str">
            <v>--</v>
          </cell>
          <cell r="SRD1" t="str">
            <v>--</v>
          </cell>
          <cell r="SRE1" t="str">
            <v>--</v>
          </cell>
          <cell r="SRF1" t="str">
            <v>--</v>
          </cell>
          <cell r="SRG1" t="str">
            <v>--</v>
          </cell>
          <cell r="SRH1" t="str">
            <v>--</v>
          </cell>
          <cell r="SRI1" t="str">
            <v>--</v>
          </cell>
          <cell r="SRJ1" t="str">
            <v>--</v>
          </cell>
          <cell r="SRK1" t="str">
            <v>--</v>
          </cell>
          <cell r="SRL1" t="str">
            <v>--</v>
          </cell>
          <cell r="SRM1" t="str">
            <v>--</v>
          </cell>
          <cell r="SRN1" t="str">
            <v>--</v>
          </cell>
          <cell r="SRO1" t="str">
            <v>--</v>
          </cell>
          <cell r="SRP1" t="str">
            <v>--</v>
          </cell>
          <cell r="SRQ1" t="str">
            <v>--</v>
          </cell>
          <cell r="SRR1" t="str">
            <v>--</v>
          </cell>
          <cell r="SRS1" t="str">
            <v>--</v>
          </cell>
          <cell r="SRT1" t="str">
            <v>--</v>
          </cell>
          <cell r="SRU1" t="str">
            <v>--</v>
          </cell>
          <cell r="SRV1" t="str">
            <v>--</v>
          </cell>
          <cell r="SRW1" t="str">
            <v>--</v>
          </cell>
          <cell r="SRX1" t="str">
            <v>--</v>
          </cell>
          <cell r="SRY1" t="str">
            <v>--</v>
          </cell>
          <cell r="SRZ1" t="str">
            <v>--</v>
          </cell>
          <cell r="SSA1" t="str">
            <v>--</v>
          </cell>
          <cell r="SSB1" t="str">
            <v>--</v>
          </cell>
          <cell r="SSC1" t="str">
            <v>--</v>
          </cell>
          <cell r="SSD1" t="str">
            <v>--</v>
          </cell>
          <cell r="SSE1" t="str">
            <v>--</v>
          </cell>
          <cell r="SSF1" t="str">
            <v>--</v>
          </cell>
          <cell r="SSG1" t="str">
            <v>--</v>
          </cell>
          <cell r="SSH1" t="str">
            <v>--</v>
          </cell>
          <cell r="SSI1" t="str">
            <v>--</v>
          </cell>
          <cell r="SSJ1" t="str">
            <v>--</v>
          </cell>
          <cell r="SSK1" t="str">
            <v>--</v>
          </cell>
          <cell r="SSL1" t="str">
            <v>--</v>
          </cell>
          <cell r="SSM1" t="str">
            <v>--</v>
          </cell>
          <cell r="SSN1" t="str">
            <v>--</v>
          </cell>
          <cell r="SSO1" t="str">
            <v>--</v>
          </cell>
          <cell r="SSP1" t="str">
            <v>--</v>
          </cell>
          <cell r="SSQ1" t="str">
            <v>--</v>
          </cell>
          <cell r="SSR1" t="str">
            <v>--</v>
          </cell>
          <cell r="SSS1" t="str">
            <v>--</v>
          </cell>
          <cell r="SST1" t="str">
            <v>--</v>
          </cell>
          <cell r="SSU1" t="str">
            <v>--</v>
          </cell>
          <cell r="SSV1" t="str">
            <v>--</v>
          </cell>
          <cell r="SSW1" t="str">
            <v>--</v>
          </cell>
          <cell r="SSX1" t="str">
            <v>--</v>
          </cell>
          <cell r="SSY1" t="str">
            <v>--</v>
          </cell>
          <cell r="SSZ1" t="str">
            <v>--</v>
          </cell>
          <cell r="STA1" t="str">
            <v>--</v>
          </cell>
          <cell r="STB1" t="str">
            <v>--</v>
          </cell>
          <cell r="STC1" t="str">
            <v>--</v>
          </cell>
          <cell r="STD1" t="str">
            <v>--</v>
          </cell>
          <cell r="STE1" t="str">
            <v>--</v>
          </cell>
          <cell r="STF1" t="str">
            <v>--</v>
          </cell>
          <cell r="STG1" t="str">
            <v>--</v>
          </cell>
          <cell r="STH1" t="str">
            <v>--</v>
          </cell>
          <cell r="STI1" t="str">
            <v>--</v>
          </cell>
          <cell r="STJ1" t="str">
            <v>--</v>
          </cell>
          <cell r="STK1" t="str">
            <v>--</v>
          </cell>
          <cell r="STL1" t="str">
            <v>--</v>
          </cell>
          <cell r="STM1" t="str">
            <v>--</v>
          </cell>
          <cell r="STN1" t="str">
            <v>--</v>
          </cell>
          <cell r="STO1" t="str">
            <v>--</v>
          </cell>
          <cell r="STP1" t="str">
            <v>--</v>
          </cell>
          <cell r="STQ1" t="str">
            <v>--</v>
          </cell>
          <cell r="STR1" t="str">
            <v>--</v>
          </cell>
          <cell r="STS1" t="str">
            <v>--</v>
          </cell>
          <cell r="STT1" t="str">
            <v>--</v>
          </cell>
          <cell r="STU1" t="str">
            <v>--</v>
          </cell>
          <cell r="STV1" t="str">
            <v>--</v>
          </cell>
          <cell r="STW1" t="str">
            <v>--</v>
          </cell>
          <cell r="STX1" t="str">
            <v>--</v>
          </cell>
          <cell r="STY1" t="str">
            <v>--</v>
          </cell>
          <cell r="STZ1" t="str">
            <v>--</v>
          </cell>
          <cell r="SUA1" t="str">
            <v>--</v>
          </cell>
          <cell r="SUB1" t="str">
            <v>--</v>
          </cell>
          <cell r="SUC1" t="str">
            <v>--</v>
          </cell>
          <cell r="SUD1" t="str">
            <v>--</v>
          </cell>
          <cell r="SUE1" t="str">
            <v>--</v>
          </cell>
          <cell r="SUF1" t="str">
            <v>--</v>
          </cell>
          <cell r="SUG1" t="str">
            <v>--</v>
          </cell>
          <cell r="SUH1" t="str">
            <v>--</v>
          </cell>
          <cell r="SUI1" t="str">
            <v>--</v>
          </cell>
          <cell r="SUJ1" t="str">
            <v>--</v>
          </cell>
          <cell r="SUK1" t="str">
            <v>--</v>
          </cell>
          <cell r="SUL1" t="str">
            <v>--</v>
          </cell>
          <cell r="SUM1" t="str">
            <v>--</v>
          </cell>
          <cell r="SUN1" t="str">
            <v>--</v>
          </cell>
          <cell r="SUO1" t="str">
            <v>--</v>
          </cell>
          <cell r="SUP1" t="str">
            <v>--</v>
          </cell>
          <cell r="SUQ1" t="str">
            <v>--</v>
          </cell>
          <cell r="SUR1" t="str">
            <v>--</v>
          </cell>
          <cell r="SUS1" t="str">
            <v>--</v>
          </cell>
          <cell r="SUT1" t="str">
            <v>--</v>
          </cell>
          <cell r="SUU1" t="str">
            <v>--</v>
          </cell>
          <cell r="SUV1" t="str">
            <v>--</v>
          </cell>
          <cell r="SUW1" t="str">
            <v>--</v>
          </cell>
          <cell r="SUX1" t="str">
            <v>--</v>
          </cell>
          <cell r="SUY1" t="str">
            <v>--</v>
          </cell>
          <cell r="SUZ1" t="str">
            <v>--</v>
          </cell>
          <cell r="SVA1" t="str">
            <v>--</v>
          </cell>
          <cell r="SVB1" t="str">
            <v>--</v>
          </cell>
          <cell r="SVC1" t="str">
            <v>--</v>
          </cell>
          <cell r="SVD1" t="str">
            <v>--</v>
          </cell>
          <cell r="SVE1" t="str">
            <v>--</v>
          </cell>
          <cell r="SVF1" t="str">
            <v>--</v>
          </cell>
          <cell r="SVG1" t="str">
            <v>--</v>
          </cell>
          <cell r="SVH1" t="str">
            <v>--</v>
          </cell>
          <cell r="SVI1" t="str">
            <v>--</v>
          </cell>
          <cell r="SVJ1" t="str">
            <v>--</v>
          </cell>
          <cell r="SVK1" t="str">
            <v>--</v>
          </cell>
          <cell r="SVL1" t="str">
            <v>--</v>
          </cell>
          <cell r="SVM1" t="str">
            <v>--</v>
          </cell>
          <cell r="SVN1" t="str">
            <v>--</v>
          </cell>
          <cell r="SVO1" t="str">
            <v>--</v>
          </cell>
          <cell r="SVP1" t="str">
            <v>--</v>
          </cell>
          <cell r="SVQ1" t="str">
            <v>--</v>
          </cell>
          <cell r="SVR1" t="str">
            <v>--</v>
          </cell>
          <cell r="SVS1" t="str">
            <v>--</v>
          </cell>
          <cell r="SVT1" t="str">
            <v>--</v>
          </cell>
          <cell r="SVU1" t="str">
            <v>--</v>
          </cell>
          <cell r="SVV1" t="str">
            <v>--</v>
          </cell>
          <cell r="SVW1" t="str">
            <v>--</v>
          </cell>
          <cell r="SVX1" t="str">
            <v>--</v>
          </cell>
          <cell r="SVY1" t="str">
            <v>--</v>
          </cell>
          <cell r="SVZ1" t="str">
            <v>--</v>
          </cell>
          <cell r="SWA1" t="str">
            <v>--</v>
          </cell>
          <cell r="SWB1" t="str">
            <v>--</v>
          </cell>
          <cell r="SWC1" t="str">
            <v>--</v>
          </cell>
          <cell r="SWD1" t="str">
            <v>--</v>
          </cell>
          <cell r="SWE1" t="str">
            <v>--</v>
          </cell>
          <cell r="SWF1" t="str">
            <v>--</v>
          </cell>
          <cell r="SWG1" t="str">
            <v>--</v>
          </cell>
          <cell r="SWH1" t="str">
            <v>--</v>
          </cell>
          <cell r="SWI1" t="str">
            <v>--</v>
          </cell>
          <cell r="SWJ1" t="str">
            <v>--</v>
          </cell>
          <cell r="SWK1" t="str">
            <v>--</v>
          </cell>
          <cell r="SWL1" t="str">
            <v>--</v>
          </cell>
          <cell r="SWM1" t="str">
            <v>--</v>
          </cell>
          <cell r="SWN1" t="str">
            <v>--</v>
          </cell>
          <cell r="SWO1" t="str">
            <v>--</v>
          </cell>
          <cell r="SWP1" t="str">
            <v>--</v>
          </cell>
          <cell r="SWQ1" t="str">
            <v>--</v>
          </cell>
          <cell r="SWR1" t="str">
            <v>--</v>
          </cell>
          <cell r="SWS1" t="str">
            <v>--</v>
          </cell>
          <cell r="SWT1" t="str">
            <v>--</v>
          </cell>
          <cell r="SWU1" t="str">
            <v>--</v>
          </cell>
          <cell r="SWV1" t="str">
            <v>--</v>
          </cell>
          <cell r="SWW1" t="str">
            <v>--</v>
          </cell>
          <cell r="SWX1" t="str">
            <v>--</v>
          </cell>
          <cell r="SWY1" t="str">
            <v>--</v>
          </cell>
          <cell r="SWZ1" t="str">
            <v>--</v>
          </cell>
          <cell r="SXA1" t="str">
            <v>--</v>
          </cell>
          <cell r="SXB1" t="str">
            <v>--</v>
          </cell>
          <cell r="SXC1" t="str">
            <v>--</v>
          </cell>
          <cell r="SXD1" t="str">
            <v>--</v>
          </cell>
          <cell r="SXE1" t="str">
            <v>--</v>
          </cell>
          <cell r="SXF1" t="str">
            <v>--</v>
          </cell>
          <cell r="SXG1" t="str">
            <v>--</v>
          </cell>
          <cell r="SXH1" t="str">
            <v>--</v>
          </cell>
          <cell r="SXI1" t="str">
            <v>--</v>
          </cell>
          <cell r="SXJ1" t="str">
            <v>--</v>
          </cell>
          <cell r="SXK1" t="str">
            <v>--</v>
          </cell>
          <cell r="SXL1" t="str">
            <v>--</v>
          </cell>
          <cell r="SXM1" t="str">
            <v>--</v>
          </cell>
          <cell r="SXN1" t="str">
            <v>--</v>
          </cell>
          <cell r="SXO1" t="str">
            <v>--</v>
          </cell>
          <cell r="SXP1" t="str">
            <v>--</v>
          </cell>
          <cell r="SXQ1" t="str">
            <v>--</v>
          </cell>
          <cell r="SXR1" t="str">
            <v>--</v>
          </cell>
          <cell r="SXS1" t="str">
            <v>--</v>
          </cell>
          <cell r="SXT1" t="str">
            <v>--</v>
          </cell>
          <cell r="SXU1" t="str">
            <v>--</v>
          </cell>
          <cell r="SXV1" t="str">
            <v>--</v>
          </cell>
          <cell r="SXW1" t="str">
            <v>--</v>
          </cell>
          <cell r="SXX1" t="str">
            <v>--</v>
          </cell>
          <cell r="SXY1" t="str">
            <v>--</v>
          </cell>
          <cell r="SXZ1" t="str">
            <v>--</v>
          </cell>
          <cell r="SYA1" t="str">
            <v>--</v>
          </cell>
          <cell r="SYB1" t="str">
            <v>--</v>
          </cell>
          <cell r="SYC1" t="str">
            <v>--</v>
          </cell>
          <cell r="SYD1" t="str">
            <v>--</v>
          </cell>
          <cell r="SYE1" t="str">
            <v>--</v>
          </cell>
          <cell r="SYF1" t="str">
            <v>--</v>
          </cell>
          <cell r="SYG1" t="str">
            <v>--</v>
          </cell>
          <cell r="SYH1" t="str">
            <v>--</v>
          </cell>
          <cell r="SYI1" t="str">
            <v>--</v>
          </cell>
          <cell r="SYJ1" t="str">
            <v>--</v>
          </cell>
          <cell r="SYK1" t="str">
            <v>--</v>
          </cell>
          <cell r="SYL1" t="str">
            <v>--</v>
          </cell>
          <cell r="SYM1" t="str">
            <v>--</v>
          </cell>
          <cell r="SYN1" t="str">
            <v>--</v>
          </cell>
          <cell r="SYO1" t="str">
            <v>--</v>
          </cell>
          <cell r="SYP1" t="str">
            <v>--</v>
          </cell>
          <cell r="SYQ1" t="str">
            <v>--</v>
          </cell>
          <cell r="SYR1" t="str">
            <v>--</v>
          </cell>
          <cell r="SYS1" t="str">
            <v>--</v>
          </cell>
          <cell r="SYT1" t="str">
            <v>--</v>
          </cell>
          <cell r="SYU1" t="str">
            <v>--</v>
          </cell>
          <cell r="SYV1" t="str">
            <v>--</v>
          </cell>
          <cell r="SYW1" t="str">
            <v>--</v>
          </cell>
          <cell r="SYX1" t="str">
            <v>--</v>
          </cell>
          <cell r="SYY1" t="str">
            <v>--</v>
          </cell>
          <cell r="SYZ1" t="str">
            <v>--</v>
          </cell>
          <cell r="SZA1" t="str">
            <v>--</v>
          </cell>
          <cell r="SZB1" t="str">
            <v>--</v>
          </cell>
          <cell r="SZC1" t="str">
            <v>--</v>
          </cell>
          <cell r="SZD1" t="str">
            <v>--</v>
          </cell>
          <cell r="SZE1" t="str">
            <v>--</v>
          </cell>
          <cell r="SZF1" t="str">
            <v>--</v>
          </cell>
          <cell r="SZG1" t="str">
            <v>--</v>
          </cell>
          <cell r="SZH1" t="str">
            <v>--</v>
          </cell>
          <cell r="SZI1" t="str">
            <v>--</v>
          </cell>
          <cell r="SZJ1" t="str">
            <v>--</v>
          </cell>
          <cell r="SZK1" t="str">
            <v>--</v>
          </cell>
          <cell r="SZL1" t="str">
            <v>--</v>
          </cell>
          <cell r="SZM1" t="str">
            <v>--</v>
          </cell>
          <cell r="SZN1" t="str">
            <v>--</v>
          </cell>
          <cell r="SZO1" t="str">
            <v>--</v>
          </cell>
          <cell r="SZP1" t="str">
            <v>--</v>
          </cell>
          <cell r="SZQ1" t="str">
            <v>--</v>
          </cell>
          <cell r="SZR1" t="str">
            <v>--</v>
          </cell>
          <cell r="SZS1" t="str">
            <v>--</v>
          </cell>
          <cell r="SZT1" t="str">
            <v>--</v>
          </cell>
          <cell r="SZU1" t="str">
            <v>--</v>
          </cell>
          <cell r="SZV1" t="str">
            <v>--</v>
          </cell>
          <cell r="SZW1" t="str">
            <v>--</v>
          </cell>
          <cell r="SZX1" t="str">
            <v>--</v>
          </cell>
          <cell r="SZY1" t="str">
            <v>--</v>
          </cell>
          <cell r="SZZ1" t="str">
            <v>--</v>
          </cell>
          <cell r="TAA1" t="str">
            <v>--</v>
          </cell>
          <cell r="TAB1" t="str">
            <v>--</v>
          </cell>
          <cell r="TAC1" t="str">
            <v>--</v>
          </cell>
          <cell r="TAD1" t="str">
            <v>--</v>
          </cell>
          <cell r="TAE1" t="str">
            <v>--</v>
          </cell>
          <cell r="TAF1" t="str">
            <v>--</v>
          </cell>
          <cell r="TAG1" t="str">
            <v>--</v>
          </cell>
          <cell r="TAH1" t="str">
            <v>--</v>
          </cell>
          <cell r="TAI1" t="str">
            <v>--</v>
          </cell>
          <cell r="TAJ1" t="str">
            <v>--</v>
          </cell>
          <cell r="TAK1" t="str">
            <v>--</v>
          </cell>
          <cell r="TAL1" t="str">
            <v>--</v>
          </cell>
          <cell r="TAM1" t="str">
            <v>--</v>
          </cell>
          <cell r="TAN1" t="str">
            <v>--</v>
          </cell>
          <cell r="TAO1" t="str">
            <v>--</v>
          </cell>
          <cell r="TAP1" t="str">
            <v>--</v>
          </cell>
          <cell r="TAQ1" t="str">
            <v>--</v>
          </cell>
          <cell r="TAR1" t="str">
            <v>--</v>
          </cell>
          <cell r="TAS1" t="str">
            <v>--</v>
          </cell>
          <cell r="TAT1" t="str">
            <v>--</v>
          </cell>
          <cell r="TAU1" t="str">
            <v>--</v>
          </cell>
          <cell r="TAV1" t="str">
            <v>--</v>
          </cell>
          <cell r="TAW1" t="str">
            <v>--</v>
          </cell>
          <cell r="TAX1" t="str">
            <v>--</v>
          </cell>
          <cell r="TAY1" t="str">
            <v>--</v>
          </cell>
          <cell r="TAZ1" t="str">
            <v>--</v>
          </cell>
          <cell r="TBA1" t="str">
            <v>--</v>
          </cell>
          <cell r="TBB1" t="str">
            <v>--</v>
          </cell>
          <cell r="TBC1" t="str">
            <v>--</v>
          </cell>
          <cell r="TBD1" t="str">
            <v>--</v>
          </cell>
          <cell r="TBE1" t="str">
            <v>--</v>
          </cell>
          <cell r="TBF1" t="str">
            <v>--</v>
          </cell>
          <cell r="TBG1" t="str">
            <v>--</v>
          </cell>
          <cell r="TBH1" t="str">
            <v>--</v>
          </cell>
          <cell r="TBI1" t="str">
            <v>--</v>
          </cell>
          <cell r="TBJ1" t="str">
            <v>--</v>
          </cell>
          <cell r="TBK1" t="str">
            <v>--</v>
          </cell>
          <cell r="TBL1" t="str">
            <v>--</v>
          </cell>
          <cell r="TBM1" t="str">
            <v>--</v>
          </cell>
          <cell r="TBN1" t="str">
            <v>--</v>
          </cell>
          <cell r="TBO1" t="str">
            <v>--</v>
          </cell>
          <cell r="TBP1" t="str">
            <v>--</v>
          </cell>
          <cell r="TBQ1" t="str">
            <v>--</v>
          </cell>
          <cell r="TBR1" t="str">
            <v>--</v>
          </cell>
          <cell r="TBS1" t="str">
            <v>--</v>
          </cell>
          <cell r="TBT1" t="str">
            <v>--</v>
          </cell>
          <cell r="TBU1" t="str">
            <v>--</v>
          </cell>
          <cell r="TBV1" t="str">
            <v>--</v>
          </cell>
          <cell r="TBW1" t="str">
            <v>--</v>
          </cell>
          <cell r="TBX1" t="str">
            <v>--</v>
          </cell>
          <cell r="TBY1" t="str">
            <v>--</v>
          </cell>
          <cell r="TBZ1" t="str">
            <v>--</v>
          </cell>
          <cell r="TCA1" t="str">
            <v>--</v>
          </cell>
          <cell r="TCB1" t="str">
            <v>--</v>
          </cell>
          <cell r="TCC1" t="str">
            <v>--</v>
          </cell>
          <cell r="TCD1" t="str">
            <v>--</v>
          </cell>
          <cell r="TCE1" t="str">
            <v>--</v>
          </cell>
          <cell r="TCF1" t="str">
            <v>--</v>
          </cell>
          <cell r="TCG1" t="str">
            <v>--</v>
          </cell>
          <cell r="TCH1" t="str">
            <v>--</v>
          </cell>
          <cell r="TCI1" t="str">
            <v>--</v>
          </cell>
          <cell r="TCJ1" t="str">
            <v>--</v>
          </cell>
          <cell r="TCK1" t="str">
            <v>--</v>
          </cell>
          <cell r="TCL1" t="str">
            <v>--</v>
          </cell>
          <cell r="TCM1" t="str">
            <v>--</v>
          </cell>
          <cell r="TCN1" t="str">
            <v>--</v>
          </cell>
          <cell r="TCO1" t="str">
            <v>--</v>
          </cell>
          <cell r="TCP1" t="str">
            <v>--</v>
          </cell>
          <cell r="TCQ1" t="str">
            <v>--</v>
          </cell>
          <cell r="TCR1" t="str">
            <v>--</v>
          </cell>
          <cell r="TCS1" t="str">
            <v>--</v>
          </cell>
          <cell r="TCT1" t="str">
            <v>--</v>
          </cell>
          <cell r="TCU1" t="str">
            <v>--</v>
          </cell>
          <cell r="TCV1" t="str">
            <v>--</v>
          </cell>
          <cell r="TCW1" t="str">
            <v>--</v>
          </cell>
          <cell r="TCX1" t="str">
            <v>--</v>
          </cell>
          <cell r="TCY1" t="str">
            <v>--</v>
          </cell>
          <cell r="TCZ1" t="str">
            <v>--</v>
          </cell>
          <cell r="TDA1" t="str">
            <v>--</v>
          </cell>
          <cell r="TDB1" t="str">
            <v>--</v>
          </cell>
          <cell r="TDC1" t="str">
            <v>--</v>
          </cell>
          <cell r="TDD1" t="str">
            <v>--</v>
          </cell>
          <cell r="TDE1" t="str">
            <v>--</v>
          </cell>
          <cell r="TDF1" t="str">
            <v>--</v>
          </cell>
          <cell r="TDG1" t="str">
            <v>--</v>
          </cell>
          <cell r="TDH1" t="str">
            <v>--</v>
          </cell>
          <cell r="TDI1" t="str">
            <v>--</v>
          </cell>
          <cell r="TDJ1" t="str">
            <v>--</v>
          </cell>
          <cell r="TDK1" t="str">
            <v>--</v>
          </cell>
          <cell r="TDL1" t="str">
            <v>--</v>
          </cell>
          <cell r="TDM1" t="str">
            <v>--</v>
          </cell>
          <cell r="TDN1" t="str">
            <v>--</v>
          </cell>
          <cell r="TDO1" t="str">
            <v>--</v>
          </cell>
          <cell r="TDP1" t="str">
            <v>--</v>
          </cell>
          <cell r="TDQ1" t="str">
            <v>--</v>
          </cell>
          <cell r="TDR1" t="str">
            <v>--</v>
          </cell>
          <cell r="TDS1" t="str">
            <v>--</v>
          </cell>
          <cell r="TDT1" t="str">
            <v>--</v>
          </cell>
          <cell r="TDU1" t="str">
            <v>--</v>
          </cell>
          <cell r="TDV1" t="str">
            <v>--</v>
          </cell>
          <cell r="TDW1" t="str">
            <v>--</v>
          </cell>
          <cell r="TDX1" t="str">
            <v>--</v>
          </cell>
          <cell r="TDY1" t="str">
            <v>--</v>
          </cell>
          <cell r="TDZ1" t="str">
            <v>--</v>
          </cell>
          <cell r="TEA1" t="str">
            <v>--</v>
          </cell>
          <cell r="TEB1" t="str">
            <v>--</v>
          </cell>
          <cell r="TEC1" t="str">
            <v>--</v>
          </cell>
          <cell r="TED1" t="str">
            <v>--</v>
          </cell>
          <cell r="TEE1" t="str">
            <v>--</v>
          </cell>
          <cell r="TEF1" t="str">
            <v>--</v>
          </cell>
          <cell r="TEG1" t="str">
            <v>--</v>
          </cell>
          <cell r="TEH1" t="str">
            <v>--</v>
          </cell>
          <cell r="TEI1" t="str">
            <v>--</v>
          </cell>
          <cell r="TEJ1" t="str">
            <v>--</v>
          </cell>
          <cell r="TEK1" t="str">
            <v>--</v>
          </cell>
          <cell r="TEL1" t="str">
            <v>--</v>
          </cell>
          <cell r="TEM1" t="str">
            <v>--</v>
          </cell>
          <cell r="TEN1" t="str">
            <v>--</v>
          </cell>
          <cell r="TEO1" t="str">
            <v>--</v>
          </cell>
          <cell r="TEP1" t="str">
            <v>--</v>
          </cell>
          <cell r="TEQ1" t="str">
            <v>--</v>
          </cell>
          <cell r="TER1" t="str">
            <v>--</v>
          </cell>
          <cell r="TES1" t="str">
            <v>--</v>
          </cell>
          <cell r="TET1" t="str">
            <v>--</v>
          </cell>
          <cell r="TEU1" t="str">
            <v>--</v>
          </cell>
          <cell r="TEV1" t="str">
            <v>--</v>
          </cell>
          <cell r="TEW1" t="str">
            <v>--</v>
          </cell>
          <cell r="TEX1" t="str">
            <v>--</v>
          </cell>
          <cell r="TEY1" t="str">
            <v>--</v>
          </cell>
          <cell r="TEZ1" t="str">
            <v>--</v>
          </cell>
          <cell r="TFA1" t="str">
            <v>--</v>
          </cell>
          <cell r="TFB1" t="str">
            <v>--</v>
          </cell>
          <cell r="TFC1" t="str">
            <v>--</v>
          </cell>
          <cell r="TFD1" t="str">
            <v>--</v>
          </cell>
          <cell r="TFE1" t="str">
            <v>--</v>
          </cell>
          <cell r="TFF1" t="str">
            <v>--</v>
          </cell>
          <cell r="TFG1" t="str">
            <v>--</v>
          </cell>
          <cell r="TFH1" t="str">
            <v>--</v>
          </cell>
          <cell r="TFI1" t="str">
            <v>--</v>
          </cell>
          <cell r="TFJ1" t="str">
            <v>--</v>
          </cell>
          <cell r="TFK1" t="str">
            <v>--</v>
          </cell>
          <cell r="TFL1" t="str">
            <v>--</v>
          </cell>
          <cell r="TFM1" t="str">
            <v>--</v>
          </cell>
          <cell r="TFN1" t="str">
            <v>--</v>
          </cell>
          <cell r="TFO1" t="str">
            <v>--</v>
          </cell>
          <cell r="TFP1" t="str">
            <v>--</v>
          </cell>
          <cell r="TFQ1" t="str">
            <v>--</v>
          </cell>
          <cell r="TFR1" t="str">
            <v>--</v>
          </cell>
          <cell r="TFS1" t="str">
            <v>--</v>
          </cell>
          <cell r="TFT1" t="str">
            <v>--</v>
          </cell>
          <cell r="TFU1" t="str">
            <v>--</v>
          </cell>
          <cell r="TFV1" t="str">
            <v>--</v>
          </cell>
          <cell r="TFW1" t="str">
            <v>--</v>
          </cell>
          <cell r="TFX1" t="str">
            <v>--</v>
          </cell>
          <cell r="TFY1" t="str">
            <v>--</v>
          </cell>
          <cell r="TFZ1" t="str">
            <v>--</v>
          </cell>
          <cell r="TGA1" t="str">
            <v>--</v>
          </cell>
          <cell r="TGB1" t="str">
            <v>--</v>
          </cell>
          <cell r="TGC1" t="str">
            <v>--</v>
          </cell>
          <cell r="TGD1" t="str">
            <v>--</v>
          </cell>
          <cell r="TGE1" t="str">
            <v>--</v>
          </cell>
          <cell r="TGF1" t="str">
            <v>--</v>
          </cell>
          <cell r="TGG1" t="str">
            <v>--</v>
          </cell>
          <cell r="TGH1" t="str">
            <v>--</v>
          </cell>
          <cell r="TGI1" t="str">
            <v>--</v>
          </cell>
          <cell r="TGJ1" t="str">
            <v>--</v>
          </cell>
          <cell r="TGK1" t="str">
            <v>--</v>
          </cell>
          <cell r="TGL1" t="str">
            <v>--</v>
          </cell>
          <cell r="TGM1" t="str">
            <v>--</v>
          </cell>
          <cell r="TGN1" t="str">
            <v>--</v>
          </cell>
          <cell r="TGO1" t="str">
            <v>--</v>
          </cell>
          <cell r="TGP1" t="str">
            <v>--</v>
          </cell>
          <cell r="TGQ1" t="str">
            <v>--</v>
          </cell>
          <cell r="TGR1" t="str">
            <v>--</v>
          </cell>
          <cell r="TGS1" t="str">
            <v>--</v>
          </cell>
          <cell r="TGT1" t="str">
            <v>--</v>
          </cell>
          <cell r="TGU1" t="str">
            <v>--</v>
          </cell>
          <cell r="TGV1" t="str">
            <v>--</v>
          </cell>
          <cell r="TGW1" t="str">
            <v>--</v>
          </cell>
          <cell r="TGX1" t="str">
            <v>--</v>
          </cell>
          <cell r="TGY1" t="str">
            <v>--</v>
          </cell>
          <cell r="TGZ1" t="str">
            <v>--</v>
          </cell>
          <cell r="THA1" t="str">
            <v>--</v>
          </cell>
          <cell r="THB1" t="str">
            <v>--</v>
          </cell>
          <cell r="THC1" t="str">
            <v>--</v>
          </cell>
          <cell r="THD1" t="str">
            <v>--</v>
          </cell>
          <cell r="THE1" t="str">
            <v>--</v>
          </cell>
          <cell r="THF1" t="str">
            <v>--</v>
          </cell>
          <cell r="THG1" t="str">
            <v>--</v>
          </cell>
          <cell r="THH1" t="str">
            <v>--</v>
          </cell>
          <cell r="THI1" t="str">
            <v>--</v>
          </cell>
          <cell r="THJ1" t="str">
            <v>--</v>
          </cell>
          <cell r="THK1" t="str">
            <v>--</v>
          </cell>
          <cell r="THL1" t="str">
            <v>--</v>
          </cell>
          <cell r="THM1" t="str">
            <v>--</v>
          </cell>
          <cell r="THN1" t="str">
            <v>--</v>
          </cell>
          <cell r="THO1" t="str">
            <v>--</v>
          </cell>
          <cell r="THP1" t="str">
            <v>--</v>
          </cell>
          <cell r="THQ1" t="str">
            <v>--</v>
          </cell>
          <cell r="THR1" t="str">
            <v>--</v>
          </cell>
          <cell r="THS1" t="str">
            <v>--</v>
          </cell>
          <cell r="THT1" t="str">
            <v>--</v>
          </cell>
          <cell r="THU1" t="str">
            <v>--</v>
          </cell>
          <cell r="THV1" t="str">
            <v>--</v>
          </cell>
          <cell r="THW1" t="str">
            <v>--</v>
          </cell>
          <cell r="THX1" t="str">
            <v>--</v>
          </cell>
          <cell r="THY1" t="str">
            <v>--</v>
          </cell>
          <cell r="THZ1" t="str">
            <v>--</v>
          </cell>
          <cell r="TIA1" t="str">
            <v>--</v>
          </cell>
          <cell r="TIB1" t="str">
            <v>--</v>
          </cell>
          <cell r="TIC1" t="str">
            <v>--</v>
          </cell>
          <cell r="TID1" t="str">
            <v>--</v>
          </cell>
          <cell r="TIE1" t="str">
            <v>--</v>
          </cell>
          <cell r="TIF1" t="str">
            <v>--</v>
          </cell>
          <cell r="TIG1" t="str">
            <v>--</v>
          </cell>
          <cell r="TIH1" t="str">
            <v>--</v>
          </cell>
          <cell r="TII1" t="str">
            <v>--</v>
          </cell>
          <cell r="TIJ1" t="str">
            <v>--</v>
          </cell>
          <cell r="TIK1" t="str">
            <v>--</v>
          </cell>
          <cell r="TIL1" t="str">
            <v>--</v>
          </cell>
          <cell r="TIM1" t="str">
            <v>--</v>
          </cell>
          <cell r="TIN1" t="str">
            <v>--</v>
          </cell>
          <cell r="TIO1" t="str">
            <v>--</v>
          </cell>
          <cell r="TIP1" t="str">
            <v>--</v>
          </cell>
          <cell r="TIQ1" t="str">
            <v>--</v>
          </cell>
          <cell r="TIR1" t="str">
            <v>--</v>
          </cell>
          <cell r="TIS1" t="str">
            <v>--</v>
          </cell>
          <cell r="TIT1" t="str">
            <v>--</v>
          </cell>
          <cell r="TIU1" t="str">
            <v>--</v>
          </cell>
          <cell r="TIV1" t="str">
            <v>--</v>
          </cell>
          <cell r="TIW1" t="str">
            <v>--</v>
          </cell>
          <cell r="TIX1" t="str">
            <v>--</v>
          </cell>
          <cell r="TIY1" t="str">
            <v>--</v>
          </cell>
          <cell r="TIZ1" t="str">
            <v>--</v>
          </cell>
          <cell r="TJA1" t="str">
            <v>--</v>
          </cell>
          <cell r="TJB1" t="str">
            <v>--</v>
          </cell>
          <cell r="TJC1" t="str">
            <v>--</v>
          </cell>
          <cell r="TJD1" t="str">
            <v>--</v>
          </cell>
          <cell r="TJE1" t="str">
            <v>--</v>
          </cell>
          <cell r="TJF1" t="str">
            <v>--</v>
          </cell>
          <cell r="TJG1" t="str">
            <v>--</v>
          </cell>
          <cell r="TJH1" t="str">
            <v>--</v>
          </cell>
          <cell r="TJI1" t="str">
            <v>--</v>
          </cell>
          <cell r="TJJ1" t="str">
            <v>--</v>
          </cell>
          <cell r="TJK1" t="str">
            <v>--</v>
          </cell>
          <cell r="TJL1" t="str">
            <v>--</v>
          </cell>
          <cell r="TJM1" t="str">
            <v>--</v>
          </cell>
          <cell r="TJN1" t="str">
            <v>--</v>
          </cell>
          <cell r="TJO1" t="str">
            <v>--</v>
          </cell>
          <cell r="TJP1" t="str">
            <v>--</v>
          </cell>
          <cell r="TJQ1" t="str">
            <v>--</v>
          </cell>
          <cell r="TJR1" t="str">
            <v>--</v>
          </cell>
          <cell r="TJS1" t="str">
            <v>--</v>
          </cell>
          <cell r="TJT1" t="str">
            <v>--</v>
          </cell>
          <cell r="TJU1" t="str">
            <v>--</v>
          </cell>
          <cell r="TJV1" t="str">
            <v>--</v>
          </cell>
          <cell r="TJW1" t="str">
            <v>--</v>
          </cell>
          <cell r="TJX1" t="str">
            <v>--</v>
          </cell>
          <cell r="TJY1" t="str">
            <v>--</v>
          </cell>
          <cell r="TJZ1" t="str">
            <v>--</v>
          </cell>
          <cell r="TKA1" t="str">
            <v>--</v>
          </cell>
          <cell r="TKB1" t="str">
            <v>--</v>
          </cell>
          <cell r="TKC1" t="str">
            <v>--</v>
          </cell>
          <cell r="TKD1" t="str">
            <v>--</v>
          </cell>
          <cell r="TKE1" t="str">
            <v>--</v>
          </cell>
          <cell r="TKF1" t="str">
            <v>--</v>
          </cell>
          <cell r="TKG1" t="str">
            <v>--</v>
          </cell>
          <cell r="TKH1" t="str">
            <v>--</v>
          </cell>
          <cell r="TKI1" t="str">
            <v>--</v>
          </cell>
          <cell r="TKJ1" t="str">
            <v>--</v>
          </cell>
          <cell r="TKK1" t="str">
            <v>--</v>
          </cell>
          <cell r="TKL1" t="str">
            <v>--</v>
          </cell>
          <cell r="TKM1" t="str">
            <v>--</v>
          </cell>
          <cell r="TKN1" t="str">
            <v>--</v>
          </cell>
          <cell r="TKO1" t="str">
            <v>--</v>
          </cell>
          <cell r="TKP1" t="str">
            <v>--</v>
          </cell>
          <cell r="TKQ1" t="str">
            <v>--</v>
          </cell>
          <cell r="TKR1" t="str">
            <v>--</v>
          </cell>
          <cell r="TKS1" t="str">
            <v>--</v>
          </cell>
          <cell r="TKT1" t="str">
            <v>--</v>
          </cell>
          <cell r="TKU1" t="str">
            <v>--</v>
          </cell>
          <cell r="TKV1" t="str">
            <v>--</v>
          </cell>
          <cell r="TKW1" t="str">
            <v>--</v>
          </cell>
          <cell r="TKX1" t="str">
            <v>--</v>
          </cell>
          <cell r="TKY1" t="str">
            <v>--</v>
          </cell>
          <cell r="TKZ1" t="str">
            <v>--</v>
          </cell>
          <cell r="TLA1" t="str">
            <v>--</v>
          </cell>
          <cell r="TLB1" t="str">
            <v>--</v>
          </cell>
          <cell r="TLC1" t="str">
            <v>--</v>
          </cell>
          <cell r="TLD1" t="str">
            <v>--</v>
          </cell>
          <cell r="TLE1" t="str">
            <v>--</v>
          </cell>
          <cell r="TLF1" t="str">
            <v>--</v>
          </cell>
          <cell r="TLG1" t="str">
            <v>--</v>
          </cell>
          <cell r="TLH1" t="str">
            <v>--</v>
          </cell>
          <cell r="TLI1" t="str">
            <v>--</v>
          </cell>
          <cell r="TLJ1" t="str">
            <v>--</v>
          </cell>
          <cell r="TLK1" t="str">
            <v>--</v>
          </cell>
          <cell r="TLL1" t="str">
            <v>--</v>
          </cell>
          <cell r="TLM1" t="str">
            <v>--</v>
          </cell>
          <cell r="TLN1" t="str">
            <v>--</v>
          </cell>
          <cell r="TLO1" t="str">
            <v>--</v>
          </cell>
          <cell r="TLP1" t="str">
            <v>--</v>
          </cell>
          <cell r="TLQ1" t="str">
            <v>--</v>
          </cell>
          <cell r="TLR1" t="str">
            <v>--</v>
          </cell>
          <cell r="TLS1" t="str">
            <v>--</v>
          </cell>
          <cell r="TLT1" t="str">
            <v>--</v>
          </cell>
          <cell r="TLU1" t="str">
            <v>--</v>
          </cell>
          <cell r="TLV1" t="str">
            <v>--</v>
          </cell>
          <cell r="TLW1" t="str">
            <v>--</v>
          </cell>
          <cell r="TLX1" t="str">
            <v>--</v>
          </cell>
          <cell r="TLY1" t="str">
            <v>--</v>
          </cell>
          <cell r="TLZ1" t="str">
            <v>--</v>
          </cell>
          <cell r="TMA1" t="str">
            <v>--</v>
          </cell>
          <cell r="TMB1" t="str">
            <v>--</v>
          </cell>
          <cell r="TMC1" t="str">
            <v>--</v>
          </cell>
          <cell r="TMD1" t="str">
            <v>--</v>
          </cell>
          <cell r="TME1" t="str">
            <v>--</v>
          </cell>
          <cell r="TMF1" t="str">
            <v>--</v>
          </cell>
          <cell r="TMG1" t="str">
            <v>--</v>
          </cell>
          <cell r="TMH1" t="str">
            <v>--</v>
          </cell>
          <cell r="TMI1" t="str">
            <v>--</v>
          </cell>
          <cell r="TMJ1" t="str">
            <v>--</v>
          </cell>
          <cell r="TMK1" t="str">
            <v>--</v>
          </cell>
          <cell r="TML1" t="str">
            <v>--</v>
          </cell>
          <cell r="TMM1" t="str">
            <v>--</v>
          </cell>
          <cell r="TMN1" t="str">
            <v>--</v>
          </cell>
          <cell r="TMO1" t="str">
            <v>--</v>
          </cell>
          <cell r="TMP1" t="str">
            <v>--</v>
          </cell>
          <cell r="TMQ1" t="str">
            <v>--</v>
          </cell>
          <cell r="TMR1" t="str">
            <v>--</v>
          </cell>
          <cell r="TMS1" t="str">
            <v>--</v>
          </cell>
          <cell r="TMT1" t="str">
            <v>--</v>
          </cell>
          <cell r="TMU1" t="str">
            <v>--</v>
          </cell>
          <cell r="TMV1" t="str">
            <v>--</v>
          </cell>
          <cell r="TMW1" t="str">
            <v>--</v>
          </cell>
          <cell r="TMX1" t="str">
            <v>--</v>
          </cell>
          <cell r="TMY1" t="str">
            <v>--</v>
          </cell>
          <cell r="TMZ1" t="str">
            <v>--</v>
          </cell>
          <cell r="TNA1" t="str">
            <v>--</v>
          </cell>
          <cell r="TNB1" t="str">
            <v>--</v>
          </cell>
          <cell r="TNC1" t="str">
            <v>--</v>
          </cell>
          <cell r="TND1" t="str">
            <v>--</v>
          </cell>
          <cell r="TNE1" t="str">
            <v>--</v>
          </cell>
          <cell r="TNF1" t="str">
            <v>--</v>
          </cell>
          <cell r="TNG1" t="str">
            <v>--</v>
          </cell>
          <cell r="TNH1" t="str">
            <v>--</v>
          </cell>
          <cell r="TNI1" t="str">
            <v>--</v>
          </cell>
          <cell r="TNJ1" t="str">
            <v>--</v>
          </cell>
          <cell r="TNK1" t="str">
            <v>--</v>
          </cell>
          <cell r="TNL1" t="str">
            <v>--</v>
          </cell>
          <cell r="TNM1" t="str">
            <v>--</v>
          </cell>
          <cell r="TNN1" t="str">
            <v>--</v>
          </cell>
          <cell r="TNO1" t="str">
            <v>--</v>
          </cell>
          <cell r="TNP1" t="str">
            <v>--</v>
          </cell>
          <cell r="TNQ1" t="str">
            <v>--</v>
          </cell>
          <cell r="TNR1" t="str">
            <v>--</v>
          </cell>
          <cell r="TNS1" t="str">
            <v>--</v>
          </cell>
          <cell r="TNT1" t="str">
            <v>--</v>
          </cell>
          <cell r="TNU1" t="str">
            <v>--</v>
          </cell>
          <cell r="TNV1" t="str">
            <v>--</v>
          </cell>
          <cell r="TNW1" t="str">
            <v>--</v>
          </cell>
          <cell r="TNX1" t="str">
            <v>--</v>
          </cell>
          <cell r="TNY1" t="str">
            <v>--</v>
          </cell>
          <cell r="TNZ1" t="str">
            <v>--</v>
          </cell>
          <cell r="TOA1" t="str">
            <v>--</v>
          </cell>
          <cell r="TOB1" t="str">
            <v>--</v>
          </cell>
          <cell r="TOC1" t="str">
            <v>--</v>
          </cell>
          <cell r="TOD1" t="str">
            <v>--</v>
          </cell>
          <cell r="TOE1" t="str">
            <v>--</v>
          </cell>
          <cell r="TOF1" t="str">
            <v>--</v>
          </cell>
          <cell r="TOG1" t="str">
            <v>--</v>
          </cell>
          <cell r="TOH1" t="str">
            <v>--</v>
          </cell>
          <cell r="TOI1" t="str">
            <v>--</v>
          </cell>
          <cell r="TOJ1" t="str">
            <v>--</v>
          </cell>
          <cell r="TOK1" t="str">
            <v>--</v>
          </cell>
          <cell r="TOL1" t="str">
            <v>--</v>
          </cell>
          <cell r="TOM1" t="str">
            <v>--</v>
          </cell>
          <cell r="TON1" t="str">
            <v>--</v>
          </cell>
          <cell r="TOO1" t="str">
            <v>--</v>
          </cell>
          <cell r="TOP1" t="str">
            <v>--</v>
          </cell>
          <cell r="TOQ1" t="str">
            <v>--</v>
          </cell>
          <cell r="TOR1" t="str">
            <v>--</v>
          </cell>
          <cell r="TOS1" t="str">
            <v>--</v>
          </cell>
          <cell r="TOT1" t="str">
            <v>--</v>
          </cell>
          <cell r="TOU1" t="str">
            <v>--</v>
          </cell>
          <cell r="TOV1" t="str">
            <v>--</v>
          </cell>
          <cell r="TOW1" t="str">
            <v>--</v>
          </cell>
          <cell r="TOX1" t="str">
            <v>--</v>
          </cell>
          <cell r="TOY1" t="str">
            <v>--</v>
          </cell>
          <cell r="TOZ1" t="str">
            <v>--</v>
          </cell>
          <cell r="TPA1" t="str">
            <v>--</v>
          </cell>
          <cell r="TPB1" t="str">
            <v>--</v>
          </cell>
          <cell r="TPC1" t="str">
            <v>--</v>
          </cell>
          <cell r="TPD1" t="str">
            <v>--</v>
          </cell>
          <cell r="TPE1" t="str">
            <v>--</v>
          </cell>
          <cell r="TPF1" t="str">
            <v>--</v>
          </cell>
          <cell r="TPG1" t="str">
            <v>--</v>
          </cell>
          <cell r="TPH1" t="str">
            <v>--</v>
          </cell>
          <cell r="TPI1" t="str">
            <v>--</v>
          </cell>
          <cell r="TPJ1" t="str">
            <v>--</v>
          </cell>
          <cell r="TPK1" t="str">
            <v>--</v>
          </cell>
          <cell r="TPL1" t="str">
            <v>--</v>
          </cell>
          <cell r="TPM1" t="str">
            <v>--</v>
          </cell>
          <cell r="TPN1" t="str">
            <v>--</v>
          </cell>
          <cell r="TPO1" t="str">
            <v>--</v>
          </cell>
          <cell r="TPP1" t="str">
            <v>--</v>
          </cell>
          <cell r="TPQ1" t="str">
            <v>--</v>
          </cell>
          <cell r="TPR1" t="str">
            <v>--</v>
          </cell>
          <cell r="TPS1" t="str">
            <v>--</v>
          </cell>
          <cell r="TPT1" t="str">
            <v>--</v>
          </cell>
          <cell r="TPU1" t="str">
            <v>--</v>
          </cell>
          <cell r="TPV1" t="str">
            <v>--</v>
          </cell>
          <cell r="TPW1" t="str">
            <v>--</v>
          </cell>
          <cell r="TPX1" t="str">
            <v>--</v>
          </cell>
          <cell r="TPY1" t="str">
            <v>--</v>
          </cell>
          <cell r="TPZ1" t="str">
            <v>--</v>
          </cell>
          <cell r="TQA1" t="str">
            <v>--</v>
          </cell>
          <cell r="TQB1" t="str">
            <v>--</v>
          </cell>
          <cell r="TQC1" t="str">
            <v>--</v>
          </cell>
          <cell r="TQD1" t="str">
            <v>--</v>
          </cell>
          <cell r="TQE1" t="str">
            <v>--</v>
          </cell>
          <cell r="TQF1" t="str">
            <v>--</v>
          </cell>
          <cell r="TQG1" t="str">
            <v>--</v>
          </cell>
          <cell r="TQH1" t="str">
            <v>--</v>
          </cell>
          <cell r="TQI1" t="str">
            <v>--</v>
          </cell>
          <cell r="TQJ1" t="str">
            <v>--</v>
          </cell>
          <cell r="TQK1" t="str">
            <v>--</v>
          </cell>
          <cell r="TQL1" t="str">
            <v>--</v>
          </cell>
          <cell r="TQM1" t="str">
            <v>--</v>
          </cell>
          <cell r="TQN1" t="str">
            <v>--</v>
          </cell>
          <cell r="TQO1" t="str">
            <v>--</v>
          </cell>
          <cell r="TQP1" t="str">
            <v>--</v>
          </cell>
          <cell r="TQQ1" t="str">
            <v>--</v>
          </cell>
          <cell r="TQR1" t="str">
            <v>--</v>
          </cell>
          <cell r="TQS1" t="str">
            <v>--</v>
          </cell>
          <cell r="TQT1" t="str">
            <v>--</v>
          </cell>
          <cell r="TQU1" t="str">
            <v>--</v>
          </cell>
          <cell r="TQV1" t="str">
            <v>--</v>
          </cell>
          <cell r="TQW1" t="str">
            <v>--</v>
          </cell>
          <cell r="TQX1" t="str">
            <v>--</v>
          </cell>
          <cell r="TQY1" t="str">
            <v>--</v>
          </cell>
          <cell r="TQZ1" t="str">
            <v>--</v>
          </cell>
          <cell r="TRA1" t="str">
            <v>--</v>
          </cell>
          <cell r="TRB1" t="str">
            <v>--</v>
          </cell>
          <cell r="TRC1" t="str">
            <v>--</v>
          </cell>
          <cell r="TRD1" t="str">
            <v>--</v>
          </cell>
          <cell r="TRE1" t="str">
            <v>--</v>
          </cell>
          <cell r="TRF1" t="str">
            <v>--</v>
          </cell>
          <cell r="TRG1" t="str">
            <v>--</v>
          </cell>
          <cell r="TRH1" t="str">
            <v>--</v>
          </cell>
          <cell r="TRI1" t="str">
            <v>--</v>
          </cell>
          <cell r="TRJ1" t="str">
            <v>--</v>
          </cell>
          <cell r="TRK1" t="str">
            <v>--</v>
          </cell>
          <cell r="TRL1" t="str">
            <v>--</v>
          </cell>
          <cell r="TRM1" t="str">
            <v>--</v>
          </cell>
          <cell r="TRN1" t="str">
            <v>--</v>
          </cell>
          <cell r="TRO1" t="str">
            <v>--</v>
          </cell>
          <cell r="TRP1" t="str">
            <v>--</v>
          </cell>
          <cell r="TRQ1" t="str">
            <v>--</v>
          </cell>
          <cell r="TRR1" t="str">
            <v>--</v>
          </cell>
          <cell r="TRS1" t="str">
            <v>--</v>
          </cell>
          <cell r="TRT1" t="str">
            <v>--</v>
          </cell>
          <cell r="TRU1" t="str">
            <v>--</v>
          </cell>
          <cell r="TRV1" t="str">
            <v>--</v>
          </cell>
          <cell r="TRW1" t="str">
            <v>--</v>
          </cell>
          <cell r="TRX1" t="str">
            <v>--</v>
          </cell>
          <cell r="TRY1" t="str">
            <v>--</v>
          </cell>
          <cell r="TRZ1" t="str">
            <v>--</v>
          </cell>
          <cell r="TSA1" t="str">
            <v>--</v>
          </cell>
          <cell r="TSB1" t="str">
            <v>--</v>
          </cell>
          <cell r="TSC1" t="str">
            <v>--</v>
          </cell>
          <cell r="TSD1" t="str">
            <v>--</v>
          </cell>
          <cell r="TSE1" t="str">
            <v>--</v>
          </cell>
          <cell r="TSF1" t="str">
            <v>--</v>
          </cell>
          <cell r="TSG1" t="str">
            <v>--</v>
          </cell>
          <cell r="TSH1" t="str">
            <v>--</v>
          </cell>
          <cell r="TSI1" t="str">
            <v>--</v>
          </cell>
          <cell r="TSJ1" t="str">
            <v>--</v>
          </cell>
          <cell r="TSK1" t="str">
            <v>--</v>
          </cell>
          <cell r="TSL1" t="str">
            <v>--</v>
          </cell>
          <cell r="TSM1" t="str">
            <v>--</v>
          </cell>
          <cell r="TSN1" t="str">
            <v>--</v>
          </cell>
          <cell r="TSO1" t="str">
            <v>--</v>
          </cell>
          <cell r="TSP1" t="str">
            <v>--</v>
          </cell>
          <cell r="TSQ1" t="str">
            <v>--</v>
          </cell>
          <cell r="TSR1" t="str">
            <v>--</v>
          </cell>
          <cell r="TSS1" t="str">
            <v>--</v>
          </cell>
          <cell r="TST1" t="str">
            <v>--</v>
          </cell>
          <cell r="TSU1" t="str">
            <v>--</v>
          </cell>
          <cell r="TSV1" t="str">
            <v>--</v>
          </cell>
          <cell r="TSW1" t="str">
            <v>--</v>
          </cell>
          <cell r="TSX1" t="str">
            <v>--</v>
          </cell>
          <cell r="TSY1" t="str">
            <v>--</v>
          </cell>
          <cell r="TSZ1" t="str">
            <v>--</v>
          </cell>
          <cell r="TTA1" t="str">
            <v>--</v>
          </cell>
          <cell r="TTB1" t="str">
            <v>--</v>
          </cell>
          <cell r="TTC1" t="str">
            <v>--</v>
          </cell>
          <cell r="TTD1" t="str">
            <v>--</v>
          </cell>
          <cell r="TTE1" t="str">
            <v>--</v>
          </cell>
          <cell r="TTF1" t="str">
            <v>--</v>
          </cell>
          <cell r="TTG1" t="str">
            <v>--</v>
          </cell>
          <cell r="TTH1" t="str">
            <v>--</v>
          </cell>
          <cell r="TTI1" t="str">
            <v>--</v>
          </cell>
          <cell r="TTJ1" t="str">
            <v>--</v>
          </cell>
          <cell r="TTK1" t="str">
            <v>--</v>
          </cell>
          <cell r="TTL1" t="str">
            <v>--</v>
          </cell>
          <cell r="TTM1" t="str">
            <v>--</v>
          </cell>
          <cell r="TTN1" t="str">
            <v>--</v>
          </cell>
          <cell r="TTO1" t="str">
            <v>--</v>
          </cell>
          <cell r="TTP1" t="str">
            <v>--</v>
          </cell>
          <cell r="TTQ1" t="str">
            <v>--</v>
          </cell>
          <cell r="TTR1" t="str">
            <v>--</v>
          </cell>
          <cell r="TTS1" t="str">
            <v>--</v>
          </cell>
          <cell r="TTT1" t="str">
            <v>--</v>
          </cell>
          <cell r="TTU1" t="str">
            <v>--</v>
          </cell>
          <cell r="TTV1" t="str">
            <v>--</v>
          </cell>
          <cell r="TTW1" t="str">
            <v>--</v>
          </cell>
          <cell r="TTX1" t="str">
            <v>--</v>
          </cell>
          <cell r="TTY1" t="str">
            <v>--</v>
          </cell>
          <cell r="TTZ1" t="str">
            <v>--</v>
          </cell>
          <cell r="TUA1" t="str">
            <v>--</v>
          </cell>
          <cell r="TUB1" t="str">
            <v>--</v>
          </cell>
          <cell r="TUC1" t="str">
            <v>--</v>
          </cell>
          <cell r="TUD1" t="str">
            <v>--</v>
          </cell>
          <cell r="TUE1" t="str">
            <v>--</v>
          </cell>
          <cell r="TUF1" t="str">
            <v>--</v>
          </cell>
          <cell r="TUG1" t="str">
            <v>--</v>
          </cell>
          <cell r="TUH1" t="str">
            <v>--</v>
          </cell>
          <cell r="TUI1" t="str">
            <v>--</v>
          </cell>
          <cell r="TUJ1" t="str">
            <v>--</v>
          </cell>
          <cell r="TUK1" t="str">
            <v>--</v>
          </cell>
          <cell r="TUL1" t="str">
            <v>--</v>
          </cell>
          <cell r="TUM1" t="str">
            <v>--</v>
          </cell>
          <cell r="TUN1" t="str">
            <v>--</v>
          </cell>
          <cell r="TUO1" t="str">
            <v>--</v>
          </cell>
          <cell r="TUP1" t="str">
            <v>--</v>
          </cell>
          <cell r="TUQ1" t="str">
            <v>--</v>
          </cell>
          <cell r="TUR1" t="str">
            <v>--</v>
          </cell>
          <cell r="TUS1" t="str">
            <v>--</v>
          </cell>
          <cell r="TUT1" t="str">
            <v>--</v>
          </cell>
          <cell r="TUU1" t="str">
            <v>--</v>
          </cell>
          <cell r="TUV1" t="str">
            <v>--</v>
          </cell>
          <cell r="TUW1" t="str">
            <v>--</v>
          </cell>
          <cell r="TUX1" t="str">
            <v>--</v>
          </cell>
          <cell r="TUY1" t="str">
            <v>--</v>
          </cell>
          <cell r="TUZ1" t="str">
            <v>--</v>
          </cell>
          <cell r="TVA1" t="str">
            <v>--</v>
          </cell>
          <cell r="TVB1" t="str">
            <v>--</v>
          </cell>
          <cell r="TVC1" t="str">
            <v>--</v>
          </cell>
          <cell r="TVD1" t="str">
            <v>--</v>
          </cell>
          <cell r="TVE1" t="str">
            <v>--</v>
          </cell>
          <cell r="TVF1" t="str">
            <v>--</v>
          </cell>
          <cell r="TVG1" t="str">
            <v>--</v>
          </cell>
          <cell r="TVH1" t="str">
            <v>--</v>
          </cell>
          <cell r="TVI1" t="str">
            <v>--</v>
          </cell>
          <cell r="TVJ1" t="str">
            <v>--</v>
          </cell>
          <cell r="TVK1" t="str">
            <v>--</v>
          </cell>
          <cell r="TVL1" t="str">
            <v>--</v>
          </cell>
          <cell r="TVM1" t="str">
            <v>--</v>
          </cell>
          <cell r="TVN1" t="str">
            <v>--</v>
          </cell>
          <cell r="TVO1" t="str">
            <v>--</v>
          </cell>
          <cell r="TVP1" t="str">
            <v>--</v>
          </cell>
          <cell r="TVQ1" t="str">
            <v>--</v>
          </cell>
          <cell r="TVR1" t="str">
            <v>--</v>
          </cell>
          <cell r="TVS1" t="str">
            <v>--</v>
          </cell>
          <cell r="TVT1" t="str">
            <v>--</v>
          </cell>
          <cell r="TVU1" t="str">
            <v>--</v>
          </cell>
          <cell r="TVV1" t="str">
            <v>--</v>
          </cell>
          <cell r="TVW1" t="str">
            <v>--</v>
          </cell>
          <cell r="TVX1" t="str">
            <v>--</v>
          </cell>
          <cell r="TVY1" t="str">
            <v>--</v>
          </cell>
          <cell r="TVZ1" t="str">
            <v>--</v>
          </cell>
          <cell r="TWA1" t="str">
            <v>--</v>
          </cell>
          <cell r="TWB1" t="str">
            <v>--</v>
          </cell>
          <cell r="TWC1" t="str">
            <v>--</v>
          </cell>
          <cell r="TWD1" t="str">
            <v>--</v>
          </cell>
          <cell r="TWE1" t="str">
            <v>--</v>
          </cell>
          <cell r="TWF1" t="str">
            <v>--</v>
          </cell>
          <cell r="TWG1" t="str">
            <v>--</v>
          </cell>
          <cell r="TWH1" t="str">
            <v>--</v>
          </cell>
          <cell r="TWI1" t="str">
            <v>--</v>
          </cell>
          <cell r="TWJ1" t="str">
            <v>--</v>
          </cell>
          <cell r="TWK1" t="str">
            <v>--</v>
          </cell>
          <cell r="TWL1" t="str">
            <v>--</v>
          </cell>
          <cell r="TWM1" t="str">
            <v>--</v>
          </cell>
          <cell r="TWN1" t="str">
            <v>--</v>
          </cell>
          <cell r="TWO1" t="str">
            <v>--</v>
          </cell>
          <cell r="TWP1" t="str">
            <v>--</v>
          </cell>
          <cell r="TWQ1" t="str">
            <v>--</v>
          </cell>
          <cell r="TWR1" t="str">
            <v>--</v>
          </cell>
          <cell r="TWS1" t="str">
            <v>--</v>
          </cell>
          <cell r="TWT1" t="str">
            <v>--</v>
          </cell>
          <cell r="TWU1" t="str">
            <v>--</v>
          </cell>
          <cell r="TWV1" t="str">
            <v>--</v>
          </cell>
          <cell r="TWW1" t="str">
            <v>--</v>
          </cell>
          <cell r="TWX1" t="str">
            <v>--</v>
          </cell>
          <cell r="TWY1" t="str">
            <v>--</v>
          </cell>
          <cell r="TWZ1" t="str">
            <v>--</v>
          </cell>
          <cell r="TXA1" t="str">
            <v>--</v>
          </cell>
          <cell r="TXB1" t="str">
            <v>--</v>
          </cell>
          <cell r="TXC1" t="str">
            <v>--</v>
          </cell>
          <cell r="TXD1" t="str">
            <v>--</v>
          </cell>
          <cell r="TXE1" t="str">
            <v>--</v>
          </cell>
          <cell r="TXF1" t="str">
            <v>--</v>
          </cell>
          <cell r="TXG1" t="str">
            <v>--</v>
          </cell>
          <cell r="TXH1" t="str">
            <v>--</v>
          </cell>
          <cell r="TXI1" t="str">
            <v>--</v>
          </cell>
          <cell r="TXJ1" t="str">
            <v>--</v>
          </cell>
          <cell r="TXK1" t="str">
            <v>--</v>
          </cell>
          <cell r="TXL1" t="str">
            <v>--</v>
          </cell>
          <cell r="TXM1" t="str">
            <v>--</v>
          </cell>
          <cell r="TXN1" t="str">
            <v>--</v>
          </cell>
          <cell r="TXO1" t="str">
            <v>--</v>
          </cell>
          <cell r="TXP1" t="str">
            <v>--</v>
          </cell>
          <cell r="TXQ1" t="str">
            <v>--</v>
          </cell>
          <cell r="TXR1" t="str">
            <v>--</v>
          </cell>
          <cell r="TXS1" t="str">
            <v>--</v>
          </cell>
          <cell r="TXT1" t="str">
            <v>--</v>
          </cell>
          <cell r="TXU1" t="str">
            <v>--</v>
          </cell>
          <cell r="TXV1" t="str">
            <v>--</v>
          </cell>
          <cell r="TXW1" t="str">
            <v>--</v>
          </cell>
          <cell r="TXX1" t="str">
            <v>--</v>
          </cell>
          <cell r="TXY1" t="str">
            <v>--</v>
          </cell>
          <cell r="TXZ1" t="str">
            <v>--</v>
          </cell>
          <cell r="TYA1" t="str">
            <v>--</v>
          </cell>
          <cell r="TYB1" t="str">
            <v>--</v>
          </cell>
          <cell r="TYC1" t="str">
            <v>--</v>
          </cell>
          <cell r="TYD1" t="str">
            <v>--</v>
          </cell>
          <cell r="TYE1" t="str">
            <v>--</v>
          </cell>
          <cell r="TYF1" t="str">
            <v>--</v>
          </cell>
          <cell r="TYG1" t="str">
            <v>--</v>
          </cell>
          <cell r="TYH1" t="str">
            <v>--</v>
          </cell>
          <cell r="TYI1" t="str">
            <v>--</v>
          </cell>
          <cell r="TYJ1" t="str">
            <v>--</v>
          </cell>
          <cell r="TYK1" t="str">
            <v>--</v>
          </cell>
          <cell r="TYL1" t="str">
            <v>--</v>
          </cell>
          <cell r="TYM1" t="str">
            <v>--</v>
          </cell>
          <cell r="TYN1" t="str">
            <v>--</v>
          </cell>
          <cell r="TYO1" t="str">
            <v>--</v>
          </cell>
          <cell r="TYP1" t="str">
            <v>--</v>
          </cell>
          <cell r="TYQ1" t="str">
            <v>--</v>
          </cell>
          <cell r="TYR1" t="str">
            <v>--</v>
          </cell>
          <cell r="TYS1" t="str">
            <v>--</v>
          </cell>
          <cell r="TYT1" t="str">
            <v>--</v>
          </cell>
          <cell r="TYU1" t="str">
            <v>--</v>
          </cell>
          <cell r="TYV1" t="str">
            <v>--</v>
          </cell>
          <cell r="TYW1" t="str">
            <v>--</v>
          </cell>
          <cell r="TYX1" t="str">
            <v>--</v>
          </cell>
          <cell r="TYY1" t="str">
            <v>--</v>
          </cell>
          <cell r="TYZ1" t="str">
            <v>--</v>
          </cell>
          <cell r="TZA1" t="str">
            <v>--</v>
          </cell>
          <cell r="TZB1" t="str">
            <v>--</v>
          </cell>
          <cell r="TZC1" t="str">
            <v>--</v>
          </cell>
          <cell r="TZD1" t="str">
            <v>--</v>
          </cell>
          <cell r="TZE1" t="str">
            <v>--</v>
          </cell>
          <cell r="TZF1" t="str">
            <v>--</v>
          </cell>
          <cell r="TZG1" t="str">
            <v>--</v>
          </cell>
          <cell r="TZH1" t="str">
            <v>--</v>
          </cell>
          <cell r="TZI1" t="str">
            <v>--</v>
          </cell>
          <cell r="TZJ1" t="str">
            <v>--</v>
          </cell>
          <cell r="TZK1" t="str">
            <v>--</v>
          </cell>
          <cell r="TZL1" t="str">
            <v>--</v>
          </cell>
          <cell r="TZM1" t="str">
            <v>--</v>
          </cell>
          <cell r="TZN1" t="str">
            <v>--</v>
          </cell>
          <cell r="TZO1" t="str">
            <v>--</v>
          </cell>
          <cell r="TZP1" t="str">
            <v>--</v>
          </cell>
          <cell r="TZQ1" t="str">
            <v>--</v>
          </cell>
          <cell r="TZR1" t="str">
            <v>--</v>
          </cell>
          <cell r="TZS1" t="str">
            <v>--</v>
          </cell>
          <cell r="TZT1" t="str">
            <v>--</v>
          </cell>
          <cell r="TZU1" t="str">
            <v>--</v>
          </cell>
          <cell r="TZV1" t="str">
            <v>--</v>
          </cell>
          <cell r="TZW1" t="str">
            <v>--</v>
          </cell>
          <cell r="TZX1" t="str">
            <v>--</v>
          </cell>
          <cell r="TZY1" t="str">
            <v>--</v>
          </cell>
          <cell r="TZZ1" t="str">
            <v>--</v>
          </cell>
          <cell r="UAA1" t="str">
            <v>--</v>
          </cell>
          <cell r="UAB1" t="str">
            <v>--</v>
          </cell>
          <cell r="UAC1" t="str">
            <v>--</v>
          </cell>
          <cell r="UAD1" t="str">
            <v>--</v>
          </cell>
          <cell r="UAE1" t="str">
            <v>--</v>
          </cell>
          <cell r="UAF1" t="str">
            <v>--</v>
          </cell>
          <cell r="UAG1" t="str">
            <v>--</v>
          </cell>
          <cell r="UAH1" t="str">
            <v>--</v>
          </cell>
          <cell r="UAI1" t="str">
            <v>--</v>
          </cell>
          <cell r="UAJ1" t="str">
            <v>--</v>
          </cell>
          <cell r="UAK1" t="str">
            <v>--</v>
          </cell>
          <cell r="UAL1" t="str">
            <v>--</v>
          </cell>
          <cell r="UAM1" t="str">
            <v>--</v>
          </cell>
          <cell r="UAN1" t="str">
            <v>--</v>
          </cell>
          <cell r="UAO1" t="str">
            <v>--</v>
          </cell>
          <cell r="UAP1" t="str">
            <v>--</v>
          </cell>
          <cell r="UAQ1" t="str">
            <v>--</v>
          </cell>
          <cell r="UAR1" t="str">
            <v>--</v>
          </cell>
          <cell r="UAS1" t="str">
            <v>--</v>
          </cell>
          <cell r="UAT1" t="str">
            <v>--</v>
          </cell>
          <cell r="UAU1" t="str">
            <v>--</v>
          </cell>
          <cell r="UAV1" t="str">
            <v>--</v>
          </cell>
          <cell r="UAW1" t="str">
            <v>--</v>
          </cell>
          <cell r="UAX1" t="str">
            <v>--</v>
          </cell>
          <cell r="UAY1" t="str">
            <v>--</v>
          </cell>
          <cell r="UAZ1" t="str">
            <v>--</v>
          </cell>
          <cell r="UBA1" t="str">
            <v>--</v>
          </cell>
          <cell r="UBB1" t="str">
            <v>--</v>
          </cell>
          <cell r="UBC1" t="str">
            <v>--</v>
          </cell>
          <cell r="UBD1" t="str">
            <v>--</v>
          </cell>
          <cell r="UBE1" t="str">
            <v>--</v>
          </cell>
          <cell r="UBF1" t="str">
            <v>--</v>
          </cell>
          <cell r="UBG1" t="str">
            <v>--</v>
          </cell>
          <cell r="UBH1" t="str">
            <v>--</v>
          </cell>
          <cell r="UBI1" t="str">
            <v>--</v>
          </cell>
          <cell r="UBJ1" t="str">
            <v>--</v>
          </cell>
          <cell r="UBK1" t="str">
            <v>--</v>
          </cell>
          <cell r="UBL1" t="str">
            <v>--</v>
          </cell>
          <cell r="UBM1" t="str">
            <v>--</v>
          </cell>
          <cell r="UBN1" t="str">
            <v>--</v>
          </cell>
          <cell r="UBO1" t="str">
            <v>--</v>
          </cell>
          <cell r="UBP1" t="str">
            <v>--</v>
          </cell>
          <cell r="UBQ1" t="str">
            <v>--</v>
          </cell>
          <cell r="UBR1" t="str">
            <v>--</v>
          </cell>
          <cell r="UBS1" t="str">
            <v>--</v>
          </cell>
          <cell r="UBT1" t="str">
            <v>--</v>
          </cell>
          <cell r="UBU1" t="str">
            <v>--</v>
          </cell>
          <cell r="UBV1" t="str">
            <v>--</v>
          </cell>
          <cell r="UBW1" t="str">
            <v>--</v>
          </cell>
          <cell r="UBX1" t="str">
            <v>--</v>
          </cell>
          <cell r="UBY1" t="str">
            <v>--</v>
          </cell>
          <cell r="UBZ1" t="str">
            <v>--</v>
          </cell>
          <cell r="UCA1" t="str">
            <v>--</v>
          </cell>
          <cell r="UCB1" t="str">
            <v>--</v>
          </cell>
          <cell r="UCC1" t="str">
            <v>--</v>
          </cell>
          <cell r="UCD1" t="str">
            <v>--</v>
          </cell>
          <cell r="UCE1" t="str">
            <v>--</v>
          </cell>
          <cell r="UCF1" t="str">
            <v>--</v>
          </cell>
          <cell r="UCG1" t="str">
            <v>--</v>
          </cell>
          <cell r="UCH1" t="str">
            <v>--</v>
          </cell>
          <cell r="UCI1" t="str">
            <v>--</v>
          </cell>
          <cell r="UCJ1" t="str">
            <v>--</v>
          </cell>
          <cell r="UCK1" t="str">
            <v>--</v>
          </cell>
          <cell r="UCL1" t="str">
            <v>--</v>
          </cell>
          <cell r="UCM1" t="str">
            <v>--</v>
          </cell>
          <cell r="UCN1" t="str">
            <v>--</v>
          </cell>
          <cell r="UCO1" t="str">
            <v>--</v>
          </cell>
          <cell r="UCP1" t="str">
            <v>--</v>
          </cell>
          <cell r="UCQ1" t="str">
            <v>--</v>
          </cell>
          <cell r="UCR1" t="str">
            <v>--</v>
          </cell>
          <cell r="UCS1" t="str">
            <v>--</v>
          </cell>
          <cell r="UCT1" t="str">
            <v>--</v>
          </cell>
          <cell r="UCU1" t="str">
            <v>--</v>
          </cell>
          <cell r="UCV1" t="str">
            <v>--</v>
          </cell>
          <cell r="UCW1" t="str">
            <v>--</v>
          </cell>
          <cell r="UCX1" t="str">
            <v>--</v>
          </cell>
          <cell r="UCY1" t="str">
            <v>--</v>
          </cell>
          <cell r="UCZ1" t="str">
            <v>--</v>
          </cell>
          <cell r="UDA1" t="str">
            <v>--</v>
          </cell>
          <cell r="UDB1" t="str">
            <v>--</v>
          </cell>
          <cell r="UDC1" t="str">
            <v>--</v>
          </cell>
          <cell r="UDD1" t="str">
            <v>--</v>
          </cell>
          <cell r="UDE1" t="str">
            <v>--</v>
          </cell>
          <cell r="UDF1" t="str">
            <v>--</v>
          </cell>
          <cell r="UDG1" t="str">
            <v>--</v>
          </cell>
          <cell r="UDH1" t="str">
            <v>--</v>
          </cell>
          <cell r="UDI1" t="str">
            <v>--</v>
          </cell>
          <cell r="UDJ1" t="str">
            <v>--</v>
          </cell>
          <cell r="UDK1" t="str">
            <v>--</v>
          </cell>
          <cell r="UDL1" t="str">
            <v>--</v>
          </cell>
          <cell r="UDM1" t="str">
            <v>--</v>
          </cell>
          <cell r="UDN1" t="str">
            <v>--</v>
          </cell>
          <cell r="UDO1" t="str">
            <v>--</v>
          </cell>
          <cell r="UDP1" t="str">
            <v>--</v>
          </cell>
          <cell r="UDQ1" t="str">
            <v>--</v>
          </cell>
          <cell r="UDR1" t="str">
            <v>--</v>
          </cell>
          <cell r="UDS1" t="str">
            <v>--</v>
          </cell>
          <cell r="UDT1" t="str">
            <v>--</v>
          </cell>
          <cell r="UDU1" t="str">
            <v>--</v>
          </cell>
          <cell r="UDV1" t="str">
            <v>--</v>
          </cell>
          <cell r="UDW1" t="str">
            <v>--</v>
          </cell>
          <cell r="UDX1" t="str">
            <v>--</v>
          </cell>
          <cell r="UDY1" t="str">
            <v>--</v>
          </cell>
          <cell r="UDZ1" t="str">
            <v>--</v>
          </cell>
          <cell r="UEA1" t="str">
            <v>--</v>
          </cell>
          <cell r="UEB1" t="str">
            <v>--</v>
          </cell>
          <cell r="UEC1" t="str">
            <v>--</v>
          </cell>
          <cell r="UED1" t="str">
            <v>--</v>
          </cell>
          <cell r="UEE1" t="str">
            <v>--</v>
          </cell>
          <cell r="UEF1" t="str">
            <v>--</v>
          </cell>
          <cell r="UEG1" t="str">
            <v>--</v>
          </cell>
          <cell r="UEH1" t="str">
            <v>--</v>
          </cell>
          <cell r="UEI1" t="str">
            <v>--</v>
          </cell>
          <cell r="UEJ1" t="str">
            <v>--</v>
          </cell>
          <cell r="UEK1" t="str">
            <v>--</v>
          </cell>
          <cell r="UEL1" t="str">
            <v>--</v>
          </cell>
          <cell r="UEM1" t="str">
            <v>--</v>
          </cell>
          <cell r="UEN1" t="str">
            <v>--</v>
          </cell>
          <cell r="UEO1" t="str">
            <v>--</v>
          </cell>
          <cell r="UEP1" t="str">
            <v>--</v>
          </cell>
          <cell r="UEQ1" t="str">
            <v>--</v>
          </cell>
          <cell r="UER1" t="str">
            <v>--</v>
          </cell>
          <cell r="UES1" t="str">
            <v>--</v>
          </cell>
          <cell r="UET1" t="str">
            <v>--</v>
          </cell>
          <cell r="UEU1" t="str">
            <v>--</v>
          </cell>
          <cell r="UEV1" t="str">
            <v>--</v>
          </cell>
          <cell r="UEW1" t="str">
            <v>--</v>
          </cell>
          <cell r="UEX1" t="str">
            <v>--</v>
          </cell>
          <cell r="UEY1" t="str">
            <v>--</v>
          </cell>
          <cell r="UEZ1" t="str">
            <v>--</v>
          </cell>
          <cell r="UFA1" t="str">
            <v>--</v>
          </cell>
          <cell r="UFB1" t="str">
            <v>--</v>
          </cell>
          <cell r="UFC1" t="str">
            <v>--</v>
          </cell>
          <cell r="UFD1" t="str">
            <v>--</v>
          </cell>
          <cell r="UFE1" t="str">
            <v>--</v>
          </cell>
          <cell r="UFF1" t="str">
            <v>--</v>
          </cell>
          <cell r="UFG1" t="str">
            <v>--</v>
          </cell>
          <cell r="UFH1" t="str">
            <v>--</v>
          </cell>
          <cell r="UFI1" t="str">
            <v>--</v>
          </cell>
          <cell r="UFJ1" t="str">
            <v>--</v>
          </cell>
          <cell r="UFK1" t="str">
            <v>--</v>
          </cell>
          <cell r="UFL1" t="str">
            <v>--</v>
          </cell>
          <cell r="UFM1" t="str">
            <v>--</v>
          </cell>
          <cell r="UFN1" t="str">
            <v>--</v>
          </cell>
          <cell r="UFO1" t="str">
            <v>--</v>
          </cell>
          <cell r="UFP1" t="str">
            <v>--</v>
          </cell>
          <cell r="UFQ1" t="str">
            <v>--</v>
          </cell>
          <cell r="UFR1" t="str">
            <v>--</v>
          </cell>
          <cell r="UFS1" t="str">
            <v>--</v>
          </cell>
          <cell r="UFT1" t="str">
            <v>--</v>
          </cell>
          <cell r="UFU1" t="str">
            <v>--</v>
          </cell>
          <cell r="UFV1" t="str">
            <v>--</v>
          </cell>
          <cell r="UFW1" t="str">
            <v>--</v>
          </cell>
          <cell r="UFX1" t="str">
            <v>--</v>
          </cell>
          <cell r="UFY1" t="str">
            <v>--</v>
          </cell>
          <cell r="UFZ1" t="str">
            <v>--</v>
          </cell>
          <cell r="UGA1" t="str">
            <v>--</v>
          </cell>
          <cell r="UGB1" t="str">
            <v>--</v>
          </cell>
          <cell r="UGC1" t="str">
            <v>--</v>
          </cell>
          <cell r="UGD1" t="str">
            <v>--</v>
          </cell>
          <cell r="UGE1" t="str">
            <v>--</v>
          </cell>
          <cell r="UGF1" t="str">
            <v>--</v>
          </cell>
          <cell r="UGG1" t="str">
            <v>--</v>
          </cell>
          <cell r="UGH1" t="str">
            <v>--</v>
          </cell>
          <cell r="UGI1" t="str">
            <v>--</v>
          </cell>
          <cell r="UGJ1" t="str">
            <v>--</v>
          </cell>
          <cell r="UGK1" t="str">
            <v>--</v>
          </cell>
          <cell r="UGL1" t="str">
            <v>--</v>
          </cell>
          <cell r="UGM1" t="str">
            <v>--</v>
          </cell>
          <cell r="UGN1" t="str">
            <v>--</v>
          </cell>
          <cell r="UGO1" t="str">
            <v>--</v>
          </cell>
          <cell r="UGP1" t="str">
            <v>--</v>
          </cell>
          <cell r="UGQ1" t="str">
            <v>--</v>
          </cell>
          <cell r="UGR1" t="str">
            <v>--</v>
          </cell>
          <cell r="UGS1" t="str">
            <v>--</v>
          </cell>
          <cell r="UGT1" t="str">
            <v>--</v>
          </cell>
          <cell r="UGU1" t="str">
            <v>--</v>
          </cell>
          <cell r="UGV1" t="str">
            <v>--</v>
          </cell>
          <cell r="UGW1" t="str">
            <v>--</v>
          </cell>
          <cell r="UGX1" t="str">
            <v>--</v>
          </cell>
          <cell r="UGY1" t="str">
            <v>--</v>
          </cell>
          <cell r="UGZ1" t="str">
            <v>--</v>
          </cell>
          <cell r="UHA1" t="str">
            <v>--</v>
          </cell>
          <cell r="UHB1" t="str">
            <v>--</v>
          </cell>
          <cell r="UHC1" t="str">
            <v>--</v>
          </cell>
          <cell r="UHD1" t="str">
            <v>--</v>
          </cell>
          <cell r="UHE1" t="str">
            <v>--</v>
          </cell>
          <cell r="UHF1" t="str">
            <v>--</v>
          </cell>
          <cell r="UHG1" t="str">
            <v>--</v>
          </cell>
          <cell r="UHH1" t="str">
            <v>--</v>
          </cell>
          <cell r="UHI1" t="str">
            <v>--</v>
          </cell>
          <cell r="UHJ1" t="str">
            <v>--</v>
          </cell>
          <cell r="UHK1" t="str">
            <v>--</v>
          </cell>
          <cell r="UHL1" t="str">
            <v>--</v>
          </cell>
          <cell r="UHM1" t="str">
            <v>--</v>
          </cell>
          <cell r="UHN1" t="str">
            <v>--</v>
          </cell>
          <cell r="UHO1" t="str">
            <v>--</v>
          </cell>
          <cell r="UHP1" t="str">
            <v>--</v>
          </cell>
          <cell r="UHQ1" t="str">
            <v>--</v>
          </cell>
          <cell r="UHR1" t="str">
            <v>--</v>
          </cell>
          <cell r="UHS1" t="str">
            <v>--</v>
          </cell>
          <cell r="UHT1" t="str">
            <v>--</v>
          </cell>
          <cell r="UHU1" t="str">
            <v>--</v>
          </cell>
          <cell r="UHV1" t="str">
            <v>--</v>
          </cell>
          <cell r="UHW1" t="str">
            <v>--</v>
          </cell>
          <cell r="UHX1" t="str">
            <v>--</v>
          </cell>
          <cell r="UHY1" t="str">
            <v>--</v>
          </cell>
          <cell r="UHZ1" t="str">
            <v>--</v>
          </cell>
          <cell r="UIA1" t="str">
            <v>--</v>
          </cell>
          <cell r="UIB1" t="str">
            <v>--</v>
          </cell>
          <cell r="UIC1" t="str">
            <v>--</v>
          </cell>
          <cell r="UID1" t="str">
            <v>--</v>
          </cell>
          <cell r="UIE1" t="str">
            <v>--</v>
          </cell>
          <cell r="UIF1" t="str">
            <v>--</v>
          </cell>
          <cell r="UIG1" t="str">
            <v>--</v>
          </cell>
          <cell r="UIH1" t="str">
            <v>--</v>
          </cell>
          <cell r="UII1" t="str">
            <v>--</v>
          </cell>
          <cell r="UIJ1" t="str">
            <v>--</v>
          </cell>
          <cell r="UIK1" t="str">
            <v>--</v>
          </cell>
          <cell r="UIL1" t="str">
            <v>--</v>
          </cell>
          <cell r="UIM1" t="str">
            <v>--</v>
          </cell>
          <cell r="UIN1" t="str">
            <v>--</v>
          </cell>
          <cell r="UIO1" t="str">
            <v>--</v>
          </cell>
          <cell r="UIP1" t="str">
            <v>--</v>
          </cell>
          <cell r="UIQ1" t="str">
            <v>--</v>
          </cell>
          <cell r="UIR1" t="str">
            <v>--</v>
          </cell>
          <cell r="UIS1" t="str">
            <v>--</v>
          </cell>
          <cell r="UIT1" t="str">
            <v>--</v>
          </cell>
          <cell r="UIU1" t="str">
            <v>--</v>
          </cell>
          <cell r="UIV1" t="str">
            <v>--</v>
          </cell>
          <cell r="UIW1" t="str">
            <v>--</v>
          </cell>
          <cell r="UIX1" t="str">
            <v>--</v>
          </cell>
          <cell r="UIY1" t="str">
            <v>--</v>
          </cell>
          <cell r="UIZ1" t="str">
            <v>--</v>
          </cell>
          <cell r="UJA1" t="str">
            <v>--</v>
          </cell>
          <cell r="UJB1" t="str">
            <v>--</v>
          </cell>
          <cell r="UJC1" t="str">
            <v>--</v>
          </cell>
          <cell r="UJD1" t="str">
            <v>--</v>
          </cell>
          <cell r="UJE1" t="str">
            <v>--</v>
          </cell>
          <cell r="UJF1" t="str">
            <v>--</v>
          </cell>
          <cell r="UJG1" t="str">
            <v>--</v>
          </cell>
          <cell r="UJH1" t="str">
            <v>--</v>
          </cell>
          <cell r="UJI1" t="str">
            <v>--</v>
          </cell>
          <cell r="UJJ1" t="str">
            <v>--</v>
          </cell>
          <cell r="UJK1" t="str">
            <v>--</v>
          </cell>
          <cell r="UJL1" t="str">
            <v>--</v>
          </cell>
          <cell r="UJM1" t="str">
            <v>--</v>
          </cell>
          <cell r="UJN1" t="str">
            <v>--</v>
          </cell>
          <cell r="UJO1" t="str">
            <v>--</v>
          </cell>
          <cell r="UJP1" t="str">
            <v>--</v>
          </cell>
          <cell r="UJQ1" t="str">
            <v>--</v>
          </cell>
          <cell r="UJR1" t="str">
            <v>--</v>
          </cell>
          <cell r="UJS1" t="str">
            <v>--</v>
          </cell>
          <cell r="UJT1" t="str">
            <v>--</v>
          </cell>
          <cell r="UJU1" t="str">
            <v>--</v>
          </cell>
          <cell r="UJV1" t="str">
            <v>--</v>
          </cell>
          <cell r="UJW1" t="str">
            <v>--</v>
          </cell>
          <cell r="UJX1" t="str">
            <v>--</v>
          </cell>
          <cell r="UJY1" t="str">
            <v>--</v>
          </cell>
          <cell r="UJZ1" t="str">
            <v>--</v>
          </cell>
          <cell r="UKA1" t="str">
            <v>--</v>
          </cell>
          <cell r="UKB1" t="str">
            <v>--</v>
          </cell>
          <cell r="UKC1" t="str">
            <v>--</v>
          </cell>
          <cell r="UKD1" t="str">
            <v>--</v>
          </cell>
          <cell r="UKE1" t="str">
            <v>--</v>
          </cell>
          <cell r="UKF1" t="str">
            <v>--</v>
          </cell>
          <cell r="UKG1" t="str">
            <v>--</v>
          </cell>
          <cell r="UKH1" t="str">
            <v>--</v>
          </cell>
          <cell r="UKI1" t="str">
            <v>--</v>
          </cell>
          <cell r="UKJ1" t="str">
            <v>--</v>
          </cell>
          <cell r="UKK1" t="str">
            <v>--</v>
          </cell>
          <cell r="UKL1" t="str">
            <v>--</v>
          </cell>
          <cell r="UKM1" t="str">
            <v>--</v>
          </cell>
          <cell r="UKN1" t="str">
            <v>--</v>
          </cell>
          <cell r="UKO1" t="str">
            <v>--</v>
          </cell>
          <cell r="UKP1" t="str">
            <v>--</v>
          </cell>
          <cell r="UKQ1" t="str">
            <v>--</v>
          </cell>
          <cell r="UKR1" t="str">
            <v>--</v>
          </cell>
          <cell r="UKS1" t="str">
            <v>--</v>
          </cell>
          <cell r="UKT1" t="str">
            <v>--</v>
          </cell>
          <cell r="UKU1" t="str">
            <v>--</v>
          </cell>
          <cell r="UKV1" t="str">
            <v>--</v>
          </cell>
          <cell r="UKW1" t="str">
            <v>--</v>
          </cell>
          <cell r="UKX1" t="str">
            <v>--</v>
          </cell>
          <cell r="UKY1" t="str">
            <v>--</v>
          </cell>
          <cell r="UKZ1" t="str">
            <v>--</v>
          </cell>
          <cell r="ULA1" t="str">
            <v>--</v>
          </cell>
          <cell r="ULB1" t="str">
            <v>--</v>
          </cell>
          <cell r="ULC1" t="str">
            <v>--</v>
          </cell>
          <cell r="ULD1" t="str">
            <v>--</v>
          </cell>
          <cell r="ULE1" t="str">
            <v>--</v>
          </cell>
          <cell r="ULF1" t="str">
            <v>--</v>
          </cell>
          <cell r="ULG1" t="str">
            <v>--</v>
          </cell>
          <cell r="ULH1" t="str">
            <v>--</v>
          </cell>
          <cell r="ULI1" t="str">
            <v>--</v>
          </cell>
          <cell r="ULJ1" t="str">
            <v>--</v>
          </cell>
          <cell r="ULK1" t="str">
            <v>--</v>
          </cell>
          <cell r="ULL1" t="str">
            <v>--</v>
          </cell>
          <cell r="ULM1" t="str">
            <v>--</v>
          </cell>
          <cell r="ULN1" t="str">
            <v>--</v>
          </cell>
          <cell r="ULO1" t="str">
            <v>--</v>
          </cell>
          <cell r="ULP1" t="str">
            <v>--</v>
          </cell>
          <cell r="ULQ1" t="str">
            <v>--</v>
          </cell>
          <cell r="ULR1" t="str">
            <v>--</v>
          </cell>
          <cell r="ULS1" t="str">
            <v>--</v>
          </cell>
          <cell r="ULT1" t="str">
            <v>--</v>
          </cell>
          <cell r="ULU1" t="str">
            <v>--</v>
          </cell>
          <cell r="ULV1" t="str">
            <v>--</v>
          </cell>
          <cell r="ULW1" t="str">
            <v>--</v>
          </cell>
          <cell r="ULX1" t="str">
            <v>--</v>
          </cell>
          <cell r="ULY1" t="str">
            <v>--</v>
          </cell>
          <cell r="ULZ1" t="str">
            <v>--</v>
          </cell>
          <cell r="UMA1" t="str">
            <v>--</v>
          </cell>
          <cell r="UMB1" t="str">
            <v>--</v>
          </cell>
          <cell r="UMC1" t="str">
            <v>--</v>
          </cell>
          <cell r="UMD1" t="str">
            <v>--</v>
          </cell>
          <cell r="UME1" t="str">
            <v>--</v>
          </cell>
          <cell r="UMF1" t="str">
            <v>--</v>
          </cell>
          <cell r="UMG1" t="str">
            <v>--</v>
          </cell>
          <cell r="UMH1" t="str">
            <v>--</v>
          </cell>
          <cell r="UMI1" t="str">
            <v>--</v>
          </cell>
          <cell r="UMJ1" t="str">
            <v>--</v>
          </cell>
          <cell r="UMK1" t="str">
            <v>--</v>
          </cell>
          <cell r="UML1" t="str">
            <v>--</v>
          </cell>
          <cell r="UMM1" t="str">
            <v>--</v>
          </cell>
          <cell r="UMN1" t="str">
            <v>--</v>
          </cell>
          <cell r="UMO1" t="str">
            <v>--</v>
          </cell>
          <cell r="UMP1" t="str">
            <v>--</v>
          </cell>
          <cell r="UMQ1" t="str">
            <v>--</v>
          </cell>
          <cell r="UMR1" t="str">
            <v>--</v>
          </cell>
          <cell r="UMS1" t="str">
            <v>--</v>
          </cell>
          <cell r="UMT1" t="str">
            <v>--</v>
          </cell>
          <cell r="UMU1" t="str">
            <v>--</v>
          </cell>
          <cell r="UMV1" t="str">
            <v>--</v>
          </cell>
          <cell r="UMW1" t="str">
            <v>--</v>
          </cell>
          <cell r="UMX1" t="str">
            <v>--</v>
          </cell>
          <cell r="UMY1" t="str">
            <v>--</v>
          </cell>
          <cell r="UMZ1" t="str">
            <v>--</v>
          </cell>
          <cell r="UNA1" t="str">
            <v>--</v>
          </cell>
          <cell r="UNB1" t="str">
            <v>--</v>
          </cell>
          <cell r="UNC1" t="str">
            <v>--</v>
          </cell>
          <cell r="UND1" t="str">
            <v>--</v>
          </cell>
          <cell r="UNE1" t="str">
            <v>--</v>
          </cell>
          <cell r="UNF1" t="str">
            <v>--</v>
          </cell>
          <cell r="UNG1" t="str">
            <v>--</v>
          </cell>
          <cell r="UNH1" t="str">
            <v>--</v>
          </cell>
          <cell r="UNI1" t="str">
            <v>--</v>
          </cell>
          <cell r="UNJ1" t="str">
            <v>--</v>
          </cell>
          <cell r="UNK1" t="str">
            <v>--</v>
          </cell>
          <cell r="UNL1" t="str">
            <v>--</v>
          </cell>
          <cell r="UNM1" t="str">
            <v>--</v>
          </cell>
          <cell r="UNN1" t="str">
            <v>--</v>
          </cell>
          <cell r="UNO1" t="str">
            <v>--</v>
          </cell>
          <cell r="UNP1" t="str">
            <v>--</v>
          </cell>
          <cell r="UNQ1" t="str">
            <v>--</v>
          </cell>
          <cell r="UNR1" t="str">
            <v>--</v>
          </cell>
          <cell r="UNS1" t="str">
            <v>--</v>
          </cell>
          <cell r="UNT1" t="str">
            <v>--</v>
          </cell>
          <cell r="UNU1" t="str">
            <v>--</v>
          </cell>
          <cell r="UNV1" t="str">
            <v>--</v>
          </cell>
          <cell r="UNW1" t="str">
            <v>--</v>
          </cell>
          <cell r="UNX1" t="str">
            <v>--</v>
          </cell>
          <cell r="UNY1" t="str">
            <v>--</v>
          </cell>
          <cell r="UNZ1" t="str">
            <v>--</v>
          </cell>
          <cell r="UOA1" t="str">
            <v>--</v>
          </cell>
          <cell r="UOB1" t="str">
            <v>--</v>
          </cell>
          <cell r="UOC1" t="str">
            <v>--</v>
          </cell>
          <cell r="UOD1" t="str">
            <v>--</v>
          </cell>
          <cell r="UOE1" t="str">
            <v>--</v>
          </cell>
          <cell r="UOF1" t="str">
            <v>--</v>
          </cell>
          <cell r="UOG1" t="str">
            <v>--</v>
          </cell>
          <cell r="UOH1" t="str">
            <v>--</v>
          </cell>
          <cell r="UOI1" t="str">
            <v>--</v>
          </cell>
          <cell r="UOJ1" t="str">
            <v>--</v>
          </cell>
          <cell r="UOK1" t="str">
            <v>--</v>
          </cell>
          <cell r="UOL1" t="str">
            <v>--</v>
          </cell>
          <cell r="UOM1" t="str">
            <v>--</v>
          </cell>
          <cell r="UON1" t="str">
            <v>--</v>
          </cell>
          <cell r="UOO1" t="str">
            <v>--</v>
          </cell>
          <cell r="UOP1" t="str">
            <v>--</v>
          </cell>
          <cell r="UOQ1" t="str">
            <v>--</v>
          </cell>
          <cell r="UOR1" t="str">
            <v>--</v>
          </cell>
          <cell r="UOS1" t="str">
            <v>--</v>
          </cell>
          <cell r="UOT1" t="str">
            <v>--</v>
          </cell>
          <cell r="UOU1" t="str">
            <v>--</v>
          </cell>
          <cell r="UOV1" t="str">
            <v>--</v>
          </cell>
          <cell r="UOW1" t="str">
            <v>--</v>
          </cell>
          <cell r="UOX1" t="str">
            <v>--</v>
          </cell>
          <cell r="UOY1" t="str">
            <v>--</v>
          </cell>
          <cell r="UOZ1" t="str">
            <v>--</v>
          </cell>
          <cell r="UPA1" t="str">
            <v>--</v>
          </cell>
          <cell r="UPB1" t="str">
            <v>--</v>
          </cell>
          <cell r="UPC1" t="str">
            <v>--</v>
          </cell>
          <cell r="UPD1" t="str">
            <v>--</v>
          </cell>
          <cell r="UPE1" t="str">
            <v>--</v>
          </cell>
          <cell r="UPF1" t="str">
            <v>--</v>
          </cell>
          <cell r="UPG1" t="str">
            <v>--</v>
          </cell>
          <cell r="UPH1" t="str">
            <v>--</v>
          </cell>
          <cell r="UPI1" t="str">
            <v>--</v>
          </cell>
          <cell r="UPJ1" t="str">
            <v>--</v>
          </cell>
          <cell r="UPK1" t="str">
            <v>--</v>
          </cell>
          <cell r="UPL1" t="str">
            <v>--</v>
          </cell>
          <cell r="UPM1" t="str">
            <v>--</v>
          </cell>
          <cell r="UPN1" t="str">
            <v>--</v>
          </cell>
          <cell r="UPO1" t="str">
            <v>--</v>
          </cell>
          <cell r="UPP1" t="str">
            <v>--</v>
          </cell>
          <cell r="UPQ1" t="str">
            <v>--</v>
          </cell>
          <cell r="UPR1" t="str">
            <v>--</v>
          </cell>
          <cell r="UPS1" t="str">
            <v>--</v>
          </cell>
          <cell r="UPT1" t="str">
            <v>--</v>
          </cell>
          <cell r="UPU1" t="str">
            <v>--</v>
          </cell>
          <cell r="UPV1" t="str">
            <v>--</v>
          </cell>
          <cell r="UPW1" t="str">
            <v>--</v>
          </cell>
          <cell r="UPX1" t="str">
            <v>--</v>
          </cell>
          <cell r="UPY1" t="str">
            <v>--</v>
          </cell>
          <cell r="UPZ1" t="str">
            <v>--</v>
          </cell>
          <cell r="UQA1" t="str">
            <v>--</v>
          </cell>
          <cell r="UQB1" t="str">
            <v>--</v>
          </cell>
          <cell r="UQC1" t="str">
            <v>--</v>
          </cell>
          <cell r="UQD1" t="str">
            <v>--</v>
          </cell>
          <cell r="UQE1" t="str">
            <v>--</v>
          </cell>
          <cell r="UQF1" t="str">
            <v>--</v>
          </cell>
          <cell r="UQG1" t="str">
            <v>--</v>
          </cell>
          <cell r="UQH1" t="str">
            <v>--</v>
          </cell>
          <cell r="UQI1" t="str">
            <v>--</v>
          </cell>
          <cell r="UQJ1" t="str">
            <v>--</v>
          </cell>
          <cell r="UQK1" t="str">
            <v>--</v>
          </cell>
          <cell r="UQL1" t="str">
            <v>--</v>
          </cell>
          <cell r="UQM1" t="str">
            <v>--</v>
          </cell>
          <cell r="UQN1" t="str">
            <v>--</v>
          </cell>
          <cell r="UQO1" t="str">
            <v>--</v>
          </cell>
          <cell r="UQP1" t="str">
            <v>--</v>
          </cell>
          <cell r="UQQ1" t="str">
            <v>--</v>
          </cell>
          <cell r="UQR1" t="str">
            <v>--</v>
          </cell>
          <cell r="UQS1" t="str">
            <v>--</v>
          </cell>
          <cell r="UQT1" t="str">
            <v>--</v>
          </cell>
          <cell r="UQU1" t="str">
            <v>--</v>
          </cell>
          <cell r="UQV1" t="str">
            <v>--</v>
          </cell>
          <cell r="UQW1" t="str">
            <v>--</v>
          </cell>
          <cell r="UQX1" t="str">
            <v>--</v>
          </cell>
          <cell r="UQY1" t="str">
            <v>--</v>
          </cell>
          <cell r="UQZ1" t="str">
            <v>--</v>
          </cell>
          <cell r="URA1" t="str">
            <v>--</v>
          </cell>
          <cell r="URB1" t="str">
            <v>--</v>
          </cell>
          <cell r="URC1" t="str">
            <v>--</v>
          </cell>
          <cell r="URD1" t="str">
            <v>--</v>
          </cell>
          <cell r="URE1" t="str">
            <v>--</v>
          </cell>
          <cell r="URF1" t="str">
            <v>--</v>
          </cell>
          <cell r="URG1" t="str">
            <v>--</v>
          </cell>
          <cell r="URH1" t="str">
            <v>--</v>
          </cell>
          <cell r="URI1" t="str">
            <v>--</v>
          </cell>
          <cell r="URJ1" t="str">
            <v>--</v>
          </cell>
          <cell r="URK1" t="str">
            <v>--</v>
          </cell>
          <cell r="URL1" t="str">
            <v>--</v>
          </cell>
          <cell r="URM1" t="str">
            <v>--</v>
          </cell>
          <cell r="URN1" t="str">
            <v>--</v>
          </cell>
          <cell r="URO1" t="str">
            <v>--</v>
          </cell>
          <cell r="URP1" t="str">
            <v>--</v>
          </cell>
          <cell r="URQ1" t="str">
            <v>--</v>
          </cell>
          <cell r="URR1" t="str">
            <v>--</v>
          </cell>
          <cell r="URS1" t="str">
            <v>--</v>
          </cell>
          <cell r="URT1" t="str">
            <v>--</v>
          </cell>
          <cell r="URU1" t="str">
            <v>--</v>
          </cell>
          <cell r="URV1" t="str">
            <v>--</v>
          </cell>
          <cell r="URW1" t="str">
            <v>--</v>
          </cell>
          <cell r="URX1" t="str">
            <v>--</v>
          </cell>
          <cell r="URY1" t="str">
            <v>--</v>
          </cell>
          <cell r="URZ1" t="str">
            <v>--</v>
          </cell>
          <cell r="USA1" t="str">
            <v>--</v>
          </cell>
          <cell r="USB1" t="str">
            <v>--</v>
          </cell>
          <cell r="USC1" t="str">
            <v>--</v>
          </cell>
          <cell r="USD1" t="str">
            <v>--</v>
          </cell>
          <cell r="USE1" t="str">
            <v>--</v>
          </cell>
          <cell r="USF1" t="str">
            <v>--</v>
          </cell>
          <cell r="USG1" t="str">
            <v>--</v>
          </cell>
          <cell r="USH1" t="str">
            <v>--</v>
          </cell>
          <cell r="USI1" t="str">
            <v>--</v>
          </cell>
          <cell r="USJ1" t="str">
            <v>--</v>
          </cell>
          <cell r="USK1" t="str">
            <v>--</v>
          </cell>
          <cell r="USL1" t="str">
            <v>--</v>
          </cell>
          <cell r="USM1" t="str">
            <v>--</v>
          </cell>
          <cell r="USN1" t="str">
            <v>--</v>
          </cell>
          <cell r="USO1" t="str">
            <v>--</v>
          </cell>
          <cell r="USP1" t="str">
            <v>--</v>
          </cell>
          <cell r="USQ1" t="str">
            <v>--</v>
          </cell>
          <cell r="USR1" t="str">
            <v>--</v>
          </cell>
          <cell r="USS1" t="str">
            <v>--</v>
          </cell>
          <cell r="UST1" t="str">
            <v>--</v>
          </cell>
          <cell r="USU1" t="str">
            <v>--</v>
          </cell>
          <cell r="USV1" t="str">
            <v>--</v>
          </cell>
          <cell r="USW1" t="str">
            <v>--</v>
          </cell>
          <cell r="USX1" t="str">
            <v>--</v>
          </cell>
          <cell r="USY1" t="str">
            <v>--</v>
          </cell>
          <cell r="USZ1" t="str">
            <v>--</v>
          </cell>
          <cell r="UTA1" t="str">
            <v>--</v>
          </cell>
          <cell r="UTB1" t="str">
            <v>--</v>
          </cell>
          <cell r="UTC1" t="str">
            <v>--</v>
          </cell>
          <cell r="UTD1" t="str">
            <v>--</v>
          </cell>
          <cell r="UTE1" t="str">
            <v>--</v>
          </cell>
          <cell r="UTF1" t="str">
            <v>--</v>
          </cell>
          <cell r="UTG1" t="str">
            <v>--</v>
          </cell>
          <cell r="UTH1" t="str">
            <v>--</v>
          </cell>
          <cell r="UTI1" t="str">
            <v>--</v>
          </cell>
          <cell r="UTJ1" t="str">
            <v>--</v>
          </cell>
          <cell r="UTK1" t="str">
            <v>--</v>
          </cell>
          <cell r="UTL1" t="str">
            <v>--</v>
          </cell>
          <cell r="UTM1" t="str">
            <v>--</v>
          </cell>
          <cell r="UTN1" t="str">
            <v>--</v>
          </cell>
          <cell r="UTO1" t="str">
            <v>--</v>
          </cell>
          <cell r="UTP1" t="str">
            <v>--</v>
          </cell>
          <cell r="UTQ1" t="str">
            <v>--</v>
          </cell>
          <cell r="UTR1" t="str">
            <v>--</v>
          </cell>
          <cell r="UTS1" t="str">
            <v>--</v>
          </cell>
          <cell r="UTT1" t="str">
            <v>--</v>
          </cell>
          <cell r="UTU1" t="str">
            <v>--</v>
          </cell>
          <cell r="UTV1" t="str">
            <v>--</v>
          </cell>
          <cell r="UTW1" t="str">
            <v>--</v>
          </cell>
          <cell r="UTX1" t="str">
            <v>--</v>
          </cell>
          <cell r="UTY1" t="str">
            <v>--</v>
          </cell>
          <cell r="UTZ1" t="str">
            <v>--</v>
          </cell>
          <cell r="UUA1" t="str">
            <v>--</v>
          </cell>
          <cell r="UUB1" t="str">
            <v>--</v>
          </cell>
          <cell r="UUC1" t="str">
            <v>--</v>
          </cell>
          <cell r="UUD1" t="str">
            <v>--</v>
          </cell>
          <cell r="UUE1" t="str">
            <v>--</v>
          </cell>
          <cell r="UUF1" t="str">
            <v>--</v>
          </cell>
          <cell r="UUG1" t="str">
            <v>--</v>
          </cell>
          <cell r="UUH1" t="str">
            <v>--</v>
          </cell>
          <cell r="UUI1" t="str">
            <v>--</v>
          </cell>
          <cell r="UUJ1" t="str">
            <v>--</v>
          </cell>
          <cell r="UUK1" t="str">
            <v>--</v>
          </cell>
          <cell r="UUL1" t="str">
            <v>--</v>
          </cell>
          <cell r="UUM1" t="str">
            <v>--</v>
          </cell>
          <cell r="UUN1" t="str">
            <v>--</v>
          </cell>
          <cell r="UUO1" t="str">
            <v>--</v>
          </cell>
          <cell r="UUP1" t="str">
            <v>--</v>
          </cell>
          <cell r="UUQ1" t="str">
            <v>--</v>
          </cell>
          <cell r="UUR1" t="str">
            <v>--</v>
          </cell>
          <cell r="UUS1" t="str">
            <v>--</v>
          </cell>
          <cell r="UUT1" t="str">
            <v>--</v>
          </cell>
          <cell r="UUU1" t="str">
            <v>--</v>
          </cell>
          <cell r="UUV1" t="str">
            <v>--</v>
          </cell>
          <cell r="UUW1" t="str">
            <v>--</v>
          </cell>
          <cell r="UUX1" t="str">
            <v>--</v>
          </cell>
          <cell r="UUY1" t="str">
            <v>--</v>
          </cell>
          <cell r="UUZ1" t="str">
            <v>--</v>
          </cell>
          <cell r="UVA1" t="str">
            <v>--</v>
          </cell>
          <cell r="UVB1" t="str">
            <v>--</v>
          </cell>
          <cell r="UVC1" t="str">
            <v>--</v>
          </cell>
          <cell r="UVD1" t="str">
            <v>--</v>
          </cell>
          <cell r="UVE1" t="str">
            <v>--</v>
          </cell>
          <cell r="UVF1" t="str">
            <v>--</v>
          </cell>
          <cell r="UVG1" t="str">
            <v>--</v>
          </cell>
          <cell r="UVH1" t="str">
            <v>--</v>
          </cell>
          <cell r="UVI1" t="str">
            <v>--</v>
          </cell>
          <cell r="UVJ1" t="str">
            <v>--</v>
          </cell>
          <cell r="UVK1" t="str">
            <v>--</v>
          </cell>
          <cell r="UVL1" t="str">
            <v>--</v>
          </cell>
          <cell r="UVM1" t="str">
            <v>--</v>
          </cell>
          <cell r="UVN1" t="str">
            <v>--</v>
          </cell>
          <cell r="UVO1" t="str">
            <v>--</v>
          </cell>
          <cell r="UVP1" t="str">
            <v>--</v>
          </cell>
          <cell r="UVQ1" t="str">
            <v>--</v>
          </cell>
          <cell r="UVR1" t="str">
            <v>--</v>
          </cell>
          <cell r="UVS1" t="str">
            <v>--</v>
          </cell>
          <cell r="UVT1" t="str">
            <v>--</v>
          </cell>
          <cell r="UVU1" t="str">
            <v>--</v>
          </cell>
          <cell r="UVV1" t="str">
            <v>--</v>
          </cell>
          <cell r="UVW1" t="str">
            <v>--</v>
          </cell>
          <cell r="UVX1" t="str">
            <v>--</v>
          </cell>
          <cell r="UVY1" t="str">
            <v>--</v>
          </cell>
          <cell r="UVZ1" t="str">
            <v>--</v>
          </cell>
          <cell r="UWA1" t="str">
            <v>--</v>
          </cell>
          <cell r="UWB1" t="str">
            <v>--</v>
          </cell>
          <cell r="UWC1" t="str">
            <v>--</v>
          </cell>
          <cell r="UWD1" t="str">
            <v>--</v>
          </cell>
          <cell r="UWE1" t="str">
            <v>--</v>
          </cell>
          <cell r="UWF1" t="str">
            <v>--</v>
          </cell>
          <cell r="UWG1" t="str">
            <v>--</v>
          </cell>
          <cell r="UWH1" t="str">
            <v>--</v>
          </cell>
          <cell r="UWI1" t="str">
            <v>--</v>
          </cell>
          <cell r="UWJ1" t="str">
            <v>--</v>
          </cell>
          <cell r="UWK1" t="str">
            <v>--</v>
          </cell>
          <cell r="UWL1" t="str">
            <v>--</v>
          </cell>
          <cell r="UWM1" t="str">
            <v>--</v>
          </cell>
          <cell r="UWN1" t="str">
            <v>--</v>
          </cell>
          <cell r="UWO1" t="str">
            <v>--</v>
          </cell>
          <cell r="UWP1" t="str">
            <v>--</v>
          </cell>
          <cell r="UWQ1" t="str">
            <v>--</v>
          </cell>
          <cell r="UWR1" t="str">
            <v>--</v>
          </cell>
          <cell r="UWS1" t="str">
            <v>--</v>
          </cell>
          <cell r="UWT1" t="str">
            <v>--</v>
          </cell>
          <cell r="UWU1" t="str">
            <v>--</v>
          </cell>
          <cell r="UWV1" t="str">
            <v>--</v>
          </cell>
          <cell r="UWW1" t="str">
            <v>--</v>
          </cell>
          <cell r="UWX1" t="str">
            <v>--</v>
          </cell>
          <cell r="UWY1" t="str">
            <v>--</v>
          </cell>
          <cell r="UWZ1" t="str">
            <v>--</v>
          </cell>
          <cell r="UXA1" t="str">
            <v>--</v>
          </cell>
          <cell r="UXB1" t="str">
            <v>--</v>
          </cell>
          <cell r="UXC1" t="str">
            <v>--</v>
          </cell>
          <cell r="UXD1" t="str">
            <v>--</v>
          </cell>
          <cell r="UXE1" t="str">
            <v>--</v>
          </cell>
          <cell r="UXF1" t="str">
            <v>--</v>
          </cell>
          <cell r="UXG1" t="str">
            <v>--</v>
          </cell>
          <cell r="UXH1" t="str">
            <v>--</v>
          </cell>
          <cell r="UXI1" t="str">
            <v>--</v>
          </cell>
          <cell r="UXJ1" t="str">
            <v>--</v>
          </cell>
          <cell r="UXK1" t="str">
            <v>--</v>
          </cell>
          <cell r="UXL1" t="str">
            <v>--</v>
          </cell>
          <cell r="UXM1" t="str">
            <v>--</v>
          </cell>
          <cell r="UXN1" t="str">
            <v>--</v>
          </cell>
          <cell r="UXO1" t="str">
            <v>--</v>
          </cell>
          <cell r="UXP1" t="str">
            <v>--</v>
          </cell>
          <cell r="UXQ1" t="str">
            <v>--</v>
          </cell>
          <cell r="UXR1" t="str">
            <v>--</v>
          </cell>
          <cell r="UXS1" t="str">
            <v>--</v>
          </cell>
          <cell r="UXT1" t="str">
            <v>--</v>
          </cell>
          <cell r="UXU1" t="str">
            <v>--</v>
          </cell>
          <cell r="UXV1" t="str">
            <v>--</v>
          </cell>
          <cell r="UXW1" t="str">
            <v>--</v>
          </cell>
          <cell r="UXX1" t="str">
            <v>--</v>
          </cell>
          <cell r="UXY1" t="str">
            <v>--</v>
          </cell>
          <cell r="UXZ1" t="str">
            <v>--</v>
          </cell>
          <cell r="UYA1" t="str">
            <v>--</v>
          </cell>
          <cell r="UYB1" t="str">
            <v>--</v>
          </cell>
          <cell r="UYC1" t="str">
            <v>--</v>
          </cell>
          <cell r="UYD1" t="str">
            <v>--</v>
          </cell>
          <cell r="UYE1" t="str">
            <v>--</v>
          </cell>
          <cell r="UYF1" t="str">
            <v>--</v>
          </cell>
          <cell r="UYG1" t="str">
            <v>--</v>
          </cell>
          <cell r="UYH1" t="str">
            <v>--</v>
          </cell>
          <cell r="UYI1" t="str">
            <v>--</v>
          </cell>
          <cell r="UYJ1" t="str">
            <v>--</v>
          </cell>
          <cell r="UYK1" t="str">
            <v>--</v>
          </cell>
          <cell r="UYL1" t="str">
            <v>--</v>
          </cell>
          <cell r="UYM1" t="str">
            <v>--</v>
          </cell>
          <cell r="UYN1" t="str">
            <v>--</v>
          </cell>
          <cell r="UYO1" t="str">
            <v>--</v>
          </cell>
          <cell r="UYP1" t="str">
            <v>--</v>
          </cell>
          <cell r="UYQ1" t="str">
            <v>--</v>
          </cell>
          <cell r="UYR1" t="str">
            <v>--</v>
          </cell>
          <cell r="UYS1" t="str">
            <v>--</v>
          </cell>
          <cell r="UYT1" t="str">
            <v>--</v>
          </cell>
          <cell r="UYU1" t="str">
            <v>--</v>
          </cell>
          <cell r="UYV1" t="str">
            <v>--</v>
          </cell>
          <cell r="UYW1" t="str">
            <v>--</v>
          </cell>
          <cell r="UYX1" t="str">
            <v>--</v>
          </cell>
          <cell r="UYY1" t="str">
            <v>--</v>
          </cell>
          <cell r="UYZ1" t="str">
            <v>--</v>
          </cell>
          <cell r="UZA1" t="str">
            <v>--</v>
          </cell>
          <cell r="UZB1" t="str">
            <v>--</v>
          </cell>
          <cell r="UZC1" t="str">
            <v>--</v>
          </cell>
          <cell r="UZD1" t="str">
            <v>--</v>
          </cell>
          <cell r="UZE1" t="str">
            <v>--</v>
          </cell>
          <cell r="UZF1" t="str">
            <v>--</v>
          </cell>
          <cell r="UZG1" t="str">
            <v>--</v>
          </cell>
          <cell r="UZH1" t="str">
            <v>--</v>
          </cell>
          <cell r="UZI1" t="str">
            <v>--</v>
          </cell>
          <cell r="UZJ1" t="str">
            <v>--</v>
          </cell>
          <cell r="UZK1" t="str">
            <v>--</v>
          </cell>
          <cell r="UZL1" t="str">
            <v>--</v>
          </cell>
          <cell r="UZM1" t="str">
            <v>--</v>
          </cell>
          <cell r="UZN1" t="str">
            <v>--</v>
          </cell>
          <cell r="UZO1" t="str">
            <v>--</v>
          </cell>
          <cell r="UZP1" t="str">
            <v>--</v>
          </cell>
          <cell r="UZQ1" t="str">
            <v>--</v>
          </cell>
          <cell r="UZR1" t="str">
            <v>--</v>
          </cell>
          <cell r="UZS1" t="str">
            <v>--</v>
          </cell>
          <cell r="UZT1" t="str">
            <v>--</v>
          </cell>
          <cell r="UZU1" t="str">
            <v>--</v>
          </cell>
          <cell r="UZV1" t="str">
            <v>--</v>
          </cell>
          <cell r="UZW1" t="str">
            <v>--</v>
          </cell>
          <cell r="UZX1" t="str">
            <v>--</v>
          </cell>
          <cell r="UZY1" t="str">
            <v>--</v>
          </cell>
          <cell r="UZZ1" t="str">
            <v>--</v>
          </cell>
          <cell r="VAA1" t="str">
            <v>--</v>
          </cell>
          <cell r="VAB1" t="str">
            <v>--</v>
          </cell>
          <cell r="VAC1" t="str">
            <v>--</v>
          </cell>
          <cell r="VAD1" t="str">
            <v>--</v>
          </cell>
          <cell r="VAE1" t="str">
            <v>--</v>
          </cell>
          <cell r="VAF1" t="str">
            <v>--</v>
          </cell>
          <cell r="VAG1" t="str">
            <v>--</v>
          </cell>
          <cell r="VAH1" t="str">
            <v>--</v>
          </cell>
          <cell r="VAI1" t="str">
            <v>--</v>
          </cell>
          <cell r="VAJ1" t="str">
            <v>--</v>
          </cell>
          <cell r="VAK1" t="str">
            <v>--</v>
          </cell>
          <cell r="VAL1" t="str">
            <v>--</v>
          </cell>
          <cell r="VAM1" t="str">
            <v>--</v>
          </cell>
          <cell r="VAN1" t="str">
            <v>--</v>
          </cell>
          <cell r="VAO1" t="str">
            <v>--</v>
          </cell>
          <cell r="VAP1" t="str">
            <v>--</v>
          </cell>
          <cell r="VAQ1" t="str">
            <v>--</v>
          </cell>
          <cell r="VAR1" t="str">
            <v>--</v>
          </cell>
          <cell r="VAS1" t="str">
            <v>--</v>
          </cell>
          <cell r="VAT1" t="str">
            <v>--</v>
          </cell>
          <cell r="VAU1" t="str">
            <v>--</v>
          </cell>
          <cell r="VAV1" t="str">
            <v>--</v>
          </cell>
          <cell r="VAW1" t="str">
            <v>--</v>
          </cell>
          <cell r="VAX1" t="str">
            <v>--</v>
          </cell>
          <cell r="VAY1" t="str">
            <v>--</v>
          </cell>
          <cell r="VAZ1" t="str">
            <v>--</v>
          </cell>
          <cell r="VBA1" t="str">
            <v>--</v>
          </cell>
          <cell r="VBB1" t="str">
            <v>--</v>
          </cell>
          <cell r="VBC1" t="str">
            <v>--</v>
          </cell>
          <cell r="VBD1" t="str">
            <v>--</v>
          </cell>
          <cell r="VBE1" t="str">
            <v>--</v>
          </cell>
          <cell r="VBF1" t="str">
            <v>--</v>
          </cell>
          <cell r="VBG1" t="str">
            <v>--</v>
          </cell>
          <cell r="VBH1" t="str">
            <v>--</v>
          </cell>
          <cell r="VBI1" t="str">
            <v>--</v>
          </cell>
          <cell r="VBJ1" t="str">
            <v>--</v>
          </cell>
          <cell r="VBK1" t="str">
            <v>--</v>
          </cell>
          <cell r="VBL1" t="str">
            <v>--</v>
          </cell>
          <cell r="VBM1" t="str">
            <v>--</v>
          </cell>
          <cell r="VBN1" t="str">
            <v>--</v>
          </cell>
          <cell r="VBO1" t="str">
            <v>--</v>
          </cell>
          <cell r="VBP1" t="str">
            <v>--</v>
          </cell>
          <cell r="VBQ1" t="str">
            <v>--</v>
          </cell>
          <cell r="VBR1" t="str">
            <v>--</v>
          </cell>
          <cell r="VBS1" t="str">
            <v>--</v>
          </cell>
          <cell r="VBT1" t="str">
            <v>--</v>
          </cell>
          <cell r="VBU1" t="str">
            <v>--</v>
          </cell>
          <cell r="VBV1" t="str">
            <v>--</v>
          </cell>
          <cell r="VBW1" t="str">
            <v>--</v>
          </cell>
          <cell r="VBX1" t="str">
            <v>--</v>
          </cell>
          <cell r="VBY1" t="str">
            <v>--</v>
          </cell>
          <cell r="VBZ1" t="str">
            <v>--</v>
          </cell>
          <cell r="VCA1" t="str">
            <v>--</v>
          </cell>
          <cell r="VCB1" t="str">
            <v>--</v>
          </cell>
          <cell r="VCC1" t="str">
            <v>--</v>
          </cell>
          <cell r="VCD1" t="str">
            <v>--</v>
          </cell>
          <cell r="VCE1" t="str">
            <v>--</v>
          </cell>
          <cell r="VCF1" t="str">
            <v>--</v>
          </cell>
          <cell r="VCG1" t="str">
            <v>--</v>
          </cell>
          <cell r="VCH1" t="str">
            <v>--</v>
          </cell>
          <cell r="VCI1" t="str">
            <v>--</v>
          </cell>
          <cell r="VCJ1" t="str">
            <v>--</v>
          </cell>
          <cell r="VCK1" t="str">
            <v>--</v>
          </cell>
          <cell r="VCL1" t="str">
            <v>--</v>
          </cell>
          <cell r="VCM1" t="str">
            <v>--</v>
          </cell>
          <cell r="VCN1" t="str">
            <v>--</v>
          </cell>
          <cell r="VCO1" t="str">
            <v>--</v>
          </cell>
          <cell r="VCP1" t="str">
            <v>--</v>
          </cell>
          <cell r="VCQ1" t="str">
            <v>--</v>
          </cell>
          <cell r="VCR1" t="str">
            <v>--</v>
          </cell>
          <cell r="VCS1" t="str">
            <v>--</v>
          </cell>
          <cell r="VCT1" t="str">
            <v>--</v>
          </cell>
          <cell r="VCU1" t="str">
            <v>--</v>
          </cell>
          <cell r="VCV1" t="str">
            <v>--</v>
          </cell>
          <cell r="VCW1" t="str">
            <v>--</v>
          </cell>
          <cell r="VCX1" t="str">
            <v>--</v>
          </cell>
          <cell r="VCY1" t="str">
            <v>--</v>
          </cell>
          <cell r="VCZ1" t="str">
            <v>--</v>
          </cell>
          <cell r="VDA1" t="str">
            <v>--</v>
          </cell>
          <cell r="VDB1" t="str">
            <v>--</v>
          </cell>
          <cell r="VDC1" t="str">
            <v>--</v>
          </cell>
          <cell r="VDD1" t="str">
            <v>--</v>
          </cell>
          <cell r="VDE1" t="str">
            <v>--</v>
          </cell>
          <cell r="VDF1" t="str">
            <v>--</v>
          </cell>
          <cell r="VDG1" t="str">
            <v>--</v>
          </cell>
          <cell r="VDH1" t="str">
            <v>--</v>
          </cell>
          <cell r="VDI1" t="str">
            <v>--</v>
          </cell>
          <cell r="VDJ1" t="str">
            <v>--</v>
          </cell>
          <cell r="VDK1" t="str">
            <v>--</v>
          </cell>
          <cell r="VDL1" t="str">
            <v>--</v>
          </cell>
          <cell r="VDM1" t="str">
            <v>--</v>
          </cell>
          <cell r="VDN1" t="str">
            <v>--</v>
          </cell>
          <cell r="VDO1" t="str">
            <v>--</v>
          </cell>
          <cell r="VDP1" t="str">
            <v>--</v>
          </cell>
          <cell r="VDQ1" t="str">
            <v>--</v>
          </cell>
          <cell r="VDR1" t="str">
            <v>--</v>
          </cell>
          <cell r="VDS1" t="str">
            <v>--</v>
          </cell>
          <cell r="VDT1" t="str">
            <v>--</v>
          </cell>
          <cell r="VDU1" t="str">
            <v>--</v>
          </cell>
          <cell r="VDV1" t="str">
            <v>--</v>
          </cell>
          <cell r="VDW1" t="str">
            <v>--</v>
          </cell>
          <cell r="VDX1" t="str">
            <v>--</v>
          </cell>
          <cell r="VDY1" t="str">
            <v>--</v>
          </cell>
          <cell r="VDZ1" t="str">
            <v>--</v>
          </cell>
          <cell r="VEA1" t="str">
            <v>--</v>
          </cell>
          <cell r="VEB1" t="str">
            <v>--</v>
          </cell>
          <cell r="VEC1" t="str">
            <v>--</v>
          </cell>
          <cell r="VED1" t="str">
            <v>--</v>
          </cell>
          <cell r="VEE1" t="str">
            <v>--</v>
          </cell>
          <cell r="VEF1" t="str">
            <v>--</v>
          </cell>
          <cell r="VEG1" t="str">
            <v>--</v>
          </cell>
          <cell r="VEH1" t="str">
            <v>--</v>
          </cell>
          <cell r="VEI1" t="str">
            <v>--</v>
          </cell>
          <cell r="VEJ1" t="str">
            <v>--</v>
          </cell>
          <cell r="VEK1" t="str">
            <v>--</v>
          </cell>
          <cell r="VEL1" t="str">
            <v>--</v>
          </cell>
          <cell r="VEM1" t="str">
            <v>--</v>
          </cell>
          <cell r="VEN1" t="str">
            <v>--</v>
          </cell>
          <cell r="VEO1" t="str">
            <v>--</v>
          </cell>
          <cell r="VEP1" t="str">
            <v>--</v>
          </cell>
          <cell r="VEQ1" t="str">
            <v>--</v>
          </cell>
          <cell r="VER1" t="str">
            <v>--</v>
          </cell>
          <cell r="VES1" t="str">
            <v>--</v>
          </cell>
          <cell r="VET1" t="str">
            <v>--</v>
          </cell>
          <cell r="VEU1" t="str">
            <v>--</v>
          </cell>
          <cell r="VEV1" t="str">
            <v>--</v>
          </cell>
          <cell r="VEW1" t="str">
            <v>--</v>
          </cell>
          <cell r="VEX1" t="str">
            <v>--</v>
          </cell>
          <cell r="VEY1" t="str">
            <v>--</v>
          </cell>
          <cell r="VEZ1" t="str">
            <v>--</v>
          </cell>
          <cell r="VFA1" t="str">
            <v>--</v>
          </cell>
          <cell r="VFB1" t="str">
            <v>--</v>
          </cell>
          <cell r="VFC1" t="str">
            <v>--</v>
          </cell>
          <cell r="VFD1" t="str">
            <v>--</v>
          </cell>
          <cell r="VFE1" t="str">
            <v>--</v>
          </cell>
          <cell r="VFF1" t="str">
            <v>--</v>
          </cell>
          <cell r="VFG1" t="str">
            <v>--</v>
          </cell>
          <cell r="VFH1" t="str">
            <v>--</v>
          </cell>
          <cell r="VFI1" t="str">
            <v>--</v>
          </cell>
          <cell r="VFJ1" t="str">
            <v>--</v>
          </cell>
          <cell r="VFK1" t="str">
            <v>--</v>
          </cell>
          <cell r="VFL1" t="str">
            <v>--</v>
          </cell>
          <cell r="VFM1" t="str">
            <v>--</v>
          </cell>
          <cell r="VFN1" t="str">
            <v>--</v>
          </cell>
          <cell r="VFO1" t="str">
            <v>--</v>
          </cell>
          <cell r="VFP1" t="str">
            <v>--</v>
          </cell>
          <cell r="VFQ1" t="str">
            <v>--</v>
          </cell>
          <cell r="VFR1" t="str">
            <v>--</v>
          </cell>
          <cell r="VFS1" t="str">
            <v>--</v>
          </cell>
          <cell r="VFT1" t="str">
            <v>--</v>
          </cell>
          <cell r="VFU1" t="str">
            <v>--</v>
          </cell>
          <cell r="VFV1" t="str">
            <v>--</v>
          </cell>
          <cell r="VFW1" t="str">
            <v>--</v>
          </cell>
          <cell r="VFX1" t="str">
            <v>--</v>
          </cell>
          <cell r="VFY1" t="str">
            <v>--</v>
          </cell>
          <cell r="VFZ1" t="str">
            <v>--</v>
          </cell>
          <cell r="VGA1" t="str">
            <v>--</v>
          </cell>
          <cell r="VGB1" t="str">
            <v>--</v>
          </cell>
          <cell r="VGC1" t="str">
            <v>--</v>
          </cell>
          <cell r="VGD1" t="str">
            <v>--</v>
          </cell>
          <cell r="VGE1" t="str">
            <v>--</v>
          </cell>
          <cell r="VGF1" t="str">
            <v>--</v>
          </cell>
          <cell r="VGG1" t="str">
            <v>--</v>
          </cell>
          <cell r="VGH1" t="str">
            <v>--</v>
          </cell>
          <cell r="VGI1" t="str">
            <v>--</v>
          </cell>
          <cell r="VGJ1" t="str">
            <v>--</v>
          </cell>
          <cell r="VGK1" t="str">
            <v>--</v>
          </cell>
          <cell r="VGL1" t="str">
            <v>--</v>
          </cell>
          <cell r="VGM1" t="str">
            <v>--</v>
          </cell>
          <cell r="VGN1" t="str">
            <v>--</v>
          </cell>
          <cell r="VGO1" t="str">
            <v>--</v>
          </cell>
          <cell r="VGP1" t="str">
            <v>--</v>
          </cell>
          <cell r="VGQ1" t="str">
            <v>--</v>
          </cell>
          <cell r="VGR1" t="str">
            <v>--</v>
          </cell>
          <cell r="VGS1" t="str">
            <v>--</v>
          </cell>
          <cell r="VGT1" t="str">
            <v>--</v>
          </cell>
          <cell r="VGU1" t="str">
            <v>--</v>
          </cell>
          <cell r="VGV1" t="str">
            <v>--</v>
          </cell>
          <cell r="VGW1" t="str">
            <v>--</v>
          </cell>
          <cell r="VGX1" t="str">
            <v>--</v>
          </cell>
          <cell r="VGY1" t="str">
            <v>--</v>
          </cell>
          <cell r="VGZ1" t="str">
            <v>--</v>
          </cell>
          <cell r="VHA1" t="str">
            <v>--</v>
          </cell>
          <cell r="VHB1" t="str">
            <v>--</v>
          </cell>
          <cell r="VHC1" t="str">
            <v>--</v>
          </cell>
          <cell r="VHD1" t="str">
            <v>--</v>
          </cell>
          <cell r="VHE1" t="str">
            <v>--</v>
          </cell>
          <cell r="VHF1" t="str">
            <v>--</v>
          </cell>
          <cell r="VHG1" t="str">
            <v>--</v>
          </cell>
          <cell r="VHH1" t="str">
            <v>--</v>
          </cell>
          <cell r="VHI1" t="str">
            <v>--</v>
          </cell>
          <cell r="VHJ1" t="str">
            <v>--</v>
          </cell>
          <cell r="VHK1" t="str">
            <v>--</v>
          </cell>
          <cell r="VHL1" t="str">
            <v>--</v>
          </cell>
          <cell r="VHM1" t="str">
            <v>--</v>
          </cell>
          <cell r="VHN1" t="str">
            <v>--</v>
          </cell>
          <cell r="VHO1" t="str">
            <v>--</v>
          </cell>
          <cell r="VHP1" t="str">
            <v>--</v>
          </cell>
          <cell r="VHQ1" t="str">
            <v>--</v>
          </cell>
          <cell r="VHR1" t="str">
            <v>--</v>
          </cell>
          <cell r="VHS1" t="str">
            <v>--</v>
          </cell>
          <cell r="VHT1" t="str">
            <v>--</v>
          </cell>
          <cell r="VHU1" t="str">
            <v>--</v>
          </cell>
          <cell r="VHV1" t="str">
            <v>--</v>
          </cell>
          <cell r="VHW1" t="str">
            <v>--</v>
          </cell>
          <cell r="VHX1" t="str">
            <v>--</v>
          </cell>
          <cell r="VHY1" t="str">
            <v>--</v>
          </cell>
          <cell r="VHZ1" t="str">
            <v>--</v>
          </cell>
          <cell r="VIA1" t="str">
            <v>--</v>
          </cell>
          <cell r="VIB1" t="str">
            <v>--</v>
          </cell>
          <cell r="VIC1" t="str">
            <v>--</v>
          </cell>
          <cell r="VID1" t="str">
            <v>--</v>
          </cell>
          <cell r="VIE1" t="str">
            <v>--</v>
          </cell>
          <cell r="VIF1" t="str">
            <v>--</v>
          </cell>
          <cell r="VIG1" t="str">
            <v>--</v>
          </cell>
          <cell r="VIH1" t="str">
            <v>--</v>
          </cell>
          <cell r="VII1" t="str">
            <v>--</v>
          </cell>
          <cell r="VIJ1" t="str">
            <v>--</v>
          </cell>
          <cell r="VIK1" t="str">
            <v>--</v>
          </cell>
          <cell r="VIL1" t="str">
            <v>--</v>
          </cell>
          <cell r="VIM1" t="str">
            <v>--</v>
          </cell>
          <cell r="VIN1" t="str">
            <v>--</v>
          </cell>
          <cell r="VIO1" t="str">
            <v>--</v>
          </cell>
          <cell r="VIP1" t="str">
            <v>--</v>
          </cell>
          <cell r="VIQ1" t="str">
            <v>--</v>
          </cell>
          <cell r="VIR1" t="str">
            <v>--</v>
          </cell>
          <cell r="VIS1" t="str">
            <v>--</v>
          </cell>
          <cell r="VIT1" t="str">
            <v>--</v>
          </cell>
          <cell r="VIU1" t="str">
            <v>--</v>
          </cell>
          <cell r="VIV1" t="str">
            <v>--</v>
          </cell>
          <cell r="VIW1" t="str">
            <v>--</v>
          </cell>
          <cell r="VIX1" t="str">
            <v>--</v>
          </cell>
          <cell r="VIY1" t="str">
            <v>--</v>
          </cell>
          <cell r="VIZ1" t="str">
            <v>--</v>
          </cell>
          <cell r="VJA1" t="str">
            <v>--</v>
          </cell>
          <cell r="VJB1" t="str">
            <v>--</v>
          </cell>
          <cell r="VJC1" t="str">
            <v>--</v>
          </cell>
          <cell r="VJD1" t="str">
            <v>--</v>
          </cell>
          <cell r="VJE1" t="str">
            <v>--</v>
          </cell>
          <cell r="VJF1" t="str">
            <v>--</v>
          </cell>
          <cell r="VJG1" t="str">
            <v>--</v>
          </cell>
          <cell r="VJH1" t="str">
            <v>--</v>
          </cell>
          <cell r="VJI1" t="str">
            <v>--</v>
          </cell>
          <cell r="VJJ1" t="str">
            <v>--</v>
          </cell>
          <cell r="VJK1" t="str">
            <v>--</v>
          </cell>
          <cell r="VJL1" t="str">
            <v>--</v>
          </cell>
          <cell r="VJM1" t="str">
            <v>--</v>
          </cell>
          <cell r="VJN1" t="str">
            <v>--</v>
          </cell>
          <cell r="VJO1" t="str">
            <v>--</v>
          </cell>
          <cell r="VJP1" t="str">
            <v>--</v>
          </cell>
          <cell r="VJQ1" t="str">
            <v>--</v>
          </cell>
          <cell r="VJR1" t="str">
            <v>--</v>
          </cell>
          <cell r="VJS1" t="str">
            <v>--</v>
          </cell>
          <cell r="VJT1" t="str">
            <v>--</v>
          </cell>
          <cell r="VJU1" t="str">
            <v>--</v>
          </cell>
          <cell r="VJV1" t="str">
            <v>--</v>
          </cell>
          <cell r="VJW1" t="str">
            <v>--</v>
          </cell>
          <cell r="VJX1" t="str">
            <v>--</v>
          </cell>
          <cell r="VJY1" t="str">
            <v>--</v>
          </cell>
          <cell r="VJZ1" t="str">
            <v>--</v>
          </cell>
          <cell r="VKA1" t="str">
            <v>--</v>
          </cell>
          <cell r="VKB1" t="str">
            <v>--</v>
          </cell>
          <cell r="VKC1" t="str">
            <v>--</v>
          </cell>
          <cell r="VKD1" t="str">
            <v>--</v>
          </cell>
          <cell r="VKE1" t="str">
            <v>--</v>
          </cell>
          <cell r="VKF1" t="str">
            <v>--</v>
          </cell>
          <cell r="VKG1" t="str">
            <v>--</v>
          </cell>
          <cell r="VKH1" t="str">
            <v>--</v>
          </cell>
          <cell r="VKI1" t="str">
            <v>--</v>
          </cell>
          <cell r="VKJ1" t="str">
            <v>--</v>
          </cell>
          <cell r="VKK1" t="str">
            <v>--</v>
          </cell>
          <cell r="VKL1" t="str">
            <v>--</v>
          </cell>
          <cell r="VKM1" t="str">
            <v>--</v>
          </cell>
          <cell r="VKN1" t="str">
            <v>--</v>
          </cell>
          <cell r="VKO1" t="str">
            <v>--</v>
          </cell>
          <cell r="VKP1" t="str">
            <v>--</v>
          </cell>
          <cell r="VKQ1" t="str">
            <v>--</v>
          </cell>
          <cell r="VKR1" t="str">
            <v>--</v>
          </cell>
          <cell r="VKS1" t="str">
            <v>--</v>
          </cell>
          <cell r="VKT1" t="str">
            <v>--</v>
          </cell>
          <cell r="VKU1" t="str">
            <v>--</v>
          </cell>
          <cell r="VKV1" t="str">
            <v>--</v>
          </cell>
          <cell r="VKW1" t="str">
            <v>--</v>
          </cell>
          <cell r="VKX1" t="str">
            <v>--</v>
          </cell>
          <cell r="VKY1" t="str">
            <v>--</v>
          </cell>
          <cell r="VKZ1" t="str">
            <v>--</v>
          </cell>
          <cell r="VLA1" t="str">
            <v>--</v>
          </cell>
          <cell r="VLB1" t="str">
            <v>--</v>
          </cell>
          <cell r="VLC1" t="str">
            <v>--</v>
          </cell>
          <cell r="VLD1" t="str">
            <v>--</v>
          </cell>
          <cell r="VLE1" t="str">
            <v>--</v>
          </cell>
          <cell r="VLF1" t="str">
            <v>--</v>
          </cell>
          <cell r="VLG1" t="str">
            <v>--</v>
          </cell>
          <cell r="VLH1" t="str">
            <v>--</v>
          </cell>
          <cell r="VLI1" t="str">
            <v>--</v>
          </cell>
          <cell r="VLJ1" t="str">
            <v>--</v>
          </cell>
          <cell r="VLK1" t="str">
            <v>--</v>
          </cell>
          <cell r="VLL1" t="str">
            <v>--</v>
          </cell>
          <cell r="VLM1" t="str">
            <v>--</v>
          </cell>
          <cell r="VLN1" t="str">
            <v>--</v>
          </cell>
          <cell r="VLO1" t="str">
            <v>--</v>
          </cell>
          <cell r="VLP1" t="str">
            <v>--</v>
          </cell>
          <cell r="VLQ1" t="str">
            <v>--</v>
          </cell>
          <cell r="VLR1" t="str">
            <v>--</v>
          </cell>
          <cell r="VLS1" t="str">
            <v>--</v>
          </cell>
          <cell r="VLT1" t="str">
            <v>--</v>
          </cell>
          <cell r="VLU1" t="str">
            <v>--</v>
          </cell>
          <cell r="VLV1" t="str">
            <v>--</v>
          </cell>
          <cell r="VLW1" t="str">
            <v>--</v>
          </cell>
          <cell r="VLX1" t="str">
            <v>--</v>
          </cell>
          <cell r="VLY1" t="str">
            <v>--</v>
          </cell>
          <cell r="VLZ1" t="str">
            <v>--</v>
          </cell>
          <cell r="VMA1" t="str">
            <v>--</v>
          </cell>
          <cell r="VMB1" t="str">
            <v>--</v>
          </cell>
          <cell r="VMC1" t="str">
            <v>--</v>
          </cell>
          <cell r="VMD1" t="str">
            <v>--</v>
          </cell>
          <cell r="VME1" t="str">
            <v>--</v>
          </cell>
          <cell r="VMF1" t="str">
            <v>--</v>
          </cell>
          <cell r="VMG1" t="str">
            <v>--</v>
          </cell>
          <cell r="VMH1" t="str">
            <v>--</v>
          </cell>
          <cell r="VMI1" t="str">
            <v>--</v>
          </cell>
          <cell r="VMJ1" t="str">
            <v>--</v>
          </cell>
          <cell r="VMK1" t="str">
            <v>--</v>
          </cell>
          <cell r="VML1" t="str">
            <v>--</v>
          </cell>
          <cell r="VMM1" t="str">
            <v>--</v>
          </cell>
          <cell r="VMN1" t="str">
            <v>--</v>
          </cell>
          <cell r="VMO1" t="str">
            <v>--</v>
          </cell>
          <cell r="VMP1" t="str">
            <v>--</v>
          </cell>
          <cell r="VMQ1" t="str">
            <v>--</v>
          </cell>
          <cell r="VMR1" t="str">
            <v>--</v>
          </cell>
          <cell r="VMS1" t="str">
            <v>--</v>
          </cell>
          <cell r="VMT1" t="str">
            <v>--</v>
          </cell>
          <cell r="VMU1" t="str">
            <v>--</v>
          </cell>
          <cell r="VMV1" t="str">
            <v>--</v>
          </cell>
          <cell r="VMW1" t="str">
            <v>--</v>
          </cell>
          <cell r="VMX1" t="str">
            <v>--</v>
          </cell>
          <cell r="VMY1" t="str">
            <v>--</v>
          </cell>
          <cell r="VMZ1" t="str">
            <v>--</v>
          </cell>
          <cell r="VNA1" t="str">
            <v>--</v>
          </cell>
          <cell r="VNB1" t="str">
            <v>--</v>
          </cell>
          <cell r="VNC1" t="str">
            <v>--</v>
          </cell>
          <cell r="VND1" t="str">
            <v>--</v>
          </cell>
          <cell r="VNE1" t="str">
            <v>--</v>
          </cell>
          <cell r="VNF1" t="str">
            <v>--</v>
          </cell>
          <cell r="VNG1" t="str">
            <v>--</v>
          </cell>
          <cell r="VNH1" t="str">
            <v>--</v>
          </cell>
          <cell r="VNI1" t="str">
            <v>--</v>
          </cell>
          <cell r="VNJ1" t="str">
            <v>--</v>
          </cell>
          <cell r="VNK1" t="str">
            <v>--</v>
          </cell>
          <cell r="VNL1" t="str">
            <v>--</v>
          </cell>
          <cell r="VNM1" t="str">
            <v>--</v>
          </cell>
          <cell r="VNN1" t="str">
            <v>--</v>
          </cell>
          <cell r="VNO1" t="str">
            <v>--</v>
          </cell>
          <cell r="VNP1" t="str">
            <v>--</v>
          </cell>
          <cell r="VNQ1" t="str">
            <v>--</v>
          </cell>
          <cell r="VNR1" t="str">
            <v>--</v>
          </cell>
          <cell r="VNS1" t="str">
            <v>--</v>
          </cell>
          <cell r="VNT1" t="str">
            <v>--</v>
          </cell>
          <cell r="VNU1" t="str">
            <v>--</v>
          </cell>
          <cell r="VNV1" t="str">
            <v>--</v>
          </cell>
          <cell r="VNW1" t="str">
            <v>--</v>
          </cell>
          <cell r="VNX1" t="str">
            <v>--</v>
          </cell>
          <cell r="VNY1" t="str">
            <v>--</v>
          </cell>
          <cell r="VNZ1" t="str">
            <v>--</v>
          </cell>
          <cell r="VOA1" t="str">
            <v>--</v>
          </cell>
          <cell r="VOB1" t="str">
            <v>--</v>
          </cell>
          <cell r="VOC1" t="str">
            <v>--</v>
          </cell>
          <cell r="VOD1" t="str">
            <v>--</v>
          </cell>
          <cell r="VOE1" t="str">
            <v>--</v>
          </cell>
          <cell r="VOF1" t="str">
            <v>--</v>
          </cell>
          <cell r="VOG1" t="str">
            <v>--</v>
          </cell>
          <cell r="VOH1" t="str">
            <v>--</v>
          </cell>
          <cell r="VOI1" t="str">
            <v>--</v>
          </cell>
          <cell r="VOJ1" t="str">
            <v>--</v>
          </cell>
          <cell r="VOK1" t="str">
            <v>--</v>
          </cell>
          <cell r="VOL1" t="str">
            <v>--</v>
          </cell>
          <cell r="VOM1" t="str">
            <v>--</v>
          </cell>
          <cell r="VON1" t="str">
            <v>--</v>
          </cell>
          <cell r="VOO1" t="str">
            <v>--</v>
          </cell>
          <cell r="VOP1" t="str">
            <v>--</v>
          </cell>
          <cell r="VOQ1" t="str">
            <v>--</v>
          </cell>
          <cell r="VOR1" t="str">
            <v>--</v>
          </cell>
          <cell r="VOS1" t="str">
            <v>--</v>
          </cell>
          <cell r="VOT1" t="str">
            <v>--</v>
          </cell>
          <cell r="VOU1" t="str">
            <v>--</v>
          </cell>
          <cell r="VOV1" t="str">
            <v>--</v>
          </cell>
          <cell r="VOW1" t="str">
            <v>--</v>
          </cell>
          <cell r="VOX1" t="str">
            <v>--</v>
          </cell>
          <cell r="VOY1" t="str">
            <v>--</v>
          </cell>
          <cell r="VOZ1" t="str">
            <v>--</v>
          </cell>
          <cell r="VPA1" t="str">
            <v>--</v>
          </cell>
          <cell r="VPB1" t="str">
            <v>--</v>
          </cell>
          <cell r="VPC1" t="str">
            <v>--</v>
          </cell>
          <cell r="VPD1" t="str">
            <v>--</v>
          </cell>
          <cell r="VPE1" t="str">
            <v>--</v>
          </cell>
          <cell r="VPF1" t="str">
            <v>--</v>
          </cell>
          <cell r="VPG1" t="str">
            <v>--</v>
          </cell>
          <cell r="VPH1" t="str">
            <v>--</v>
          </cell>
          <cell r="VPI1" t="str">
            <v>--</v>
          </cell>
          <cell r="VPJ1" t="str">
            <v>--</v>
          </cell>
          <cell r="VPK1" t="str">
            <v>--</v>
          </cell>
          <cell r="VPL1" t="str">
            <v>--</v>
          </cell>
          <cell r="VPM1" t="str">
            <v>--</v>
          </cell>
          <cell r="VPN1" t="str">
            <v>--</v>
          </cell>
          <cell r="VPO1" t="str">
            <v>--</v>
          </cell>
          <cell r="VPP1" t="str">
            <v>--</v>
          </cell>
          <cell r="VPQ1" t="str">
            <v>--</v>
          </cell>
          <cell r="VPR1" t="str">
            <v>--</v>
          </cell>
          <cell r="VPS1" t="str">
            <v>--</v>
          </cell>
          <cell r="VPT1" t="str">
            <v>--</v>
          </cell>
          <cell r="VPU1" t="str">
            <v>--</v>
          </cell>
          <cell r="VPV1" t="str">
            <v>--</v>
          </cell>
          <cell r="VPW1" t="str">
            <v>--</v>
          </cell>
          <cell r="VPX1" t="str">
            <v>--</v>
          </cell>
          <cell r="VPY1" t="str">
            <v>--</v>
          </cell>
          <cell r="VPZ1" t="str">
            <v>--</v>
          </cell>
          <cell r="VQA1" t="str">
            <v>--</v>
          </cell>
          <cell r="VQB1" t="str">
            <v>--</v>
          </cell>
          <cell r="VQC1" t="str">
            <v>--</v>
          </cell>
          <cell r="VQD1" t="str">
            <v>--</v>
          </cell>
          <cell r="VQE1" t="str">
            <v>--</v>
          </cell>
          <cell r="VQF1" t="str">
            <v>--</v>
          </cell>
          <cell r="VQG1" t="str">
            <v>--</v>
          </cell>
          <cell r="VQH1" t="str">
            <v>--</v>
          </cell>
          <cell r="VQI1" t="str">
            <v>--</v>
          </cell>
          <cell r="VQJ1" t="str">
            <v>--</v>
          </cell>
          <cell r="VQK1" t="str">
            <v>--</v>
          </cell>
          <cell r="VQL1" t="str">
            <v>--</v>
          </cell>
          <cell r="VQM1" t="str">
            <v>--</v>
          </cell>
          <cell r="VQN1" t="str">
            <v>--</v>
          </cell>
          <cell r="VQO1" t="str">
            <v>--</v>
          </cell>
          <cell r="VQP1" t="str">
            <v>--</v>
          </cell>
          <cell r="VQQ1" t="str">
            <v>--</v>
          </cell>
          <cell r="VQR1" t="str">
            <v>--</v>
          </cell>
          <cell r="VQS1" t="str">
            <v>--</v>
          </cell>
          <cell r="VQT1" t="str">
            <v>--</v>
          </cell>
          <cell r="VQU1" t="str">
            <v>--</v>
          </cell>
          <cell r="VQV1" t="str">
            <v>--</v>
          </cell>
          <cell r="VQW1" t="str">
            <v>--</v>
          </cell>
          <cell r="VQX1" t="str">
            <v>--</v>
          </cell>
          <cell r="VQY1" t="str">
            <v>--</v>
          </cell>
          <cell r="VQZ1" t="str">
            <v>--</v>
          </cell>
          <cell r="VRA1" t="str">
            <v>--</v>
          </cell>
          <cell r="VRB1" t="str">
            <v>--</v>
          </cell>
          <cell r="VRC1" t="str">
            <v>--</v>
          </cell>
          <cell r="VRD1" t="str">
            <v>--</v>
          </cell>
          <cell r="VRE1" t="str">
            <v>--</v>
          </cell>
          <cell r="VRF1" t="str">
            <v>--</v>
          </cell>
          <cell r="VRG1" t="str">
            <v>--</v>
          </cell>
          <cell r="VRH1" t="str">
            <v>--</v>
          </cell>
          <cell r="VRI1" t="str">
            <v>--</v>
          </cell>
          <cell r="VRJ1" t="str">
            <v>--</v>
          </cell>
          <cell r="VRK1" t="str">
            <v>--</v>
          </cell>
          <cell r="VRL1" t="str">
            <v>--</v>
          </cell>
          <cell r="VRM1" t="str">
            <v>--</v>
          </cell>
          <cell r="VRN1" t="str">
            <v>--</v>
          </cell>
          <cell r="VRO1" t="str">
            <v>--</v>
          </cell>
          <cell r="VRP1" t="str">
            <v>--</v>
          </cell>
          <cell r="VRQ1" t="str">
            <v>--</v>
          </cell>
          <cell r="VRR1" t="str">
            <v>--</v>
          </cell>
          <cell r="VRS1" t="str">
            <v>--</v>
          </cell>
          <cell r="VRT1" t="str">
            <v>--</v>
          </cell>
          <cell r="VRU1" t="str">
            <v>--</v>
          </cell>
          <cell r="VRV1" t="str">
            <v>--</v>
          </cell>
          <cell r="VRW1" t="str">
            <v>--</v>
          </cell>
          <cell r="VRX1" t="str">
            <v>--</v>
          </cell>
          <cell r="VRY1" t="str">
            <v>--</v>
          </cell>
          <cell r="VRZ1" t="str">
            <v>--</v>
          </cell>
          <cell r="VSA1" t="str">
            <v>--</v>
          </cell>
          <cell r="VSB1" t="str">
            <v>--</v>
          </cell>
          <cell r="VSC1" t="str">
            <v>--</v>
          </cell>
          <cell r="VSD1" t="str">
            <v>--</v>
          </cell>
          <cell r="VSE1" t="str">
            <v>--</v>
          </cell>
          <cell r="VSF1" t="str">
            <v>--</v>
          </cell>
          <cell r="VSG1" t="str">
            <v>--</v>
          </cell>
          <cell r="VSH1" t="str">
            <v>--</v>
          </cell>
          <cell r="VSI1" t="str">
            <v>--</v>
          </cell>
          <cell r="VSJ1" t="str">
            <v>--</v>
          </cell>
          <cell r="VSK1" t="str">
            <v>--</v>
          </cell>
          <cell r="VSL1" t="str">
            <v>--</v>
          </cell>
          <cell r="VSM1" t="str">
            <v>--</v>
          </cell>
          <cell r="VSN1" t="str">
            <v>--</v>
          </cell>
          <cell r="VSO1" t="str">
            <v>--</v>
          </cell>
          <cell r="VSP1" t="str">
            <v>--</v>
          </cell>
          <cell r="VSQ1" t="str">
            <v>--</v>
          </cell>
          <cell r="VSR1" t="str">
            <v>--</v>
          </cell>
          <cell r="VSS1" t="str">
            <v>--</v>
          </cell>
          <cell r="VST1" t="str">
            <v>--</v>
          </cell>
          <cell r="VSU1" t="str">
            <v>--</v>
          </cell>
          <cell r="VSV1" t="str">
            <v>--</v>
          </cell>
          <cell r="VSW1" t="str">
            <v>--</v>
          </cell>
          <cell r="VSX1" t="str">
            <v>--</v>
          </cell>
          <cell r="VSY1" t="str">
            <v>--</v>
          </cell>
          <cell r="VSZ1" t="str">
            <v>--</v>
          </cell>
          <cell r="VTA1" t="str">
            <v>--</v>
          </cell>
          <cell r="VTB1" t="str">
            <v>--</v>
          </cell>
          <cell r="VTC1" t="str">
            <v>--</v>
          </cell>
          <cell r="VTD1" t="str">
            <v>--</v>
          </cell>
          <cell r="VTE1" t="str">
            <v>--</v>
          </cell>
          <cell r="VTF1" t="str">
            <v>--</v>
          </cell>
          <cell r="VTG1" t="str">
            <v>--</v>
          </cell>
          <cell r="VTH1" t="str">
            <v>--</v>
          </cell>
          <cell r="VTI1" t="str">
            <v>--</v>
          </cell>
          <cell r="VTJ1" t="str">
            <v>--</v>
          </cell>
          <cell r="VTK1" t="str">
            <v>--</v>
          </cell>
          <cell r="VTL1" t="str">
            <v>--</v>
          </cell>
          <cell r="VTM1" t="str">
            <v>--</v>
          </cell>
          <cell r="VTN1" t="str">
            <v>--</v>
          </cell>
          <cell r="VTO1" t="str">
            <v>--</v>
          </cell>
          <cell r="VTP1" t="str">
            <v>--</v>
          </cell>
          <cell r="VTQ1" t="str">
            <v>--</v>
          </cell>
          <cell r="VTR1" t="str">
            <v>--</v>
          </cell>
          <cell r="VTS1" t="str">
            <v>--</v>
          </cell>
          <cell r="VTT1" t="str">
            <v>--</v>
          </cell>
          <cell r="VTU1" t="str">
            <v>--</v>
          </cell>
          <cell r="VTV1" t="str">
            <v>--</v>
          </cell>
          <cell r="VTW1" t="str">
            <v>--</v>
          </cell>
          <cell r="VTX1" t="str">
            <v>--</v>
          </cell>
          <cell r="VTY1" t="str">
            <v>--</v>
          </cell>
          <cell r="VTZ1" t="str">
            <v>--</v>
          </cell>
          <cell r="VUA1" t="str">
            <v>--</v>
          </cell>
          <cell r="VUB1" t="str">
            <v>--</v>
          </cell>
          <cell r="VUC1" t="str">
            <v>--</v>
          </cell>
          <cell r="VUD1" t="str">
            <v>--</v>
          </cell>
          <cell r="VUE1" t="str">
            <v>--</v>
          </cell>
          <cell r="VUF1" t="str">
            <v>--</v>
          </cell>
          <cell r="VUG1" t="str">
            <v>--</v>
          </cell>
          <cell r="VUH1" t="str">
            <v>--</v>
          </cell>
          <cell r="VUI1" t="str">
            <v>--</v>
          </cell>
          <cell r="VUJ1" t="str">
            <v>--</v>
          </cell>
          <cell r="VUK1" t="str">
            <v>--</v>
          </cell>
          <cell r="VUL1" t="str">
            <v>--</v>
          </cell>
          <cell r="VUM1" t="str">
            <v>--</v>
          </cell>
          <cell r="VUN1" t="str">
            <v>--</v>
          </cell>
          <cell r="VUO1" t="str">
            <v>--</v>
          </cell>
          <cell r="VUP1" t="str">
            <v>--</v>
          </cell>
          <cell r="VUQ1" t="str">
            <v>--</v>
          </cell>
          <cell r="VUR1" t="str">
            <v>--</v>
          </cell>
          <cell r="VUS1" t="str">
            <v>--</v>
          </cell>
          <cell r="VUT1" t="str">
            <v>--</v>
          </cell>
          <cell r="VUU1" t="str">
            <v>--</v>
          </cell>
          <cell r="VUV1" t="str">
            <v>--</v>
          </cell>
          <cell r="VUW1" t="str">
            <v>--</v>
          </cell>
          <cell r="VUX1" t="str">
            <v>--</v>
          </cell>
          <cell r="VUY1" t="str">
            <v>--</v>
          </cell>
          <cell r="VUZ1" t="str">
            <v>--</v>
          </cell>
          <cell r="VVA1" t="str">
            <v>--</v>
          </cell>
          <cell r="VVB1" t="str">
            <v>--</v>
          </cell>
          <cell r="VVC1" t="str">
            <v>--</v>
          </cell>
          <cell r="VVD1" t="str">
            <v>--</v>
          </cell>
          <cell r="VVE1" t="str">
            <v>--</v>
          </cell>
          <cell r="VVF1" t="str">
            <v>--</v>
          </cell>
          <cell r="VVG1" t="str">
            <v>--</v>
          </cell>
          <cell r="VVH1" t="str">
            <v>--</v>
          </cell>
          <cell r="VVI1" t="str">
            <v>--</v>
          </cell>
          <cell r="VVJ1" t="str">
            <v>--</v>
          </cell>
          <cell r="VVK1" t="str">
            <v>--</v>
          </cell>
          <cell r="VVL1" t="str">
            <v>--</v>
          </cell>
          <cell r="VVM1" t="str">
            <v>--</v>
          </cell>
          <cell r="VVN1" t="str">
            <v>--</v>
          </cell>
          <cell r="VVO1" t="str">
            <v>--</v>
          </cell>
          <cell r="VVP1" t="str">
            <v>--</v>
          </cell>
          <cell r="VVQ1" t="str">
            <v>--</v>
          </cell>
          <cell r="VVR1" t="str">
            <v>--</v>
          </cell>
          <cell r="VVS1" t="str">
            <v>--</v>
          </cell>
          <cell r="VVT1" t="str">
            <v>--</v>
          </cell>
          <cell r="VVU1" t="str">
            <v>--</v>
          </cell>
          <cell r="VVV1" t="str">
            <v>--</v>
          </cell>
          <cell r="VVW1" t="str">
            <v>--</v>
          </cell>
          <cell r="VVX1" t="str">
            <v>--</v>
          </cell>
          <cell r="VVY1" t="str">
            <v>--</v>
          </cell>
          <cell r="VVZ1" t="str">
            <v>--</v>
          </cell>
          <cell r="VWA1" t="str">
            <v>--</v>
          </cell>
          <cell r="VWB1" t="str">
            <v>--</v>
          </cell>
          <cell r="VWC1" t="str">
            <v>--</v>
          </cell>
          <cell r="VWD1" t="str">
            <v>--</v>
          </cell>
          <cell r="VWE1" t="str">
            <v>--</v>
          </cell>
          <cell r="VWF1" t="str">
            <v>--</v>
          </cell>
          <cell r="VWG1" t="str">
            <v>--</v>
          </cell>
          <cell r="VWH1" t="str">
            <v>--</v>
          </cell>
          <cell r="VWI1" t="str">
            <v>--</v>
          </cell>
          <cell r="VWJ1" t="str">
            <v>--</v>
          </cell>
          <cell r="VWK1" t="str">
            <v>--</v>
          </cell>
          <cell r="VWL1" t="str">
            <v>--</v>
          </cell>
          <cell r="VWM1" t="str">
            <v>--</v>
          </cell>
          <cell r="VWN1" t="str">
            <v>--</v>
          </cell>
          <cell r="VWO1" t="str">
            <v>--</v>
          </cell>
          <cell r="VWP1" t="str">
            <v>--</v>
          </cell>
          <cell r="VWQ1" t="str">
            <v>--</v>
          </cell>
          <cell r="VWR1" t="str">
            <v>--</v>
          </cell>
          <cell r="VWS1" t="str">
            <v>--</v>
          </cell>
          <cell r="VWT1" t="str">
            <v>--</v>
          </cell>
          <cell r="VWU1" t="str">
            <v>--</v>
          </cell>
          <cell r="VWV1" t="str">
            <v>--</v>
          </cell>
          <cell r="VWW1" t="str">
            <v>--</v>
          </cell>
          <cell r="VWX1" t="str">
            <v>--</v>
          </cell>
          <cell r="VWY1" t="str">
            <v>--</v>
          </cell>
          <cell r="VWZ1" t="str">
            <v>--</v>
          </cell>
          <cell r="VXA1" t="str">
            <v>--</v>
          </cell>
          <cell r="VXB1" t="str">
            <v>--</v>
          </cell>
          <cell r="VXC1" t="str">
            <v>--</v>
          </cell>
          <cell r="VXD1" t="str">
            <v>--</v>
          </cell>
          <cell r="VXE1" t="str">
            <v>--</v>
          </cell>
          <cell r="VXF1" t="str">
            <v>--</v>
          </cell>
          <cell r="VXG1" t="str">
            <v>--</v>
          </cell>
          <cell r="VXH1" t="str">
            <v>--</v>
          </cell>
          <cell r="VXI1" t="str">
            <v>--</v>
          </cell>
          <cell r="VXJ1" t="str">
            <v>--</v>
          </cell>
          <cell r="VXK1" t="str">
            <v>--</v>
          </cell>
          <cell r="VXL1" t="str">
            <v>--</v>
          </cell>
          <cell r="VXM1" t="str">
            <v>--</v>
          </cell>
          <cell r="VXN1" t="str">
            <v>--</v>
          </cell>
          <cell r="VXO1" t="str">
            <v>--</v>
          </cell>
          <cell r="VXP1" t="str">
            <v>--</v>
          </cell>
          <cell r="VXQ1" t="str">
            <v>--</v>
          </cell>
          <cell r="VXR1" t="str">
            <v>--</v>
          </cell>
          <cell r="VXS1" t="str">
            <v>--</v>
          </cell>
          <cell r="VXT1" t="str">
            <v>--</v>
          </cell>
          <cell r="VXU1" t="str">
            <v>--</v>
          </cell>
          <cell r="VXV1" t="str">
            <v>--</v>
          </cell>
          <cell r="VXW1" t="str">
            <v>--</v>
          </cell>
          <cell r="VXX1" t="str">
            <v>--</v>
          </cell>
          <cell r="VXY1" t="str">
            <v>--</v>
          </cell>
          <cell r="VXZ1" t="str">
            <v>--</v>
          </cell>
          <cell r="VYA1" t="str">
            <v>--</v>
          </cell>
          <cell r="VYB1" t="str">
            <v>--</v>
          </cell>
          <cell r="VYC1" t="str">
            <v>--</v>
          </cell>
          <cell r="VYD1" t="str">
            <v>--</v>
          </cell>
          <cell r="VYE1" t="str">
            <v>--</v>
          </cell>
          <cell r="VYF1" t="str">
            <v>--</v>
          </cell>
          <cell r="VYG1" t="str">
            <v>--</v>
          </cell>
          <cell r="VYH1" t="str">
            <v>--</v>
          </cell>
          <cell r="VYI1" t="str">
            <v>--</v>
          </cell>
          <cell r="VYJ1" t="str">
            <v>--</v>
          </cell>
          <cell r="VYK1" t="str">
            <v>--</v>
          </cell>
          <cell r="VYL1" t="str">
            <v>--</v>
          </cell>
          <cell r="VYM1" t="str">
            <v>--</v>
          </cell>
          <cell r="VYN1" t="str">
            <v>--</v>
          </cell>
          <cell r="VYO1" t="str">
            <v>--</v>
          </cell>
          <cell r="VYP1" t="str">
            <v>--</v>
          </cell>
          <cell r="VYQ1" t="str">
            <v>--</v>
          </cell>
          <cell r="VYR1" t="str">
            <v>--</v>
          </cell>
          <cell r="VYS1" t="str">
            <v>--</v>
          </cell>
          <cell r="VYT1" t="str">
            <v>--</v>
          </cell>
          <cell r="VYU1" t="str">
            <v>--</v>
          </cell>
          <cell r="VYV1" t="str">
            <v>--</v>
          </cell>
          <cell r="VYW1" t="str">
            <v>--</v>
          </cell>
          <cell r="VYX1" t="str">
            <v>--</v>
          </cell>
          <cell r="VYY1" t="str">
            <v>--</v>
          </cell>
          <cell r="VYZ1" t="str">
            <v>--</v>
          </cell>
          <cell r="VZA1" t="str">
            <v>--</v>
          </cell>
          <cell r="VZB1" t="str">
            <v>--</v>
          </cell>
          <cell r="VZC1" t="str">
            <v>--</v>
          </cell>
          <cell r="VZD1" t="str">
            <v>--</v>
          </cell>
          <cell r="VZE1" t="str">
            <v>--</v>
          </cell>
          <cell r="VZF1" t="str">
            <v>--</v>
          </cell>
          <cell r="VZG1" t="str">
            <v>--</v>
          </cell>
          <cell r="VZH1" t="str">
            <v>--</v>
          </cell>
          <cell r="VZI1" t="str">
            <v>--</v>
          </cell>
          <cell r="VZJ1" t="str">
            <v>--</v>
          </cell>
          <cell r="VZK1" t="str">
            <v>--</v>
          </cell>
          <cell r="VZL1" t="str">
            <v>--</v>
          </cell>
          <cell r="VZM1" t="str">
            <v>--</v>
          </cell>
          <cell r="VZN1" t="str">
            <v>--</v>
          </cell>
          <cell r="VZO1" t="str">
            <v>--</v>
          </cell>
          <cell r="VZP1" t="str">
            <v>--</v>
          </cell>
          <cell r="VZQ1" t="str">
            <v>--</v>
          </cell>
          <cell r="VZR1" t="str">
            <v>--</v>
          </cell>
          <cell r="VZS1" t="str">
            <v>--</v>
          </cell>
          <cell r="VZT1" t="str">
            <v>--</v>
          </cell>
          <cell r="VZU1" t="str">
            <v>--</v>
          </cell>
          <cell r="VZV1" t="str">
            <v>--</v>
          </cell>
          <cell r="VZW1" t="str">
            <v>--</v>
          </cell>
          <cell r="VZX1" t="str">
            <v>--</v>
          </cell>
          <cell r="VZY1" t="str">
            <v>--</v>
          </cell>
          <cell r="VZZ1" t="str">
            <v>--</v>
          </cell>
          <cell r="WAA1" t="str">
            <v>--</v>
          </cell>
          <cell r="WAB1" t="str">
            <v>--</v>
          </cell>
          <cell r="WAC1" t="str">
            <v>--</v>
          </cell>
          <cell r="WAD1" t="str">
            <v>--</v>
          </cell>
          <cell r="WAE1" t="str">
            <v>--</v>
          </cell>
          <cell r="WAF1" t="str">
            <v>--</v>
          </cell>
          <cell r="WAG1" t="str">
            <v>--</v>
          </cell>
          <cell r="WAH1" t="str">
            <v>--</v>
          </cell>
          <cell r="WAI1" t="str">
            <v>--</v>
          </cell>
          <cell r="WAJ1" t="str">
            <v>--</v>
          </cell>
          <cell r="WAK1" t="str">
            <v>--</v>
          </cell>
          <cell r="WAL1" t="str">
            <v>--</v>
          </cell>
          <cell r="WAM1" t="str">
            <v>--</v>
          </cell>
          <cell r="WAN1" t="str">
            <v>--</v>
          </cell>
          <cell r="WAO1" t="str">
            <v>--</v>
          </cell>
          <cell r="WAP1" t="str">
            <v>--</v>
          </cell>
          <cell r="WAQ1" t="str">
            <v>--</v>
          </cell>
          <cell r="WAR1" t="str">
            <v>--</v>
          </cell>
          <cell r="WAS1" t="str">
            <v>--</v>
          </cell>
          <cell r="WAT1" t="str">
            <v>--</v>
          </cell>
          <cell r="WAU1" t="str">
            <v>--</v>
          </cell>
          <cell r="WAV1" t="str">
            <v>--</v>
          </cell>
          <cell r="WAW1" t="str">
            <v>--</v>
          </cell>
          <cell r="WAX1" t="str">
            <v>--</v>
          </cell>
          <cell r="WAY1" t="str">
            <v>--</v>
          </cell>
          <cell r="WAZ1" t="str">
            <v>--</v>
          </cell>
          <cell r="WBA1" t="str">
            <v>--</v>
          </cell>
          <cell r="WBB1" t="str">
            <v>--</v>
          </cell>
          <cell r="WBC1" t="str">
            <v>--</v>
          </cell>
          <cell r="WBD1" t="str">
            <v>--</v>
          </cell>
          <cell r="WBE1" t="str">
            <v>--</v>
          </cell>
          <cell r="WBF1" t="str">
            <v>--</v>
          </cell>
          <cell r="WBG1" t="str">
            <v>--</v>
          </cell>
          <cell r="WBH1" t="str">
            <v>--</v>
          </cell>
          <cell r="WBI1" t="str">
            <v>--</v>
          </cell>
          <cell r="WBJ1" t="str">
            <v>--</v>
          </cell>
          <cell r="WBK1" t="str">
            <v>--</v>
          </cell>
          <cell r="WBL1" t="str">
            <v>--</v>
          </cell>
          <cell r="WBM1" t="str">
            <v>--</v>
          </cell>
          <cell r="WBN1" t="str">
            <v>--</v>
          </cell>
          <cell r="WBO1" t="str">
            <v>--</v>
          </cell>
          <cell r="WBP1" t="str">
            <v>--</v>
          </cell>
          <cell r="WBQ1" t="str">
            <v>--</v>
          </cell>
          <cell r="WBR1" t="str">
            <v>--</v>
          </cell>
          <cell r="WBS1" t="str">
            <v>--</v>
          </cell>
          <cell r="WBT1" t="str">
            <v>--</v>
          </cell>
          <cell r="WBU1" t="str">
            <v>--</v>
          </cell>
          <cell r="WBV1" t="str">
            <v>--</v>
          </cell>
          <cell r="WBW1" t="str">
            <v>--</v>
          </cell>
          <cell r="WBX1" t="str">
            <v>--</v>
          </cell>
          <cell r="WBY1" t="str">
            <v>--</v>
          </cell>
          <cell r="WBZ1" t="str">
            <v>--</v>
          </cell>
          <cell r="WCA1" t="str">
            <v>--</v>
          </cell>
          <cell r="WCB1" t="str">
            <v>--</v>
          </cell>
          <cell r="WCC1" t="str">
            <v>--</v>
          </cell>
          <cell r="WCD1" t="str">
            <v>--</v>
          </cell>
          <cell r="WCE1" t="str">
            <v>--</v>
          </cell>
          <cell r="WCF1" t="str">
            <v>--</v>
          </cell>
          <cell r="WCG1" t="str">
            <v>--</v>
          </cell>
          <cell r="WCH1" t="str">
            <v>--</v>
          </cell>
          <cell r="WCI1" t="str">
            <v>--</v>
          </cell>
          <cell r="WCJ1" t="str">
            <v>--</v>
          </cell>
          <cell r="WCK1" t="str">
            <v>--</v>
          </cell>
          <cell r="WCL1" t="str">
            <v>--</v>
          </cell>
          <cell r="WCM1" t="str">
            <v>--</v>
          </cell>
          <cell r="WCN1" t="str">
            <v>--</v>
          </cell>
          <cell r="WCO1" t="str">
            <v>--</v>
          </cell>
          <cell r="WCP1" t="str">
            <v>--</v>
          </cell>
          <cell r="WCQ1" t="str">
            <v>--</v>
          </cell>
          <cell r="WCR1" t="str">
            <v>--</v>
          </cell>
          <cell r="WCS1" t="str">
            <v>--</v>
          </cell>
          <cell r="WCT1" t="str">
            <v>--</v>
          </cell>
          <cell r="WCU1" t="str">
            <v>--</v>
          </cell>
          <cell r="WCV1" t="str">
            <v>--</v>
          </cell>
          <cell r="WCW1" t="str">
            <v>--</v>
          </cell>
          <cell r="WCX1" t="str">
            <v>--</v>
          </cell>
          <cell r="WCY1" t="str">
            <v>--</v>
          </cell>
          <cell r="WCZ1" t="str">
            <v>--</v>
          </cell>
          <cell r="WDA1" t="str">
            <v>--</v>
          </cell>
          <cell r="WDB1" t="str">
            <v>--</v>
          </cell>
          <cell r="WDC1" t="str">
            <v>--</v>
          </cell>
          <cell r="WDD1" t="str">
            <v>--</v>
          </cell>
          <cell r="WDE1" t="str">
            <v>--</v>
          </cell>
          <cell r="WDF1" t="str">
            <v>--</v>
          </cell>
          <cell r="WDG1" t="str">
            <v>--</v>
          </cell>
          <cell r="WDH1" t="str">
            <v>--</v>
          </cell>
          <cell r="WDI1" t="str">
            <v>--</v>
          </cell>
          <cell r="WDJ1" t="str">
            <v>--</v>
          </cell>
          <cell r="WDK1" t="str">
            <v>--</v>
          </cell>
          <cell r="WDL1" t="str">
            <v>--</v>
          </cell>
          <cell r="WDM1" t="str">
            <v>--</v>
          </cell>
          <cell r="WDN1" t="str">
            <v>--</v>
          </cell>
          <cell r="WDO1" t="str">
            <v>--</v>
          </cell>
          <cell r="WDP1" t="str">
            <v>--</v>
          </cell>
          <cell r="WDQ1" t="str">
            <v>--</v>
          </cell>
          <cell r="WDR1" t="str">
            <v>--</v>
          </cell>
          <cell r="WDS1" t="str">
            <v>--</v>
          </cell>
          <cell r="WDT1" t="str">
            <v>--</v>
          </cell>
          <cell r="WDU1" t="str">
            <v>--</v>
          </cell>
          <cell r="WDV1" t="str">
            <v>--</v>
          </cell>
          <cell r="WDW1" t="str">
            <v>--</v>
          </cell>
          <cell r="WDX1" t="str">
            <v>--</v>
          </cell>
          <cell r="WDY1" t="str">
            <v>--</v>
          </cell>
          <cell r="WDZ1" t="str">
            <v>--</v>
          </cell>
          <cell r="WEA1" t="str">
            <v>--</v>
          </cell>
          <cell r="WEB1" t="str">
            <v>--</v>
          </cell>
          <cell r="WEC1" t="str">
            <v>--</v>
          </cell>
          <cell r="WED1" t="str">
            <v>--</v>
          </cell>
          <cell r="WEE1" t="str">
            <v>--</v>
          </cell>
          <cell r="WEF1" t="str">
            <v>--</v>
          </cell>
          <cell r="WEG1" t="str">
            <v>--</v>
          </cell>
          <cell r="WEH1" t="str">
            <v>--</v>
          </cell>
          <cell r="WEI1" t="str">
            <v>--</v>
          </cell>
          <cell r="WEJ1" t="str">
            <v>--</v>
          </cell>
          <cell r="WEK1" t="str">
            <v>--</v>
          </cell>
          <cell r="WEL1" t="str">
            <v>--</v>
          </cell>
          <cell r="WEM1" t="str">
            <v>--</v>
          </cell>
          <cell r="WEN1" t="str">
            <v>--</v>
          </cell>
          <cell r="WEO1" t="str">
            <v>--</v>
          </cell>
          <cell r="WEP1" t="str">
            <v>--</v>
          </cell>
          <cell r="WEQ1" t="str">
            <v>--</v>
          </cell>
          <cell r="WER1" t="str">
            <v>--</v>
          </cell>
          <cell r="WES1" t="str">
            <v>--</v>
          </cell>
          <cell r="WET1" t="str">
            <v>--</v>
          </cell>
          <cell r="WEU1" t="str">
            <v>--</v>
          </cell>
          <cell r="WEV1" t="str">
            <v>--</v>
          </cell>
          <cell r="WEW1" t="str">
            <v>--</v>
          </cell>
          <cell r="WEX1" t="str">
            <v>--</v>
          </cell>
          <cell r="WEY1" t="str">
            <v>--</v>
          </cell>
          <cell r="WEZ1" t="str">
            <v>--</v>
          </cell>
          <cell r="WFA1" t="str">
            <v>--</v>
          </cell>
          <cell r="WFB1" t="str">
            <v>--</v>
          </cell>
          <cell r="WFC1" t="str">
            <v>--</v>
          </cell>
          <cell r="WFD1" t="str">
            <v>--</v>
          </cell>
          <cell r="WFE1" t="str">
            <v>--</v>
          </cell>
          <cell r="WFF1" t="str">
            <v>--</v>
          </cell>
          <cell r="WFG1" t="str">
            <v>--</v>
          </cell>
          <cell r="WFH1" t="str">
            <v>--</v>
          </cell>
          <cell r="WFI1" t="str">
            <v>--</v>
          </cell>
          <cell r="WFJ1" t="str">
            <v>--</v>
          </cell>
          <cell r="WFK1" t="str">
            <v>--</v>
          </cell>
          <cell r="WFL1" t="str">
            <v>--</v>
          </cell>
          <cell r="WFM1" t="str">
            <v>--</v>
          </cell>
          <cell r="WFN1" t="str">
            <v>--</v>
          </cell>
          <cell r="WFO1" t="str">
            <v>--</v>
          </cell>
          <cell r="WFP1" t="str">
            <v>--</v>
          </cell>
          <cell r="WFQ1" t="str">
            <v>--</v>
          </cell>
          <cell r="WFR1" t="str">
            <v>--</v>
          </cell>
          <cell r="WFS1" t="str">
            <v>--</v>
          </cell>
          <cell r="WFT1" t="str">
            <v>--</v>
          </cell>
          <cell r="WFU1" t="str">
            <v>--</v>
          </cell>
          <cell r="WFV1" t="str">
            <v>--</v>
          </cell>
          <cell r="WFW1" t="str">
            <v>--</v>
          </cell>
          <cell r="WFX1" t="str">
            <v>--</v>
          </cell>
          <cell r="WFY1" t="str">
            <v>--</v>
          </cell>
          <cell r="WFZ1" t="str">
            <v>--</v>
          </cell>
          <cell r="WGA1" t="str">
            <v>--</v>
          </cell>
          <cell r="WGB1" t="str">
            <v>--</v>
          </cell>
          <cell r="WGC1" t="str">
            <v>--</v>
          </cell>
          <cell r="WGD1" t="str">
            <v>--</v>
          </cell>
          <cell r="WGE1" t="str">
            <v>--</v>
          </cell>
          <cell r="WGF1" t="str">
            <v>--</v>
          </cell>
          <cell r="WGG1" t="str">
            <v>--</v>
          </cell>
          <cell r="WGH1" t="str">
            <v>--</v>
          </cell>
          <cell r="WGI1" t="str">
            <v>--</v>
          </cell>
          <cell r="WGJ1" t="str">
            <v>--</v>
          </cell>
          <cell r="WGK1" t="str">
            <v>--</v>
          </cell>
          <cell r="WGL1" t="str">
            <v>--</v>
          </cell>
          <cell r="WGM1" t="str">
            <v>--</v>
          </cell>
          <cell r="WGN1" t="str">
            <v>--</v>
          </cell>
          <cell r="WGO1" t="str">
            <v>--</v>
          </cell>
          <cell r="WGP1" t="str">
            <v>--</v>
          </cell>
          <cell r="WGQ1" t="str">
            <v>--</v>
          </cell>
          <cell r="WGR1" t="str">
            <v>--</v>
          </cell>
          <cell r="WGS1" t="str">
            <v>--</v>
          </cell>
          <cell r="WGT1" t="str">
            <v>--</v>
          </cell>
          <cell r="WGU1" t="str">
            <v>--</v>
          </cell>
          <cell r="WGV1" t="str">
            <v>--</v>
          </cell>
          <cell r="WGW1" t="str">
            <v>--</v>
          </cell>
          <cell r="WGX1" t="str">
            <v>--</v>
          </cell>
          <cell r="WGY1" t="str">
            <v>--</v>
          </cell>
          <cell r="WGZ1" t="str">
            <v>--</v>
          </cell>
          <cell r="WHA1" t="str">
            <v>--</v>
          </cell>
          <cell r="WHB1" t="str">
            <v>--</v>
          </cell>
          <cell r="WHC1" t="str">
            <v>--</v>
          </cell>
          <cell r="WHD1" t="str">
            <v>--</v>
          </cell>
          <cell r="WHE1" t="str">
            <v>--</v>
          </cell>
          <cell r="WHF1" t="str">
            <v>--</v>
          </cell>
          <cell r="WHG1" t="str">
            <v>--</v>
          </cell>
          <cell r="WHH1" t="str">
            <v>--</v>
          </cell>
          <cell r="WHI1" t="str">
            <v>--</v>
          </cell>
          <cell r="WHJ1" t="str">
            <v>--</v>
          </cell>
          <cell r="WHK1" t="str">
            <v>--</v>
          </cell>
          <cell r="WHL1" t="str">
            <v>--</v>
          </cell>
          <cell r="WHM1" t="str">
            <v>--</v>
          </cell>
          <cell r="WHN1" t="str">
            <v>--</v>
          </cell>
          <cell r="WHO1" t="str">
            <v>--</v>
          </cell>
          <cell r="WHP1" t="str">
            <v>--</v>
          </cell>
          <cell r="WHQ1" t="str">
            <v>--</v>
          </cell>
          <cell r="WHR1" t="str">
            <v>--</v>
          </cell>
          <cell r="WHS1" t="str">
            <v>--</v>
          </cell>
          <cell r="WHT1" t="str">
            <v>--</v>
          </cell>
          <cell r="WHU1" t="str">
            <v>--</v>
          </cell>
          <cell r="WHV1" t="str">
            <v>--</v>
          </cell>
          <cell r="WHW1" t="str">
            <v>--</v>
          </cell>
          <cell r="WHX1" t="str">
            <v>--</v>
          </cell>
          <cell r="WHY1" t="str">
            <v>--</v>
          </cell>
          <cell r="WHZ1" t="str">
            <v>--</v>
          </cell>
          <cell r="WIA1" t="str">
            <v>--</v>
          </cell>
          <cell r="WIB1" t="str">
            <v>--</v>
          </cell>
          <cell r="WIC1" t="str">
            <v>--</v>
          </cell>
          <cell r="WID1" t="str">
            <v>--</v>
          </cell>
          <cell r="WIE1" t="str">
            <v>--</v>
          </cell>
          <cell r="WIF1" t="str">
            <v>--</v>
          </cell>
          <cell r="WIG1" t="str">
            <v>--</v>
          </cell>
          <cell r="WIH1" t="str">
            <v>--</v>
          </cell>
          <cell r="WII1" t="str">
            <v>--</v>
          </cell>
          <cell r="WIJ1" t="str">
            <v>--</v>
          </cell>
          <cell r="WIK1" t="str">
            <v>--</v>
          </cell>
          <cell r="WIL1" t="str">
            <v>--</v>
          </cell>
          <cell r="WIM1" t="str">
            <v>--</v>
          </cell>
          <cell r="WIN1" t="str">
            <v>--</v>
          </cell>
          <cell r="WIO1" t="str">
            <v>--</v>
          </cell>
          <cell r="WIP1" t="str">
            <v>--</v>
          </cell>
          <cell r="WIQ1" t="str">
            <v>--</v>
          </cell>
          <cell r="WIR1" t="str">
            <v>--</v>
          </cell>
          <cell r="WIS1" t="str">
            <v>--</v>
          </cell>
          <cell r="WIT1" t="str">
            <v>--</v>
          </cell>
          <cell r="WIU1" t="str">
            <v>--</v>
          </cell>
          <cell r="WIV1" t="str">
            <v>--</v>
          </cell>
          <cell r="WIW1" t="str">
            <v>--</v>
          </cell>
          <cell r="WIX1" t="str">
            <v>--</v>
          </cell>
          <cell r="WIY1" t="str">
            <v>--</v>
          </cell>
          <cell r="WIZ1" t="str">
            <v>--</v>
          </cell>
          <cell r="WJA1" t="str">
            <v>--</v>
          </cell>
          <cell r="WJB1" t="str">
            <v>--</v>
          </cell>
          <cell r="WJC1" t="str">
            <v>--</v>
          </cell>
          <cell r="WJD1" t="str">
            <v>--</v>
          </cell>
          <cell r="WJE1" t="str">
            <v>--</v>
          </cell>
          <cell r="WJF1" t="str">
            <v>--</v>
          </cell>
          <cell r="WJG1" t="str">
            <v>--</v>
          </cell>
          <cell r="WJH1" t="str">
            <v>--</v>
          </cell>
          <cell r="WJI1" t="str">
            <v>--</v>
          </cell>
          <cell r="WJJ1" t="str">
            <v>--</v>
          </cell>
          <cell r="WJK1" t="str">
            <v>--</v>
          </cell>
          <cell r="WJL1" t="str">
            <v>--</v>
          </cell>
          <cell r="WJM1" t="str">
            <v>--</v>
          </cell>
          <cell r="WJN1" t="str">
            <v>--</v>
          </cell>
          <cell r="WJO1" t="str">
            <v>--</v>
          </cell>
          <cell r="WJP1" t="str">
            <v>--</v>
          </cell>
          <cell r="WJQ1" t="str">
            <v>--</v>
          </cell>
          <cell r="WJR1" t="str">
            <v>--</v>
          </cell>
          <cell r="WJS1" t="str">
            <v>--</v>
          </cell>
          <cell r="WJT1" t="str">
            <v>--</v>
          </cell>
          <cell r="WJU1" t="str">
            <v>--</v>
          </cell>
          <cell r="WJV1" t="str">
            <v>--</v>
          </cell>
          <cell r="WJW1" t="str">
            <v>--</v>
          </cell>
          <cell r="WJX1" t="str">
            <v>--</v>
          </cell>
          <cell r="WJY1" t="str">
            <v>--</v>
          </cell>
          <cell r="WJZ1" t="str">
            <v>--</v>
          </cell>
          <cell r="WKA1" t="str">
            <v>--</v>
          </cell>
          <cell r="WKB1" t="str">
            <v>--</v>
          </cell>
          <cell r="WKC1" t="str">
            <v>--</v>
          </cell>
          <cell r="WKD1" t="str">
            <v>--</v>
          </cell>
          <cell r="WKE1" t="str">
            <v>--</v>
          </cell>
          <cell r="WKF1" t="str">
            <v>--</v>
          </cell>
          <cell r="WKG1" t="str">
            <v>--</v>
          </cell>
          <cell r="WKH1" t="str">
            <v>--</v>
          </cell>
          <cell r="WKI1" t="str">
            <v>--</v>
          </cell>
          <cell r="WKJ1" t="str">
            <v>--</v>
          </cell>
          <cell r="WKK1" t="str">
            <v>--</v>
          </cell>
          <cell r="WKL1" t="str">
            <v>--</v>
          </cell>
          <cell r="WKM1" t="str">
            <v>--</v>
          </cell>
          <cell r="WKN1" t="str">
            <v>--</v>
          </cell>
          <cell r="WKO1" t="str">
            <v>--</v>
          </cell>
          <cell r="WKP1" t="str">
            <v>--</v>
          </cell>
          <cell r="WKQ1" t="str">
            <v>--</v>
          </cell>
          <cell r="WKR1" t="str">
            <v>--</v>
          </cell>
          <cell r="WKS1" t="str">
            <v>--</v>
          </cell>
          <cell r="WKT1" t="str">
            <v>--</v>
          </cell>
          <cell r="WKU1" t="str">
            <v>--</v>
          </cell>
          <cell r="WKV1" t="str">
            <v>--</v>
          </cell>
          <cell r="WKW1" t="str">
            <v>--</v>
          </cell>
          <cell r="WKX1" t="str">
            <v>--</v>
          </cell>
          <cell r="WKY1" t="str">
            <v>--</v>
          </cell>
          <cell r="WKZ1" t="str">
            <v>--</v>
          </cell>
          <cell r="WLA1" t="str">
            <v>--</v>
          </cell>
          <cell r="WLB1" t="str">
            <v>--</v>
          </cell>
          <cell r="WLC1" t="str">
            <v>--</v>
          </cell>
          <cell r="WLD1" t="str">
            <v>--</v>
          </cell>
          <cell r="WLE1" t="str">
            <v>--</v>
          </cell>
          <cell r="WLF1" t="str">
            <v>--</v>
          </cell>
          <cell r="WLG1" t="str">
            <v>--</v>
          </cell>
          <cell r="WLH1" t="str">
            <v>--</v>
          </cell>
          <cell r="WLI1" t="str">
            <v>--</v>
          </cell>
          <cell r="WLJ1" t="str">
            <v>--</v>
          </cell>
          <cell r="WLK1" t="str">
            <v>--</v>
          </cell>
          <cell r="WLL1" t="str">
            <v>--</v>
          </cell>
          <cell r="WLM1" t="str">
            <v>--</v>
          </cell>
          <cell r="WLN1" t="str">
            <v>--</v>
          </cell>
          <cell r="WLO1" t="str">
            <v>--</v>
          </cell>
          <cell r="WLP1" t="str">
            <v>--</v>
          </cell>
          <cell r="WLQ1" t="str">
            <v>--</v>
          </cell>
          <cell r="WLR1" t="str">
            <v>--</v>
          </cell>
          <cell r="WLS1" t="str">
            <v>--</v>
          </cell>
          <cell r="WLT1" t="str">
            <v>--</v>
          </cell>
          <cell r="WLU1" t="str">
            <v>--</v>
          </cell>
          <cell r="WLV1" t="str">
            <v>--</v>
          </cell>
          <cell r="WLW1" t="str">
            <v>--</v>
          </cell>
          <cell r="WLX1" t="str">
            <v>--</v>
          </cell>
          <cell r="WLY1" t="str">
            <v>--</v>
          </cell>
          <cell r="WLZ1" t="str">
            <v>--</v>
          </cell>
          <cell r="WMA1" t="str">
            <v>--</v>
          </cell>
          <cell r="WMB1" t="str">
            <v>--</v>
          </cell>
          <cell r="WMC1" t="str">
            <v>--</v>
          </cell>
          <cell r="WMD1" t="str">
            <v>--</v>
          </cell>
          <cell r="WME1" t="str">
            <v>--</v>
          </cell>
          <cell r="WMF1" t="str">
            <v>--</v>
          </cell>
          <cell r="WMG1" t="str">
            <v>--</v>
          </cell>
          <cell r="WMH1" t="str">
            <v>--</v>
          </cell>
          <cell r="WMI1" t="str">
            <v>--</v>
          </cell>
          <cell r="WMJ1" t="str">
            <v>--</v>
          </cell>
          <cell r="WMK1" t="str">
            <v>--</v>
          </cell>
          <cell r="WML1" t="str">
            <v>--</v>
          </cell>
          <cell r="WMM1" t="str">
            <v>--</v>
          </cell>
          <cell r="WMN1" t="str">
            <v>--</v>
          </cell>
          <cell r="WMO1" t="str">
            <v>--</v>
          </cell>
          <cell r="WMP1" t="str">
            <v>--</v>
          </cell>
          <cell r="WMQ1" t="str">
            <v>--</v>
          </cell>
          <cell r="WMR1" t="str">
            <v>--</v>
          </cell>
          <cell r="WMS1" t="str">
            <v>--</v>
          </cell>
          <cell r="WMT1" t="str">
            <v>--</v>
          </cell>
          <cell r="WMU1" t="str">
            <v>--</v>
          </cell>
          <cell r="WMV1" t="str">
            <v>--</v>
          </cell>
          <cell r="WMW1" t="str">
            <v>--</v>
          </cell>
          <cell r="WMX1" t="str">
            <v>--</v>
          </cell>
          <cell r="WMY1" t="str">
            <v>--</v>
          </cell>
          <cell r="WMZ1" t="str">
            <v>--</v>
          </cell>
          <cell r="WNA1" t="str">
            <v>--</v>
          </cell>
          <cell r="WNB1" t="str">
            <v>--</v>
          </cell>
          <cell r="WNC1" t="str">
            <v>--</v>
          </cell>
          <cell r="WND1" t="str">
            <v>--</v>
          </cell>
          <cell r="WNE1" t="str">
            <v>--</v>
          </cell>
          <cell r="WNF1" t="str">
            <v>--</v>
          </cell>
          <cell r="WNG1" t="str">
            <v>--</v>
          </cell>
          <cell r="WNH1" t="str">
            <v>--</v>
          </cell>
          <cell r="WNI1" t="str">
            <v>--</v>
          </cell>
          <cell r="WNJ1" t="str">
            <v>--</v>
          </cell>
          <cell r="WNK1" t="str">
            <v>--</v>
          </cell>
          <cell r="WNL1" t="str">
            <v>--</v>
          </cell>
          <cell r="WNM1" t="str">
            <v>--</v>
          </cell>
          <cell r="WNN1" t="str">
            <v>--</v>
          </cell>
          <cell r="WNO1" t="str">
            <v>--</v>
          </cell>
          <cell r="WNP1" t="str">
            <v>--</v>
          </cell>
          <cell r="WNQ1" t="str">
            <v>--</v>
          </cell>
          <cell r="WNR1" t="str">
            <v>--</v>
          </cell>
          <cell r="WNS1" t="str">
            <v>--</v>
          </cell>
          <cell r="WNT1" t="str">
            <v>--</v>
          </cell>
          <cell r="WNU1" t="str">
            <v>--</v>
          </cell>
          <cell r="WNV1" t="str">
            <v>--</v>
          </cell>
          <cell r="WNW1" t="str">
            <v>--</v>
          </cell>
          <cell r="WNX1" t="str">
            <v>--</v>
          </cell>
          <cell r="WNY1" t="str">
            <v>--</v>
          </cell>
          <cell r="WNZ1" t="str">
            <v>--</v>
          </cell>
          <cell r="WOA1" t="str">
            <v>--</v>
          </cell>
          <cell r="WOB1" t="str">
            <v>--</v>
          </cell>
          <cell r="WOC1" t="str">
            <v>--</v>
          </cell>
          <cell r="WOD1" t="str">
            <v>--</v>
          </cell>
          <cell r="WOE1" t="str">
            <v>--</v>
          </cell>
          <cell r="WOF1" t="str">
            <v>--</v>
          </cell>
          <cell r="WOG1" t="str">
            <v>--</v>
          </cell>
          <cell r="WOH1" t="str">
            <v>--</v>
          </cell>
          <cell r="WOI1" t="str">
            <v>--</v>
          </cell>
          <cell r="WOJ1" t="str">
            <v>--</v>
          </cell>
          <cell r="WOK1" t="str">
            <v>--</v>
          </cell>
          <cell r="WOL1" t="str">
            <v>--</v>
          </cell>
          <cell r="WOM1" t="str">
            <v>--</v>
          </cell>
          <cell r="WON1" t="str">
            <v>--</v>
          </cell>
          <cell r="WOO1" t="str">
            <v>--</v>
          </cell>
          <cell r="WOP1" t="str">
            <v>--</v>
          </cell>
          <cell r="WOQ1" t="str">
            <v>--</v>
          </cell>
          <cell r="WOR1" t="str">
            <v>--</v>
          </cell>
          <cell r="WOS1" t="str">
            <v>--</v>
          </cell>
          <cell r="WOT1" t="str">
            <v>--</v>
          </cell>
          <cell r="WOU1" t="str">
            <v>--</v>
          </cell>
          <cell r="WOV1" t="str">
            <v>--</v>
          </cell>
          <cell r="WOW1" t="str">
            <v>--</v>
          </cell>
          <cell r="WOX1" t="str">
            <v>--</v>
          </cell>
          <cell r="WOY1" t="str">
            <v>--</v>
          </cell>
          <cell r="WOZ1" t="str">
            <v>--</v>
          </cell>
          <cell r="WPA1" t="str">
            <v>--</v>
          </cell>
          <cell r="WPB1" t="str">
            <v>--</v>
          </cell>
          <cell r="WPC1" t="str">
            <v>--</v>
          </cell>
          <cell r="WPD1" t="str">
            <v>--</v>
          </cell>
          <cell r="WPE1" t="str">
            <v>--</v>
          </cell>
          <cell r="WPF1" t="str">
            <v>--</v>
          </cell>
          <cell r="WPG1" t="str">
            <v>--</v>
          </cell>
          <cell r="WPH1" t="str">
            <v>--</v>
          </cell>
          <cell r="WPI1" t="str">
            <v>--</v>
          </cell>
          <cell r="WPJ1" t="str">
            <v>--</v>
          </cell>
          <cell r="WPK1" t="str">
            <v>--</v>
          </cell>
          <cell r="WPL1" t="str">
            <v>--</v>
          </cell>
          <cell r="WPM1" t="str">
            <v>--</v>
          </cell>
          <cell r="WPN1" t="str">
            <v>--</v>
          </cell>
          <cell r="WPO1" t="str">
            <v>--</v>
          </cell>
          <cell r="WPP1" t="str">
            <v>--</v>
          </cell>
          <cell r="WPQ1" t="str">
            <v>--</v>
          </cell>
          <cell r="WPR1" t="str">
            <v>--</v>
          </cell>
          <cell r="WPS1" t="str">
            <v>--</v>
          </cell>
          <cell r="WPT1" t="str">
            <v>--</v>
          </cell>
          <cell r="WPU1" t="str">
            <v>--</v>
          </cell>
          <cell r="WPV1" t="str">
            <v>--</v>
          </cell>
          <cell r="WPW1" t="str">
            <v>--</v>
          </cell>
          <cell r="WPX1" t="str">
            <v>--</v>
          </cell>
          <cell r="WPY1" t="str">
            <v>--</v>
          </cell>
          <cell r="WPZ1" t="str">
            <v>--</v>
          </cell>
          <cell r="WQA1" t="str">
            <v>--</v>
          </cell>
          <cell r="WQB1" t="str">
            <v>--</v>
          </cell>
          <cell r="WQC1" t="str">
            <v>--</v>
          </cell>
          <cell r="WQD1" t="str">
            <v>--</v>
          </cell>
          <cell r="WQE1" t="str">
            <v>--</v>
          </cell>
          <cell r="WQF1" t="str">
            <v>--</v>
          </cell>
          <cell r="WQG1" t="str">
            <v>--</v>
          </cell>
          <cell r="WQH1" t="str">
            <v>--</v>
          </cell>
          <cell r="WQI1" t="str">
            <v>--</v>
          </cell>
          <cell r="WQJ1" t="str">
            <v>--</v>
          </cell>
          <cell r="WQK1" t="str">
            <v>--</v>
          </cell>
          <cell r="WQL1" t="str">
            <v>--</v>
          </cell>
          <cell r="WQM1" t="str">
            <v>--</v>
          </cell>
          <cell r="WQN1" t="str">
            <v>--</v>
          </cell>
          <cell r="WQO1" t="str">
            <v>--</v>
          </cell>
          <cell r="WQP1" t="str">
            <v>--</v>
          </cell>
          <cell r="WQQ1" t="str">
            <v>--</v>
          </cell>
          <cell r="WQR1" t="str">
            <v>--</v>
          </cell>
          <cell r="WQS1" t="str">
            <v>--</v>
          </cell>
          <cell r="WQT1" t="str">
            <v>--</v>
          </cell>
          <cell r="WQU1" t="str">
            <v>--</v>
          </cell>
          <cell r="WQV1" t="str">
            <v>--</v>
          </cell>
          <cell r="WQW1" t="str">
            <v>--</v>
          </cell>
          <cell r="WQX1" t="str">
            <v>--</v>
          </cell>
          <cell r="WQY1" t="str">
            <v>--</v>
          </cell>
          <cell r="WQZ1" t="str">
            <v>--</v>
          </cell>
          <cell r="WRA1" t="str">
            <v>--</v>
          </cell>
          <cell r="WRB1" t="str">
            <v>--</v>
          </cell>
          <cell r="WRC1" t="str">
            <v>--</v>
          </cell>
          <cell r="WRD1" t="str">
            <v>--</v>
          </cell>
          <cell r="WRE1" t="str">
            <v>--</v>
          </cell>
          <cell r="WRF1" t="str">
            <v>--</v>
          </cell>
          <cell r="WRG1" t="str">
            <v>--</v>
          </cell>
          <cell r="WRH1" t="str">
            <v>--</v>
          </cell>
          <cell r="WRI1" t="str">
            <v>--</v>
          </cell>
          <cell r="WRJ1" t="str">
            <v>--</v>
          </cell>
          <cell r="WRK1" t="str">
            <v>--</v>
          </cell>
          <cell r="WRL1" t="str">
            <v>--</v>
          </cell>
          <cell r="WRM1" t="str">
            <v>--</v>
          </cell>
          <cell r="WRN1" t="str">
            <v>--</v>
          </cell>
          <cell r="WRO1" t="str">
            <v>--</v>
          </cell>
          <cell r="WRP1" t="str">
            <v>--</v>
          </cell>
          <cell r="WRQ1" t="str">
            <v>--</v>
          </cell>
          <cell r="WRR1" t="str">
            <v>--</v>
          </cell>
          <cell r="WRS1" t="str">
            <v>--</v>
          </cell>
          <cell r="WRT1" t="str">
            <v>--</v>
          </cell>
          <cell r="WRU1" t="str">
            <v>--</v>
          </cell>
          <cell r="WRV1" t="str">
            <v>--</v>
          </cell>
          <cell r="WRW1" t="str">
            <v>--</v>
          </cell>
          <cell r="WRX1" t="str">
            <v>--</v>
          </cell>
          <cell r="WRY1" t="str">
            <v>--</v>
          </cell>
          <cell r="WRZ1" t="str">
            <v>--</v>
          </cell>
          <cell r="WSA1" t="str">
            <v>--</v>
          </cell>
          <cell r="WSB1" t="str">
            <v>--</v>
          </cell>
          <cell r="WSC1" t="str">
            <v>--</v>
          </cell>
          <cell r="WSD1" t="str">
            <v>--</v>
          </cell>
          <cell r="WSE1" t="str">
            <v>--</v>
          </cell>
          <cell r="WSF1" t="str">
            <v>--</v>
          </cell>
          <cell r="WSG1" t="str">
            <v>--</v>
          </cell>
          <cell r="WSH1" t="str">
            <v>--</v>
          </cell>
          <cell r="WSI1" t="str">
            <v>--</v>
          </cell>
          <cell r="WSJ1" t="str">
            <v>--</v>
          </cell>
          <cell r="WSK1" t="str">
            <v>--</v>
          </cell>
          <cell r="WSL1" t="str">
            <v>--</v>
          </cell>
          <cell r="WSM1" t="str">
            <v>--</v>
          </cell>
          <cell r="WSN1" t="str">
            <v>--</v>
          </cell>
          <cell r="WSO1" t="str">
            <v>--</v>
          </cell>
          <cell r="WSP1" t="str">
            <v>--</v>
          </cell>
          <cell r="WSQ1" t="str">
            <v>--</v>
          </cell>
          <cell r="WSR1" t="str">
            <v>--</v>
          </cell>
          <cell r="WSS1" t="str">
            <v>--</v>
          </cell>
          <cell r="WST1" t="str">
            <v>--</v>
          </cell>
          <cell r="WSU1" t="str">
            <v>--</v>
          </cell>
          <cell r="WSV1" t="str">
            <v>--</v>
          </cell>
          <cell r="WSW1" t="str">
            <v>--</v>
          </cell>
          <cell r="WSX1" t="str">
            <v>--</v>
          </cell>
          <cell r="WSY1" t="str">
            <v>--</v>
          </cell>
          <cell r="WSZ1" t="str">
            <v>--</v>
          </cell>
          <cell r="WTA1" t="str">
            <v>--</v>
          </cell>
          <cell r="WTB1" t="str">
            <v>--</v>
          </cell>
          <cell r="WTC1" t="str">
            <v>--</v>
          </cell>
          <cell r="WTD1" t="str">
            <v>--</v>
          </cell>
          <cell r="WTE1" t="str">
            <v>--</v>
          </cell>
          <cell r="WTF1" t="str">
            <v>--</v>
          </cell>
          <cell r="WTG1" t="str">
            <v>--</v>
          </cell>
          <cell r="WTH1" t="str">
            <v>--</v>
          </cell>
          <cell r="WTI1" t="str">
            <v>--</v>
          </cell>
          <cell r="WTJ1" t="str">
            <v>--</v>
          </cell>
          <cell r="WTK1" t="str">
            <v>--</v>
          </cell>
          <cell r="WTL1" t="str">
            <v>--</v>
          </cell>
          <cell r="WTM1" t="str">
            <v>--</v>
          </cell>
          <cell r="WTN1" t="str">
            <v>--</v>
          </cell>
          <cell r="WTO1" t="str">
            <v>--</v>
          </cell>
          <cell r="WTP1" t="str">
            <v>--</v>
          </cell>
          <cell r="WTQ1" t="str">
            <v>--</v>
          </cell>
          <cell r="WTR1" t="str">
            <v>--</v>
          </cell>
          <cell r="WTS1" t="str">
            <v>--</v>
          </cell>
          <cell r="WTT1" t="str">
            <v>--</v>
          </cell>
          <cell r="WTU1" t="str">
            <v>--</v>
          </cell>
          <cell r="WTV1" t="str">
            <v>--</v>
          </cell>
          <cell r="WTW1" t="str">
            <v>--</v>
          </cell>
          <cell r="WTX1" t="str">
            <v>--</v>
          </cell>
          <cell r="WTY1" t="str">
            <v>--</v>
          </cell>
          <cell r="WTZ1" t="str">
            <v>--</v>
          </cell>
          <cell r="WUA1" t="str">
            <v>--</v>
          </cell>
          <cell r="WUB1" t="str">
            <v>--</v>
          </cell>
          <cell r="WUC1" t="str">
            <v>--</v>
          </cell>
          <cell r="WUD1" t="str">
            <v>--</v>
          </cell>
          <cell r="WUE1" t="str">
            <v>--</v>
          </cell>
          <cell r="WUF1" t="str">
            <v>--</v>
          </cell>
          <cell r="WUG1" t="str">
            <v>--</v>
          </cell>
          <cell r="WUH1" t="str">
            <v>--</v>
          </cell>
          <cell r="WUI1" t="str">
            <v>--</v>
          </cell>
          <cell r="WUJ1" t="str">
            <v>--</v>
          </cell>
          <cell r="WUK1" t="str">
            <v>--</v>
          </cell>
          <cell r="WUL1" t="str">
            <v>--</v>
          </cell>
          <cell r="WUM1" t="str">
            <v>--</v>
          </cell>
          <cell r="WUN1" t="str">
            <v>--</v>
          </cell>
          <cell r="WUO1" t="str">
            <v>--</v>
          </cell>
          <cell r="WUP1" t="str">
            <v>--</v>
          </cell>
          <cell r="WUQ1" t="str">
            <v>--</v>
          </cell>
          <cell r="WUR1" t="str">
            <v>--</v>
          </cell>
          <cell r="WUS1" t="str">
            <v>--</v>
          </cell>
          <cell r="WUT1" t="str">
            <v>--</v>
          </cell>
          <cell r="WUU1" t="str">
            <v>--</v>
          </cell>
          <cell r="WUV1" t="str">
            <v>--</v>
          </cell>
          <cell r="WUW1" t="str">
            <v>--</v>
          </cell>
          <cell r="WUX1" t="str">
            <v>--</v>
          </cell>
          <cell r="WUY1" t="str">
            <v>--</v>
          </cell>
          <cell r="WUZ1" t="str">
            <v>--</v>
          </cell>
          <cell r="WVA1" t="str">
            <v>--</v>
          </cell>
          <cell r="WVB1" t="str">
            <v>--</v>
          </cell>
          <cell r="WVC1" t="str">
            <v>--</v>
          </cell>
          <cell r="WVD1" t="str">
            <v>--</v>
          </cell>
          <cell r="WVE1" t="str">
            <v>--</v>
          </cell>
          <cell r="WVF1" t="str">
            <v>--</v>
          </cell>
          <cell r="WVG1" t="str">
            <v>--</v>
          </cell>
          <cell r="WVH1" t="str">
            <v>--</v>
          </cell>
          <cell r="WVI1" t="str">
            <v>--</v>
          </cell>
          <cell r="WVJ1" t="str">
            <v>--</v>
          </cell>
          <cell r="WVK1" t="str">
            <v>--</v>
          </cell>
          <cell r="WVL1" t="str">
            <v>--</v>
          </cell>
          <cell r="WVM1" t="str">
            <v>--</v>
          </cell>
          <cell r="WVN1" t="str">
            <v>--</v>
          </cell>
          <cell r="WVO1" t="str">
            <v>--</v>
          </cell>
          <cell r="WVP1" t="str">
            <v>--</v>
          </cell>
          <cell r="WVQ1" t="str">
            <v>--</v>
          </cell>
          <cell r="WVR1" t="str">
            <v>--</v>
          </cell>
          <cell r="WVS1" t="str">
            <v>--</v>
          </cell>
          <cell r="WVT1" t="str">
            <v>--</v>
          </cell>
          <cell r="WVU1" t="str">
            <v>--</v>
          </cell>
          <cell r="WVV1" t="str">
            <v>--</v>
          </cell>
          <cell r="WVW1" t="str">
            <v>--</v>
          </cell>
          <cell r="WVX1" t="str">
            <v>--</v>
          </cell>
          <cell r="WVY1" t="str">
            <v>--</v>
          </cell>
          <cell r="WVZ1" t="str">
            <v>--</v>
          </cell>
          <cell r="WWA1" t="str">
            <v>--</v>
          </cell>
          <cell r="WWB1" t="str">
            <v>--</v>
          </cell>
          <cell r="WWC1" t="str">
            <v>--</v>
          </cell>
          <cell r="WWD1" t="str">
            <v>--</v>
          </cell>
          <cell r="WWE1" t="str">
            <v>--</v>
          </cell>
          <cell r="WWF1" t="str">
            <v>--</v>
          </cell>
          <cell r="WWG1" t="str">
            <v>--</v>
          </cell>
          <cell r="WWH1" t="str">
            <v>--</v>
          </cell>
          <cell r="WWI1" t="str">
            <v>--</v>
          </cell>
          <cell r="WWJ1" t="str">
            <v>--</v>
          </cell>
          <cell r="WWK1" t="str">
            <v>--</v>
          </cell>
          <cell r="WWL1" t="str">
            <v>--</v>
          </cell>
          <cell r="WWM1" t="str">
            <v>--</v>
          </cell>
          <cell r="WWN1" t="str">
            <v>--</v>
          </cell>
          <cell r="WWO1" t="str">
            <v>--</v>
          </cell>
          <cell r="WWP1" t="str">
            <v>--</v>
          </cell>
          <cell r="WWQ1" t="str">
            <v>--</v>
          </cell>
          <cell r="WWR1" t="str">
            <v>--</v>
          </cell>
          <cell r="WWS1" t="str">
            <v>--</v>
          </cell>
          <cell r="WWT1" t="str">
            <v>--</v>
          </cell>
          <cell r="WWU1" t="str">
            <v>--</v>
          </cell>
          <cell r="WWV1" t="str">
            <v>--</v>
          </cell>
          <cell r="WWW1" t="str">
            <v>--</v>
          </cell>
          <cell r="WWX1" t="str">
            <v>--</v>
          </cell>
          <cell r="WWY1" t="str">
            <v>--</v>
          </cell>
          <cell r="WWZ1" t="str">
            <v>--</v>
          </cell>
          <cell r="WXA1" t="str">
            <v>--</v>
          </cell>
          <cell r="WXB1" t="str">
            <v>--</v>
          </cell>
          <cell r="WXC1" t="str">
            <v>--</v>
          </cell>
          <cell r="WXD1" t="str">
            <v>--</v>
          </cell>
          <cell r="WXE1" t="str">
            <v>--</v>
          </cell>
          <cell r="WXF1" t="str">
            <v>--</v>
          </cell>
          <cell r="WXG1" t="str">
            <v>--</v>
          </cell>
          <cell r="WXH1" t="str">
            <v>--</v>
          </cell>
          <cell r="WXI1" t="str">
            <v>--</v>
          </cell>
          <cell r="WXJ1" t="str">
            <v>--</v>
          </cell>
          <cell r="WXK1" t="str">
            <v>--</v>
          </cell>
          <cell r="WXL1" t="str">
            <v>--</v>
          </cell>
          <cell r="WXM1" t="str">
            <v>--</v>
          </cell>
          <cell r="WXN1" t="str">
            <v>--</v>
          </cell>
          <cell r="WXO1" t="str">
            <v>--</v>
          </cell>
          <cell r="WXP1" t="str">
            <v>--</v>
          </cell>
          <cell r="WXQ1" t="str">
            <v>--</v>
          </cell>
          <cell r="WXR1" t="str">
            <v>--</v>
          </cell>
          <cell r="WXS1" t="str">
            <v>--</v>
          </cell>
          <cell r="WXT1" t="str">
            <v>--</v>
          </cell>
          <cell r="WXU1" t="str">
            <v>--</v>
          </cell>
          <cell r="WXV1" t="str">
            <v>--</v>
          </cell>
          <cell r="WXW1" t="str">
            <v>--</v>
          </cell>
          <cell r="WXX1" t="str">
            <v>--</v>
          </cell>
          <cell r="WXY1" t="str">
            <v>--</v>
          </cell>
          <cell r="WXZ1" t="str">
            <v>--</v>
          </cell>
          <cell r="WYA1" t="str">
            <v>--</v>
          </cell>
          <cell r="WYB1" t="str">
            <v>--</v>
          </cell>
          <cell r="WYC1" t="str">
            <v>--</v>
          </cell>
          <cell r="WYD1" t="str">
            <v>--</v>
          </cell>
          <cell r="WYE1" t="str">
            <v>--</v>
          </cell>
          <cell r="WYF1" t="str">
            <v>--</v>
          </cell>
          <cell r="WYG1" t="str">
            <v>--</v>
          </cell>
          <cell r="WYH1" t="str">
            <v>--</v>
          </cell>
          <cell r="WYI1" t="str">
            <v>--</v>
          </cell>
          <cell r="WYJ1" t="str">
            <v>--</v>
          </cell>
          <cell r="WYK1" t="str">
            <v>--</v>
          </cell>
          <cell r="WYL1" t="str">
            <v>--</v>
          </cell>
          <cell r="WYM1" t="str">
            <v>--</v>
          </cell>
          <cell r="WYN1" t="str">
            <v>--</v>
          </cell>
          <cell r="WYO1" t="str">
            <v>--</v>
          </cell>
          <cell r="WYP1" t="str">
            <v>--</v>
          </cell>
          <cell r="WYQ1" t="str">
            <v>--</v>
          </cell>
          <cell r="WYR1" t="str">
            <v>--</v>
          </cell>
          <cell r="WYS1" t="str">
            <v>--</v>
          </cell>
          <cell r="WYT1" t="str">
            <v>--</v>
          </cell>
          <cell r="WYU1" t="str">
            <v>--</v>
          </cell>
          <cell r="WYV1" t="str">
            <v>--</v>
          </cell>
          <cell r="WYW1" t="str">
            <v>--</v>
          </cell>
          <cell r="WYX1" t="str">
            <v>--</v>
          </cell>
          <cell r="WYY1" t="str">
            <v>--</v>
          </cell>
          <cell r="WYZ1" t="str">
            <v>--</v>
          </cell>
          <cell r="WZA1" t="str">
            <v>--</v>
          </cell>
          <cell r="WZB1" t="str">
            <v>--</v>
          </cell>
          <cell r="WZC1" t="str">
            <v>--</v>
          </cell>
          <cell r="WZD1" t="str">
            <v>--</v>
          </cell>
          <cell r="WZE1" t="str">
            <v>--</v>
          </cell>
          <cell r="WZF1" t="str">
            <v>--</v>
          </cell>
          <cell r="WZG1" t="str">
            <v>--</v>
          </cell>
          <cell r="WZH1" t="str">
            <v>--</v>
          </cell>
          <cell r="WZI1" t="str">
            <v>--</v>
          </cell>
          <cell r="WZJ1" t="str">
            <v>--</v>
          </cell>
          <cell r="WZK1" t="str">
            <v>--</v>
          </cell>
          <cell r="WZL1" t="str">
            <v>--</v>
          </cell>
          <cell r="WZM1" t="str">
            <v>--</v>
          </cell>
          <cell r="WZN1" t="str">
            <v>--</v>
          </cell>
          <cell r="WZO1" t="str">
            <v>--</v>
          </cell>
          <cell r="WZP1" t="str">
            <v>--</v>
          </cell>
          <cell r="WZQ1" t="str">
            <v>--</v>
          </cell>
          <cell r="WZR1" t="str">
            <v>--</v>
          </cell>
          <cell r="WZS1" t="str">
            <v>--</v>
          </cell>
          <cell r="WZT1" t="str">
            <v>--</v>
          </cell>
          <cell r="WZU1" t="str">
            <v>--</v>
          </cell>
          <cell r="WZV1" t="str">
            <v>--</v>
          </cell>
          <cell r="WZW1" t="str">
            <v>--</v>
          </cell>
          <cell r="WZX1" t="str">
            <v>--</v>
          </cell>
          <cell r="WZY1" t="str">
            <v>--</v>
          </cell>
          <cell r="WZZ1" t="str">
            <v>--</v>
          </cell>
          <cell r="XAA1" t="str">
            <v>--</v>
          </cell>
          <cell r="XAB1" t="str">
            <v>--</v>
          </cell>
          <cell r="XAC1" t="str">
            <v>--</v>
          </cell>
          <cell r="XAD1" t="str">
            <v>--</v>
          </cell>
          <cell r="XAE1" t="str">
            <v>--</v>
          </cell>
          <cell r="XAF1" t="str">
            <v>--</v>
          </cell>
          <cell r="XAG1" t="str">
            <v>--</v>
          </cell>
          <cell r="XAH1" t="str">
            <v>--</v>
          </cell>
          <cell r="XAI1" t="str">
            <v>--</v>
          </cell>
          <cell r="XAJ1" t="str">
            <v>--</v>
          </cell>
          <cell r="XAK1" t="str">
            <v>--</v>
          </cell>
          <cell r="XAL1" t="str">
            <v>--</v>
          </cell>
          <cell r="XAM1" t="str">
            <v>--</v>
          </cell>
          <cell r="XAN1" t="str">
            <v>--</v>
          </cell>
          <cell r="XAO1" t="str">
            <v>--</v>
          </cell>
          <cell r="XAP1" t="str">
            <v>--</v>
          </cell>
          <cell r="XAQ1" t="str">
            <v>--</v>
          </cell>
          <cell r="XAR1" t="str">
            <v>--</v>
          </cell>
          <cell r="XAS1" t="str">
            <v>--</v>
          </cell>
          <cell r="XAT1" t="str">
            <v>--</v>
          </cell>
          <cell r="XAU1" t="str">
            <v>--</v>
          </cell>
          <cell r="XAV1" t="str">
            <v>--</v>
          </cell>
          <cell r="XAW1" t="str">
            <v>--</v>
          </cell>
          <cell r="XAX1" t="str">
            <v>--</v>
          </cell>
          <cell r="XAY1" t="str">
            <v>--</v>
          </cell>
          <cell r="XAZ1" t="str">
            <v>--</v>
          </cell>
          <cell r="XBA1" t="str">
            <v>--</v>
          </cell>
          <cell r="XBB1" t="str">
            <v>--</v>
          </cell>
          <cell r="XBC1" t="str">
            <v>--</v>
          </cell>
          <cell r="XBD1" t="str">
            <v>--</v>
          </cell>
          <cell r="XBE1" t="str">
            <v>--</v>
          </cell>
          <cell r="XBF1" t="str">
            <v>--</v>
          </cell>
          <cell r="XBG1" t="str">
            <v>--</v>
          </cell>
          <cell r="XBH1" t="str">
            <v>--</v>
          </cell>
          <cell r="XBI1" t="str">
            <v>--</v>
          </cell>
          <cell r="XBJ1" t="str">
            <v>--</v>
          </cell>
          <cell r="XBK1" t="str">
            <v>--</v>
          </cell>
          <cell r="XBL1" t="str">
            <v>--</v>
          </cell>
          <cell r="XBM1" t="str">
            <v>--</v>
          </cell>
          <cell r="XBN1" t="str">
            <v>--</v>
          </cell>
          <cell r="XBO1" t="str">
            <v>--</v>
          </cell>
          <cell r="XBP1" t="str">
            <v>--</v>
          </cell>
          <cell r="XBQ1" t="str">
            <v>--</v>
          </cell>
          <cell r="XBR1" t="str">
            <v>--</v>
          </cell>
          <cell r="XBS1" t="str">
            <v>--</v>
          </cell>
          <cell r="XBT1" t="str">
            <v>--</v>
          </cell>
          <cell r="XBU1" t="str">
            <v>--</v>
          </cell>
          <cell r="XBV1" t="str">
            <v>--</v>
          </cell>
          <cell r="XBW1" t="str">
            <v>--</v>
          </cell>
          <cell r="XBX1" t="str">
            <v>--</v>
          </cell>
          <cell r="XBY1" t="str">
            <v>--</v>
          </cell>
          <cell r="XBZ1" t="str">
            <v>--</v>
          </cell>
          <cell r="XCA1" t="str">
            <v>--</v>
          </cell>
          <cell r="XCB1" t="str">
            <v>--</v>
          </cell>
          <cell r="XCC1" t="str">
            <v>--</v>
          </cell>
          <cell r="XCD1" t="str">
            <v>--</v>
          </cell>
          <cell r="XCE1" t="str">
            <v>--</v>
          </cell>
          <cell r="XCF1" t="str">
            <v>--</v>
          </cell>
          <cell r="XCG1" t="str">
            <v>--</v>
          </cell>
          <cell r="XCH1" t="str">
            <v>--</v>
          </cell>
          <cell r="XCI1" t="str">
            <v>--</v>
          </cell>
          <cell r="XCJ1" t="str">
            <v>--</v>
          </cell>
          <cell r="XCK1" t="str">
            <v>--</v>
          </cell>
          <cell r="XCL1" t="str">
            <v>--</v>
          </cell>
          <cell r="XCM1" t="str">
            <v>--</v>
          </cell>
          <cell r="XCN1" t="str">
            <v>--</v>
          </cell>
          <cell r="XCO1" t="str">
            <v>--</v>
          </cell>
          <cell r="XCP1" t="str">
            <v>--</v>
          </cell>
          <cell r="XCQ1" t="str">
            <v>--</v>
          </cell>
          <cell r="XCR1" t="str">
            <v>--</v>
          </cell>
          <cell r="XCS1" t="str">
            <v>--</v>
          </cell>
          <cell r="XCT1" t="str">
            <v>--</v>
          </cell>
          <cell r="XCU1" t="str">
            <v>--</v>
          </cell>
          <cell r="XCV1" t="str">
            <v>--</v>
          </cell>
          <cell r="XCW1" t="str">
            <v>--</v>
          </cell>
          <cell r="XCX1" t="str">
            <v>--</v>
          </cell>
          <cell r="XCY1" t="str">
            <v>--</v>
          </cell>
          <cell r="XCZ1" t="str">
            <v>--</v>
          </cell>
          <cell r="XDA1" t="str">
            <v>--</v>
          </cell>
          <cell r="XDB1" t="str">
            <v>--</v>
          </cell>
          <cell r="XDC1" t="str">
            <v>--</v>
          </cell>
          <cell r="XDD1" t="str">
            <v>--</v>
          </cell>
          <cell r="XDE1" t="str">
            <v>--</v>
          </cell>
          <cell r="XDF1" t="str">
            <v>--</v>
          </cell>
          <cell r="XDG1" t="str">
            <v>--</v>
          </cell>
          <cell r="XDH1" t="str">
            <v>--</v>
          </cell>
          <cell r="XDI1" t="str">
            <v>--</v>
          </cell>
          <cell r="XDJ1" t="str">
            <v>--</v>
          </cell>
          <cell r="XDK1" t="str">
            <v>--</v>
          </cell>
          <cell r="XDL1" t="str">
            <v>--</v>
          </cell>
          <cell r="XDM1" t="str">
            <v>--</v>
          </cell>
          <cell r="XDN1" t="str">
            <v>--</v>
          </cell>
          <cell r="XDO1" t="str">
            <v>--</v>
          </cell>
          <cell r="XDP1" t="str">
            <v>--</v>
          </cell>
          <cell r="XDQ1" t="str">
            <v>--</v>
          </cell>
          <cell r="XDR1" t="str">
            <v>--</v>
          </cell>
          <cell r="XDS1" t="str">
            <v>--</v>
          </cell>
          <cell r="XDT1" t="str">
            <v>--</v>
          </cell>
          <cell r="XDU1" t="str">
            <v>--</v>
          </cell>
          <cell r="XDV1" t="str">
            <v>--</v>
          </cell>
          <cell r="XDW1" t="str">
            <v>--</v>
          </cell>
          <cell r="XDX1" t="str">
            <v>--</v>
          </cell>
          <cell r="XDY1" t="str">
            <v>--</v>
          </cell>
          <cell r="XDZ1" t="str">
            <v>--</v>
          </cell>
          <cell r="XEA1" t="str">
            <v>--</v>
          </cell>
          <cell r="XEB1" t="str">
            <v>--</v>
          </cell>
          <cell r="XEC1" t="str">
            <v>--</v>
          </cell>
          <cell r="XED1" t="str">
            <v>--</v>
          </cell>
          <cell r="XEE1" t="str">
            <v>--</v>
          </cell>
          <cell r="XEF1" t="str">
            <v>--</v>
          </cell>
          <cell r="XEG1" t="str">
            <v>--</v>
          </cell>
          <cell r="XEH1" t="str">
            <v>--</v>
          </cell>
          <cell r="XEI1" t="str">
            <v>--</v>
          </cell>
          <cell r="XEJ1" t="str">
            <v>--</v>
          </cell>
          <cell r="XEK1" t="str">
            <v>--</v>
          </cell>
          <cell r="XEL1" t="str">
            <v>--</v>
          </cell>
          <cell r="XEM1" t="str">
            <v>--</v>
          </cell>
          <cell r="XEN1" t="str">
            <v>--</v>
          </cell>
          <cell r="XEO1" t="str">
            <v>--</v>
          </cell>
          <cell r="XEP1" t="str">
            <v>--</v>
          </cell>
          <cell r="XEQ1" t="str">
            <v>--</v>
          </cell>
          <cell r="XER1" t="str">
            <v>--</v>
          </cell>
          <cell r="XES1" t="str">
            <v>--</v>
          </cell>
          <cell r="XET1" t="str">
            <v>--</v>
          </cell>
          <cell r="XEU1" t="str">
            <v>--</v>
          </cell>
          <cell r="XEV1" t="str">
            <v>--</v>
          </cell>
          <cell r="XEW1" t="str">
            <v>--</v>
          </cell>
          <cell r="XEX1" t="str">
            <v>--</v>
          </cell>
          <cell r="XEY1" t="str">
            <v>--</v>
          </cell>
          <cell r="XEZ1" t="str">
            <v>--</v>
          </cell>
          <cell r="XFA1" t="str">
            <v>--</v>
          </cell>
          <cell r="XFB1" t="str">
            <v>--</v>
          </cell>
          <cell r="XFC1" t="str">
            <v>--</v>
          </cell>
          <cell r="XFD1" t="str">
            <v>--</v>
          </cell>
        </row>
        <row r="2">
          <cell r="A2" t="str">
            <v>IDTN</v>
          </cell>
          <cell r="B2" t="str">
            <v>4-T1</v>
          </cell>
          <cell r="C2" t="str">
            <v>-</v>
          </cell>
          <cell r="D2" t="str">
            <v>-</v>
          </cell>
          <cell r="E2" t="str">
            <v>-</v>
          </cell>
          <cell r="F2" t="str">
            <v>-</v>
          </cell>
          <cell r="G2" t="str">
            <v>-</v>
          </cell>
          <cell r="H2" t="str">
            <v>-</v>
          </cell>
          <cell r="I2" t="str">
            <v>-</v>
          </cell>
          <cell r="J2" t="str">
            <v>-</v>
          </cell>
          <cell r="K2" t="str">
            <v>-</v>
          </cell>
          <cell r="L2" t="str">
            <v>-</v>
          </cell>
          <cell r="M2" t="str">
            <v>-</v>
          </cell>
          <cell r="N2" t="str">
            <v>-</v>
          </cell>
          <cell r="O2" t="str">
            <v>-</v>
          </cell>
          <cell r="P2" t="str">
            <v>-</v>
          </cell>
          <cell r="Q2" t="str">
            <v>-</v>
          </cell>
          <cell r="R2" t="str">
            <v>-</v>
          </cell>
          <cell r="S2" t="str">
            <v>-</v>
          </cell>
          <cell r="T2" t="str">
            <v>-</v>
          </cell>
          <cell r="U2" t="str">
            <v>-</v>
          </cell>
          <cell r="V2" t="str">
            <v>-</v>
          </cell>
          <cell r="W2" t="str">
            <v>-</v>
          </cell>
          <cell r="X2" t="str">
            <v>-</v>
          </cell>
          <cell r="Y2" t="str">
            <v>-</v>
          </cell>
          <cell r="Z2" t="str">
            <v>-</v>
          </cell>
          <cell r="AA2" t="str">
            <v>-</v>
          </cell>
          <cell r="AB2" t="str">
            <v>-</v>
          </cell>
          <cell r="AC2" t="str">
            <v>-</v>
          </cell>
          <cell r="AD2" t="str">
            <v>-</v>
          </cell>
          <cell r="AE2" t="str">
            <v>-</v>
          </cell>
          <cell r="AF2" t="str">
            <v>-</v>
          </cell>
          <cell r="AG2" t="str">
            <v>-</v>
          </cell>
          <cell r="AH2" t="str">
            <v>-</v>
          </cell>
          <cell r="AI2" t="str">
            <v>-</v>
          </cell>
          <cell r="AJ2" t="str">
            <v>-</v>
          </cell>
          <cell r="AK2" t="str">
            <v>-</v>
          </cell>
          <cell r="AL2" t="str">
            <v>-</v>
          </cell>
          <cell r="AM2" t="str">
            <v>-</v>
          </cell>
          <cell r="AN2" t="str">
            <v>-</v>
          </cell>
          <cell r="AO2" t="str">
            <v>-</v>
          </cell>
          <cell r="AP2" t="str">
            <v>-</v>
          </cell>
          <cell r="AQ2" t="str">
            <v>-</v>
          </cell>
          <cell r="AR2" t="str">
            <v>-</v>
          </cell>
          <cell r="AS2" t="str">
            <v>-</v>
          </cell>
          <cell r="AT2" t="str">
            <v>-</v>
          </cell>
          <cell r="AU2" t="str">
            <v>-</v>
          </cell>
          <cell r="AV2" t="str">
            <v>-</v>
          </cell>
          <cell r="AW2" t="str">
            <v>-</v>
          </cell>
          <cell r="AX2" t="str">
            <v>-</v>
          </cell>
          <cell r="AY2" t="str">
            <v>-</v>
          </cell>
          <cell r="AZ2" t="str">
            <v>-</v>
          </cell>
          <cell r="BA2" t="str">
            <v>-</v>
          </cell>
          <cell r="BB2" t="str">
            <v>-</v>
          </cell>
          <cell r="BC2" t="str">
            <v>-</v>
          </cell>
          <cell r="BD2" t="str">
            <v>-</v>
          </cell>
          <cell r="BE2" t="str">
            <v>-</v>
          </cell>
          <cell r="BF2" t="str">
            <v>-</v>
          </cell>
          <cell r="BG2" t="str">
            <v>-</v>
          </cell>
          <cell r="BH2" t="str">
            <v>-</v>
          </cell>
          <cell r="BI2" t="str">
            <v>-</v>
          </cell>
          <cell r="BJ2" t="str">
            <v>-</v>
          </cell>
          <cell r="BK2" t="str">
            <v>-</v>
          </cell>
          <cell r="BL2" t="str">
            <v>-</v>
          </cell>
          <cell r="BM2" t="str">
            <v>-</v>
          </cell>
          <cell r="BN2" t="str">
            <v>-</v>
          </cell>
          <cell r="BO2" t="str">
            <v>-</v>
          </cell>
          <cell r="BP2" t="str">
            <v>-</v>
          </cell>
          <cell r="BQ2" t="str">
            <v>-</v>
          </cell>
          <cell r="BR2" t="str">
            <v>-</v>
          </cell>
          <cell r="BS2" t="str">
            <v>-</v>
          </cell>
          <cell r="BT2" t="str">
            <v>-</v>
          </cell>
          <cell r="BU2" t="str">
            <v>-</v>
          </cell>
          <cell r="BV2" t="str">
            <v>-</v>
          </cell>
          <cell r="BW2" t="str">
            <v>-</v>
          </cell>
          <cell r="BX2" t="str">
            <v>-</v>
          </cell>
          <cell r="BY2" t="str">
            <v>-</v>
          </cell>
          <cell r="BZ2" t="str">
            <v>-</v>
          </cell>
          <cell r="CA2" t="str">
            <v>-</v>
          </cell>
          <cell r="CB2" t="str">
            <v>-</v>
          </cell>
          <cell r="CC2" t="str">
            <v>-</v>
          </cell>
          <cell r="CD2" t="str">
            <v>-</v>
          </cell>
          <cell r="CE2" t="str">
            <v>-</v>
          </cell>
          <cell r="CF2" t="str">
            <v>-</v>
          </cell>
          <cell r="CG2" t="str">
            <v>-</v>
          </cell>
          <cell r="CH2" t="str">
            <v>-</v>
          </cell>
          <cell r="CI2" t="str">
            <v>-</v>
          </cell>
          <cell r="CJ2" t="str">
            <v>-</v>
          </cell>
          <cell r="CK2" t="str">
            <v>-</v>
          </cell>
          <cell r="CL2" t="str">
            <v>-</v>
          </cell>
          <cell r="CM2" t="str">
            <v>-</v>
          </cell>
          <cell r="CN2" t="str">
            <v>-</v>
          </cell>
          <cell r="CO2" t="str">
            <v>-</v>
          </cell>
          <cell r="CP2" t="str">
            <v>-</v>
          </cell>
          <cell r="CQ2" t="str">
            <v>-</v>
          </cell>
          <cell r="CR2" t="str">
            <v>-</v>
          </cell>
          <cell r="CS2" t="str">
            <v>-</v>
          </cell>
          <cell r="CT2" t="str">
            <v>-</v>
          </cell>
          <cell r="CU2" t="str">
            <v>-</v>
          </cell>
          <cell r="CV2" t="str">
            <v>-</v>
          </cell>
          <cell r="CW2" t="str">
            <v>-</v>
          </cell>
          <cell r="CX2" t="str">
            <v>-</v>
          </cell>
          <cell r="CY2" t="str">
            <v>-</v>
          </cell>
          <cell r="CZ2" t="str">
            <v>-</v>
          </cell>
          <cell r="DA2" t="str">
            <v>-</v>
          </cell>
          <cell r="DB2" t="str">
            <v>-</v>
          </cell>
          <cell r="DC2" t="str">
            <v>-</v>
          </cell>
          <cell r="DD2" t="str">
            <v>-</v>
          </cell>
          <cell r="DE2" t="str">
            <v>-</v>
          </cell>
          <cell r="DF2" t="str">
            <v>-</v>
          </cell>
          <cell r="DG2" t="str">
            <v>-</v>
          </cell>
          <cell r="DH2" t="str">
            <v>-</v>
          </cell>
          <cell r="DI2" t="str">
            <v>-</v>
          </cell>
          <cell r="DJ2" t="str">
            <v>-</v>
          </cell>
          <cell r="DK2" t="str">
            <v>-</v>
          </cell>
          <cell r="DL2" t="str">
            <v>-</v>
          </cell>
          <cell r="DM2" t="str">
            <v>-</v>
          </cell>
          <cell r="DN2" t="str">
            <v>-</v>
          </cell>
          <cell r="DO2" t="str">
            <v>-</v>
          </cell>
          <cell r="DP2" t="str">
            <v>-</v>
          </cell>
          <cell r="DQ2" t="str">
            <v>-</v>
          </cell>
          <cell r="DR2" t="str">
            <v>-</v>
          </cell>
          <cell r="DS2" t="str">
            <v>-</v>
          </cell>
          <cell r="DT2" t="str">
            <v>-</v>
          </cell>
          <cell r="DU2" t="str">
            <v>-</v>
          </cell>
          <cell r="DV2" t="str">
            <v>-</v>
          </cell>
          <cell r="DW2" t="str">
            <v>-</v>
          </cell>
          <cell r="DX2" t="str">
            <v>-</v>
          </cell>
          <cell r="DY2" t="str">
            <v>-</v>
          </cell>
          <cell r="DZ2" t="str">
            <v>-</v>
          </cell>
          <cell r="EA2" t="str">
            <v>-</v>
          </cell>
          <cell r="EB2" t="str">
            <v>-</v>
          </cell>
          <cell r="EC2" t="str">
            <v>-</v>
          </cell>
          <cell r="ED2" t="str">
            <v>-</v>
          </cell>
          <cell r="EE2" t="str">
            <v>-</v>
          </cell>
          <cell r="EF2" t="str">
            <v>-</v>
          </cell>
          <cell r="EG2" t="str">
            <v>-</v>
          </cell>
          <cell r="EH2" t="str">
            <v>-</v>
          </cell>
          <cell r="EI2" t="str">
            <v>-</v>
          </cell>
          <cell r="EJ2" t="str">
            <v>-</v>
          </cell>
          <cell r="EK2" t="str">
            <v>-</v>
          </cell>
          <cell r="EL2" t="str">
            <v>-</v>
          </cell>
          <cell r="EM2" t="str">
            <v>-</v>
          </cell>
          <cell r="EN2" t="str">
            <v>-</v>
          </cell>
          <cell r="EO2" t="str">
            <v>-</v>
          </cell>
          <cell r="EP2" t="str">
            <v>-</v>
          </cell>
          <cell r="EQ2" t="str">
            <v>-</v>
          </cell>
          <cell r="ER2" t="str">
            <v>-</v>
          </cell>
          <cell r="ES2" t="str">
            <v>-</v>
          </cell>
          <cell r="ET2" t="str">
            <v>-</v>
          </cell>
          <cell r="EU2" t="str">
            <v>-</v>
          </cell>
          <cell r="EV2" t="str">
            <v>-</v>
          </cell>
          <cell r="EW2" t="str">
            <v>-</v>
          </cell>
          <cell r="EX2" t="str">
            <v>-</v>
          </cell>
          <cell r="EY2" t="str">
            <v>-</v>
          </cell>
          <cell r="EZ2" t="str">
            <v>-</v>
          </cell>
          <cell r="FA2" t="str">
            <v>-</v>
          </cell>
          <cell r="FB2" t="str">
            <v>-</v>
          </cell>
          <cell r="FC2" t="str">
            <v>-</v>
          </cell>
          <cell r="FD2" t="str">
            <v>-</v>
          </cell>
          <cell r="FE2" t="str">
            <v>-</v>
          </cell>
          <cell r="FF2" t="str">
            <v>-</v>
          </cell>
          <cell r="FG2" t="str">
            <v>-</v>
          </cell>
          <cell r="FH2" t="str">
            <v>-</v>
          </cell>
          <cell r="FI2" t="str">
            <v>-</v>
          </cell>
          <cell r="FJ2" t="str">
            <v>-</v>
          </cell>
          <cell r="FK2" t="str">
            <v>-</v>
          </cell>
          <cell r="FL2" t="str">
            <v>-</v>
          </cell>
          <cell r="FM2" t="str">
            <v>-</v>
          </cell>
          <cell r="FN2" t="str">
            <v>-</v>
          </cell>
          <cell r="FO2" t="str">
            <v>-</v>
          </cell>
          <cell r="FP2" t="str">
            <v>-</v>
          </cell>
          <cell r="FQ2" t="str">
            <v>-</v>
          </cell>
          <cell r="FR2" t="str">
            <v>-</v>
          </cell>
          <cell r="FS2" t="str">
            <v>-</v>
          </cell>
          <cell r="FT2" t="str">
            <v>-</v>
          </cell>
          <cell r="FU2" t="str">
            <v>-</v>
          </cell>
          <cell r="FV2" t="str">
            <v>-</v>
          </cell>
          <cell r="FW2" t="str">
            <v>-</v>
          </cell>
          <cell r="FX2" t="str">
            <v>-</v>
          </cell>
          <cell r="FY2" t="str">
            <v>-</v>
          </cell>
          <cell r="FZ2" t="str">
            <v>-</v>
          </cell>
          <cell r="GA2" t="str">
            <v>-</v>
          </cell>
          <cell r="GB2" t="str">
            <v>-</v>
          </cell>
          <cell r="GC2" t="str">
            <v>-</v>
          </cell>
          <cell r="GD2" t="str">
            <v>-</v>
          </cell>
          <cell r="GE2" t="str">
            <v>-</v>
          </cell>
          <cell r="GF2" t="str">
            <v>-</v>
          </cell>
          <cell r="GG2" t="str">
            <v>-</v>
          </cell>
          <cell r="GH2" t="str">
            <v>-</v>
          </cell>
          <cell r="GI2" t="str">
            <v>-</v>
          </cell>
          <cell r="GJ2" t="str">
            <v>-</v>
          </cell>
          <cell r="GK2" t="str">
            <v>-</v>
          </cell>
          <cell r="GL2" t="str">
            <v>-</v>
          </cell>
          <cell r="GM2" t="str">
            <v>-</v>
          </cell>
          <cell r="GN2" t="str">
            <v>-</v>
          </cell>
          <cell r="GO2" t="str">
            <v>-</v>
          </cell>
          <cell r="GP2" t="str">
            <v>-</v>
          </cell>
          <cell r="GQ2" t="str">
            <v>-</v>
          </cell>
          <cell r="GR2" t="str">
            <v>-</v>
          </cell>
          <cell r="GS2" t="str">
            <v>-</v>
          </cell>
          <cell r="GT2" t="str">
            <v>-</v>
          </cell>
          <cell r="GU2" t="str">
            <v>-</v>
          </cell>
          <cell r="GV2" t="str">
            <v>-</v>
          </cell>
          <cell r="GW2" t="str">
            <v>-</v>
          </cell>
          <cell r="GX2" t="str">
            <v>-</v>
          </cell>
          <cell r="GY2" t="str">
            <v>-</v>
          </cell>
          <cell r="GZ2" t="str">
            <v>-</v>
          </cell>
          <cell r="HA2" t="str">
            <v>-</v>
          </cell>
          <cell r="HB2" t="str">
            <v>-</v>
          </cell>
          <cell r="HC2" t="str">
            <v>-</v>
          </cell>
          <cell r="HD2" t="str">
            <v>-</v>
          </cell>
          <cell r="HE2" t="str">
            <v>-</v>
          </cell>
          <cell r="HF2" t="str">
            <v>-</v>
          </cell>
          <cell r="HG2" t="str">
            <v>-</v>
          </cell>
          <cell r="HH2" t="str">
            <v>-</v>
          </cell>
          <cell r="HI2" t="str">
            <v>-</v>
          </cell>
          <cell r="HJ2" t="str">
            <v>-</v>
          </cell>
          <cell r="HK2" t="str">
            <v>-</v>
          </cell>
          <cell r="HL2" t="str">
            <v>-</v>
          </cell>
          <cell r="HM2" t="str">
            <v>-</v>
          </cell>
          <cell r="HN2" t="str">
            <v>-</v>
          </cell>
          <cell r="HO2" t="str">
            <v>-</v>
          </cell>
          <cell r="HP2" t="str">
            <v>-</v>
          </cell>
          <cell r="HQ2" t="str">
            <v>-</v>
          </cell>
          <cell r="HR2" t="str">
            <v>-</v>
          </cell>
          <cell r="HS2" t="str">
            <v>-</v>
          </cell>
          <cell r="HT2" t="str">
            <v>-</v>
          </cell>
          <cell r="HU2" t="str">
            <v>-</v>
          </cell>
          <cell r="HV2" t="str">
            <v>-</v>
          </cell>
          <cell r="HW2" t="str">
            <v>-</v>
          </cell>
          <cell r="HX2" t="str">
            <v>-</v>
          </cell>
          <cell r="HY2" t="str">
            <v>-</v>
          </cell>
          <cell r="HZ2" t="str">
            <v>-</v>
          </cell>
          <cell r="IA2" t="str">
            <v>-</v>
          </cell>
          <cell r="IB2" t="str">
            <v>-</v>
          </cell>
          <cell r="IC2" t="str">
            <v>-</v>
          </cell>
          <cell r="ID2" t="str">
            <v>-</v>
          </cell>
          <cell r="IE2" t="str">
            <v>-</v>
          </cell>
          <cell r="IF2" t="str">
            <v>-</v>
          </cell>
          <cell r="IG2" t="str">
            <v>-</v>
          </cell>
          <cell r="IH2" t="str">
            <v>-</v>
          </cell>
          <cell r="II2" t="str">
            <v>-</v>
          </cell>
          <cell r="IJ2" t="str">
            <v>-</v>
          </cell>
          <cell r="IK2" t="str">
            <v>-</v>
          </cell>
          <cell r="IL2" t="str">
            <v>-</v>
          </cell>
          <cell r="IM2" t="str">
            <v>-</v>
          </cell>
          <cell r="IN2" t="str">
            <v>-</v>
          </cell>
          <cell r="IO2" t="str">
            <v>-</v>
          </cell>
          <cell r="IP2" t="str">
            <v>-</v>
          </cell>
          <cell r="IQ2" t="str">
            <v>-</v>
          </cell>
          <cell r="IR2" t="str">
            <v>-</v>
          </cell>
          <cell r="IS2" t="str">
            <v>-</v>
          </cell>
          <cell r="IT2" t="str">
            <v>-</v>
          </cell>
          <cell r="IU2" t="str">
            <v>-</v>
          </cell>
          <cell r="IV2" t="str">
            <v>-</v>
          </cell>
          <cell r="IW2" t="str">
            <v>-</v>
          </cell>
          <cell r="IX2" t="str">
            <v>-</v>
          </cell>
          <cell r="IY2" t="str">
            <v>-</v>
          </cell>
          <cell r="IZ2" t="str">
            <v>-</v>
          </cell>
          <cell r="JA2" t="str">
            <v>-</v>
          </cell>
          <cell r="JB2" t="str">
            <v>-</v>
          </cell>
          <cell r="JC2" t="str">
            <v>-</v>
          </cell>
          <cell r="JD2" t="str">
            <v>-</v>
          </cell>
          <cell r="JE2" t="str">
            <v>-</v>
          </cell>
          <cell r="JF2" t="str">
            <v>-</v>
          </cell>
          <cell r="JG2" t="str">
            <v>-</v>
          </cell>
          <cell r="JH2" t="str">
            <v>-</v>
          </cell>
          <cell r="JI2" t="str">
            <v>-</v>
          </cell>
          <cell r="JJ2" t="str">
            <v>-</v>
          </cell>
          <cell r="JK2" t="str">
            <v>-</v>
          </cell>
          <cell r="JL2" t="str">
            <v>-</v>
          </cell>
          <cell r="JM2" t="str">
            <v>-</v>
          </cell>
          <cell r="JN2" t="str">
            <v>-</v>
          </cell>
          <cell r="JO2" t="str">
            <v>-</v>
          </cell>
          <cell r="JP2" t="str">
            <v>-</v>
          </cell>
          <cell r="JQ2" t="str">
            <v>-</v>
          </cell>
          <cell r="JR2" t="str">
            <v>-</v>
          </cell>
          <cell r="JS2" t="str">
            <v>-</v>
          </cell>
          <cell r="JT2" t="str">
            <v>-</v>
          </cell>
          <cell r="JU2" t="str">
            <v>-</v>
          </cell>
          <cell r="JV2" t="str">
            <v>-</v>
          </cell>
          <cell r="JW2" t="str">
            <v>-</v>
          </cell>
          <cell r="JX2" t="str">
            <v>-</v>
          </cell>
          <cell r="JY2" t="str">
            <v>-</v>
          </cell>
          <cell r="JZ2" t="str">
            <v>-</v>
          </cell>
          <cell r="KA2" t="str">
            <v>-</v>
          </cell>
          <cell r="KB2" t="str">
            <v>-</v>
          </cell>
          <cell r="KC2" t="str">
            <v>-</v>
          </cell>
          <cell r="KD2" t="str">
            <v>-</v>
          </cell>
          <cell r="KE2" t="str">
            <v>-</v>
          </cell>
          <cell r="KF2" t="str">
            <v>-</v>
          </cell>
          <cell r="KG2" t="str">
            <v>-</v>
          </cell>
          <cell r="KH2" t="str">
            <v>-</v>
          </cell>
          <cell r="KI2" t="str">
            <v>-</v>
          </cell>
          <cell r="KJ2" t="str">
            <v>-</v>
          </cell>
          <cell r="KK2" t="str">
            <v>-</v>
          </cell>
          <cell r="KL2" t="str">
            <v>-</v>
          </cell>
          <cell r="KM2" t="str">
            <v>-</v>
          </cell>
          <cell r="KN2" t="str">
            <v>-</v>
          </cell>
          <cell r="KO2" t="str">
            <v>-</v>
          </cell>
          <cell r="KP2" t="str">
            <v>-</v>
          </cell>
          <cell r="KQ2" t="str">
            <v>-</v>
          </cell>
          <cell r="KR2" t="str">
            <v>-</v>
          </cell>
          <cell r="KS2" t="str">
            <v>-</v>
          </cell>
          <cell r="KT2" t="str">
            <v>-</v>
          </cell>
          <cell r="KU2" t="str">
            <v>-</v>
          </cell>
          <cell r="KV2" t="str">
            <v>-</v>
          </cell>
          <cell r="KW2" t="str">
            <v>-</v>
          </cell>
          <cell r="KX2" t="str">
            <v>-</v>
          </cell>
          <cell r="KY2" t="str">
            <v>-</v>
          </cell>
          <cell r="KZ2" t="str">
            <v>-</v>
          </cell>
          <cell r="LA2" t="str">
            <v>-</v>
          </cell>
          <cell r="LB2" t="str">
            <v>-</v>
          </cell>
          <cell r="LC2" t="str">
            <v>-</v>
          </cell>
          <cell r="LD2" t="str">
            <v>-</v>
          </cell>
          <cell r="LE2" t="str">
            <v>-</v>
          </cell>
          <cell r="LF2" t="str">
            <v>-</v>
          </cell>
          <cell r="LG2" t="str">
            <v>-</v>
          </cell>
          <cell r="LH2" t="str">
            <v>-</v>
          </cell>
          <cell r="LI2" t="str">
            <v>-</v>
          </cell>
          <cell r="LJ2" t="str">
            <v>-</v>
          </cell>
          <cell r="LK2" t="str">
            <v>-</v>
          </cell>
          <cell r="LL2" t="str">
            <v>-</v>
          </cell>
          <cell r="LM2" t="str">
            <v>-</v>
          </cell>
          <cell r="LN2" t="str">
            <v>-</v>
          </cell>
          <cell r="LO2" t="str">
            <v>-</v>
          </cell>
          <cell r="LP2" t="str">
            <v>-</v>
          </cell>
          <cell r="LQ2" t="str">
            <v>-</v>
          </cell>
          <cell r="LR2" t="str">
            <v>-</v>
          </cell>
          <cell r="LS2" t="str">
            <v>-</v>
          </cell>
          <cell r="LT2" t="str">
            <v>-</v>
          </cell>
          <cell r="LU2" t="str">
            <v>-</v>
          </cell>
          <cell r="LV2" t="str">
            <v>-</v>
          </cell>
          <cell r="LW2" t="str">
            <v>-</v>
          </cell>
          <cell r="LX2" t="str">
            <v>-</v>
          </cell>
          <cell r="LY2" t="str">
            <v>-</v>
          </cell>
          <cell r="LZ2" t="str">
            <v>-</v>
          </cell>
          <cell r="MA2" t="str">
            <v>-</v>
          </cell>
          <cell r="MB2" t="str">
            <v>-</v>
          </cell>
          <cell r="MC2" t="str">
            <v>-</v>
          </cell>
          <cell r="MD2" t="str">
            <v>-</v>
          </cell>
          <cell r="ME2" t="str">
            <v>-</v>
          </cell>
          <cell r="MF2" t="str">
            <v>-</v>
          </cell>
          <cell r="MG2" t="str">
            <v>-</v>
          </cell>
          <cell r="MH2" t="str">
            <v>-</v>
          </cell>
          <cell r="MI2" t="str">
            <v>-</v>
          </cell>
          <cell r="MJ2" t="str">
            <v>-</v>
          </cell>
          <cell r="MK2" t="str">
            <v>-</v>
          </cell>
          <cell r="ML2" t="str">
            <v>-</v>
          </cell>
          <cell r="MM2" t="str">
            <v>-</v>
          </cell>
          <cell r="MN2" t="str">
            <v>-</v>
          </cell>
          <cell r="MO2" t="str">
            <v>-</v>
          </cell>
          <cell r="MP2" t="str">
            <v>-</v>
          </cell>
          <cell r="MQ2" t="str">
            <v>-</v>
          </cell>
          <cell r="MR2" t="str">
            <v>-</v>
          </cell>
          <cell r="MS2" t="str">
            <v>-</v>
          </cell>
          <cell r="MT2" t="str">
            <v>-</v>
          </cell>
          <cell r="MU2" t="str">
            <v>-</v>
          </cell>
          <cell r="MV2" t="str">
            <v>-</v>
          </cell>
          <cell r="MW2" t="str">
            <v>-</v>
          </cell>
          <cell r="MX2" t="str">
            <v>-</v>
          </cell>
          <cell r="MY2" t="str">
            <v>-</v>
          </cell>
          <cell r="MZ2" t="str">
            <v>-</v>
          </cell>
          <cell r="NA2" t="str">
            <v>-</v>
          </cell>
          <cell r="NB2" t="str">
            <v>-</v>
          </cell>
          <cell r="NC2" t="str">
            <v>-</v>
          </cell>
          <cell r="ND2" t="str">
            <v>-</v>
          </cell>
          <cell r="NE2" t="str">
            <v>-</v>
          </cell>
          <cell r="NF2" t="str">
            <v>-</v>
          </cell>
          <cell r="NG2" t="str">
            <v>-</v>
          </cell>
          <cell r="NH2" t="str">
            <v>-</v>
          </cell>
          <cell r="NI2" t="str">
            <v>-</v>
          </cell>
          <cell r="NJ2" t="str">
            <v>-</v>
          </cell>
          <cell r="NK2" t="str">
            <v>-</v>
          </cell>
          <cell r="NL2" t="str">
            <v>-</v>
          </cell>
          <cell r="NM2" t="str">
            <v>-</v>
          </cell>
          <cell r="NN2" t="str">
            <v>-</v>
          </cell>
          <cell r="NO2" t="str">
            <v>-</v>
          </cell>
          <cell r="NP2" t="str">
            <v>-</v>
          </cell>
          <cell r="NQ2" t="str">
            <v>-</v>
          </cell>
          <cell r="NR2" t="str">
            <v>-</v>
          </cell>
          <cell r="NS2" t="str">
            <v>-</v>
          </cell>
          <cell r="NT2" t="str">
            <v>-</v>
          </cell>
          <cell r="NU2" t="str">
            <v>-</v>
          </cell>
          <cell r="NV2" t="str">
            <v>-</v>
          </cell>
          <cell r="NW2" t="str">
            <v>-</v>
          </cell>
          <cell r="NX2" t="str">
            <v>-</v>
          </cell>
          <cell r="NY2" t="str">
            <v>-</v>
          </cell>
          <cell r="NZ2" t="str">
            <v>-</v>
          </cell>
          <cell r="OA2" t="str">
            <v>-</v>
          </cell>
          <cell r="OB2" t="str">
            <v>-</v>
          </cell>
          <cell r="OC2" t="str">
            <v>-</v>
          </cell>
          <cell r="OD2" t="str">
            <v>-</v>
          </cell>
          <cell r="OE2" t="str">
            <v>-</v>
          </cell>
          <cell r="OF2" t="str">
            <v>-</v>
          </cell>
          <cell r="OG2" t="str">
            <v>-</v>
          </cell>
          <cell r="OH2" t="str">
            <v>-</v>
          </cell>
          <cell r="OI2" t="str">
            <v>-</v>
          </cell>
          <cell r="OJ2" t="str">
            <v>-</v>
          </cell>
          <cell r="OK2" t="str">
            <v>-</v>
          </cell>
          <cell r="OL2" t="str">
            <v>-</v>
          </cell>
          <cell r="OM2" t="str">
            <v>-</v>
          </cell>
          <cell r="ON2" t="str">
            <v>-</v>
          </cell>
          <cell r="OO2" t="str">
            <v>-</v>
          </cell>
          <cell r="OP2" t="str">
            <v>-</v>
          </cell>
          <cell r="OQ2" t="str">
            <v>-</v>
          </cell>
          <cell r="OR2" t="str">
            <v>-</v>
          </cell>
          <cell r="OS2" t="str">
            <v>-</v>
          </cell>
          <cell r="OT2" t="str">
            <v>-</v>
          </cell>
          <cell r="OU2" t="str">
            <v>-</v>
          </cell>
          <cell r="OV2" t="str">
            <v>-</v>
          </cell>
          <cell r="OW2" t="str">
            <v>-</v>
          </cell>
          <cell r="OX2" t="str">
            <v>-</v>
          </cell>
          <cell r="OY2" t="str">
            <v>-</v>
          </cell>
          <cell r="OZ2" t="str">
            <v>-</v>
          </cell>
          <cell r="PA2" t="str">
            <v>-</v>
          </cell>
          <cell r="PB2" t="str">
            <v>-</v>
          </cell>
          <cell r="PC2" t="str">
            <v>-</v>
          </cell>
          <cell r="PD2" t="str">
            <v>-</v>
          </cell>
          <cell r="PE2" t="str">
            <v>-</v>
          </cell>
          <cell r="PF2" t="str">
            <v>-</v>
          </cell>
          <cell r="PG2" t="str">
            <v>-</v>
          </cell>
          <cell r="PH2" t="str">
            <v>-</v>
          </cell>
          <cell r="PI2" t="str">
            <v>-</v>
          </cell>
          <cell r="PJ2" t="str">
            <v>-</v>
          </cell>
          <cell r="PK2" t="str">
            <v>-</v>
          </cell>
          <cell r="PL2" t="str">
            <v>-</v>
          </cell>
          <cell r="PM2" t="str">
            <v>-</v>
          </cell>
          <cell r="PN2" t="str">
            <v>-</v>
          </cell>
          <cell r="PO2" t="str">
            <v>-</v>
          </cell>
          <cell r="PP2" t="str">
            <v>-</v>
          </cell>
          <cell r="PQ2" t="str">
            <v>-</v>
          </cell>
          <cell r="PR2" t="str">
            <v>-</v>
          </cell>
          <cell r="PS2" t="str">
            <v>-</v>
          </cell>
          <cell r="PT2" t="str">
            <v>-</v>
          </cell>
          <cell r="PU2" t="str">
            <v>-</v>
          </cell>
          <cell r="PV2" t="str">
            <v>-</v>
          </cell>
          <cell r="PW2" t="str">
            <v>-</v>
          </cell>
          <cell r="PX2" t="str">
            <v>-</v>
          </cell>
          <cell r="PY2" t="str">
            <v>-</v>
          </cell>
          <cell r="PZ2" t="str">
            <v>-</v>
          </cell>
          <cell r="QA2" t="str">
            <v>-</v>
          </cell>
          <cell r="QB2" t="str">
            <v>-</v>
          </cell>
          <cell r="QC2" t="str">
            <v>-</v>
          </cell>
          <cell r="QD2" t="str">
            <v>-</v>
          </cell>
          <cell r="QE2" t="str">
            <v>-</v>
          </cell>
          <cell r="QF2" t="str">
            <v>-</v>
          </cell>
          <cell r="QG2" t="str">
            <v>-</v>
          </cell>
          <cell r="QH2" t="str">
            <v>-</v>
          </cell>
          <cell r="QI2" t="str">
            <v>-</v>
          </cell>
          <cell r="QJ2" t="str">
            <v>-</v>
          </cell>
          <cell r="QK2" t="str">
            <v>-</v>
          </cell>
          <cell r="QL2" t="str">
            <v>-</v>
          </cell>
          <cell r="QM2" t="str">
            <v>-</v>
          </cell>
          <cell r="QN2" t="str">
            <v>-</v>
          </cell>
          <cell r="QO2" t="str">
            <v>-</v>
          </cell>
          <cell r="QP2" t="str">
            <v>-</v>
          </cell>
          <cell r="QQ2" t="str">
            <v>-</v>
          </cell>
          <cell r="QR2" t="str">
            <v>-</v>
          </cell>
          <cell r="QS2" t="str">
            <v>-</v>
          </cell>
          <cell r="QT2" t="str">
            <v>-</v>
          </cell>
          <cell r="QU2" t="str">
            <v>-</v>
          </cell>
          <cell r="QV2" t="str">
            <v>-</v>
          </cell>
          <cell r="QW2" t="str">
            <v>-</v>
          </cell>
          <cell r="QX2" t="str">
            <v>-</v>
          </cell>
          <cell r="QY2" t="str">
            <v>-</v>
          </cell>
          <cell r="QZ2" t="str">
            <v>-</v>
          </cell>
          <cell r="RA2" t="str">
            <v>-</v>
          </cell>
          <cell r="RB2" t="str">
            <v>-</v>
          </cell>
          <cell r="RC2" t="str">
            <v>-</v>
          </cell>
          <cell r="RD2" t="str">
            <v>-</v>
          </cell>
          <cell r="RE2" t="str">
            <v>-</v>
          </cell>
          <cell r="RF2" t="str">
            <v>-</v>
          </cell>
          <cell r="RG2" t="str">
            <v>-</v>
          </cell>
          <cell r="RH2" t="str">
            <v>-</v>
          </cell>
          <cell r="RI2" t="str">
            <v>-</v>
          </cell>
          <cell r="RJ2" t="str">
            <v>-</v>
          </cell>
          <cell r="RK2" t="str">
            <v>-</v>
          </cell>
          <cell r="RL2" t="str">
            <v>-</v>
          </cell>
          <cell r="RM2" t="str">
            <v>-</v>
          </cell>
          <cell r="RN2" t="str">
            <v>-</v>
          </cell>
          <cell r="RO2" t="str">
            <v>-</v>
          </cell>
          <cell r="RP2" t="str">
            <v>-</v>
          </cell>
          <cell r="RQ2" t="str">
            <v>-</v>
          </cell>
          <cell r="RR2" t="str">
            <v>-</v>
          </cell>
          <cell r="RS2" t="str">
            <v>-</v>
          </cell>
          <cell r="RT2" t="str">
            <v>-</v>
          </cell>
          <cell r="RU2" t="str">
            <v>-</v>
          </cell>
          <cell r="RV2" t="str">
            <v>-</v>
          </cell>
          <cell r="RW2" t="str">
            <v>-</v>
          </cell>
          <cell r="RX2" t="str">
            <v>-</v>
          </cell>
          <cell r="RY2" t="str">
            <v>-</v>
          </cell>
          <cell r="RZ2" t="str">
            <v>-</v>
          </cell>
          <cell r="SA2" t="str">
            <v>-</v>
          </cell>
          <cell r="SB2" t="str">
            <v>-</v>
          </cell>
          <cell r="SC2" t="str">
            <v>-</v>
          </cell>
          <cell r="SD2" t="str">
            <v>-</v>
          </cell>
          <cell r="SE2" t="str">
            <v>-</v>
          </cell>
          <cell r="SF2" t="str">
            <v>-</v>
          </cell>
          <cell r="SG2" t="str">
            <v>-</v>
          </cell>
          <cell r="SH2" t="str">
            <v>-</v>
          </cell>
          <cell r="SI2" t="str">
            <v>-</v>
          </cell>
          <cell r="SJ2" t="str">
            <v>-</v>
          </cell>
          <cell r="SK2" t="str">
            <v>-</v>
          </cell>
          <cell r="SL2" t="str">
            <v>-</v>
          </cell>
          <cell r="SM2" t="str">
            <v>-</v>
          </cell>
          <cell r="SN2" t="str">
            <v>-</v>
          </cell>
          <cell r="SO2" t="str">
            <v>-</v>
          </cell>
          <cell r="SP2" t="str">
            <v>-</v>
          </cell>
          <cell r="SQ2" t="str">
            <v>-</v>
          </cell>
          <cell r="SR2" t="str">
            <v>-</v>
          </cell>
          <cell r="SS2" t="str">
            <v>-</v>
          </cell>
          <cell r="ST2" t="str">
            <v>-</v>
          </cell>
          <cell r="SU2" t="str">
            <v>-</v>
          </cell>
          <cell r="SV2" t="str">
            <v>-</v>
          </cell>
          <cell r="SW2" t="str">
            <v>-</v>
          </cell>
          <cell r="SX2" t="str">
            <v>-</v>
          </cell>
          <cell r="SY2" t="str">
            <v>-</v>
          </cell>
          <cell r="SZ2" t="str">
            <v>-</v>
          </cell>
          <cell r="TA2" t="str">
            <v>-</v>
          </cell>
          <cell r="TB2" t="str">
            <v>-</v>
          </cell>
          <cell r="TC2" t="str">
            <v>-</v>
          </cell>
          <cell r="TD2" t="str">
            <v>-</v>
          </cell>
          <cell r="TE2" t="str">
            <v>-</v>
          </cell>
          <cell r="TF2" t="str">
            <v>-</v>
          </cell>
          <cell r="TG2" t="str">
            <v>-</v>
          </cell>
          <cell r="TH2" t="str">
            <v>-</v>
          </cell>
          <cell r="TI2" t="str">
            <v>-</v>
          </cell>
          <cell r="TJ2" t="str">
            <v>-</v>
          </cell>
          <cell r="TK2" t="str">
            <v>-</v>
          </cell>
          <cell r="TL2" t="str">
            <v>-</v>
          </cell>
          <cell r="TM2" t="str">
            <v>-</v>
          </cell>
          <cell r="TN2" t="str">
            <v>-</v>
          </cell>
          <cell r="TO2" t="str">
            <v>-</v>
          </cell>
          <cell r="TP2" t="str">
            <v>-</v>
          </cell>
          <cell r="TQ2" t="str">
            <v>-</v>
          </cell>
          <cell r="TR2" t="str">
            <v>-</v>
          </cell>
          <cell r="TS2" t="str">
            <v>-</v>
          </cell>
          <cell r="TT2" t="str">
            <v>-</v>
          </cell>
          <cell r="TU2" t="str">
            <v>-</v>
          </cell>
          <cell r="TV2" t="str">
            <v>-</v>
          </cell>
          <cell r="TW2" t="str">
            <v>-</v>
          </cell>
          <cell r="TX2" t="str">
            <v>-</v>
          </cell>
          <cell r="TY2" t="str">
            <v>-</v>
          </cell>
          <cell r="TZ2" t="str">
            <v>-</v>
          </cell>
          <cell r="UA2" t="str">
            <v>-</v>
          </cell>
          <cell r="UB2" t="str">
            <v>-</v>
          </cell>
          <cell r="UC2" t="str">
            <v>-</v>
          </cell>
          <cell r="UD2" t="str">
            <v>-</v>
          </cell>
          <cell r="UE2" t="str">
            <v>-</v>
          </cell>
          <cell r="UF2" t="str">
            <v>-</v>
          </cell>
          <cell r="UG2" t="str">
            <v>-</v>
          </cell>
          <cell r="UH2" t="str">
            <v>-</v>
          </cell>
          <cell r="UI2" t="str">
            <v>-</v>
          </cell>
          <cell r="UJ2" t="str">
            <v>-</v>
          </cell>
          <cell r="UK2" t="str">
            <v>-</v>
          </cell>
          <cell r="UL2" t="str">
            <v>-</v>
          </cell>
          <cell r="UM2" t="str">
            <v>-</v>
          </cell>
          <cell r="UN2" t="str">
            <v>-</v>
          </cell>
          <cell r="UO2" t="str">
            <v>-</v>
          </cell>
          <cell r="UP2" t="str">
            <v>-</v>
          </cell>
          <cell r="UQ2" t="str">
            <v>-</v>
          </cell>
          <cell r="UR2" t="str">
            <v>-</v>
          </cell>
          <cell r="US2" t="str">
            <v>-</v>
          </cell>
          <cell r="UT2" t="str">
            <v>-</v>
          </cell>
          <cell r="UU2" t="str">
            <v>-</v>
          </cell>
          <cell r="UV2" t="str">
            <v>-</v>
          </cell>
          <cell r="UW2" t="str">
            <v>-</v>
          </cell>
          <cell r="UX2" t="str">
            <v>-</v>
          </cell>
          <cell r="UY2" t="str">
            <v>-</v>
          </cell>
          <cell r="UZ2" t="str">
            <v>-</v>
          </cell>
          <cell r="VA2" t="str">
            <v>-</v>
          </cell>
          <cell r="VB2" t="str">
            <v>-</v>
          </cell>
          <cell r="VC2" t="str">
            <v>-</v>
          </cell>
          <cell r="VD2" t="str">
            <v>-</v>
          </cell>
          <cell r="VE2" t="str">
            <v>-</v>
          </cell>
          <cell r="VF2" t="str">
            <v>-</v>
          </cell>
          <cell r="VG2" t="str">
            <v>-</v>
          </cell>
          <cell r="VH2" t="str">
            <v>-</v>
          </cell>
          <cell r="VI2" t="str">
            <v>-</v>
          </cell>
          <cell r="VJ2" t="str">
            <v>-</v>
          </cell>
          <cell r="VK2" t="str">
            <v>-</v>
          </cell>
          <cell r="VL2" t="str">
            <v>-</v>
          </cell>
          <cell r="VM2" t="str">
            <v>-</v>
          </cell>
          <cell r="VN2" t="str">
            <v>-</v>
          </cell>
          <cell r="VO2" t="str">
            <v>-</v>
          </cell>
          <cell r="VP2" t="str">
            <v>-</v>
          </cell>
          <cell r="VQ2" t="str">
            <v>-</v>
          </cell>
          <cell r="VR2" t="str">
            <v>-</v>
          </cell>
          <cell r="VS2" t="str">
            <v>-</v>
          </cell>
          <cell r="VT2" t="str">
            <v>-</v>
          </cell>
          <cell r="VU2" t="str">
            <v>-</v>
          </cell>
          <cell r="VV2" t="str">
            <v>-</v>
          </cell>
          <cell r="VW2" t="str">
            <v>-</v>
          </cell>
          <cell r="VX2" t="str">
            <v>-</v>
          </cell>
          <cell r="VY2" t="str">
            <v>-</v>
          </cell>
          <cell r="VZ2" t="str">
            <v>-</v>
          </cell>
          <cell r="WA2" t="str">
            <v>-</v>
          </cell>
          <cell r="WB2" t="str">
            <v>-</v>
          </cell>
          <cell r="WC2" t="str">
            <v>-</v>
          </cell>
          <cell r="WD2" t="str">
            <v>-</v>
          </cell>
          <cell r="WE2" t="str">
            <v>-</v>
          </cell>
          <cell r="WF2" t="str">
            <v>-</v>
          </cell>
          <cell r="WG2" t="str">
            <v>-</v>
          </cell>
          <cell r="WH2" t="str">
            <v>-</v>
          </cell>
          <cell r="WI2" t="str">
            <v>-</v>
          </cell>
          <cell r="WJ2" t="str">
            <v>-</v>
          </cell>
          <cell r="WK2" t="str">
            <v>-</v>
          </cell>
          <cell r="WL2" t="str">
            <v>-</v>
          </cell>
          <cell r="WM2" t="str">
            <v>-</v>
          </cell>
          <cell r="WN2" t="str">
            <v>-</v>
          </cell>
          <cell r="WO2" t="str">
            <v>-</v>
          </cell>
          <cell r="WP2" t="str">
            <v>-</v>
          </cell>
          <cell r="WQ2" t="str">
            <v>-</v>
          </cell>
          <cell r="WR2" t="str">
            <v>-</v>
          </cell>
          <cell r="WS2" t="str">
            <v>-</v>
          </cell>
          <cell r="WT2" t="str">
            <v>-</v>
          </cell>
          <cell r="WU2" t="str">
            <v>-</v>
          </cell>
          <cell r="WV2" t="str">
            <v>-</v>
          </cell>
          <cell r="WW2" t="str">
            <v>-</v>
          </cell>
          <cell r="WX2" t="str">
            <v>-</v>
          </cell>
          <cell r="WY2" t="str">
            <v>-</v>
          </cell>
          <cell r="WZ2" t="str">
            <v>-</v>
          </cell>
          <cell r="XA2" t="str">
            <v>-</v>
          </cell>
          <cell r="XB2" t="str">
            <v>-</v>
          </cell>
          <cell r="XC2" t="str">
            <v>-</v>
          </cell>
          <cell r="XD2" t="str">
            <v>-</v>
          </cell>
          <cell r="XE2" t="str">
            <v>-</v>
          </cell>
          <cell r="XF2" t="str">
            <v>-</v>
          </cell>
          <cell r="XG2" t="str">
            <v>-</v>
          </cell>
          <cell r="XH2" t="str">
            <v>-</v>
          </cell>
          <cell r="XI2" t="str">
            <v>-</v>
          </cell>
          <cell r="XJ2" t="str">
            <v>-</v>
          </cell>
          <cell r="XK2" t="str">
            <v>-</v>
          </cell>
          <cell r="XL2" t="str">
            <v>-</v>
          </cell>
          <cell r="XM2" t="str">
            <v>-</v>
          </cell>
          <cell r="XN2" t="str">
            <v>-</v>
          </cell>
          <cell r="XO2" t="str">
            <v>-</v>
          </cell>
          <cell r="XP2" t="str">
            <v>-</v>
          </cell>
          <cell r="XQ2" t="str">
            <v>-</v>
          </cell>
          <cell r="XR2" t="str">
            <v>-</v>
          </cell>
          <cell r="XS2" t="str">
            <v>-</v>
          </cell>
          <cell r="XT2" t="str">
            <v>-</v>
          </cell>
          <cell r="XU2" t="str">
            <v>-</v>
          </cell>
          <cell r="XV2" t="str">
            <v>-</v>
          </cell>
          <cell r="XW2" t="str">
            <v>-</v>
          </cell>
          <cell r="XX2" t="str">
            <v>-</v>
          </cell>
          <cell r="XY2" t="str">
            <v>-</v>
          </cell>
          <cell r="XZ2" t="str">
            <v>-</v>
          </cell>
          <cell r="YA2" t="str">
            <v>-</v>
          </cell>
          <cell r="YB2" t="str">
            <v>-</v>
          </cell>
          <cell r="YC2" t="str">
            <v>-</v>
          </cell>
          <cell r="YD2" t="str">
            <v>-</v>
          </cell>
          <cell r="YE2" t="str">
            <v>-</v>
          </cell>
          <cell r="YF2" t="str">
            <v>-</v>
          </cell>
          <cell r="YG2" t="str">
            <v>-</v>
          </cell>
          <cell r="YH2" t="str">
            <v>-</v>
          </cell>
          <cell r="YI2" t="str">
            <v>-</v>
          </cell>
          <cell r="YJ2" t="str">
            <v>-</v>
          </cell>
          <cell r="YK2" t="str">
            <v>-</v>
          </cell>
          <cell r="YL2" t="str">
            <v>-</v>
          </cell>
          <cell r="YM2" t="str">
            <v>-</v>
          </cell>
          <cell r="YN2" t="str">
            <v>-</v>
          </cell>
          <cell r="YO2" t="str">
            <v>-</v>
          </cell>
          <cell r="YP2" t="str">
            <v>-</v>
          </cell>
          <cell r="YQ2" t="str">
            <v>-</v>
          </cell>
          <cell r="YR2" t="str">
            <v>-</v>
          </cell>
          <cell r="YS2" t="str">
            <v>-</v>
          </cell>
          <cell r="YT2" t="str">
            <v>-</v>
          </cell>
          <cell r="YU2" t="str">
            <v>-</v>
          </cell>
          <cell r="YV2" t="str">
            <v>-</v>
          </cell>
          <cell r="YW2" t="str">
            <v>-</v>
          </cell>
          <cell r="YX2" t="str">
            <v>-</v>
          </cell>
          <cell r="YY2" t="str">
            <v>-</v>
          </cell>
          <cell r="YZ2" t="str">
            <v>-</v>
          </cell>
          <cell r="ZA2" t="str">
            <v>-</v>
          </cell>
          <cell r="ZB2" t="str">
            <v>-</v>
          </cell>
          <cell r="ZC2" t="str">
            <v>-</v>
          </cell>
          <cell r="ZD2" t="str">
            <v>-</v>
          </cell>
          <cell r="ZE2" t="str">
            <v>-</v>
          </cell>
          <cell r="ZF2" t="str">
            <v>-</v>
          </cell>
          <cell r="ZG2" t="str">
            <v>-</v>
          </cell>
          <cell r="ZH2" t="str">
            <v>-</v>
          </cell>
          <cell r="ZI2" t="str">
            <v>-</v>
          </cell>
          <cell r="ZJ2" t="str">
            <v>-</v>
          </cell>
          <cell r="ZK2" t="str">
            <v>-</v>
          </cell>
          <cell r="ZL2" t="str">
            <v>-</v>
          </cell>
          <cell r="ZM2" t="str">
            <v>-</v>
          </cell>
          <cell r="ZN2" t="str">
            <v>-</v>
          </cell>
          <cell r="ZO2" t="str">
            <v>-</v>
          </cell>
          <cell r="ZP2" t="str">
            <v>-</v>
          </cell>
          <cell r="ZQ2" t="str">
            <v>-</v>
          </cell>
          <cell r="ZR2" t="str">
            <v>-</v>
          </cell>
          <cell r="ZS2" t="str">
            <v>-</v>
          </cell>
          <cell r="ZT2" t="str">
            <v>-</v>
          </cell>
          <cell r="ZU2" t="str">
            <v>-</v>
          </cell>
          <cell r="ZV2" t="str">
            <v>-</v>
          </cell>
          <cell r="ZW2" t="str">
            <v>-</v>
          </cell>
          <cell r="ZX2" t="str">
            <v>-</v>
          </cell>
          <cell r="ZY2" t="str">
            <v>-</v>
          </cell>
          <cell r="ZZ2" t="str">
            <v>-</v>
          </cell>
          <cell r="AAA2" t="str">
            <v>-</v>
          </cell>
          <cell r="AAB2" t="str">
            <v>-</v>
          </cell>
          <cell r="AAC2" t="str">
            <v>-</v>
          </cell>
          <cell r="AAD2" t="str">
            <v>-</v>
          </cell>
          <cell r="AAE2" t="str">
            <v>-</v>
          </cell>
          <cell r="AAF2" t="str">
            <v>-</v>
          </cell>
          <cell r="AAG2" t="str">
            <v>-</v>
          </cell>
          <cell r="AAH2" t="str">
            <v>-</v>
          </cell>
          <cell r="AAI2" t="str">
            <v>-</v>
          </cell>
          <cell r="AAJ2" t="str">
            <v>-</v>
          </cell>
          <cell r="AAK2" t="str">
            <v>-</v>
          </cell>
          <cell r="AAL2" t="str">
            <v>-</v>
          </cell>
          <cell r="AAM2" t="str">
            <v>-</v>
          </cell>
          <cell r="AAN2" t="str">
            <v>-</v>
          </cell>
          <cell r="AAO2" t="str">
            <v>-</v>
          </cell>
          <cell r="AAP2" t="str">
            <v>-</v>
          </cell>
          <cell r="AAQ2" t="str">
            <v>-</v>
          </cell>
          <cell r="AAR2" t="str">
            <v>-</v>
          </cell>
          <cell r="AAS2" t="str">
            <v>-</v>
          </cell>
          <cell r="AAT2" t="str">
            <v>-</v>
          </cell>
          <cell r="AAU2" t="str">
            <v>-</v>
          </cell>
          <cell r="AAV2" t="str">
            <v>-</v>
          </cell>
          <cell r="AAW2" t="str">
            <v>-</v>
          </cell>
          <cell r="AAX2" t="str">
            <v>-</v>
          </cell>
          <cell r="AAY2" t="str">
            <v>-</v>
          </cell>
          <cell r="AAZ2" t="str">
            <v>-</v>
          </cell>
          <cell r="ABA2" t="str">
            <v>-</v>
          </cell>
          <cell r="ABB2" t="str">
            <v>-</v>
          </cell>
          <cell r="ABC2" t="str">
            <v>-</v>
          </cell>
          <cell r="ABD2" t="str">
            <v>-</v>
          </cell>
          <cell r="ABE2" t="str">
            <v>-</v>
          </cell>
          <cell r="ABF2" t="str">
            <v>-</v>
          </cell>
          <cell r="ABG2" t="str">
            <v>-</v>
          </cell>
          <cell r="ABH2" t="str">
            <v>-</v>
          </cell>
          <cell r="ABI2" t="str">
            <v>-</v>
          </cell>
          <cell r="ABJ2" t="str">
            <v>-</v>
          </cell>
          <cell r="ABK2" t="str">
            <v>-</v>
          </cell>
          <cell r="ABL2" t="str">
            <v>-</v>
          </cell>
          <cell r="ABM2" t="str">
            <v>-</v>
          </cell>
          <cell r="ABN2" t="str">
            <v>-</v>
          </cell>
          <cell r="ABO2" t="str">
            <v>-</v>
          </cell>
          <cell r="ABP2" t="str">
            <v>-</v>
          </cell>
          <cell r="ABQ2" t="str">
            <v>-</v>
          </cell>
          <cell r="ABR2" t="str">
            <v>-</v>
          </cell>
          <cell r="ABS2" t="str">
            <v>-</v>
          </cell>
          <cell r="ABT2" t="str">
            <v>-</v>
          </cell>
          <cell r="ABU2" t="str">
            <v>-</v>
          </cell>
          <cell r="ABV2" t="str">
            <v>-</v>
          </cell>
          <cell r="ABW2" t="str">
            <v>-</v>
          </cell>
          <cell r="ABX2" t="str">
            <v>-</v>
          </cell>
          <cell r="ABY2" t="str">
            <v>-</v>
          </cell>
          <cell r="ABZ2" t="str">
            <v>-</v>
          </cell>
          <cell r="ACA2" t="str">
            <v>-</v>
          </cell>
          <cell r="ACB2" t="str">
            <v>-</v>
          </cell>
          <cell r="ACC2" t="str">
            <v>-</v>
          </cell>
          <cell r="ACD2" t="str">
            <v>-</v>
          </cell>
          <cell r="ACE2" t="str">
            <v>-</v>
          </cell>
          <cell r="ACF2" t="str">
            <v>-</v>
          </cell>
          <cell r="ACG2" t="str">
            <v>-</v>
          </cell>
          <cell r="ACH2" t="str">
            <v>-</v>
          </cell>
          <cell r="ACI2" t="str">
            <v>-</v>
          </cell>
          <cell r="ACJ2" t="str">
            <v>-</v>
          </cell>
          <cell r="ACK2" t="str">
            <v>-</v>
          </cell>
          <cell r="ACL2" t="str">
            <v>-</v>
          </cell>
          <cell r="ACM2" t="str">
            <v>-</v>
          </cell>
          <cell r="ACN2" t="str">
            <v>-</v>
          </cell>
          <cell r="ACO2" t="str">
            <v>-</v>
          </cell>
          <cell r="ACP2" t="str">
            <v>-</v>
          </cell>
          <cell r="ACQ2" t="str">
            <v>-</v>
          </cell>
          <cell r="ACR2" t="str">
            <v>-</v>
          </cell>
          <cell r="ACS2" t="str">
            <v>-</v>
          </cell>
          <cell r="ACT2" t="str">
            <v>-</v>
          </cell>
          <cell r="ACU2" t="str">
            <v>-</v>
          </cell>
          <cell r="ACV2" t="str">
            <v>-</v>
          </cell>
          <cell r="ACW2" t="str">
            <v>-</v>
          </cell>
          <cell r="ACX2" t="str">
            <v>-</v>
          </cell>
          <cell r="ACY2" t="str">
            <v>-</v>
          </cell>
          <cell r="ACZ2" t="str">
            <v>-</v>
          </cell>
          <cell r="ADA2" t="str">
            <v>-</v>
          </cell>
          <cell r="ADB2" t="str">
            <v>-</v>
          </cell>
          <cell r="ADC2" t="str">
            <v>-</v>
          </cell>
          <cell r="ADD2" t="str">
            <v>-</v>
          </cell>
          <cell r="ADE2" t="str">
            <v>-</v>
          </cell>
          <cell r="ADF2" t="str">
            <v>-</v>
          </cell>
          <cell r="ADG2" t="str">
            <v>-</v>
          </cell>
          <cell r="ADH2" t="str">
            <v>-</v>
          </cell>
          <cell r="ADI2" t="str">
            <v>-</v>
          </cell>
          <cell r="ADJ2" t="str">
            <v>-</v>
          </cell>
          <cell r="ADK2" t="str">
            <v>-</v>
          </cell>
          <cell r="ADL2" t="str">
            <v>-</v>
          </cell>
          <cell r="ADM2" t="str">
            <v>-</v>
          </cell>
          <cell r="ADN2" t="str">
            <v>-</v>
          </cell>
          <cell r="ADO2" t="str">
            <v>-</v>
          </cell>
          <cell r="ADP2" t="str">
            <v>-</v>
          </cell>
          <cell r="ADQ2" t="str">
            <v>-</v>
          </cell>
          <cell r="ADR2" t="str">
            <v>-</v>
          </cell>
          <cell r="ADS2" t="str">
            <v>-</v>
          </cell>
          <cell r="ADT2" t="str">
            <v>-</v>
          </cell>
          <cell r="ADU2" t="str">
            <v>-</v>
          </cell>
          <cell r="ADV2" t="str">
            <v>-</v>
          </cell>
          <cell r="ADW2" t="str">
            <v>-</v>
          </cell>
          <cell r="ADX2" t="str">
            <v>-</v>
          </cell>
          <cell r="ADY2" t="str">
            <v>-</v>
          </cell>
          <cell r="ADZ2" t="str">
            <v>-</v>
          </cell>
          <cell r="AEA2" t="str">
            <v>-</v>
          </cell>
          <cell r="AEB2" t="str">
            <v>-</v>
          </cell>
          <cell r="AEC2" t="str">
            <v>-</v>
          </cell>
          <cell r="AED2" t="str">
            <v>-</v>
          </cell>
          <cell r="AEE2" t="str">
            <v>-</v>
          </cell>
          <cell r="AEF2" t="str">
            <v>-</v>
          </cell>
          <cell r="AEG2" t="str">
            <v>-</v>
          </cell>
          <cell r="AEH2" t="str">
            <v>-</v>
          </cell>
          <cell r="AEI2" t="str">
            <v>-</v>
          </cell>
          <cell r="AEJ2" t="str">
            <v>-</v>
          </cell>
          <cell r="AEK2" t="str">
            <v>-</v>
          </cell>
          <cell r="AEL2" t="str">
            <v>-</v>
          </cell>
          <cell r="AEM2" t="str">
            <v>-</v>
          </cell>
          <cell r="AEN2" t="str">
            <v>-</v>
          </cell>
          <cell r="AEO2" t="str">
            <v>-</v>
          </cell>
          <cell r="AEP2" t="str">
            <v>-</v>
          </cell>
          <cell r="AEQ2" t="str">
            <v>-</v>
          </cell>
          <cell r="AER2" t="str">
            <v>-</v>
          </cell>
          <cell r="AES2" t="str">
            <v>-</v>
          </cell>
          <cell r="AET2" t="str">
            <v>-</v>
          </cell>
          <cell r="AEU2" t="str">
            <v>-</v>
          </cell>
          <cell r="AEV2" t="str">
            <v>-</v>
          </cell>
          <cell r="AEW2" t="str">
            <v>-</v>
          </cell>
          <cell r="AEX2" t="str">
            <v>-</v>
          </cell>
          <cell r="AEY2" t="str">
            <v>-</v>
          </cell>
          <cell r="AEZ2" t="str">
            <v>-</v>
          </cell>
          <cell r="AFA2" t="str">
            <v>-</v>
          </cell>
          <cell r="AFB2" t="str">
            <v>-</v>
          </cell>
          <cell r="AFC2" t="str">
            <v>-</v>
          </cell>
          <cell r="AFD2" t="str">
            <v>-</v>
          </cell>
          <cell r="AFE2" t="str">
            <v>-</v>
          </cell>
          <cell r="AFF2" t="str">
            <v>-</v>
          </cell>
          <cell r="AFG2" t="str">
            <v>-</v>
          </cell>
          <cell r="AFH2" t="str">
            <v>-</v>
          </cell>
          <cell r="AFI2" t="str">
            <v>-</v>
          </cell>
          <cell r="AFJ2" t="str">
            <v>-</v>
          </cell>
          <cell r="AFK2" t="str">
            <v>-</v>
          </cell>
          <cell r="AFL2" t="str">
            <v>-</v>
          </cell>
          <cell r="AFM2" t="str">
            <v>-</v>
          </cell>
          <cell r="AFN2" t="str">
            <v>-</v>
          </cell>
          <cell r="AFO2" t="str">
            <v>-</v>
          </cell>
          <cell r="AFP2" t="str">
            <v>-</v>
          </cell>
          <cell r="AFQ2" t="str">
            <v>-</v>
          </cell>
          <cell r="AFR2" t="str">
            <v>-</v>
          </cell>
          <cell r="AFS2" t="str">
            <v>-</v>
          </cell>
          <cell r="AFT2" t="str">
            <v>-</v>
          </cell>
          <cell r="AFU2" t="str">
            <v>-</v>
          </cell>
          <cell r="AFV2" t="str">
            <v>-</v>
          </cell>
          <cell r="AFW2" t="str">
            <v>-</v>
          </cell>
          <cell r="AFX2" t="str">
            <v>-</v>
          </cell>
          <cell r="AFY2" t="str">
            <v>-</v>
          </cell>
          <cell r="AFZ2" t="str">
            <v>-</v>
          </cell>
          <cell r="AGA2" t="str">
            <v>-</v>
          </cell>
          <cell r="AGB2" t="str">
            <v>-</v>
          </cell>
          <cell r="AGC2" t="str">
            <v>-</v>
          </cell>
          <cell r="AGD2" t="str">
            <v>-</v>
          </cell>
          <cell r="AGE2" t="str">
            <v>-</v>
          </cell>
          <cell r="AGF2" t="str">
            <v>-</v>
          </cell>
          <cell r="AGG2" t="str">
            <v>-</v>
          </cell>
          <cell r="AGH2" t="str">
            <v>-</v>
          </cell>
          <cell r="AGI2" t="str">
            <v>-</v>
          </cell>
          <cell r="AGJ2" t="str">
            <v>-</v>
          </cell>
          <cell r="AGK2" t="str">
            <v>-</v>
          </cell>
          <cell r="AGL2" t="str">
            <v>-</v>
          </cell>
          <cell r="AGM2" t="str">
            <v>-</v>
          </cell>
          <cell r="AGN2" t="str">
            <v>-</v>
          </cell>
          <cell r="AGO2" t="str">
            <v>-</v>
          </cell>
          <cell r="AGP2" t="str">
            <v>-</v>
          </cell>
          <cell r="AGQ2" t="str">
            <v>-</v>
          </cell>
          <cell r="AGR2" t="str">
            <v>-</v>
          </cell>
          <cell r="AGS2" t="str">
            <v>-</v>
          </cell>
          <cell r="AGT2" t="str">
            <v>-</v>
          </cell>
          <cell r="AGU2" t="str">
            <v>-</v>
          </cell>
          <cell r="AGV2" t="str">
            <v>-</v>
          </cell>
          <cell r="AGW2" t="str">
            <v>-</v>
          </cell>
          <cell r="AGX2" t="str">
            <v>-</v>
          </cell>
          <cell r="AGY2" t="str">
            <v>-</v>
          </cell>
          <cell r="AGZ2" t="str">
            <v>-</v>
          </cell>
          <cell r="AHA2" t="str">
            <v>-</v>
          </cell>
          <cell r="AHB2" t="str">
            <v>-</v>
          </cell>
          <cell r="AHC2" t="str">
            <v>-</v>
          </cell>
          <cell r="AHD2" t="str">
            <v>-</v>
          </cell>
          <cell r="AHE2" t="str">
            <v>-</v>
          </cell>
          <cell r="AHF2" t="str">
            <v>-</v>
          </cell>
          <cell r="AHG2" t="str">
            <v>-</v>
          </cell>
          <cell r="AHH2" t="str">
            <v>-</v>
          </cell>
          <cell r="AHI2" t="str">
            <v>-</v>
          </cell>
          <cell r="AHJ2" t="str">
            <v>-</v>
          </cell>
          <cell r="AHK2" t="str">
            <v>-</v>
          </cell>
          <cell r="AHL2" t="str">
            <v>-</v>
          </cell>
          <cell r="AHM2" t="str">
            <v>-</v>
          </cell>
          <cell r="AHN2" t="str">
            <v>-</v>
          </cell>
          <cell r="AHO2" t="str">
            <v>-</v>
          </cell>
          <cell r="AHP2" t="str">
            <v>-</v>
          </cell>
          <cell r="AHQ2" t="str">
            <v>-</v>
          </cell>
          <cell r="AHR2" t="str">
            <v>-</v>
          </cell>
          <cell r="AHS2" t="str">
            <v>-</v>
          </cell>
          <cell r="AHT2" t="str">
            <v>-</v>
          </cell>
          <cell r="AHU2" t="str">
            <v>-</v>
          </cell>
          <cell r="AHV2" t="str">
            <v>-</v>
          </cell>
          <cell r="AHW2" t="str">
            <v>-</v>
          </cell>
          <cell r="AHX2" t="str">
            <v>-</v>
          </cell>
          <cell r="AHY2" t="str">
            <v>-</v>
          </cell>
          <cell r="AHZ2" t="str">
            <v>-</v>
          </cell>
          <cell r="AIA2" t="str">
            <v>-</v>
          </cell>
          <cell r="AIB2" t="str">
            <v>-</v>
          </cell>
          <cell r="AIC2" t="str">
            <v>-</v>
          </cell>
          <cell r="AID2" t="str">
            <v>-</v>
          </cell>
          <cell r="AIE2" t="str">
            <v>-</v>
          </cell>
          <cell r="AIF2" t="str">
            <v>-</v>
          </cell>
          <cell r="AIG2" t="str">
            <v>-</v>
          </cell>
          <cell r="AIH2" t="str">
            <v>-</v>
          </cell>
          <cell r="AII2" t="str">
            <v>-</v>
          </cell>
          <cell r="AIJ2" t="str">
            <v>-</v>
          </cell>
          <cell r="AIK2" t="str">
            <v>-</v>
          </cell>
          <cell r="AIL2" t="str">
            <v>-</v>
          </cell>
          <cell r="AIM2" t="str">
            <v>-</v>
          </cell>
          <cell r="AIN2" t="str">
            <v>-</v>
          </cell>
          <cell r="AIO2" t="str">
            <v>-</v>
          </cell>
          <cell r="AIP2" t="str">
            <v>-</v>
          </cell>
          <cell r="AIQ2" t="str">
            <v>-</v>
          </cell>
          <cell r="AIR2" t="str">
            <v>-</v>
          </cell>
          <cell r="AIS2" t="str">
            <v>-</v>
          </cell>
          <cell r="AIT2" t="str">
            <v>-</v>
          </cell>
          <cell r="AIU2" t="str">
            <v>-</v>
          </cell>
          <cell r="AIV2" t="str">
            <v>-</v>
          </cell>
          <cell r="AIW2" t="str">
            <v>-</v>
          </cell>
          <cell r="AIX2" t="str">
            <v>-</v>
          </cell>
          <cell r="AIY2" t="str">
            <v>-</v>
          </cell>
          <cell r="AIZ2" t="str">
            <v>-</v>
          </cell>
          <cell r="AJA2" t="str">
            <v>-</v>
          </cell>
          <cell r="AJB2" t="str">
            <v>-</v>
          </cell>
          <cell r="AJC2" t="str">
            <v>-</v>
          </cell>
          <cell r="AJD2" t="str">
            <v>-</v>
          </cell>
          <cell r="AJE2" t="str">
            <v>-</v>
          </cell>
          <cell r="AJF2" t="str">
            <v>-</v>
          </cell>
          <cell r="AJG2" t="str">
            <v>-</v>
          </cell>
          <cell r="AJH2" t="str">
            <v>-</v>
          </cell>
          <cell r="AJI2" t="str">
            <v>-</v>
          </cell>
          <cell r="AJJ2" t="str">
            <v>-</v>
          </cell>
          <cell r="AJK2" t="str">
            <v>-</v>
          </cell>
          <cell r="AJL2" t="str">
            <v>-</v>
          </cell>
          <cell r="AJM2" t="str">
            <v>-</v>
          </cell>
          <cell r="AJN2" t="str">
            <v>-</v>
          </cell>
          <cell r="AJO2" t="str">
            <v>-</v>
          </cell>
          <cell r="AJP2" t="str">
            <v>-</v>
          </cell>
          <cell r="AJQ2" t="str">
            <v>-</v>
          </cell>
          <cell r="AJR2" t="str">
            <v>-</v>
          </cell>
          <cell r="AJS2" t="str">
            <v>-</v>
          </cell>
          <cell r="AJT2" t="str">
            <v>-</v>
          </cell>
          <cell r="AJU2" t="str">
            <v>-</v>
          </cell>
          <cell r="AJV2" t="str">
            <v>-</v>
          </cell>
          <cell r="AJW2" t="str">
            <v>-</v>
          </cell>
          <cell r="AJX2" t="str">
            <v>-</v>
          </cell>
          <cell r="AJY2" t="str">
            <v>-</v>
          </cell>
          <cell r="AJZ2" t="str">
            <v>-</v>
          </cell>
          <cell r="AKA2" t="str">
            <v>-</v>
          </cell>
          <cell r="AKB2" t="str">
            <v>-</v>
          </cell>
          <cell r="AKC2" t="str">
            <v>-</v>
          </cell>
          <cell r="AKD2" t="str">
            <v>-</v>
          </cell>
          <cell r="AKE2" t="str">
            <v>-</v>
          </cell>
          <cell r="AKF2" t="str">
            <v>-</v>
          </cell>
          <cell r="AKG2" t="str">
            <v>-</v>
          </cell>
          <cell r="AKH2" t="str">
            <v>-</v>
          </cell>
          <cell r="AKI2" t="str">
            <v>-</v>
          </cell>
          <cell r="AKJ2" t="str">
            <v>-</v>
          </cell>
          <cell r="AKK2" t="str">
            <v>-</v>
          </cell>
          <cell r="AKL2" t="str">
            <v>-</v>
          </cell>
          <cell r="AKM2" t="str">
            <v>-</v>
          </cell>
          <cell r="AKN2" t="str">
            <v>-</v>
          </cell>
          <cell r="AKO2" t="str">
            <v>-</v>
          </cell>
          <cell r="AKP2" t="str">
            <v>-</v>
          </cell>
          <cell r="AKQ2" t="str">
            <v>-</v>
          </cell>
          <cell r="AKR2" t="str">
            <v>-</v>
          </cell>
          <cell r="AKS2" t="str">
            <v>-</v>
          </cell>
          <cell r="AKT2" t="str">
            <v>-</v>
          </cell>
          <cell r="AKU2" t="str">
            <v>-</v>
          </cell>
          <cell r="AKV2" t="str">
            <v>-</v>
          </cell>
          <cell r="AKW2" t="str">
            <v>-</v>
          </cell>
          <cell r="AKX2" t="str">
            <v>-</v>
          </cell>
          <cell r="AKY2" t="str">
            <v>-</v>
          </cell>
          <cell r="AKZ2" t="str">
            <v>-</v>
          </cell>
          <cell r="ALA2" t="str">
            <v>-</v>
          </cell>
          <cell r="ALB2" t="str">
            <v>-</v>
          </cell>
          <cell r="ALC2" t="str">
            <v>-</v>
          </cell>
          <cell r="ALD2" t="str">
            <v>-</v>
          </cell>
          <cell r="ALE2" t="str">
            <v>-</v>
          </cell>
          <cell r="ALF2" t="str">
            <v>-</v>
          </cell>
          <cell r="ALG2" t="str">
            <v>-</v>
          </cell>
          <cell r="ALH2" t="str">
            <v>-</v>
          </cell>
          <cell r="ALI2" t="str">
            <v>-</v>
          </cell>
          <cell r="ALJ2" t="str">
            <v>-</v>
          </cell>
          <cell r="ALK2" t="str">
            <v>-</v>
          </cell>
          <cell r="ALL2" t="str">
            <v>-</v>
          </cell>
          <cell r="ALM2" t="str">
            <v>-</v>
          </cell>
          <cell r="ALN2" t="str">
            <v>-</v>
          </cell>
          <cell r="ALO2" t="str">
            <v>-</v>
          </cell>
          <cell r="ALP2" t="str">
            <v>-</v>
          </cell>
          <cell r="ALQ2" t="str">
            <v>-</v>
          </cell>
          <cell r="ALR2" t="str">
            <v>-</v>
          </cell>
          <cell r="ALS2" t="str">
            <v>-</v>
          </cell>
          <cell r="ALT2" t="str">
            <v>-</v>
          </cell>
          <cell r="ALU2" t="str">
            <v>-</v>
          </cell>
          <cell r="ALV2" t="str">
            <v>-</v>
          </cell>
          <cell r="ALW2" t="str">
            <v>-</v>
          </cell>
          <cell r="ALX2" t="str">
            <v>-</v>
          </cell>
          <cell r="ALY2" t="str">
            <v>-</v>
          </cell>
          <cell r="ALZ2" t="str">
            <v>-</v>
          </cell>
          <cell r="AMA2" t="str">
            <v>-</v>
          </cell>
          <cell r="AMB2" t="str">
            <v>-</v>
          </cell>
          <cell r="AMC2" t="str">
            <v>-</v>
          </cell>
          <cell r="AMD2" t="str">
            <v>-</v>
          </cell>
          <cell r="AME2" t="str">
            <v>-</v>
          </cell>
          <cell r="AMF2" t="str">
            <v>-</v>
          </cell>
          <cell r="AMG2" t="str">
            <v>-</v>
          </cell>
          <cell r="AMH2" t="str">
            <v>-</v>
          </cell>
          <cell r="AMI2" t="str">
            <v>-</v>
          </cell>
          <cell r="AMJ2" t="str">
            <v>-</v>
          </cell>
          <cell r="AMK2" t="str">
            <v>-</v>
          </cell>
          <cell r="AML2" t="str">
            <v>-</v>
          </cell>
          <cell r="AMM2" t="str">
            <v>-</v>
          </cell>
          <cell r="AMN2" t="str">
            <v>-</v>
          </cell>
          <cell r="AMO2" t="str">
            <v>-</v>
          </cell>
          <cell r="AMP2" t="str">
            <v>-</v>
          </cell>
          <cell r="AMQ2" t="str">
            <v>-</v>
          </cell>
          <cell r="AMR2" t="str">
            <v>-</v>
          </cell>
          <cell r="AMS2" t="str">
            <v>-</v>
          </cell>
          <cell r="AMT2" t="str">
            <v>-</v>
          </cell>
          <cell r="AMU2" t="str">
            <v>-</v>
          </cell>
          <cell r="AMV2" t="str">
            <v>-</v>
          </cell>
          <cell r="AMW2" t="str">
            <v>-</v>
          </cell>
          <cell r="AMX2" t="str">
            <v>-</v>
          </cell>
          <cell r="AMY2" t="str">
            <v>-</v>
          </cell>
          <cell r="AMZ2" t="str">
            <v>-</v>
          </cell>
          <cell r="ANA2" t="str">
            <v>-</v>
          </cell>
          <cell r="ANB2" t="str">
            <v>-</v>
          </cell>
          <cell r="ANC2" t="str">
            <v>-</v>
          </cell>
          <cell r="AND2" t="str">
            <v>-</v>
          </cell>
          <cell r="ANE2" t="str">
            <v>-</v>
          </cell>
          <cell r="ANF2" t="str">
            <v>-</v>
          </cell>
          <cell r="ANG2" t="str">
            <v>-</v>
          </cell>
          <cell r="ANH2" t="str">
            <v>-</v>
          </cell>
          <cell r="ANI2" t="str">
            <v>-</v>
          </cell>
          <cell r="ANJ2" t="str">
            <v>-</v>
          </cell>
          <cell r="ANK2" t="str">
            <v>-</v>
          </cell>
          <cell r="ANL2" t="str">
            <v>-</v>
          </cell>
          <cell r="ANM2" t="str">
            <v>-</v>
          </cell>
          <cell r="ANN2" t="str">
            <v>-</v>
          </cell>
          <cell r="ANO2" t="str">
            <v>-</v>
          </cell>
          <cell r="ANP2" t="str">
            <v>-</v>
          </cell>
          <cell r="ANQ2" t="str">
            <v>-</v>
          </cell>
          <cell r="ANR2" t="str">
            <v>-</v>
          </cell>
          <cell r="ANS2" t="str">
            <v>-</v>
          </cell>
          <cell r="ANT2" t="str">
            <v>-</v>
          </cell>
          <cell r="ANU2" t="str">
            <v>-</v>
          </cell>
          <cell r="ANV2" t="str">
            <v>-</v>
          </cell>
          <cell r="ANW2" t="str">
            <v>-</v>
          </cell>
          <cell r="ANX2" t="str">
            <v>-</v>
          </cell>
          <cell r="ANY2" t="str">
            <v>-</v>
          </cell>
          <cell r="ANZ2" t="str">
            <v>-</v>
          </cell>
          <cell r="AOA2" t="str">
            <v>-</v>
          </cell>
          <cell r="AOB2" t="str">
            <v>-</v>
          </cell>
          <cell r="AOC2" t="str">
            <v>-</v>
          </cell>
          <cell r="AOD2" t="str">
            <v>-</v>
          </cell>
          <cell r="AOE2" t="str">
            <v>-</v>
          </cell>
          <cell r="AOF2" t="str">
            <v>-</v>
          </cell>
          <cell r="AOG2" t="str">
            <v>-</v>
          </cell>
          <cell r="AOH2" t="str">
            <v>-</v>
          </cell>
          <cell r="AOI2" t="str">
            <v>-</v>
          </cell>
          <cell r="AOJ2" t="str">
            <v>-</v>
          </cell>
          <cell r="AOK2" t="str">
            <v>-</v>
          </cell>
          <cell r="AOL2" t="str">
            <v>-</v>
          </cell>
          <cell r="AOM2" t="str">
            <v>-</v>
          </cell>
          <cell r="AON2" t="str">
            <v>-</v>
          </cell>
          <cell r="AOO2" t="str">
            <v>-</v>
          </cell>
          <cell r="AOP2" t="str">
            <v>-</v>
          </cell>
          <cell r="AOQ2" t="str">
            <v>-</v>
          </cell>
          <cell r="AOR2" t="str">
            <v>-</v>
          </cell>
          <cell r="AOS2" t="str">
            <v>-</v>
          </cell>
          <cell r="AOT2" t="str">
            <v>-</v>
          </cell>
          <cell r="AOU2" t="str">
            <v>-</v>
          </cell>
          <cell r="AOV2" t="str">
            <v>-</v>
          </cell>
          <cell r="AOW2" t="str">
            <v>-</v>
          </cell>
          <cell r="AOX2" t="str">
            <v>-</v>
          </cell>
          <cell r="AOY2" t="str">
            <v>-</v>
          </cell>
          <cell r="AOZ2" t="str">
            <v>-</v>
          </cell>
          <cell r="APA2" t="str">
            <v>-</v>
          </cell>
          <cell r="APB2" t="str">
            <v>-</v>
          </cell>
          <cell r="APC2" t="str">
            <v>-</v>
          </cell>
          <cell r="APD2" t="str">
            <v>-</v>
          </cell>
          <cell r="APE2" t="str">
            <v>-</v>
          </cell>
          <cell r="APF2" t="str">
            <v>-</v>
          </cell>
          <cell r="APG2" t="str">
            <v>-</v>
          </cell>
          <cell r="APH2" t="str">
            <v>-</v>
          </cell>
          <cell r="API2" t="str">
            <v>-</v>
          </cell>
          <cell r="APJ2" t="str">
            <v>-</v>
          </cell>
          <cell r="APK2" t="str">
            <v>-</v>
          </cell>
          <cell r="APL2" t="str">
            <v>-</v>
          </cell>
          <cell r="APM2" t="str">
            <v>-</v>
          </cell>
          <cell r="APN2" t="str">
            <v>-</v>
          </cell>
          <cell r="APO2" t="str">
            <v>-</v>
          </cell>
          <cell r="APP2" t="str">
            <v>-</v>
          </cell>
          <cell r="APQ2" t="str">
            <v>-</v>
          </cell>
          <cell r="APR2" t="str">
            <v>-</v>
          </cell>
          <cell r="APS2" t="str">
            <v>-</v>
          </cell>
          <cell r="APT2" t="str">
            <v>-</v>
          </cell>
          <cell r="APU2" t="str">
            <v>-</v>
          </cell>
          <cell r="APV2" t="str">
            <v>-</v>
          </cell>
          <cell r="APW2" t="str">
            <v>-</v>
          </cell>
          <cell r="APX2" t="str">
            <v>-</v>
          </cell>
          <cell r="APY2" t="str">
            <v>-</v>
          </cell>
          <cell r="APZ2" t="str">
            <v>-</v>
          </cell>
          <cell r="AQA2" t="str">
            <v>-</v>
          </cell>
          <cell r="AQB2" t="str">
            <v>-</v>
          </cell>
          <cell r="AQC2" t="str">
            <v>-</v>
          </cell>
          <cell r="AQD2" t="str">
            <v>-</v>
          </cell>
          <cell r="AQE2" t="str">
            <v>-</v>
          </cell>
          <cell r="AQF2" t="str">
            <v>-</v>
          </cell>
          <cell r="AQG2" t="str">
            <v>-</v>
          </cell>
          <cell r="AQH2" t="str">
            <v>-</v>
          </cell>
          <cell r="AQI2" t="str">
            <v>-</v>
          </cell>
          <cell r="AQJ2" t="str">
            <v>-</v>
          </cell>
          <cell r="AQK2" t="str">
            <v>-</v>
          </cell>
          <cell r="AQL2" t="str">
            <v>-</v>
          </cell>
          <cell r="AQM2" t="str">
            <v>-</v>
          </cell>
          <cell r="AQN2" t="str">
            <v>-</v>
          </cell>
          <cell r="AQO2" t="str">
            <v>-</v>
          </cell>
          <cell r="AQP2" t="str">
            <v>-</v>
          </cell>
          <cell r="AQQ2" t="str">
            <v>-</v>
          </cell>
          <cell r="AQR2" t="str">
            <v>-</v>
          </cell>
          <cell r="AQS2" t="str">
            <v>-</v>
          </cell>
          <cell r="AQT2" t="str">
            <v>-</v>
          </cell>
          <cell r="AQU2" t="str">
            <v>-</v>
          </cell>
          <cell r="AQV2" t="str">
            <v>-</v>
          </cell>
          <cell r="AQW2" t="str">
            <v>-</v>
          </cell>
          <cell r="AQX2" t="str">
            <v>-</v>
          </cell>
          <cell r="AQY2" t="str">
            <v>-</v>
          </cell>
          <cell r="AQZ2" t="str">
            <v>-</v>
          </cell>
          <cell r="ARA2" t="str">
            <v>-</v>
          </cell>
          <cell r="ARB2" t="str">
            <v>-</v>
          </cell>
          <cell r="ARC2" t="str">
            <v>-</v>
          </cell>
          <cell r="ARD2" t="str">
            <v>-</v>
          </cell>
          <cell r="ARE2" t="str">
            <v>-</v>
          </cell>
          <cell r="ARF2" t="str">
            <v>-</v>
          </cell>
          <cell r="ARG2" t="str">
            <v>-</v>
          </cell>
          <cell r="ARH2" t="str">
            <v>-</v>
          </cell>
          <cell r="ARI2" t="str">
            <v>-</v>
          </cell>
          <cell r="ARJ2" t="str">
            <v>-</v>
          </cell>
          <cell r="ARK2" t="str">
            <v>-</v>
          </cell>
          <cell r="ARL2" t="str">
            <v>-</v>
          </cell>
          <cell r="ARM2" t="str">
            <v>-</v>
          </cell>
          <cell r="ARN2" t="str">
            <v>-</v>
          </cell>
          <cell r="ARO2" t="str">
            <v>-</v>
          </cell>
          <cell r="ARP2" t="str">
            <v>-</v>
          </cell>
          <cell r="ARQ2" t="str">
            <v>-</v>
          </cell>
          <cell r="ARR2" t="str">
            <v>-</v>
          </cell>
          <cell r="ARS2" t="str">
            <v>-</v>
          </cell>
          <cell r="ART2" t="str">
            <v>-</v>
          </cell>
          <cell r="ARU2" t="str">
            <v>-</v>
          </cell>
          <cell r="ARV2" t="str">
            <v>-</v>
          </cell>
          <cell r="ARW2" t="str">
            <v>-</v>
          </cell>
          <cell r="ARX2" t="str">
            <v>-</v>
          </cell>
          <cell r="ARY2" t="str">
            <v>-</v>
          </cell>
          <cell r="ARZ2" t="str">
            <v>-</v>
          </cell>
          <cell r="ASA2" t="str">
            <v>-</v>
          </cell>
          <cell r="ASB2" t="str">
            <v>-</v>
          </cell>
          <cell r="ASC2" t="str">
            <v>-</v>
          </cell>
          <cell r="ASD2" t="str">
            <v>-</v>
          </cell>
          <cell r="ASE2" t="str">
            <v>-</v>
          </cell>
          <cell r="ASF2" t="str">
            <v>-</v>
          </cell>
          <cell r="ASG2" t="str">
            <v>-</v>
          </cell>
          <cell r="ASH2" t="str">
            <v>-</v>
          </cell>
          <cell r="ASI2" t="str">
            <v>-</v>
          </cell>
          <cell r="ASJ2" t="str">
            <v>-</v>
          </cell>
          <cell r="ASK2" t="str">
            <v>-</v>
          </cell>
          <cell r="ASL2" t="str">
            <v>-</v>
          </cell>
          <cell r="ASM2" t="str">
            <v>-</v>
          </cell>
          <cell r="ASN2" t="str">
            <v>-</v>
          </cell>
          <cell r="ASO2" t="str">
            <v>-</v>
          </cell>
          <cell r="ASP2" t="str">
            <v>-</v>
          </cell>
          <cell r="ASQ2" t="str">
            <v>-</v>
          </cell>
          <cell r="ASR2" t="str">
            <v>-</v>
          </cell>
          <cell r="ASS2" t="str">
            <v>-</v>
          </cell>
          <cell r="AST2" t="str">
            <v>-</v>
          </cell>
          <cell r="ASU2" t="str">
            <v>-</v>
          </cell>
          <cell r="ASV2" t="str">
            <v>-</v>
          </cell>
          <cell r="ASW2" t="str">
            <v>-</v>
          </cell>
          <cell r="ASX2" t="str">
            <v>-</v>
          </cell>
          <cell r="ASY2" t="str">
            <v>-</v>
          </cell>
          <cell r="ASZ2" t="str">
            <v>-</v>
          </cell>
          <cell r="ATA2" t="str">
            <v>-</v>
          </cell>
          <cell r="ATB2" t="str">
            <v>-</v>
          </cell>
          <cell r="ATC2" t="str">
            <v>-</v>
          </cell>
          <cell r="ATD2" t="str">
            <v>-</v>
          </cell>
          <cell r="ATE2" t="str">
            <v>-</v>
          </cell>
          <cell r="ATF2" t="str">
            <v>-</v>
          </cell>
          <cell r="ATG2" t="str">
            <v>-</v>
          </cell>
          <cell r="ATH2" t="str">
            <v>-</v>
          </cell>
          <cell r="ATI2" t="str">
            <v>-</v>
          </cell>
          <cell r="ATJ2" t="str">
            <v>-</v>
          </cell>
          <cell r="ATK2" t="str">
            <v>-</v>
          </cell>
          <cell r="ATL2" t="str">
            <v>-</v>
          </cell>
          <cell r="ATM2" t="str">
            <v>-</v>
          </cell>
          <cell r="ATN2" t="str">
            <v>-</v>
          </cell>
          <cell r="ATO2" t="str">
            <v>-</v>
          </cell>
          <cell r="ATP2" t="str">
            <v>-</v>
          </cell>
          <cell r="ATQ2" t="str">
            <v>-</v>
          </cell>
          <cell r="ATR2" t="str">
            <v>-</v>
          </cell>
          <cell r="ATS2" t="str">
            <v>-</v>
          </cell>
          <cell r="ATT2" t="str">
            <v>-</v>
          </cell>
          <cell r="ATU2" t="str">
            <v>-</v>
          </cell>
          <cell r="ATV2" t="str">
            <v>-</v>
          </cell>
          <cell r="ATW2" t="str">
            <v>-</v>
          </cell>
          <cell r="ATX2" t="str">
            <v>-</v>
          </cell>
          <cell r="ATY2" t="str">
            <v>-</v>
          </cell>
          <cell r="ATZ2" t="str">
            <v>-</v>
          </cell>
          <cell r="AUA2" t="str">
            <v>-</v>
          </cell>
          <cell r="AUB2" t="str">
            <v>-</v>
          </cell>
          <cell r="AUC2" t="str">
            <v>-</v>
          </cell>
          <cell r="AUD2" t="str">
            <v>-</v>
          </cell>
          <cell r="AUE2" t="str">
            <v>-</v>
          </cell>
          <cell r="AUF2" t="str">
            <v>-</v>
          </cell>
          <cell r="AUG2" t="str">
            <v>-</v>
          </cell>
          <cell r="AUH2" t="str">
            <v>-</v>
          </cell>
          <cell r="AUI2" t="str">
            <v>-</v>
          </cell>
          <cell r="AUJ2" t="str">
            <v>-</v>
          </cell>
          <cell r="AUK2" t="str">
            <v>-</v>
          </cell>
          <cell r="AUL2" t="str">
            <v>-</v>
          </cell>
          <cell r="AUM2" t="str">
            <v>-</v>
          </cell>
          <cell r="AUN2" t="str">
            <v>-</v>
          </cell>
          <cell r="AUO2" t="str">
            <v>-</v>
          </cell>
          <cell r="AUP2" t="str">
            <v>-</v>
          </cell>
          <cell r="AUQ2" t="str">
            <v>-</v>
          </cell>
          <cell r="AUR2" t="str">
            <v>-</v>
          </cell>
          <cell r="AUS2" t="str">
            <v>-</v>
          </cell>
          <cell r="AUT2" t="str">
            <v>-</v>
          </cell>
          <cell r="AUU2" t="str">
            <v>-</v>
          </cell>
          <cell r="AUV2" t="str">
            <v>-</v>
          </cell>
          <cell r="AUW2" t="str">
            <v>-</v>
          </cell>
          <cell r="AUX2" t="str">
            <v>-</v>
          </cell>
          <cell r="AUY2" t="str">
            <v>-</v>
          </cell>
          <cell r="AUZ2" t="str">
            <v>-</v>
          </cell>
          <cell r="AVA2" t="str">
            <v>-</v>
          </cell>
          <cell r="AVB2" t="str">
            <v>-</v>
          </cell>
          <cell r="AVC2" t="str">
            <v>-</v>
          </cell>
          <cell r="AVD2" t="str">
            <v>-</v>
          </cell>
          <cell r="AVE2" t="str">
            <v>-</v>
          </cell>
          <cell r="AVF2" t="str">
            <v>-</v>
          </cell>
          <cell r="AVG2" t="str">
            <v>-</v>
          </cell>
          <cell r="AVH2" t="str">
            <v>-</v>
          </cell>
          <cell r="AVI2" t="str">
            <v>-</v>
          </cell>
          <cell r="AVJ2" t="str">
            <v>-</v>
          </cell>
          <cell r="AVK2" t="str">
            <v>-</v>
          </cell>
          <cell r="AVL2" t="str">
            <v>-</v>
          </cell>
          <cell r="AVM2" t="str">
            <v>-</v>
          </cell>
          <cell r="AVN2" t="str">
            <v>-</v>
          </cell>
          <cell r="AVO2" t="str">
            <v>-</v>
          </cell>
          <cell r="AVP2" t="str">
            <v>-</v>
          </cell>
          <cell r="AVQ2" t="str">
            <v>-</v>
          </cell>
          <cell r="AVR2" t="str">
            <v>-</v>
          </cell>
          <cell r="AVS2" t="str">
            <v>-</v>
          </cell>
          <cell r="AVT2" t="str">
            <v>-</v>
          </cell>
          <cell r="AVU2" t="str">
            <v>-</v>
          </cell>
          <cell r="AVV2" t="str">
            <v>-</v>
          </cell>
          <cell r="AVW2" t="str">
            <v>-</v>
          </cell>
          <cell r="AVX2" t="str">
            <v>-</v>
          </cell>
          <cell r="AVY2" t="str">
            <v>-</v>
          </cell>
          <cell r="AVZ2" t="str">
            <v>-</v>
          </cell>
          <cell r="AWA2" t="str">
            <v>-</v>
          </cell>
          <cell r="AWB2" t="str">
            <v>-</v>
          </cell>
          <cell r="AWC2" t="str">
            <v>-</v>
          </cell>
          <cell r="AWD2" t="str">
            <v>-</v>
          </cell>
          <cell r="AWE2" t="str">
            <v>-</v>
          </cell>
          <cell r="AWF2" t="str">
            <v>-</v>
          </cell>
          <cell r="AWG2" t="str">
            <v>-</v>
          </cell>
          <cell r="AWH2" t="str">
            <v>-</v>
          </cell>
          <cell r="AWI2" t="str">
            <v>-</v>
          </cell>
          <cell r="AWJ2" t="str">
            <v>-</v>
          </cell>
          <cell r="AWK2" t="str">
            <v>-</v>
          </cell>
          <cell r="AWL2" t="str">
            <v>-</v>
          </cell>
          <cell r="AWM2" t="str">
            <v>-</v>
          </cell>
          <cell r="AWN2" t="str">
            <v>-</v>
          </cell>
          <cell r="AWO2" t="str">
            <v>-</v>
          </cell>
          <cell r="AWP2" t="str">
            <v>-</v>
          </cell>
          <cell r="AWQ2" t="str">
            <v>-</v>
          </cell>
          <cell r="AWR2" t="str">
            <v>-</v>
          </cell>
          <cell r="AWS2" t="str">
            <v>-</v>
          </cell>
          <cell r="AWT2" t="str">
            <v>-</v>
          </cell>
          <cell r="AWU2" t="str">
            <v>-</v>
          </cell>
          <cell r="AWV2" t="str">
            <v>-</v>
          </cell>
          <cell r="AWW2" t="str">
            <v>-</v>
          </cell>
          <cell r="AWX2" t="str">
            <v>-</v>
          </cell>
          <cell r="AWY2" t="str">
            <v>-</v>
          </cell>
          <cell r="AWZ2" t="str">
            <v>-</v>
          </cell>
          <cell r="AXA2" t="str">
            <v>-</v>
          </cell>
          <cell r="AXB2" t="str">
            <v>-</v>
          </cell>
          <cell r="AXC2" t="str">
            <v>-</v>
          </cell>
          <cell r="AXD2" t="str">
            <v>-</v>
          </cell>
          <cell r="AXE2" t="str">
            <v>-</v>
          </cell>
          <cell r="AXF2" t="str">
            <v>-</v>
          </cell>
          <cell r="AXG2" t="str">
            <v>-</v>
          </cell>
          <cell r="AXH2" t="str">
            <v>-</v>
          </cell>
          <cell r="AXI2" t="str">
            <v>-</v>
          </cell>
          <cell r="AXJ2" t="str">
            <v>-</v>
          </cell>
          <cell r="AXK2" t="str">
            <v>-</v>
          </cell>
          <cell r="AXL2" t="str">
            <v>-</v>
          </cell>
          <cell r="AXM2" t="str">
            <v>-</v>
          </cell>
          <cell r="AXN2" t="str">
            <v>-</v>
          </cell>
          <cell r="AXO2" t="str">
            <v>-</v>
          </cell>
          <cell r="AXP2" t="str">
            <v>-</v>
          </cell>
          <cell r="AXQ2" t="str">
            <v>-</v>
          </cell>
          <cell r="AXR2" t="str">
            <v>-</v>
          </cell>
          <cell r="AXS2" t="str">
            <v>-</v>
          </cell>
          <cell r="AXT2" t="str">
            <v>-</v>
          </cell>
          <cell r="AXU2" t="str">
            <v>-</v>
          </cell>
          <cell r="AXV2" t="str">
            <v>-</v>
          </cell>
          <cell r="AXW2" t="str">
            <v>-</v>
          </cell>
          <cell r="AXX2" t="str">
            <v>-</v>
          </cell>
          <cell r="AXY2" t="str">
            <v>-</v>
          </cell>
          <cell r="AXZ2" t="str">
            <v>-</v>
          </cell>
          <cell r="AYA2" t="str">
            <v>-</v>
          </cell>
          <cell r="AYB2" t="str">
            <v>-</v>
          </cell>
          <cell r="AYC2" t="str">
            <v>-</v>
          </cell>
          <cell r="AYD2" t="str">
            <v>-</v>
          </cell>
          <cell r="AYE2" t="str">
            <v>-</v>
          </cell>
          <cell r="AYF2" t="str">
            <v>-</v>
          </cell>
          <cell r="AYG2" t="str">
            <v>-</v>
          </cell>
          <cell r="AYH2" t="str">
            <v>-</v>
          </cell>
          <cell r="AYI2" t="str">
            <v>-</v>
          </cell>
          <cell r="AYJ2" t="str">
            <v>-</v>
          </cell>
          <cell r="AYK2" t="str">
            <v>-</v>
          </cell>
          <cell r="AYL2" t="str">
            <v>-</v>
          </cell>
          <cell r="AYM2" t="str">
            <v>-</v>
          </cell>
          <cell r="AYN2" t="str">
            <v>-</v>
          </cell>
          <cell r="AYO2" t="str">
            <v>-</v>
          </cell>
          <cell r="AYP2" t="str">
            <v>-</v>
          </cell>
          <cell r="AYQ2" t="str">
            <v>-</v>
          </cell>
          <cell r="AYR2" t="str">
            <v>-</v>
          </cell>
          <cell r="AYS2" t="str">
            <v>-</v>
          </cell>
          <cell r="AYT2" t="str">
            <v>-</v>
          </cell>
          <cell r="AYU2" t="str">
            <v>-</v>
          </cell>
          <cell r="AYV2" t="str">
            <v>-</v>
          </cell>
          <cell r="AYW2" t="str">
            <v>-</v>
          </cell>
          <cell r="AYX2" t="str">
            <v>-</v>
          </cell>
          <cell r="AYY2" t="str">
            <v>-</v>
          </cell>
          <cell r="AYZ2" t="str">
            <v>-</v>
          </cell>
          <cell r="AZA2" t="str">
            <v>-</v>
          </cell>
          <cell r="AZB2" t="str">
            <v>-</v>
          </cell>
          <cell r="AZC2" t="str">
            <v>-</v>
          </cell>
          <cell r="AZD2" t="str">
            <v>-</v>
          </cell>
          <cell r="AZE2" t="str">
            <v>-</v>
          </cell>
          <cell r="AZF2" t="str">
            <v>-</v>
          </cell>
          <cell r="AZG2" t="str">
            <v>-</v>
          </cell>
          <cell r="AZH2" t="str">
            <v>-</v>
          </cell>
          <cell r="AZI2" t="str">
            <v>-</v>
          </cell>
          <cell r="AZJ2" t="str">
            <v>-</v>
          </cell>
          <cell r="AZK2" t="str">
            <v>-</v>
          </cell>
          <cell r="AZL2" t="str">
            <v>-</v>
          </cell>
          <cell r="AZM2" t="str">
            <v>-</v>
          </cell>
          <cell r="AZN2" t="str">
            <v>-</v>
          </cell>
          <cell r="AZO2" t="str">
            <v>-</v>
          </cell>
          <cell r="AZP2" t="str">
            <v>-</v>
          </cell>
          <cell r="AZQ2" t="str">
            <v>-</v>
          </cell>
          <cell r="AZR2" t="str">
            <v>-</v>
          </cell>
          <cell r="AZS2" t="str">
            <v>-</v>
          </cell>
          <cell r="AZT2" t="str">
            <v>-</v>
          </cell>
          <cell r="AZU2" t="str">
            <v>-</v>
          </cell>
          <cell r="AZV2" t="str">
            <v>-</v>
          </cell>
          <cell r="AZW2" t="str">
            <v>-</v>
          </cell>
          <cell r="AZX2" t="str">
            <v>-</v>
          </cell>
          <cell r="AZY2" t="str">
            <v>-</v>
          </cell>
          <cell r="AZZ2" t="str">
            <v>-</v>
          </cell>
          <cell r="BAA2" t="str">
            <v>-</v>
          </cell>
          <cell r="BAB2" t="str">
            <v>-</v>
          </cell>
          <cell r="BAC2" t="str">
            <v>-</v>
          </cell>
          <cell r="BAD2" t="str">
            <v>-</v>
          </cell>
          <cell r="BAE2" t="str">
            <v>-</v>
          </cell>
          <cell r="BAF2" t="str">
            <v>-</v>
          </cell>
          <cell r="BAG2" t="str">
            <v>-</v>
          </cell>
          <cell r="BAH2" t="str">
            <v>-</v>
          </cell>
          <cell r="BAI2" t="str">
            <v>-</v>
          </cell>
          <cell r="BAJ2" t="str">
            <v>-</v>
          </cell>
          <cell r="BAK2" t="str">
            <v>-</v>
          </cell>
          <cell r="BAL2" t="str">
            <v>-</v>
          </cell>
          <cell r="BAM2" t="str">
            <v>-</v>
          </cell>
          <cell r="BAN2" t="str">
            <v>-</v>
          </cell>
          <cell r="BAO2" t="str">
            <v>-</v>
          </cell>
          <cell r="BAP2" t="str">
            <v>-</v>
          </cell>
          <cell r="BAQ2" t="str">
            <v>-</v>
          </cell>
          <cell r="BAR2" t="str">
            <v>-</v>
          </cell>
          <cell r="BAS2" t="str">
            <v>-</v>
          </cell>
          <cell r="BAT2" t="str">
            <v>-</v>
          </cell>
          <cell r="BAU2" t="str">
            <v>-</v>
          </cell>
          <cell r="BAV2" t="str">
            <v>-</v>
          </cell>
          <cell r="BAW2" t="str">
            <v>-</v>
          </cell>
          <cell r="BAX2" t="str">
            <v>-</v>
          </cell>
          <cell r="BAY2" t="str">
            <v>-</v>
          </cell>
          <cell r="BAZ2" t="str">
            <v>-</v>
          </cell>
          <cell r="BBA2" t="str">
            <v>-</v>
          </cell>
          <cell r="BBB2" t="str">
            <v>-</v>
          </cell>
          <cell r="BBC2" t="str">
            <v>-</v>
          </cell>
          <cell r="BBD2" t="str">
            <v>-</v>
          </cell>
          <cell r="BBE2" t="str">
            <v>-</v>
          </cell>
          <cell r="BBF2" t="str">
            <v>-</v>
          </cell>
          <cell r="BBG2" t="str">
            <v>-</v>
          </cell>
          <cell r="BBH2" t="str">
            <v>-</v>
          </cell>
          <cell r="BBI2" t="str">
            <v>-</v>
          </cell>
          <cell r="BBJ2" t="str">
            <v>-</v>
          </cell>
          <cell r="BBK2" t="str">
            <v>-</v>
          </cell>
          <cell r="BBL2" t="str">
            <v>-</v>
          </cell>
          <cell r="BBM2" t="str">
            <v>-</v>
          </cell>
          <cell r="BBN2" t="str">
            <v>-</v>
          </cell>
          <cell r="BBO2" t="str">
            <v>-</v>
          </cell>
          <cell r="BBP2" t="str">
            <v>-</v>
          </cell>
          <cell r="BBQ2" t="str">
            <v>-</v>
          </cell>
          <cell r="BBR2" t="str">
            <v>-</v>
          </cell>
          <cell r="BBS2" t="str">
            <v>-</v>
          </cell>
          <cell r="BBT2" t="str">
            <v>-</v>
          </cell>
          <cell r="BBU2" t="str">
            <v>-</v>
          </cell>
          <cell r="BBV2" t="str">
            <v>-</v>
          </cell>
          <cell r="BBW2" t="str">
            <v>-</v>
          </cell>
          <cell r="BBX2" t="str">
            <v>-</v>
          </cell>
          <cell r="BBY2" t="str">
            <v>-</v>
          </cell>
          <cell r="BBZ2" t="str">
            <v>-</v>
          </cell>
          <cell r="BCA2" t="str">
            <v>-</v>
          </cell>
          <cell r="BCB2" t="str">
            <v>-</v>
          </cell>
          <cell r="BCC2" t="str">
            <v>-</v>
          </cell>
          <cell r="BCD2" t="str">
            <v>-</v>
          </cell>
          <cell r="BCE2" t="str">
            <v>-</v>
          </cell>
          <cell r="BCF2" t="str">
            <v>-</v>
          </cell>
          <cell r="BCG2" t="str">
            <v>-</v>
          </cell>
          <cell r="BCH2" t="str">
            <v>-</v>
          </cell>
          <cell r="BCI2" t="str">
            <v>-</v>
          </cell>
          <cell r="BCJ2" t="str">
            <v>-</v>
          </cell>
          <cell r="BCK2" t="str">
            <v>-</v>
          </cell>
          <cell r="BCL2" t="str">
            <v>-</v>
          </cell>
          <cell r="BCM2" t="str">
            <v>-</v>
          </cell>
          <cell r="BCN2" t="str">
            <v>-</v>
          </cell>
          <cell r="BCO2" t="str">
            <v>-</v>
          </cell>
          <cell r="BCP2" t="str">
            <v>-</v>
          </cell>
          <cell r="BCQ2" t="str">
            <v>-</v>
          </cell>
          <cell r="BCR2" t="str">
            <v>-</v>
          </cell>
          <cell r="BCS2" t="str">
            <v>-</v>
          </cell>
          <cell r="BCT2" t="str">
            <v>-</v>
          </cell>
          <cell r="BCU2" t="str">
            <v>-</v>
          </cell>
          <cell r="BCV2" t="str">
            <v>-</v>
          </cell>
          <cell r="BCW2" t="str">
            <v>-</v>
          </cell>
          <cell r="BCX2" t="str">
            <v>-</v>
          </cell>
          <cell r="BCY2" t="str">
            <v>-</v>
          </cell>
          <cell r="BCZ2" t="str">
            <v>-</v>
          </cell>
          <cell r="BDA2" t="str">
            <v>-</v>
          </cell>
          <cell r="BDB2" t="str">
            <v>-</v>
          </cell>
          <cell r="BDC2" t="str">
            <v>-</v>
          </cell>
          <cell r="BDD2" t="str">
            <v>-</v>
          </cell>
          <cell r="BDE2" t="str">
            <v>-</v>
          </cell>
          <cell r="BDF2" t="str">
            <v>-</v>
          </cell>
          <cell r="BDG2" t="str">
            <v>-</v>
          </cell>
          <cell r="BDH2" t="str">
            <v>-</v>
          </cell>
          <cell r="BDI2" t="str">
            <v>-</v>
          </cell>
          <cell r="BDJ2" t="str">
            <v>-</v>
          </cell>
          <cell r="BDK2" t="str">
            <v>-</v>
          </cell>
          <cell r="BDL2" t="str">
            <v>-</v>
          </cell>
          <cell r="BDM2" t="str">
            <v>-</v>
          </cell>
          <cell r="BDN2" t="str">
            <v>-</v>
          </cell>
          <cell r="BDO2" t="str">
            <v>-</v>
          </cell>
          <cell r="BDP2" t="str">
            <v>-</v>
          </cell>
          <cell r="BDQ2" t="str">
            <v>-</v>
          </cell>
          <cell r="BDR2" t="str">
            <v>-</v>
          </cell>
          <cell r="BDS2" t="str">
            <v>-</v>
          </cell>
          <cell r="BDT2" t="str">
            <v>-</v>
          </cell>
          <cell r="BDU2" t="str">
            <v>-</v>
          </cell>
          <cell r="BDV2" t="str">
            <v>-</v>
          </cell>
          <cell r="BDW2" t="str">
            <v>-</v>
          </cell>
          <cell r="BDX2" t="str">
            <v>-</v>
          </cell>
          <cell r="BDY2" t="str">
            <v>-</v>
          </cell>
          <cell r="BDZ2" t="str">
            <v>-</v>
          </cell>
          <cell r="BEA2" t="str">
            <v>-</v>
          </cell>
          <cell r="BEB2" t="str">
            <v>-</v>
          </cell>
          <cell r="BEC2" t="str">
            <v>-</v>
          </cell>
          <cell r="BED2" t="str">
            <v>-</v>
          </cell>
          <cell r="BEE2" t="str">
            <v>-</v>
          </cell>
          <cell r="BEF2" t="str">
            <v>-</v>
          </cell>
          <cell r="BEG2" t="str">
            <v>-</v>
          </cell>
          <cell r="BEH2" t="str">
            <v>-</v>
          </cell>
          <cell r="BEI2" t="str">
            <v>-</v>
          </cell>
          <cell r="BEJ2" t="str">
            <v>-</v>
          </cell>
          <cell r="BEK2" t="str">
            <v>-</v>
          </cell>
          <cell r="BEL2" t="str">
            <v>-</v>
          </cell>
          <cell r="BEM2" t="str">
            <v>-</v>
          </cell>
          <cell r="BEN2" t="str">
            <v>-</v>
          </cell>
          <cell r="BEO2" t="str">
            <v>-</v>
          </cell>
          <cell r="BEP2" t="str">
            <v>-</v>
          </cell>
          <cell r="BEQ2" t="str">
            <v>-</v>
          </cell>
          <cell r="BER2" t="str">
            <v>-</v>
          </cell>
          <cell r="BES2" t="str">
            <v>-</v>
          </cell>
          <cell r="BET2" t="str">
            <v>-</v>
          </cell>
          <cell r="BEU2" t="str">
            <v>-</v>
          </cell>
          <cell r="BEV2" t="str">
            <v>-</v>
          </cell>
          <cell r="BEW2" t="str">
            <v>-</v>
          </cell>
          <cell r="BEX2" t="str">
            <v>-</v>
          </cell>
          <cell r="BEY2" t="str">
            <v>-</v>
          </cell>
          <cell r="BEZ2" t="str">
            <v>-</v>
          </cell>
          <cell r="BFA2" t="str">
            <v>-</v>
          </cell>
          <cell r="BFB2" t="str">
            <v>-</v>
          </cell>
          <cell r="BFC2" t="str">
            <v>-</v>
          </cell>
          <cell r="BFD2" t="str">
            <v>-</v>
          </cell>
          <cell r="BFE2" t="str">
            <v>-</v>
          </cell>
          <cell r="BFF2" t="str">
            <v>-</v>
          </cell>
          <cell r="BFG2" t="str">
            <v>-</v>
          </cell>
          <cell r="BFH2" t="str">
            <v>-</v>
          </cell>
          <cell r="BFI2" t="str">
            <v>-</v>
          </cell>
          <cell r="BFJ2" t="str">
            <v>-</v>
          </cell>
          <cell r="BFK2" t="str">
            <v>-</v>
          </cell>
          <cell r="BFL2" t="str">
            <v>-</v>
          </cell>
          <cell r="BFM2" t="str">
            <v>-</v>
          </cell>
          <cell r="BFN2" t="str">
            <v>-</v>
          </cell>
          <cell r="BFO2" t="str">
            <v>-</v>
          </cell>
          <cell r="BFP2" t="str">
            <v>-</v>
          </cell>
          <cell r="BFQ2" t="str">
            <v>-</v>
          </cell>
          <cell r="BFR2" t="str">
            <v>-</v>
          </cell>
          <cell r="BFS2" t="str">
            <v>-</v>
          </cell>
          <cell r="BFT2" t="str">
            <v>-</v>
          </cell>
          <cell r="BFU2" t="str">
            <v>-</v>
          </cell>
          <cell r="BFV2" t="str">
            <v>-</v>
          </cell>
          <cell r="BFW2" t="str">
            <v>-</v>
          </cell>
          <cell r="BFX2" t="str">
            <v>-</v>
          </cell>
          <cell r="BFY2" t="str">
            <v>-</v>
          </cell>
          <cell r="BFZ2" t="str">
            <v>-</v>
          </cell>
          <cell r="BGA2" t="str">
            <v>-</v>
          </cell>
          <cell r="BGB2" t="str">
            <v>-</v>
          </cell>
          <cell r="BGC2" t="str">
            <v>-</v>
          </cell>
          <cell r="BGD2" t="str">
            <v>-</v>
          </cell>
          <cell r="BGE2" t="str">
            <v>-</v>
          </cell>
          <cell r="BGF2" t="str">
            <v>-</v>
          </cell>
          <cell r="BGG2" t="str">
            <v>-</v>
          </cell>
          <cell r="BGH2" t="str">
            <v>-</v>
          </cell>
          <cell r="BGI2" t="str">
            <v>-</v>
          </cell>
          <cell r="BGJ2" t="str">
            <v>-</v>
          </cell>
          <cell r="BGK2" t="str">
            <v>-</v>
          </cell>
          <cell r="BGL2" t="str">
            <v>-</v>
          </cell>
          <cell r="BGM2" t="str">
            <v>-</v>
          </cell>
          <cell r="BGN2" t="str">
            <v>-</v>
          </cell>
          <cell r="BGO2" t="str">
            <v>-</v>
          </cell>
          <cell r="BGP2" t="str">
            <v>-</v>
          </cell>
          <cell r="BGQ2" t="str">
            <v>-</v>
          </cell>
          <cell r="BGR2" t="str">
            <v>-</v>
          </cell>
          <cell r="BGS2" t="str">
            <v>-</v>
          </cell>
          <cell r="BGT2" t="str">
            <v>-</v>
          </cell>
          <cell r="BGU2" t="str">
            <v>-</v>
          </cell>
          <cell r="BGV2" t="str">
            <v>-</v>
          </cell>
          <cell r="BGW2" t="str">
            <v>-</v>
          </cell>
          <cell r="BGX2" t="str">
            <v>-</v>
          </cell>
          <cell r="BGY2" t="str">
            <v>-</v>
          </cell>
          <cell r="BGZ2" t="str">
            <v>-</v>
          </cell>
          <cell r="BHA2" t="str">
            <v>-</v>
          </cell>
          <cell r="BHB2" t="str">
            <v>-</v>
          </cell>
          <cell r="BHC2" t="str">
            <v>-</v>
          </cell>
          <cell r="BHD2" t="str">
            <v>-</v>
          </cell>
          <cell r="BHE2" t="str">
            <v>-</v>
          </cell>
          <cell r="BHF2" t="str">
            <v>-</v>
          </cell>
          <cell r="BHG2" t="str">
            <v>-</v>
          </cell>
          <cell r="BHH2" t="str">
            <v>-</v>
          </cell>
          <cell r="BHI2" t="str">
            <v>-</v>
          </cell>
          <cell r="BHJ2" t="str">
            <v>-</v>
          </cell>
          <cell r="BHK2" t="str">
            <v>-</v>
          </cell>
          <cell r="BHL2" t="str">
            <v>-</v>
          </cell>
          <cell r="BHM2" t="str">
            <v>-</v>
          </cell>
          <cell r="BHN2" t="str">
            <v>-</v>
          </cell>
          <cell r="BHO2" t="str">
            <v>-</v>
          </cell>
          <cell r="BHP2" t="str">
            <v>-</v>
          </cell>
          <cell r="BHQ2" t="str">
            <v>-</v>
          </cell>
          <cell r="BHR2" t="str">
            <v>-</v>
          </cell>
          <cell r="BHS2" t="str">
            <v>-</v>
          </cell>
          <cell r="BHT2" t="str">
            <v>-</v>
          </cell>
          <cell r="BHU2" t="str">
            <v>-</v>
          </cell>
          <cell r="BHV2" t="str">
            <v>-</v>
          </cell>
          <cell r="BHW2" t="str">
            <v>-</v>
          </cell>
          <cell r="BHX2" t="str">
            <v>-</v>
          </cell>
          <cell r="BHY2" t="str">
            <v>-</v>
          </cell>
          <cell r="BHZ2" t="str">
            <v>-</v>
          </cell>
          <cell r="BIA2" t="str">
            <v>-</v>
          </cell>
          <cell r="BIB2" t="str">
            <v>-</v>
          </cell>
          <cell r="BIC2" t="str">
            <v>-</v>
          </cell>
          <cell r="BID2" t="str">
            <v>-</v>
          </cell>
          <cell r="BIE2" t="str">
            <v>-</v>
          </cell>
          <cell r="BIF2" t="str">
            <v>-</v>
          </cell>
          <cell r="BIG2" t="str">
            <v>-</v>
          </cell>
          <cell r="BIH2" t="str">
            <v>-</v>
          </cell>
          <cell r="BII2" t="str">
            <v>-</v>
          </cell>
          <cell r="BIJ2" t="str">
            <v>-</v>
          </cell>
          <cell r="BIK2" t="str">
            <v>-</v>
          </cell>
          <cell r="BIL2" t="str">
            <v>-</v>
          </cell>
          <cell r="BIM2" t="str">
            <v>-</v>
          </cell>
          <cell r="BIN2" t="str">
            <v>-</v>
          </cell>
          <cell r="BIO2" t="str">
            <v>-</v>
          </cell>
          <cell r="BIP2" t="str">
            <v>-</v>
          </cell>
          <cell r="BIQ2" t="str">
            <v>-</v>
          </cell>
          <cell r="BIR2" t="str">
            <v>-</v>
          </cell>
          <cell r="BIS2" t="str">
            <v>-</v>
          </cell>
          <cell r="BIT2" t="str">
            <v>-</v>
          </cell>
          <cell r="BIU2" t="str">
            <v>-</v>
          </cell>
          <cell r="BIV2" t="str">
            <v>-</v>
          </cell>
          <cell r="BIW2" t="str">
            <v>-</v>
          </cell>
          <cell r="BIX2" t="str">
            <v>-</v>
          </cell>
          <cell r="BIY2" t="str">
            <v>-</v>
          </cell>
          <cell r="BIZ2" t="str">
            <v>-</v>
          </cell>
          <cell r="BJA2" t="str">
            <v>-</v>
          </cell>
          <cell r="BJB2" t="str">
            <v>-</v>
          </cell>
          <cell r="BJC2" t="str">
            <v>-</v>
          </cell>
          <cell r="BJD2" t="str">
            <v>-</v>
          </cell>
          <cell r="BJE2" t="str">
            <v>-</v>
          </cell>
          <cell r="BJF2" t="str">
            <v>-</v>
          </cell>
          <cell r="BJG2" t="str">
            <v>-</v>
          </cell>
          <cell r="BJH2" t="str">
            <v>-</v>
          </cell>
          <cell r="BJI2" t="str">
            <v>-</v>
          </cell>
          <cell r="BJJ2" t="str">
            <v>-</v>
          </cell>
          <cell r="BJK2" t="str">
            <v>-</v>
          </cell>
          <cell r="BJL2" t="str">
            <v>-</v>
          </cell>
          <cell r="BJM2" t="str">
            <v>-</v>
          </cell>
          <cell r="BJN2" t="str">
            <v>-</v>
          </cell>
          <cell r="BJO2" t="str">
            <v>-</v>
          </cell>
          <cell r="BJP2" t="str">
            <v>-</v>
          </cell>
          <cell r="BJQ2" t="str">
            <v>-</v>
          </cell>
          <cell r="BJR2" t="str">
            <v>-</v>
          </cell>
          <cell r="BJS2" t="str">
            <v>-</v>
          </cell>
          <cell r="BJT2" t="str">
            <v>-</v>
          </cell>
          <cell r="BJU2" t="str">
            <v>-</v>
          </cell>
          <cell r="BJV2" t="str">
            <v>-</v>
          </cell>
          <cell r="BJW2" t="str">
            <v>-</v>
          </cell>
          <cell r="BJX2" t="str">
            <v>-</v>
          </cell>
          <cell r="BJY2" t="str">
            <v>-</v>
          </cell>
          <cell r="BJZ2" t="str">
            <v>-</v>
          </cell>
          <cell r="BKA2" t="str">
            <v>-</v>
          </cell>
          <cell r="BKB2" t="str">
            <v>-</v>
          </cell>
          <cell r="BKC2" t="str">
            <v>-</v>
          </cell>
          <cell r="BKD2" t="str">
            <v>-</v>
          </cell>
          <cell r="BKE2" t="str">
            <v>-</v>
          </cell>
          <cell r="BKF2" t="str">
            <v>-</v>
          </cell>
          <cell r="BKG2" t="str">
            <v>-</v>
          </cell>
          <cell r="BKH2" t="str">
            <v>-</v>
          </cell>
          <cell r="BKI2" t="str">
            <v>-</v>
          </cell>
          <cell r="BKJ2" t="str">
            <v>-</v>
          </cell>
          <cell r="BKK2" t="str">
            <v>-</v>
          </cell>
          <cell r="BKL2" t="str">
            <v>-</v>
          </cell>
          <cell r="BKM2" t="str">
            <v>-</v>
          </cell>
          <cell r="BKN2" t="str">
            <v>-</v>
          </cell>
          <cell r="BKO2" t="str">
            <v>-</v>
          </cell>
          <cell r="BKP2" t="str">
            <v>-</v>
          </cell>
          <cell r="BKQ2" t="str">
            <v>-</v>
          </cell>
          <cell r="BKR2" t="str">
            <v>-</v>
          </cell>
          <cell r="BKS2" t="str">
            <v>-</v>
          </cell>
          <cell r="BKT2" t="str">
            <v>-</v>
          </cell>
          <cell r="BKU2" t="str">
            <v>-</v>
          </cell>
          <cell r="BKV2" t="str">
            <v>-</v>
          </cell>
          <cell r="BKW2" t="str">
            <v>-</v>
          </cell>
          <cell r="BKX2" t="str">
            <v>-</v>
          </cell>
          <cell r="BKY2" t="str">
            <v>-</v>
          </cell>
          <cell r="BKZ2" t="str">
            <v>-</v>
          </cell>
          <cell r="BLA2" t="str">
            <v>-</v>
          </cell>
          <cell r="BLB2" t="str">
            <v>-</v>
          </cell>
          <cell r="BLC2" t="str">
            <v>-</v>
          </cell>
          <cell r="BLD2" t="str">
            <v>-</v>
          </cell>
          <cell r="BLE2" t="str">
            <v>-</v>
          </cell>
          <cell r="BLF2" t="str">
            <v>-</v>
          </cell>
          <cell r="BLG2" t="str">
            <v>-</v>
          </cell>
          <cell r="BLH2" t="str">
            <v>-</v>
          </cell>
          <cell r="BLI2" t="str">
            <v>-</v>
          </cell>
          <cell r="BLJ2" t="str">
            <v>-</v>
          </cell>
          <cell r="BLK2" t="str">
            <v>-</v>
          </cell>
          <cell r="BLL2" t="str">
            <v>-</v>
          </cell>
          <cell r="BLM2" t="str">
            <v>-</v>
          </cell>
          <cell r="BLN2" t="str">
            <v>-</v>
          </cell>
          <cell r="BLO2" t="str">
            <v>-</v>
          </cell>
          <cell r="BLP2" t="str">
            <v>-</v>
          </cell>
          <cell r="BLQ2" t="str">
            <v>-</v>
          </cell>
          <cell r="BLR2" t="str">
            <v>-</v>
          </cell>
          <cell r="BLS2" t="str">
            <v>-</v>
          </cell>
          <cell r="BLT2" t="str">
            <v>-</v>
          </cell>
          <cell r="BLU2" t="str">
            <v>-</v>
          </cell>
          <cell r="BLV2" t="str">
            <v>-</v>
          </cell>
          <cell r="BLW2" t="str">
            <v>-</v>
          </cell>
          <cell r="BLX2" t="str">
            <v>-</v>
          </cell>
          <cell r="BLY2" t="str">
            <v>-</v>
          </cell>
          <cell r="BLZ2" t="str">
            <v>-</v>
          </cell>
          <cell r="BMA2" t="str">
            <v>-</v>
          </cell>
          <cell r="BMB2" t="str">
            <v>-</v>
          </cell>
          <cell r="BMC2" t="str">
            <v>-</v>
          </cell>
          <cell r="BMD2" t="str">
            <v>-</v>
          </cell>
          <cell r="BME2" t="str">
            <v>-</v>
          </cell>
          <cell r="BMF2" t="str">
            <v>-</v>
          </cell>
          <cell r="BMG2" t="str">
            <v>-</v>
          </cell>
          <cell r="BMH2" t="str">
            <v>-</v>
          </cell>
          <cell r="BMI2" t="str">
            <v>-</v>
          </cell>
          <cell r="BMJ2" t="str">
            <v>-</v>
          </cell>
          <cell r="BMK2" t="str">
            <v>-</v>
          </cell>
          <cell r="BML2" t="str">
            <v>-</v>
          </cell>
          <cell r="BMM2" t="str">
            <v>-</v>
          </cell>
          <cell r="BMN2" t="str">
            <v>-</v>
          </cell>
          <cell r="BMO2" t="str">
            <v>-</v>
          </cell>
          <cell r="BMP2" t="str">
            <v>-</v>
          </cell>
          <cell r="BMQ2" t="str">
            <v>-</v>
          </cell>
          <cell r="BMR2" t="str">
            <v>-</v>
          </cell>
          <cell r="BMS2" t="str">
            <v>-</v>
          </cell>
          <cell r="BMT2" t="str">
            <v>-</v>
          </cell>
          <cell r="BMU2" t="str">
            <v>-</v>
          </cell>
          <cell r="BMV2" t="str">
            <v>-</v>
          </cell>
          <cell r="BMW2" t="str">
            <v>-</v>
          </cell>
          <cell r="BMX2" t="str">
            <v>-</v>
          </cell>
          <cell r="BMY2" t="str">
            <v>-</v>
          </cell>
          <cell r="BMZ2" t="str">
            <v>-</v>
          </cell>
          <cell r="BNA2" t="str">
            <v>-</v>
          </cell>
          <cell r="BNB2" t="str">
            <v>-</v>
          </cell>
          <cell r="BNC2" t="str">
            <v>-</v>
          </cell>
          <cell r="BND2" t="str">
            <v>-</v>
          </cell>
          <cell r="BNE2" t="str">
            <v>-</v>
          </cell>
          <cell r="BNF2" t="str">
            <v>-</v>
          </cell>
          <cell r="BNG2" t="str">
            <v>-</v>
          </cell>
          <cell r="BNH2" t="str">
            <v>-</v>
          </cell>
          <cell r="BNI2" t="str">
            <v>-</v>
          </cell>
          <cell r="BNJ2" t="str">
            <v>-</v>
          </cell>
          <cell r="BNK2" t="str">
            <v>-</v>
          </cell>
          <cell r="BNL2" t="str">
            <v>-</v>
          </cell>
          <cell r="BNM2" t="str">
            <v>-</v>
          </cell>
          <cell r="BNN2" t="str">
            <v>-</v>
          </cell>
          <cell r="BNO2" t="str">
            <v>-</v>
          </cell>
          <cell r="BNP2" t="str">
            <v>-</v>
          </cell>
          <cell r="BNQ2" t="str">
            <v>-</v>
          </cell>
          <cell r="BNR2" t="str">
            <v>-</v>
          </cell>
          <cell r="BNS2" t="str">
            <v>-</v>
          </cell>
          <cell r="BNT2" t="str">
            <v>-</v>
          </cell>
          <cell r="BNU2" t="str">
            <v>-</v>
          </cell>
          <cell r="BNV2" t="str">
            <v>-</v>
          </cell>
          <cell r="BNW2" t="str">
            <v>-</v>
          </cell>
          <cell r="BNX2" t="str">
            <v>-</v>
          </cell>
          <cell r="BNY2" t="str">
            <v>-</v>
          </cell>
          <cell r="BNZ2" t="str">
            <v>-</v>
          </cell>
          <cell r="BOA2" t="str">
            <v>-</v>
          </cell>
          <cell r="BOB2" t="str">
            <v>-</v>
          </cell>
          <cell r="BOC2" t="str">
            <v>-</v>
          </cell>
          <cell r="BOD2" t="str">
            <v>-</v>
          </cell>
          <cell r="BOE2" t="str">
            <v>-</v>
          </cell>
          <cell r="BOF2" t="str">
            <v>-</v>
          </cell>
          <cell r="BOG2" t="str">
            <v>-</v>
          </cell>
          <cell r="BOH2" t="str">
            <v>-</v>
          </cell>
          <cell r="BOI2" t="str">
            <v>-</v>
          </cell>
          <cell r="BOJ2" t="str">
            <v>-</v>
          </cell>
          <cell r="BOK2" t="str">
            <v>-</v>
          </cell>
          <cell r="BOL2" t="str">
            <v>-</v>
          </cell>
          <cell r="BOM2" t="str">
            <v>-</v>
          </cell>
          <cell r="BON2" t="str">
            <v>-</v>
          </cell>
          <cell r="BOO2" t="str">
            <v>-</v>
          </cell>
          <cell r="BOP2" t="str">
            <v>-</v>
          </cell>
          <cell r="BOQ2" t="str">
            <v>-</v>
          </cell>
          <cell r="BOR2" t="str">
            <v>-</v>
          </cell>
          <cell r="BOS2" t="str">
            <v>-</v>
          </cell>
          <cell r="BOT2" t="str">
            <v>-</v>
          </cell>
          <cell r="BOU2" t="str">
            <v>-</v>
          </cell>
          <cell r="BOV2" t="str">
            <v>-</v>
          </cell>
          <cell r="BOW2" t="str">
            <v>-</v>
          </cell>
          <cell r="BOX2" t="str">
            <v>-</v>
          </cell>
          <cell r="BOY2" t="str">
            <v>-</v>
          </cell>
          <cell r="BOZ2" t="str">
            <v>-</v>
          </cell>
          <cell r="BPA2" t="str">
            <v>-</v>
          </cell>
          <cell r="BPB2" t="str">
            <v>-</v>
          </cell>
          <cell r="BPC2" t="str">
            <v>-</v>
          </cell>
          <cell r="BPD2" t="str">
            <v>-</v>
          </cell>
          <cell r="BPE2" t="str">
            <v>-</v>
          </cell>
          <cell r="BPF2" t="str">
            <v>-</v>
          </cell>
          <cell r="BPG2" t="str">
            <v>-</v>
          </cell>
          <cell r="BPH2" t="str">
            <v>-</v>
          </cell>
          <cell r="BPI2" t="str">
            <v>-</v>
          </cell>
          <cell r="BPJ2" t="str">
            <v>-</v>
          </cell>
          <cell r="BPK2" t="str">
            <v>-</v>
          </cell>
          <cell r="BPL2" t="str">
            <v>-</v>
          </cell>
          <cell r="BPM2" t="str">
            <v>-</v>
          </cell>
          <cell r="BPN2" t="str">
            <v>-</v>
          </cell>
          <cell r="BPO2" t="str">
            <v>-</v>
          </cell>
          <cell r="BPP2" t="str">
            <v>-</v>
          </cell>
          <cell r="BPQ2" t="str">
            <v>-</v>
          </cell>
          <cell r="BPR2" t="str">
            <v>-</v>
          </cell>
          <cell r="BPS2" t="str">
            <v>-</v>
          </cell>
          <cell r="BPT2" t="str">
            <v>-</v>
          </cell>
          <cell r="BPU2" t="str">
            <v>-</v>
          </cell>
          <cell r="BPV2" t="str">
            <v>-</v>
          </cell>
          <cell r="BPW2" t="str">
            <v>-</v>
          </cell>
          <cell r="BPX2" t="str">
            <v>-</v>
          </cell>
          <cell r="BPY2" t="str">
            <v>-</v>
          </cell>
          <cell r="BPZ2" t="str">
            <v>-</v>
          </cell>
          <cell r="BQA2" t="str">
            <v>-</v>
          </cell>
          <cell r="BQB2" t="str">
            <v>-</v>
          </cell>
          <cell r="BQC2" t="str">
            <v>-</v>
          </cell>
          <cell r="BQD2" t="str">
            <v>-</v>
          </cell>
          <cell r="BQE2" t="str">
            <v>-</v>
          </cell>
          <cell r="BQF2" t="str">
            <v>-</v>
          </cell>
          <cell r="BQG2" t="str">
            <v>-</v>
          </cell>
          <cell r="BQH2" t="str">
            <v>-</v>
          </cell>
          <cell r="BQI2" t="str">
            <v>-</v>
          </cell>
          <cell r="BQJ2" t="str">
            <v>-</v>
          </cell>
          <cell r="BQK2" t="str">
            <v>-</v>
          </cell>
          <cell r="BQL2" t="str">
            <v>-</v>
          </cell>
          <cell r="BQM2" t="str">
            <v>-</v>
          </cell>
          <cell r="BQN2" t="str">
            <v>-</v>
          </cell>
          <cell r="BQO2" t="str">
            <v>-</v>
          </cell>
          <cell r="BQP2" t="str">
            <v>-</v>
          </cell>
          <cell r="BQQ2" t="str">
            <v>-</v>
          </cell>
          <cell r="BQR2" t="str">
            <v>-</v>
          </cell>
          <cell r="BQS2" t="str">
            <v>-</v>
          </cell>
          <cell r="BQT2" t="str">
            <v>-</v>
          </cell>
          <cell r="BQU2" t="str">
            <v>-</v>
          </cell>
          <cell r="BQV2" t="str">
            <v>-</v>
          </cell>
          <cell r="BQW2" t="str">
            <v>-</v>
          </cell>
          <cell r="BQX2" t="str">
            <v>-</v>
          </cell>
          <cell r="BQY2" t="str">
            <v>-</v>
          </cell>
          <cell r="BQZ2" t="str">
            <v>-</v>
          </cell>
          <cell r="BRA2" t="str">
            <v>-</v>
          </cell>
          <cell r="BRB2" t="str">
            <v>-</v>
          </cell>
          <cell r="BRC2" t="str">
            <v>-</v>
          </cell>
          <cell r="BRD2" t="str">
            <v>-</v>
          </cell>
          <cell r="BRE2" t="str">
            <v>-</v>
          </cell>
          <cell r="BRF2" t="str">
            <v>-</v>
          </cell>
          <cell r="BRG2" t="str">
            <v>-</v>
          </cell>
          <cell r="BRH2" t="str">
            <v>-</v>
          </cell>
          <cell r="BRI2" t="str">
            <v>-</v>
          </cell>
          <cell r="BRJ2" t="str">
            <v>-</v>
          </cell>
          <cell r="BRK2" t="str">
            <v>-</v>
          </cell>
          <cell r="BRL2" t="str">
            <v>-</v>
          </cell>
          <cell r="BRM2" t="str">
            <v>-</v>
          </cell>
          <cell r="BRN2" t="str">
            <v>-</v>
          </cell>
          <cell r="BRO2" t="str">
            <v>-</v>
          </cell>
          <cell r="BRP2" t="str">
            <v>-</v>
          </cell>
          <cell r="BRQ2" t="str">
            <v>-</v>
          </cell>
          <cell r="BRR2" t="str">
            <v>-</v>
          </cell>
          <cell r="BRS2" t="str">
            <v>-</v>
          </cell>
          <cell r="BRT2" t="str">
            <v>-</v>
          </cell>
          <cell r="BRU2" t="str">
            <v>-</v>
          </cell>
          <cell r="BRV2" t="str">
            <v>-</v>
          </cell>
          <cell r="BRW2" t="str">
            <v>-</v>
          </cell>
          <cell r="BRX2" t="str">
            <v>-</v>
          </cell>
          <cell r="BRY2" t="str">
            <v>-</v>
          </cell>
          <cell r="BRZ2" t="str">
            <v>-</v>
          </cell>
          <cell r="BSA2" t="str">
            <v>-</v>
          </cell>
          <cell r="BSB2" t="str">
            <v>-</v>
          </cell>
          <cell r="BSC2" t="str">
            <v>-</v>
          </cell>
          <cell r="BSD2" t="str">
            <v>-</v>
          </cell>
          <cell r="BSE2" t="str">
            <v>-</v>
          </cell>
          <cell r="BSF2" t="str">
            <v>-</v>
          </cell>
          <cell r="BSG2" t="str">
            <v>-</v>
          </cell>
          <cell r="BSH2" t="str">
            <v>-</v>
          </cell>
          <cell r="BSI2" t="str">
            <v>-</v>
          </cell>
          <cell r="BSJ2" t="str">
            <v>-</v>
          </cell>
          <cell r="BSK2" t="str">
            <v>-</v>
          </cell>
          <cell r="BSL2" t="str">
            <v>-</v>
          </cell>
          <cell r="BSM2" t="str">
            <v>-</v>
          </cell>
          <cell r="BSN2" t="str">
            <v>-</v>
          </cell>
          <cell r="BSO2" t="str">
            <v>-</v>
          </cell>
          <cell r="BSP2" t="str">
            <v>-</v>
          </cell>
          <cell r="BSQ2" t="str">
            <v>-</v>
          </cell>
          <cell r="BSR2" t="str">
            <v>-</v>
          </cell>
          <cell r="BSS2" t="str">
            <v>-</v>
          </cell>
          <cell r="BST2" t="str">
            <v>-</v>
          </cell>
          <cell r="BSU2" t="str">
            <v>-</v>
          </cell>
          <cell r="BSV2" t="str">
            <v>-</v>
          </cell>
          <cell r="BSW2" t="str">
            <v>-</v>
          </cell>
          <cell r="BSX2" t="str">
            <v>-</v>
          </cell>
          <cell r="BSY2" t="str">
            <v>-</v>
          </cell>
          <cell r="BSZ2" t="str">
            <v>-</v>
          </cell>
          <cell r="BTA2" t="str">
            <v>-</v>
          </cell>
          <cell r="BTB2" t="str">
            <v>-</v>
          </cell>
          <cell r="BTC2" t="str">
            <v>-</v>
          </cell>
          <cell r="BTD2" t="str">
            <v>-</v>
          </cell>
          <cell r="BTE2" t="str">
            <v>-</v>
          </cell>
          <cell r="BTF2" t="str">
            <v>-</v>
          </cell>
          <cell r="BTG2" t="str">
            <v>-</v>
          </cell>
          <cell r="BTH2" t="str">
            <v>-</v>
          </cell>
          <cell r="BTI2" t="str">
            <v>-</v>
          </cell>
          <cell r="BTJ2" t="str">
            <v>-</v>
          </cell>
          <cell r="BTK2" t="str">
            <v>-</v>
          </cell>
          <cell r="BTL2" t="str">
            <v>-</v>
          </cell>
          <cell r="BTM2" t="str">
            <v>-</v>
          </cell>
          <cell r="BTN2" t="str">
            <v>-</v>
          </cell>
          <cell r="BTO2" t="str">
            <v>-</v>
          </cell>
          <cell r="BTP2" t="str">
            <v>-</v>
          </cell>
          <cell r="BTQ2" t="str">
            <v>-</v>
          </cell>
          <cell r="BTR2" t="str">
            <v>-</v>
          </cell>
          <cell r="BTS2" t="str">
            <v>-</v>
          </cell>
          <cell r="BTT2" t="str">
            <v>-</v>
          </cell>
          <cell r="BTU2" t="str">
            <v>-</v>
          </cell>
          <cell r="BTV2" t="str">
            <v>-</v>
          </cell>
          <cell r="BTW2" t="str">
            <v>-</v>
          </cell>
          <cell r="BTX2" t="str">
            <v>-</v>
          </cell>
          <cell r="BTY2" t="str">
            <v>-</v>
          </cell>
          <cell r="BTZ2" t="str">
            <v>-</v>
          </cell>
          <cell r="BUA2" t="str">
            <v>-</v>
          </cell>
          <cell r="BUB2" t="str">
            <v>-</v>
          </cell>
          <cell r="BUC2" t="str">
            <v>-</v>
          </cell>
          <cell r="BUD2" t="str">
            <v>-</v>
          </cell>
          <cell r="BUE2" t="str">
            <v>-</v>
          </cell>
          <cell r="BUF2" t="str">
            <v>-</v>
          </cell>
          <cell r="BUG2" t="str">
            <v>-</v>
          </cell>
          <cell r="BUH2" t="str">
            <v>-</v>
          </cell>
          <cell r="BUI2" t="str">
            <v>-</v>
          </cell>
          <cell r="BUJ2" t="str">
            <v>-</v>
          </cell>
          <cell r="BUK2" t="str">
            <v>-</v>
          </cell>
          <cell r="BUL2" t="str">
            <v>-</v>
          </cell>
          <cell r="BUM2" t="str">
            <v>-</v>
          </cell>
          <cell r="BUN2" t="str">
            <v>-</v>
          </cell>
          <cell r="BUO2" t="str">
            <v>-</v>
          </cell>
          <cell r="BUP2" t="str">
            <v>-</v>
          </cell>
          <cell r="BUQ2" t="str">
            <v>-</v>
          </cell>
          <cell r="BUR2" t="str">
            <v>-</v>
          </cell>
          <cell r="BUS2" t="str">
            <v>-</v>
          </cell>
          <cell r="BUT2" t="str">
            <v>-</v>
          </cell>
          <cell r="BUU2" t="str">
            <v>-</v>
          </cell>
          <cell r="BUV2" t="str">
            <v>-</v>
          </cell>
          <cell r="BUW2" t="str">
            <v>-</v>
          </cell>
          <cell r="BUX2" t="str">
            <v>-</v>
          </cell>
          <cell r="BUY2" t="str">
            <v>-</v>
          </cell>
          <cell r="BUZ2" t="str">
            <v>-</v>
          </cell>
          <cell r="BVA2" t="str">
            <v>-</v>
          </cell>
          <cell r="BVB2" t="str">
            <v>-</v>
          </cell>
          <cell r="BVC2" t="str">
            <v>-</v>
          </cell>
          <cell r="BVD2" t="str">
            <v>-</v>
          </cell>
          <cell r="BVE2" t="str">
            <v>-</v>
          </cell>
          <cell r="BVF2" t="str">
            <v>-</v>
          </cell>
          <cell r="BVG2" t="str">
            <v>-</v>
          </cell>
          <cell r="BVH2" t="str">
            <v>-</v>
          </cell>
          <cell r="BVI2" t="str">
            <v>-</v>
          </cell>
          <cell r="BVJ2" t="str">
            <v>-</v>
          </cell>
          <cell r="BVK2" t="str">
            <v>-</v>
          </cell>
          <cell r="BVL2" t="str">
            <v>-</v>
          </cell>
          <cell r="BVM2" t="str">
            <v>-</v>
          </cell>
          <cell r="BVN2" t="str">
            <v>-</v>
          </cell>
          <cell r="BVO2" t="str">
            <v>-</v>
          </cell>
          <cell r="BVP2" t="str">
            <v>-</v>
          </cell>
          <cell r="BVQ2" t="str">
            <v>-</v>
          </cell>
          <cell r="BVR2" t="str">
            <v>-</v>
          </cell>
          <cell r="BVS2" t="str">
            <v>-</v>
          </cell>
          <cell r="BVT2" t="str">
            <v>-</v>
          </cell>
          <cell r="BVU2" t="str">
            <v>-</v>
          </cell>
          <cell r="BVV2" t="str">
            <v>-</v>
          </cell>
          <cell r="BVW2" t="str">
            <v>-</v>
          </cell>
          <cell r="BVX2" t="str">
            <v>-</v>
          </cell>
          <cell r="BVY2" t="str">
            <v>-</v>
          </cell>
          <cell r="BVZ2" t="str">
            <v>-</v>
          </cell>
          <cell r="BWA2" t="str">
            <v>-</v>
          </cell>
          <cell r="BWB2" t="str">
            <v>-</v>
          </cell>
          <cell r="BWC2" t="str">
            <v>-</v>
          </cell>
          <cell r="BWD2" t="str">
            <v>-</v>
          </cell>
          <cell r="BWE2" t="str">
            <v>-</v>
          </cell>
          <cell r="BWF2" t="str">
            <v>-</v>
          </cell>
          <cell r="BWG2" t="str">
            <v>-</v>
          </cell>
          <cell r="BWH2" t="str">
            <v>-</v>
          </cell>
          <cell r="BWI2" t="str">
            <v>-</v>
          </cell>
          <cell r="BWJ2" t="str">
            <v>-</v>
          </cell>
          <cell r="BWK2" t="str">
            <v>-</v>
          </cell>
          <cell r="BWL2" t="str">
            <v>-</v>
          </cell>
          <cell r="BWM2" t="str">
            <v>-</v>
          </cell>
          <cell r="BWN2" t="str">
            <v>-</v>
          </cell>
          <cell r="BWO2" t="str">
            <v>-</v>
          </cell>
          <cell r="BWP2" t="str">
            <v>-</v>
          </cell>
          <cell r="BWQ2" t="str">
            <v>-</v>
          </cell>
          <cell r="BWR2" t="str">
            <v>-</v>
          </cell>
          <cell r="BWS2" t="str">
            <v>-</v>
          </cell>
          <cell r="BWT2" t="str">
            <v>-</v>
          </cell>
          <cell r="BWU2" t="str">
            <v>-</v>
          </cell>
          <cell r="BWV2" t="str">
            <v>-</v>
          </cell>
          <cell r="BWW2" t="str">
            <v>-</v>
          </cell>
          <cell r="BWX2" t="str">
            <v>-</v>
          </cell>
          <cell r="BWY2" t="str">
            <v>-</v>
          </cell>
          <cell r="BWZ2" t="str">
            <v>-</v>
          </cell>
          <cell r="BXA2" t="str">
            <v>-</v>
          </cell>
          <cell r="BXB2" t="str">
            <v>-</v>
          </cell>
          <cell r="BXC2" t="str">
            <v>-</v>
          </cell>
          <cell r="BXD2" t="str">
            <v>-</v>
          </cell>
          <cell r="BXE2" t="str">
            <v>-</v>
          </cell>
          <cell r="BXF2" t="str">
            <v>-</v>
          </cell>
          <cell r="BXG2" t="str">
            <v>-</v>
          </cell>
          <cell r="BXH2" t="str">
            <v>-</v>
          </cell>
          <cell r="BXI2" t="str">
            <v>-</v>
          </cell>
          <cell r="BXJ2" t="str">
            <v>-</v>
          </cell>
          <cell r="BXK2" t="str">
            <v>-</v>
          </cell>
          <cell r="BXL2" t="str">
            <v>-</v>
          </cell>
          <cell r="BXM2" t="str">
            <v>-</v>
          </cell>
          <cell r="BXN2" t="str">
            <v>-</v>
          </cell>
          <cell r="BXO2" t="str">
            <v>-</v>
          </cell>
          <cell r="BXP2" t="str">
            <v>-</v>
          </cell>
          <cell r="BXQ2" t="str">
            <v>-</v>
          </cell>
          <cell r="BXR2" t="str">
            <v>-</v>
          </cell>
          <cell r="BXS2" t="str">
            <v>-</v>
          </cell>
          <cell r="BXT2" t="str">
            <v>-</v>
          </cell>
          <cell r="BXU2" t="str">
            <v>-</v>
          </cell>
          <cell r="BXV2" t="str">
            <v>-</v>
          </cell>
          <cell r="BXW2" t="str">
            <v>-</v>
          </cell>
          <cell r="BXX2" t="str">
            <v>-</v>
          </cell>
          <cell r="BXY2" t="str">
            <v>-</v>
          </cell>
          <cell r="BXZ2" t="str">
            <v>-</v>
          </cell>
          <cell r="BYA2" t="str">
            <v>-</v>
          </cell>
          <cell r="BYB2" t="str">
            <v>-</v>
          </cell>
          <cell r="BYC2" t="str">
            <v>-</v>
          </cell>
          <cell r="BYD2" t="str">
            <v>-</v>
          </cell>
          <cell r="BYE2" t="str">
            <v>-</v>
          </cell>
          <cell r="BYF2" t="str">
            <v>-</v>
          </cell>
          <cell r="BYG2" t="str">
            <v>-</v>
          </cell>
          <cell r="BYH2" t="str">
            <v>-</v>
          </cell>
          <cell r="BYI2" t="str">
            <v>-</v>
          </cell>
          <cell r="BYJ2" t="str">
            <v>-</v>
          </cell>
          <cell r="BYK2" t="str">
            <v>-</v>
          </cell>
          <cell r="BYL2" t="str">
            <v>-</v>
          </cell>
          <cell r="BYM2" t="str">
            <v>-</v>
          </cell>
          <cell r="BYN2" t="str">
            <v>-</v>
          </cell>
          <cell r="BYO2" t="str">
            <v>-</v>
          </cell>
          <cell r="BYP2" t="str">
            <v>-</v>
          </cell>
          <cell r="BYQ2" t="str">
            <v>-</v>
          </cell>
          <cell r="BYR2" t="str">
            <v>-</v>
          </cell>
          <cell r="BYS2" t="str">
            <v>-</v>
          </cell>
          <cell r="BYT2" t="str">
            <v>-</v>
          </cell>
          <cell r="BYU2" t="str">
            <v>-</v>
          </cell>
          <cell r="BYV2" t="str">
            <v>-</v>
          </cell>
          <cell r="BYW2" t="str">
            <v>-</v>
          </cell>
          <cell r="BYX2" t="str">
            <v>-</v>
          </cell>
          <cell r="BYY2" t="str">
            <v>-</v>
          </cell>
          <cell r="BYZ2" t="str">
            <v>-</v>
          </cell>
          <cell r="BZA2" t="str">
            <v>-</v>
          </cell>
          <cell r="BZB2" t="str">
            <v>-</v>
          </cell>
          <cell r="BZC2" t="str">
            <v>-</v>
          </cell>
          <cell r="BZD2" t="str">
            <v>-</v>
          </cell>
          <cell r="BZE2" t="str">
            <v>-</v>
          </cell>
          <cell r="BZF2" t="str">
            <v>-</v>
          </cell>
          <cell r="BZG2" t="str">
            <v>-</v>
          </cell>
          <cell r="BZH2" t="str">
            <v>-</v>
          </cell>
          <cell r="BZI2" t="str">
            <v>-</v>
          </cell>
          <cell r="BZJ2" t="str">
            <v>-</v>
          </cell>
          <cell r="BZK2" t="str">
            <v>-</v>
          </cell>
          <cell r="BZL2" t="str">
            <v>-</v>
          </cell>
          <cell r="BZM2" t="str">
            <v>-</v>
          </cell>
          <cell r="BZN2" t="str">
            <v>-</v>
          </cell>
          <cell r="BZO2" t="str">
            <v>-</v>
          </cell>
          <cell r="BZP2" t="str">
            <v>-</v>
          </cell>
          <cell r="BZQ2" t="str">
            <v>-</v>
          </cell>
          <cell r="BZR2" t="str">
            <v>-</v>
          </cell>
          <cell r="BZS2" t="str">
            <v>-</v>
          </cell>
          <cell r="BZT2" t="str">
            <v>-</v>
          </cell>
          <cell r="BZU2" t="str">
            <v>-</v>
          </cell>
          <cell r="BZV2" t="str">
            <v>-</v>
          </cell>
          <cell r="BZW2" t="str">
            <v>-</v>
          </cell>
          <cell r="BZX2" t="str">
            <v>-</v>
          </cell>
          <cell r="BZY2" t="str">
            <v>-</v>
          </cell>
          <cell r="BZZ2" t="str">
            <v>-</v>
          </cell>
          <cell r="CAA2" t="str">
            <v>-</v>
          </cell>
          <cell r="CAB2" t="str">
            <v>-</v>
          </cell>
          <cell r="CAC2" t="str">
            <v>-</v>
          </cell>
          <cell r="CAD2" t="str">
            <v>-</v>
          </cell>
          <cell r="CAE2" t="str">
            <v>-</v>
          </cell>
          <cell r="CAF2" t="str">
            <v>-</v>
          </cell>
          <cell r="CAG2" t="str">
            <v>-</v>
          </cell>
          <cell r="CAH2" t="str">
            <v>-</v>
          </cell>
          <cell r="CAI2" t="str">
            <v>-</v>
          </cell>
          <cell r="CAJ2" t="str">
            <v>-</v>
          </cell>
          <cell r="CAK2" t="str">
            <v>-</v>
          </cell>
          <cell r="CAL2" t="str">
            <v>-</v>
          </cell>
          <cell r="CAM2" t="str">
            <v>-</v>
          </cell>
          <cell r="CAN2" t="str">
            <v>-</v>
          </cell>
          <cell r="CAO2" t="str">
            <v>-</v>
          </cell>
          <cell r="CAP2" t="str">
            <v>-</v>
          </cell>
          <cell r="CAQ2" t="str">
            <v>-</v>
          </cell>
          <cell r="CAR2" t="str">
            <v>-</v>
          </cell>
          <cell r="CAS2" t="str">
            <v>-</v>
          </cell>
          <cell r="CAT2" t="str">
            <v>-</v>
          </cell>
          <cell r="CAU2" t="str">
            <v>-</v>
          </cell>
          <cell r="CAV2" t="str">
            <v>-</v>
          </cell>
          <cell r="CAW2" t="str">
            <v>-</v>
          </cell>
          <cell r="CAX2" t="str">
            <v>-</v>
          </cell>
          <cell r="CAY2" t="str">
            <v>-</v>
          </cell>
          <cell r="CAZ2" t="str">
            <v>-</v>
          </cell>
          <cell r="CBA2" t="str">
            <v>-</v>
          </cell>
          <cell r="CBB2" t="str">
            <v>-</v>
          </cell>
          <cell r="CBC2" t="str">
            <v>-</v>
          </cell>
          <cell r="CBD2" t="str">
            <v>-</v>
          </cell>
          <cell r="CBE2" t="str">
            <v>-</v>
          </cell>
          <cell r="CBF2" t="str">
            <v>-</v>
          </cell>
          <cell r="CBG2" t="str">
            <v>-</v>
          </cell>
          <cell r="CBH2" t="str">
            <v>-</v>
          </cell>
          <cell r="CBI2" t="str">
            <v>-</v>
          </cell>
          <cell r="CBJ2" t="str">
            <v>-</v>
          </cell>
          <cell r="CBK2" t="str">
            <v>-</v>
          </cell>
          <cell r="CBL2" t="str">
            <v>-</v>
          </cell>
          <cell r="CBM2" t="str">
            <v>-</v>
          </cell>
          <cell r="CBN2" t="str">
            <v>-</v>
          </cell>
          <cell r="CBO2" t="str">
            <v>-</v>
          </cell>
          <cell r="CBP2" t="str">
            <v>-</v>
          </cell>
          <cell r="CBQ2" t="str">
            <v>-</v>
          </cell>
          <cell r="CBR2" t="str">
            <v>-</v>
          </cell>
          <cell r="CBS2" t="str">
            <v>-</v>
          </cell>
          <cell r="CBT2" t="str">
            <v>-</v>
          </cell>
          <cell r="CBU2" t="str">
            <v>-</v>
          </cell>
          <cell r="CBV2" t="str">
            <v>-</v>
          </cell>
          <cell r="CBW2" t="str">
            <v>-</v>
          </cell>
          <cell r="CBX2" t="str">
            <v>-</v>
          </cell>
          <cell r="CBY2" t="str">
            <v>-</v>
          </cell>
          <cell r="CBZ2" t="str">
            <v>-</v>
          </cell>
          <cell r="CCA2" t="str">
            <v>-</v>
          </cell>
          <cell r="CCB2" t="str">
            <v>-</v>
          </cell>
          <cell r="CCC2" t="str">
            <v>-</v>
          </cell>
          <cell r="CCD2" t="str">
            <v>-</v>
          </cell>
          <cell r="CCE2" t="str">
            <v>-</v>
          </cell>
          <cell r="CCF2" t="str">
            <v>-</v>
          </cell>
          <cell r="CCG2" t="str">
            <v>-</v>
          </cell>
          <cell r="CCH2" t="str">
            <v>-</v>
          </cell>
          <cell r="CCI2" t="str">
            <v>-</v>
          </cell>
          <cell r="CCJ2" t="str">
            <v>-</v>
          </cell>
          <cell r="CCK2" t="str">
            <v>-</v>
          </cell>
          <cell r="CCL2" t="str">
            <v>-</v>
          </cell>
          <cell r="CCM2" t="str">
            <v>-</v>
          </cell>
          <cell r="CCN2" t="str">
            <v>-</v>
          </cell>
          <cell r="CCO2" t="str">
            <v>-</v>
          </cell>
          <cell r="CCP2" t="str">
            <v>-</v>
          </cell>
          <cell r="CCQ2" t="str">
            <v>-</v>
          </cell>
          <cell r="CCR2" t="str">
            <v>-</v>
          </cell>
          <cell r="CCS2" t="str">
            <v>-</v>
          </cell>
          <cell r="CCT2" t="str">
            <v>-</v>
          </cell>
          <cell r="CCU2" t="str">
            <v>-</v>
          </cell>
          <cell r="CCV2" t="str">
            <v>-</v>
          </cell>
          <cell r="CCW2" t="str">
            <v>-</v>
          </cell>
          <cell r="CCX2" t="str">
            <v>-</v>
          </cell>
          <cell r="CCY2" t="str">
            <v>-</v>
          </cell>
          <cell r="CCZ2" t="str">
            <v>-</v>
          </cell>
          <cell r="CDA2" t="str">
            <v>-</v>
          </cell>
          <cell r="CDB2" t="str">
            <v>-</v>
          </cell>
          <cell r="CDC2" t="str">
            <v>-</v>
          </cell>
          <cell r="CDD2" t="str">
            <v>-</v>
          </cell>
          <cell r="CDE2" t="str">
            <v>-</v>
          </cell>
          <cell r="CDF2" t="str">
            <v>-</v>
          </cell>
          <cell r="CDG2" t="str">
            <v>-</v>
          </cell>
          <cell r="CDH2" t="str">
            <v>-</v>
          </cell>
          <cell r="CDI2" t="str">
            <v>-</v>
          </cell>
          <cell r="CDJ2" t="str">
            <v>-</v>
          </cell>
          <cell r="CDK2" t="str">
            <v>-</v>
          </cell>
          <cell r="CDL2" t="str">
            <v>-</v>
          </cell>
          <cell r="CDM2" t="str">
            <v>-</v>
          </cell>
          <cell r="CDN2" t="str">
            <v>-</v>
          </cell>
          <cell r="CDO2" t="str">
            <v>-</v>
          </cell>
          <cell r="CDP2" t="str">
            <v>-</v>
          </cell>
          <cell r="CDQ2" t="str">
            <v>-</v>
          </cell>
          <cell r="CDR2" t="str">
            <v>-</v>
          </cell>
          <cell r="CDS2" t="str">
            <v>-</v>
          </cell>
          <cell r="CDT2" t="str">
            <v>-</v>
          </cell>
          <cell r="CDU2" t="str">
            <v>-</v>
          </cell>
          <cell r="CDV2" t="str">
            <v>-</v>
          </cell>
          <cell r="CDW2" t="str">
            <v>-</v>
          </cell>
          <cell r="CDX2" t="str">
            <v>-</v>
          </cell>
          <cell r="CDY2" t="str">
            <v>-</v>
          </cell>
          <cell r="CDZ2" t="str">
            <v>-</v>
          </cell>
          <cell r="CEA2" t="str">
            <v>-</v>
          </cell>
          <cell r="CEB2" t="str">
            <v>-</v>
          </cell>
          <cell r="CEC2" t="str">
            <v>-</v>
          </cell>
          <cell r="CED2" t="str">
            <v>-</v>
          </cell>
          <cell r="CEE2" t="str">
            <v>-</v>
          </cell>
          <cell r="CEF2" t="str">
            <v>-</v>
          </cell>
          <cell r="CEG2" t="str">
            <v>-</v>
          </cell>
          <cell r="CEH2" t="str">
            <v>-</v>
          </cell>
          <cell r="CEI2" t="str">
            <v>-</v>
          </cell>
          <cell r="CEJ2" t="str">
            <v>-</v>
          </cell>
          <cell r="CEK2" t="str">
            <v>-</v>
          </cell>
          <cell r="CEL2" t="str">
            <v>-</v>
          </cell>
          <cell r="CEM2" t="str">
            <v>-</v>
          </cell>
          <cell r="CEN2" t="str">
            <v>-</v>
          </cell>
          <cell r="CEO2" t="str">
            <v>-</v>
          </cell>
          <cell r="CEP2" t="str">
            <v>-</v>
          </cell>
          <cell r="CEQ2" t="str">
            <v>-</v>
          </cell>
          <cell r="CER2" t="str">
            <v>-</v>
          </cell>
          <cell r="CES2" t="str">
            <v>-</v>
          </cell>
          <cell r="CET2" t="str">
            <v>-</v>
          </cell>
          <cell r="CEU2" t="str">
            <v>-</v>
          </cell>
          <cell r="CEV2" t="str">
            <v>-</v>
          </cell>
          <cell r="CEW2" t="str">
            <v>-</v>
          </cell>
          <cell r="CEX2" t="str">
            <v>-</v>
          </cell>
          <cell r="CEY2" t="str">
            <v>-</v>
          </cell>
          <cell r="CEZ2" t="str">
            <v>-</v>
          </cell>
          <cell r="CFA2" t="str">
            <v>-</v>
          </cell>
          <cell r="CFB2" t="str">
            <v>-</v>
          </cell>
          <cell r="CFC2" t="str">
            <v>-</v>
          </cell>
          <cell r="CFD2" t="str">
            <v>-</v>
          </cell>
          <cell r="CFE2" t="str">
            <v>-</v>
          </cell>
          <cell r="CFF2" t="str">
            <v>-</v>
          </cell>
          <cell r="CFG2" t="str">
            <v>-</v>
          </cell>
          <cell r="CFH2" t="str">
            <v>-</v>
          </cell>
          <cell r="CFI2" t="str">
            <v>-</v>
          </cell>
          <cell r="CFJ2" t="str">
            <v>-</v>
          </cell>
          <cell r="CFK2" t="str">
            <v>-</v>
          </cell>
          <cell r="CFL2" t="str">
            <v>-</v>
          </cell>
          <cell r="CFM2" t="str">
            <v>-</v>
          </cell>
          <cell r="CFN2" t="str">
            <v>-</v>
          </cell>
          <cell r="CFO2" t="str">
            <v>-</v>
          </cell>
          <cell r="CFP2" t="str">
            <v>-</v>
          </cell>
          <cell r="CFQ2" t="str">
            <v>-</v>
          </cell>
          <cell r="CFR2" t="str">
            <v>-</v>
          </cell>
          <cell r="CFS2" t="str">
            <v>-</v>
          </cell>
          <cell r="CFT2" t="str">
            <v>-</v>
          </cell>
          <cell r="CFU2" t="str">
            <v>-</v>
          </cell>
          <cell r="CFV2" t="str">
            <v>-</v>
          </cell>
          <cell r="CFW2" t="str">
            <v>-</v>
          </cell>
          <cell r="CFX2" t="str">
            <v>-</v>
          </cell>
          <cell r="CFY2" t="str">
            <v>-</v>
          </cell>
          <cell r="CFZ2" t="str">
            <v>-</v>
          </cell>
          <cell r="CGA2" t="str">
            <v>-</v>
          </cell>
          <cell r="CGB2" t="str">
            <v>-</v>
          </cell>
          <cell r="CGC2" t="str">
            <v>-</v>
          </cell>
          <cell r="CGD2" t="str">
            <v>-</v>
          </cell>
          <cell r="CGE2" t="str">
            <v>-</v>
          </cell>
          <cell r="CGF2" t="str">
            <v>-</v>
          </cell>
          <cell r="CGG2" t="str">
            <v>-</v>
          </cell>
          <cell r="CGH2" t="str">
            <v>-</v>
          </cell>
          <cell r="CGI2" t="str">
            <v>-</v>
          </cell>
          <cell r="CGJ2" t="str">
            <v>-</v>
          </cell>
          <cell r="CGK2" t="str">
            <v>-</v>
          </cell>
          <cell r="CGL2" t="str">
            <v>-</v>
          </cell>
          <cell r="CGM2" t="str">
            <v>-</v>
          </cell>
          <cell r="CGN2" t="str">
            <v>-</v>
          </cell>
          <cell r="CGO2" t="str">
            <v>-</v>
          </cell>
          <cell r="CGP2" t="str">
            <v>-</v>
          </cell>
          <cell r="CGQ2" t="str">
            <v>-</v>
          </cell>
          <cell r="CGR2" t="str">
            <v>-</v>
          </cell>
          <cell r="CGS2" t="str">
            <v>-</v>
          </cell>
          <cell r="CGT2" t="str">
            <v>-</v>
          </cell>
          <cell r="CGU2" t="str">
            <v>-</v>
          </cell>
          <cell r="CGV2" t="str">
            <v>-</v>
          </cell>
          <cell r="CGW2" t="str">
            <v>-</v>
          </cell>
          <cell r="CGX2" t="str">
            <v>-</v>
          </cell>
          <cell r="CGY2" t="str">
            <v>-</v>
          </cell>
          <cell r="CGZ2" t="str">
            <v>-</v>
          </cell>
          <cell r="CHA2" t="str">
            <v>-</v>
          </cell>
          <cell r="CHB2" t="str">
            <v>-</v>
          </cell>
          <cell r="CHC2" t="str">
            <v>-</v>
          </cell>
          <cell r="CHD2" t="str">
            <v>-</v>
          </cell>
          <cell r="CHE2" t="str">
            <v>-</v>
          </cell>
          <cell r="CHF2" t="str">
            <v>-</v>
          </cell>
          <cell r="CHG2" t="str">
            <v>-</v>
          </cell>
          <cell r="CHH2" t="str">
            <v>-</v>
          </cell>
          <cell r="CHI2" t="str">
            <v>-</v>
          </cell>
          <cell r="CHJ2" t="str">
            <v>-</v>
          </cell>
          <cell r="CHK2" t="str">
            <v>-</v>
          </cell>
          <cell r="CHL2" t="str">
            <v>-</v>
          </cell>
          <cell r="CHM2" t="str">
            <v>-</v>
          </cell>
          <cell r="CHN2" t="str">
            <v>-</v>
          </cell>
          <cell r="CHO2" t="str">
            <v>-</v>
          </cell>
          <cell r="CHP2" t="str">
            <v>-</v>
          </cell>
          <cell r="CHQ2" t="str">
            <v>-</v>
          </cell>
          <cell r="CHR2" t="str">
            <v>-</v>
          </cell>
          <cell r="CHS2" t="str">
            <v>-</v>
          </cell>
          <cell r="CHT2" t="str">
            <v>-</v>
          </cell>
          <cell r="CHU2" t="str">
            <v>-</v>
          </cell>
          <cell r="CHV2" t="str">
            <v>-</v>
          </cell>
          <cell r="CHW2" t="str">
            <v>-</v>
          </cell>
          <cell r="CHX2" t="str">
            <v>-</v>
          </cell>
          <cell r="CHY2" t="str">
            <v>-</v>
          </cell>
          <cell r="CHZ2" t="str">
            <v>-</v>
          </cell>
          <cell r="CIA2" t="str">
            <v>-</v>
          </cell>
          <cell r="CIB2" t="str">
            <v>-</v>
          </cell>
          <cell r="CIC2" t="str">
            <v>-</v>
          </cell>
          <cell r="CID2" t="str">
            <v>-</v>
          </cell>
          <cell r="CIE2" t="str">
            <v>-</v>
          </cell>
          <cell r="CIF2" t="str">
            <v>-</v>
          </cell>
          <cell r="CIG2" t="str">
            <v>-</v>
          </cell>
          <cell r="CIH2" t="str">
            <v>-</v>
          </cell>
          <cell r="CII2" t="str">
            <v>-</v>
          </cell>
          <cell r="CIJ2" t="str">
            <v>-</v>
          </cell>
          <cell r="CIK2" t="str">
            <v>-</v>
          </cell>
          <cell r="CIL2" t="str">
            <v>-</v>
          </cell>
          <cell r="CIM2" t="str">
            <v>-</v>
          </cell>
          <cell r="CIN2" t="str">
            <v>-</v>
          </cell>
          <cell r="CIO2" t="str">
            <v>-</v>
          </cell>
          <cell r="CIP2" t="str">
            <v>-</v>
          </cell>
          <cell r="CIQ2" t="str">
            <v>-</v>
          </cell>
          <cell r="CIR2" t="str">
            <v>-</v>
          </cell>
          <cell r="CIS2" t="str">
            <v>-</v>
          </cell>
          <cell r="CIT2" t="str">
            <v>-</v>
          </cell>
          <cell r="CIU2" t="str">
            <v>-</v>
          </cell>
          <cell r="CIV2" t="str">
            <v>-</v>
          </cell>
          <cell r="CIW2" t="str">
            <v>-</v>
          </cell>
          <cell r="CIX2" t="str">
            <v>-</v>
          </cell>
          <cell r="CIY2" t="str">
            <v>-</v>
          </cell>
          <cell r="CIZ2" t="str">
            <v>-</v>
          </cell>
          <cell r="CJA2" t="str">
            <v>-</v>
          </cell>
          <cell r="CJB2" t="str">
            <v>-</v>
          </cell>
          <cell r="CJC2" t="str">
            <v>-</v>
          </cell>
          <cell r="CJD2" t="str">
            <v>-</v>
          </cell>
          <cell r="CJE2" t="str">
            <v>-</v>
          </cell>
          <cell r="CJF2" t="str">
            <v>-</v>
          </cell>
          <cell r="CJG2" t="str">
            <v>-</v>
          </cell>
          <cell r="CJH2" t="str">
            <v>-</v>
          </cell>
          <cell r="CJI2" t="str">
            <v>-</v>
          </cell>
          <cell r="CJJ2" t="str">
            <v>-</v>
          </cell>
          <cell r="CJK2" t="str">
            <v>-</v>
          </cell>
          <cell r="CJL2" t="str">
            <v>-</v>
          </cell>
          <cell r="CJM2" t="str">
            <v>-</v>
          </cell>
          <cell r="CJN2" t="str">
            <v>-</v>
          </cell>
          <cell r="CJO2" t="str">
            <v>-</v>
          </cell>
          <cell r="CJP2" t="str">
            <v>-</v>
          </cell>
          <cell r="CJQ2" t="str">
            <v>-</v>
          </cell>
          <cell r="CJR2" t="str">
            <v>-</v>
          </cell>
          <cell r="CJS2" t="str">
            <v>-</v>
          </cell>
          <cell r="CJT2" t="str">
            <v>-</v>
          </cell>
          <cell r="CJU2" t="str">
            <v>-</v>
          </cell>
          <cell r="CJV2" t="str">
            <v>-</v>
          </cell>
          <cell r="CJW2" t="str">
            <v>-</v>
          </cell>
          <cell r="CJX2" t="str">
            <v>-</v>
          </cell>
          <cell r="CJY2" t="str">
            <v>-</v>
          </cell>
          <cell r="CJZ2" t="str">
            <v>-</v>
          </cell>
          <cell r="CKA2" t="str">
            <v>-</v>
          </cell>
          <cell r="CKB2" t="str">
            <v>-</v>
          </cell>
          <cell r="CKC2" t="str">
            <v>-</v>
          </cell>
          <cell r="CKD2" t="str">
            <v>-</v>
          </cell>
          <cell r="CKE2" t="str">
            <v>-</v>
          </cell>
          <cell r="CKF2" t="str">
            <v>-</v>
          </cell>
          <cell r="CKG2" t="str">
            <v>-</v>
          </cell>
          <cell r="CKH2" t="str">
            <v>-</v>
          </cell>
          <cell r="CKI2" t="str">
            <v>-</v>
          </cell>
          <cell r="CKJ2" t="str">
            <v>-</v>
          </cell>
          <cell r="CKK2" t="str">
            <v>-</v>
          </cell>
          <cell r="CKL2" t="str">
            <v>-</v>
          </cell>
          <cell r="CKM2" t="str">
            <v>-</v>
          </cell>
          <cell r="CKN2" t="str">
            <v>-</v>
          </cell>
          <cell r="CKO2" t="str">
            <v>-</v>
          </cell>
          <cell r="CKP2" t="str">
            <v>-</v>
          </cell>
          <cell r="CKQ2" t="str">
            <v>-</v>
          </cell>
          <cell r="CKR2" t="str">
            <v>-</v>
          </cell>
          <cell r="CKS2" t="str">
            <v>-</v>
          </cell>
          <cell r="CKT2" t="str">
            <v>-</v>
          </cell>
          <cell r="CKU2" t="str">
            <v>-</v>
          </cell>
          <cell r="CKV2" t="str">
            <v>-</v>
          </cell>
          <cell r="CKW2" t="str">
            <v>-</v>
          </cell>
          <cell r="CKX2" t="str">
            <v>-</v>
          </cell>
          <cell r="CKY2" t="str">
            <v>-</v>
          </cell>
          <cell r="CKZ2" t="str">
            <v>-</v>
          </cell>
          <cell r="CLA2" t="str">
            <v>-</v>
          </cell>
          <cell r="CLB2" t="str">
            <v>-</v>
          </cell>
          <cell r="CLC2" t="str">
            <v>-</v>
          </cell>
          <cell r="CLD2" t="str">
            <v>-</v>
          </cell>
          <cell r="CLE2" t="str">
            <v>-</v>
          </cell>
          <cell r="CLF2" t="str">
            <v>-</v>
          </cell>
          <cell r="CLG2" t="str">
            <v>-</v>
          </cell>
          <cell r="CLH2" t="str">
            <v>-</v>
          </cell>
          <cell r="CLI2" t="str">
            <v>-</v>
          </cell>
          <cell r="CLJ2" t="str">
            <v>-</v>
          </cell>
          <cell r="CLK2" t="str">
            <v>-</v>
          </cell>
          <cell r="CLL2" t="str">
            <v>-</v>
          </cell>
          <cell r="CLM2" t="str">
            <v>-</v>
          </cell>
          <cell r="CLN2" t="str">
            <v>-</v>
          </cell>
          <cell r="CLO2" t="str">
            <v>-</v>
          </cell>
          <cell r="CLP2" t="str">
            <v>-</v>
          </cell>
          <cell r="CLQ2" t="str">
            <v>-</v>
          </cell>
          <cell r="CLR2" t="str">
            <v>-</v>
          </cell>
          <cell r="CLS2" t="str">
            <v>-</v>
          </cell>
          <cell r="CLT2" t="str">
            <v>-</v>
          </cell>
          <cell r="CLU2" t="str">
            <v>-</v>
          </cell>
          <cell r="CLV2" t="str">
            <v>-</v>
          </cell>
          <cell r="CLW2" t="str">
            <v>-</v>
          </cell>
          <cell r="CLX2" t="str">
            <v>-</v>
          </cell>
          <cell r="CLY2" t="str">
            <v>-</v>
          </cell>
          <cell r="CLZ2" t="str">
            <v>-</v>
          </cell>
          <cell r="CMA2" t="str">
            <v>-</v>
          </cell>
          <cell r="CMB2" t="str">
            <v>-</v>
          </cell>
          <cell r="CMC2" t="str">
            <v>-</v>
          </cell>
          <cell r="CMD2" t="str">
            <v>-</v>
          </cell>
          <cell r="CME2" t="str">
            <v>-</v>
          </cell>
          <cell r="CMF2" t="str">
            <v>-</v>
          </cell>
          <cell r="CMG2" t="str">
            <v>-</v>
          </cell>
          <cell r="CMH2" t="str">
            <v>-</v>
          </cell>
          <cell r="CMI2" t="str">
            <v>-</v>
          </cell>
          <cell r="CMJ2" t="str">
            <v>-</v>
          </cell>
          <cell r="CMK2" t="str">
            <v>-</v>
          </cell>
          <cell r="CML2" t="str">
            <v>-</v>
          </cell>
          <cell r="CMM2" t="str">
            <v>-</v>
          </cell>
          <cell r="CMN2" t="str">
            <v>-</v>
          </cell>
          <cell r="CMO2" t="str">
            <v>-</v>
          </cell>
          <cell r="CMP2" t="str">
            <v>-</v>
          </cell>
          <cell r="CMQ2" t="str">
            <v>-</v>
          </cell>
          <cell r="CMR2" t="str">
            <v>-</v>
          </cell>
          <cell r="CMS2" t="str">
            <v>-</v>
          </cell>
          <cell r="CMT2" t="str">
            <v>-</v>
          </cell>
          <cell r="CMU2" t="str">
            <v>-</v>
          </cell>
          <cell r="CMV2" t="str">
            <v>-</v>
          </cell>
          <cell r="CMW2" t="str">
            <v>-</v>
          </cell>
          <cell r="CMX2" t="str">
            <v>-</v>
          </cell>
          <cell r="CMY2" t="str">
            <v>-</v>
          </cell>
          <cell r="CMZ2" t="str">
            <v>-</v>
          </cell>
          <cell r="CNA2" t="str">
            <v>-</v>
          </cell>
          <cell r="CNB2" t="str">
            <v>-</v>
          </cell>
          <cell r="CNC2" t="str">
            <v>-</v>
          </cell>
          <cell r="CND2" t="str">
            <v>-</v>
          </cell>
          <cell r="CNE2" t="str">
            <v>-</v>
          </cell>
          <cell r="CNF2" t="str">
            <v>-</v>
          </cell>
          <cell r="CNG2" t="str">
            <v>-</v>
          </cell>
          <cell r="CNH2" t="str">
            <v>-</v>
          </cell>
          <cell r="CNI2" t="str">
            <v>-</v>
          </cell>
          <cell r="CNJ2" t="str">
            <v>-</v>
          </cell>
          <cell r="CNK2" t="str">
            <v>-</v>
          </cell>
          <cell r="CNL2" t="str">
            <v>-</v>
          </cell>
          <cell r="CNM2" t="str">
            <v>-</v>
          </cell>
          <cell r="CNN2" t="str">
            <v>-</v>
          </cell>
          <cell r="CNO2" t="str">
            <v>-</v>
          </cell>
          <cell r="CNP2" t="str">
            <v>-</v>
          </cell>
          <cell r="CNQ2" t="str">
            <v>-</v>
          </cell>
          <cell r="CNR2" t="str">
            <v>-</v>
          </cell>
          <cell r="CNS2" t="str">
            <v>-</v>
          </cell>
          <cell r="CNT2" t="str">
            <v>-</v>
          </cell>
          <cell r="CNU2" t="str">
            <v>-</v>
          </cell>
          <cell r="CNV2" t="str">
            <v>-</v>
          </cell>
          <cell r="CNW2" t="str">
            <v>-</v>
          </cell>
          <cell r="CNX2" t="str">
            <v>-</v>
          </cell>
          <cell r="CNY2" t="str">
            <v>-</v>
          </cell>
          <cell r="CNZ2" t="str">
            <v>-</v>
          </cell>
          <cell r="COA2" t="str">
            <v>-</v>
          </cell>
          <cell r="COB2" t="str">
            <v>-</v>
          </cell>
          <cell r="COC2" t="str">
            <v>-</v>
          </cell>
          <cell r="COD2" t="str">
            <v>-</v>
          </cell>
          <cell r="COE2" t="str">
            <v>-</v>
          </cell>
          <cell r="COF2" t="str">
            <v>-</v>
          </cell>
          <cell r="COG2" t="str">
            <v>-</v>
          </cell>
          <cell r="COH2" t="str">
            <v>-</v>
          </cell>
          <cell r="COI2" t="str">
            <v>-</v>
          </cell>
          <cell r="COJ2" t="str">
            <v>-</v>
          </cell>
          <cell r="COK2" t="str">
            <v>-</v>
          </cell>
          <cell r="COL2" t="str">
            <v>-</v>
          </cell>
          <cell r="COM2" t="str">
            <v>-</v>
          </cell>
          <cell r="CON2" t="str">
            <v>-</v>
          </cell>
          <cell r="COO2" t="str">
            <v>-</v>
          </cell>
          <cell r="COP2" t="str">
            <v>-</v>
          </cell>
          <cell r="COQ2" t="str">
            <v>-</v>
          </cell>
          <cell r="COR2" t="str">
            <v>-</v>
          </cell>
          <cell r="COS2" t="str">
            <v>-</v>
          </cell>
          <cell r="COT2" t="str">
            <v>-</v>
          </cell>
          <cell r="COU2" t="str">
            <v>-</v>
          </cell>
          <cell r="COV2" t="str">
            <v>-</v>
          </cell>
          <cell r="COW2" t="str">
            <v>-</v>
          </cell>
          <cell r="COX2" t="str">
            <v>-</v>
          </cell>
          <cell r="COY2" t="str">
            <v>-</v>
          </cell>
          <cell r="COZ2" t="str">
            <v>-</v>
          </cell>
          <cell r="CPA2" t="str">
            <v>-</v>
          </cell>
          <cell r="CPB2" t="str">
            <v>-</v>
          </cell>
          <cell r="CPC2" t="str">
            <v>-</v>
          </cell>
          <cell r="CPD2" t="str">
            <v>-</v>
          </cell>
          <cell r="CPE2" t="str">
            <v>-</v>
          </cell>
          <cell r="CPF2" t="str">
            <v>-</v>
          </cell>
          <cell r="CPG2" t="str">
            <v>-</v>
          </cell>
          <cell r="CPH2" t="str">
            <v>-</v>
          </cell>
          <cell r="CPI2" t="str">
            <v>-</v>
          </cell>
          <cell r="CPJ2" t="str">
            <v>-</v>
          </cell>
          <cell r="CPK2" t="str">
            <v>-</v>
          </cell>
          <cell r="CPL2" t="str">
            <v>-</v>
          </cell>
          <cell r="CPM2" t="str">
            <v>-</v>
          </cell>
          <cell r="CPN2" t="str">
            <v>-</v>
          </cell>
          <cell r="CPO2" t="str">
            <v>-</v>
          </cell>
          <cell r="CPP2" t="str">
            <v>-</v>
          </cell>
          <cell r="CPQ2" t="str">
            <v>-</v>
          </cell>
          <cell r="CPR2" t="str">
            <v>-</v>
          </cell>
          <cell r="CPS2" t="str">
            <v>-</v>
          </cell>
          <cell r="CPT2" t="str">
            <v>-</v>
          </cell>
          <cell r="CPU2" t="str">
            <v>-</v>
          </cell>
          <cell r="CPV2" t="str">
            <v>-</v>
          </cell>
          <cell r="CPW2" t="str">
            <v>-</v>
          </cell>
          <cell r="CPX2" t="str">
            <v>-</v>
          </cell>
          <cell r="CPY2" t="str">
            <v>-</v>
          </cell>
          <cell r="CPZ2" t="str">
            <v>-</v>
          </cell>
          <cell r="CQA2" t="str">
            <v>-</v>
          </cell>
          <cell r="CQB2" t="str">
            <v>-</v>
          </cell>
          <cell r="CQC2" t="str">
            <v>-</v>
          </cell>
          <cell r="CQD2" t="str">
            <v>-</v>
          </cell>
          <cell r="CQE2" t="str">
            <v>-</v>
          </cell>
          <cell r="CQF2" t="str">
            <v>-</v>
          </cell>
          <cell r="CQG2" t="str">
            <v>-</v>
          </cell>
          <cell r="CQH2" t="str">
            <v>-</v>
          </cell>
          <cell r="CQI2" t="str">
            <v>-</v>
          </cell>
          <cell r="CQJ2" t="str">
            <v>-</v>
          </cell>
          <cell r="CQK2" t="str">
            <v>-</v>
          </cell>
          <cell r="CQL2" t="str">
            <v>-</v>
          </cell>
          <cell r="CQM2" t="str">
            <v>-</v>
          </cell>
          <cell r="CQN2" t="str">
            <v>-</v>
          </cell>
          <cell r="CQO2" t="str">
            <v>-</v>
          </cell>
          <cell r="CQP2" t="str">
            <v>-</v>
          </cell>
          <cell r="CQQ2" t="str">
            <v>-</v>
          </cell>
          <cell r="CQR2" t="str">
            <v>-</v>
          </cell>
          <cell r="CQS2" t="str">
            <v>-</v>
          </cell>
          <cell r="CQT2" t="str">
            <v>-</v>
          </cell>
          <cell r="CQU2" t="str">
            <v>-</v>
          </cell>
          <cell r="CQV2" t="str">
            <v>-</v>
          </cell>
          <cell r="CQW2" t="str">
            <v>-</v>
          </cell>
          <cell r="CQX2" t="str">
            <v>-</v>
          </cell>
          <cell r="CQY2" t="str">
            <v>-</v>
          </cell>
          <cell r="CQZ2" t="str">
            <v>-</v>
          </cell>
          <cell r="CRA2" t="str">
            <v>-</v>
          </cell>
          <cell r="CRB2" t="str">
            <v>-</v>
          </cell>
          <cell r="CRC2" t="str">
            <v>-</v>
          </cell>
          <cell r="CRD2" t="str">
            <v>-</v>
          </cell>
          <cell r="CRE2" t="str">
            <v>-</v>
          </cell>
          <cell r="CRF2" t="str">
            <v>-</v>
          </cell>
          <cell r="CRG2" t="str">
            <v>-</v>
          </cell>
          <cell r="CRH2" t="str">
            <v>-</v>
          </cell>
          <cell r="CRI2" t="str">
            <v>-</v>
          </cell>
          <cell r="CRJ2" t="str">
            <v>-</v>
          </cell>
          <cell r="CRK2" t="str">
            <v>-</v>
          </cell>
          <cell r="CRL2" t="str">
            <v>-</v>
          </cell>
          <cell r="CRM2" t="str">
            <v>-</v>
          </cell>
          <cell r="CRN2" t="str">
            <v>-</v>
          </cell>
          <cell r="CRO2" t="str">
            <v>-</v>
          </cell>
          <cell r="CRP2" t="str">
            <v>-</v>
          </cell>
          <cell r="CRQ2" t="str">
            <v>-</v>
          </cell>
          <cell r="CRR2" t="str">
            <v>-</v>
          </cell>
          <cell r="CRS2" t="str">
            <v>-</v>
          </cell>
          <cell r="CRT2" t="str">
            <v>-</v>
          </cell>
          <cell r="CRU2" t="str">
            <v>-</v>
          </cell>
          <cell r="CRV2" t="str">
            <v>-</v>
          </cell>
          <cell r="CRW2" t="str">
            <v>-</v>
          </cell>
          <cell r="CRX2" t="str">
            <v>-</v>
          </cell>
          <cell r="CRY2" t="str">
            <v>-</v>
          </cell>
          <cell r="CRZ2" t="str">
            <v>-</v>
          </cell>
          <cell r="CSA2" t="str">
            <v>-</v>
          </cell>
          <cell r="CSB2" t="str">
            <v>-</v>
          </cell>
          <cell r="CSC2" t="str">
            <v>-</v>
          </cell>
          <cell r="CSD2" t="str">
            <v>-</v>
          </cell>
          <cell r="CSE2" t="str">
            <v>-</v>
          </cell>
          <cell r="CSF2" t="str">
            <v>-</v>
          </cell>
          <cell r="CSG2" t="str">
            <v>-</v>
          </cell>
          <cell r="CSH2" t="str">
            <v>-</v>
          </cell>
          <cell r="CSI2" t="str">
            <v>-</v>
          </cell>
          <cell r="CSJ2" t="str">
            <v>-</v>
          </cell>
          <cell r="CSK2" t="str">
            <v>-</v>
          </cell>
          <cell r="CSL2" t="str">
            <v>-</v>
          </cell>
          <cell r="CSM2" t="str">
            <v>-</v>
          </cell>
          <cell r="CSN2" t="str">
            <v>-</v>
          </cell>
          <cell r="CSO2" t="str">
            <v>-</v>
          </cell>
          <cell r="CSP2" t="str">
            <v>-</v>
          </cell>
          <cell r="CSQ2" t="str">
            <v>-</v>
          </cell>
          <cell r="CSR2" t="str">
            <v>-</v>
          </cell>
          <cell r="CSS2" t="str">
            <v>-</v>
          </cell>
          <cell r="CST2" t="str">
            <v>-</v>
          </cell>
          <cell r="CSU2" t="str">
            <v>-</v>
          </cell>
          <cell r="CSV2" t="str">
            <v>-</v>
          </cell>
          <cell r="CSW2" t="str">
            <v>-</v>
          </cell>
          <cell r="CSX2" t="str">
            <v>-</v>
          </cell>
          <cell r="CSY2" t="str">
            <v>-</v>
          </cell>
          <cell r="CSZ2" t="str">
            <v>-</v>
          </cell>
          <cell r="CTA2" t="str">
            <v>-</v>
          </cell>
          <cell r="CTB2" t="str">
            <v>-</v>
          </cell>
          <cell r="CTC2" t="str">
            <v>-</v>
          </cell>
          <cell r="CTD2" t="str">
            <v>-</v>
          </cell>
          <cell r="CTE2" t="str">
            <v>-</v>
          </cell>
          <cell r="CTF2" t="str">
            <v>-</v>
          </cell>
          <cell r="CTG2" t="str">
            <v>-</v>
          </cell>
          <cell r="CTH2" t="str">
            <v>-</v>
          </cell>
          <cell r="CTI2" t="str">
            <v>-</v>
          </cell>
          <cell r="CTJ2" t="str">
            <v>-</v>
          </cell>
          <cell r="CTK2" t="str">
            <v>-</v>
          </cell>
          <cell r="CTL2" t="str">
            <v>-</v>
          </cell>
          <cell r="CTM2" t="str">
            <v>-</v>
          </cell>
          <cell r="CTN2" t="str">
            <v>-</v>
          </cell>
          <cell r="CTO2" t="str">
            <v>-</v>
          </cell>
          <cell r="CTP2" t="str">
            <v>-</v>
          </cell>
          <cell r="CTQ2" t="str">
            <v>-</v>
          </cell>
          <cell r="CTR2" t="str">
            <v>-</v>
          </cell>
          <cell r="CTS2" t="str">
            <v>-</v>
          </cell>
          <cell r="CTT2" t="str">
            <v>-</v>
          </cell>
          <cell r="CTU2" t="str">
            <v>-</v>
          </cell>
          <cell r="CTV2" t="str">
            <v>-</v>
          </cell>
          <cell r="CTW2" t="str">
            <v>-</v>
          </cell>
          <cell r="CTX2" t="str">
            <v>-</v>
          </cell>
          <cell r="CTY2" t="str">
            <v>-</v>
          </cell>
          <cell r="CTZ2" t="str">
            <v>-</v>
          </cell>
          <cell r="CUA2" t="str">
            <v>-</v>
          </cell>
          <cell r="CUB2" t="str">
            <v>-</v>
          </cell>
          <cell r="CUC2" t="str">
            <v>-</v>
          </cell>
          <cell r="CUD2" t="str">
            <v>-</v>
          </cell>
          <cell r="CUE2" t="str">
            <v>-</v>
          </cell>
          <cell r="CUF2" t="str">
            <v>-</v>
          </cell>
          <cell r="CUG2" t="str">
            <v>-</v>
          </cell>
          <cell r="CUH2" t="str">
            <v>-</v>
          </cell>
          <cell r="CUI2" t="str">
            <v>-</v>
          </cell>
          <cell r="CUJ2" t="str">
            <v>-</v>
          </cell>
          <cell r="CUK2" t="str">
            <v>-</v>
          </cell>
          <cell r="CUL2" t="str">
            <v>-</v>
          </cell>
          <cell r="CUM2" t="str">
            <v>-</v>
          </cell>
          <cell r="CUN2" t="str">
            <v>-</v>
          </cell>
          <cell r="CUO2" t="str">
            <v>-</v>
          </cell>
          <cell r="CUP2" t="str">
            <v>-</v>
          </cell>
          <cell r="CUQ2" t="str">
            <v>-</v>
          </cell>
          <cell r="CUR2" t="str">
            <v>-</v>
          </cell>
          <cell r="CUS2" t="str">
            <v>-</v>
          </cell>
          <cell r="CUT2" t="str">
            <v>-</v>
          </cell>
          <cell r="CUU2" t="str">
            <v>-</v>
          </cell>
          <cell r="CUV2" t="str">
            <v>-</v>
          </cell>
          <cell r="CUW2" t="str">
            <v>-</v>
          </cell>
          <cell r="CUX2" t="str">
            <v>-</v>
          </cell>
          <cell r="CUY2" t="str">
            <v>-</v>
          </cell>
          <cell r="CUZ2" t="str">
            <v>-</v>
          </cell>
          <cell r="CVA2" t="str">
            <v>-</v>
          </cell>
          <cell r="CVB2" t="str">
            <v>-</v>
          </cell>
          <cell r="CVC2" t="str">
            <v>-</v>
          </cell>
          <cell r="CVD2" t="str">
            <v>-</v>
          </cell>
          <cell r="CVE2" t="str">
            <v>-</v>
          </cell>
          <cell r="CVF2" t="str">
            <v>-</v>
          </cell>
          <cell r="CVG2" t="str">
            <v>-</v>
          </cell>
          <cell r="CVH2" t="str">
            <v>-</v>
          </cell>
          <cell r="CVI2" t="str">
            <v>-</v>
          </cell>
          <cell r="CVJ2" t="str">
            <v>-</v>
          </cell>
          <cell r="CVK2" t="str">
            <v>-</v>
          </cell>
          <cell r="CVL2" t="str">
            <v>-</v>
          </cell>
          <cell r="CVM2" t="str">
            <v>-</v>
          </cell>
          <cell r="CVN2" t="str">
            <v>-</v>
          </cell>
          <cell r="CVO2" t="str">
            <v>-</v>
          </cell>
          <cell r="CVP2" t="str">
            <v>-</v>
          </cell>
          <cell r="CVQ2" t="str">
            <v>-</v>
          </cell>
          <cell r="CVR2" t="str">
            <v>-</v>
          </cell>
          <cell r="CVS2" t="str">
            <v>-</v>
          </cell>
          <cell r="CVT2" t="str">
            <v>-</v>
          </cell>
          <cell r="CVU2" t="str">
            <v>-</v>
          </cell>
          <cell r="CVV2" t="str">
            <v>-</v>
          </cell>
          <cell r="CVW2" t="str">
            <v>-</v>
          </cell>
          <cell r="CVX2" t="str">
            <v>-</v>
          </cell>
          <cell r="CVY2" t="str">
            <v>-</v>
          </cell>
          <cell r="CVZ2" t="str">
            <v>-</v>
          </cell>
          <cell r="CWA2" t="str">
            <v>-</v>
          </cell>
          <cell r="CWB2" t="str">
            <v>-</v>
          </cell>
          <cell r="CWC2" t="str">
            <v>-</v>
          </cell>
          <cell r="CWD2" t="str">
            <v>-</v>
          </cell>
          <cell r="CWE2" t="str">
            <v>-</v>
          </cell>
          <cell r="CWF2" t="str">
            <v>-</v>
          </cell>
          <cell r="CWG2" t="str">
            <v>-</v>
          </cell>
          <cell r="CWH2" t="str">
            <v>-</v>
          </cell>
          <cell r="CWI2" t="str">
            <v>-</v>
          </cell>
          <cell r="CWJ2" t="str">
            <v>-</v>
          </cell>
          <cell r="CWK2" t="str">
            <v>-</v>
          </cell>
          <cell r="CWL2" t="str">
            <v>-</v>
          </cell>
          <cell r="CWM2" t="str">
            <v>-</v>
          </cell>
          <cell r="CWN2" t="str">
            <v>-</v>
          </cell>
          <cell r="CWO2" t="str">
            <v>-</v>
          </cell>
          <cell r="CWP2" t="str">
            <v>-</v>
          </cell>
          <cell r="CWQ2" t="str">
            <v>-</v>
          </cell>
          <cell r="CWR2" t="str">
            <v>-</v>
          </cell>
          <cell r="CWS2" t="str">
            <v>-</v>
          </cell>
          <cell r="CWT2" t="str">
            <v>-</v>
          </cell>
          <cell r="CWU2" t="str">
            <v>-</v>
          </cell>
          <cell r="CWV2" t="str">
            <v>-</v>
          </cell>
          <cell r="CWW2" t="str">
            <v>-</v>
          </cell>
          <cell r="CWX2" t="str">
            <v>-</v>
          </cell>
          <cell r="CWY2" t="str">
            <v>-</v>
          </cell>
          <cell r="CWZ2" t="str">
            <v>-</v>
          </cell>
          <cell r="CXA2" t="str">
            <v>-</v>
          </cell>
          <cell r="CXB2" t="str">
            <v>-</v>
          </cell>
          <cell r="CXC2" t="str">
            <v>-</v>
          </cell>
          <cell r="CXD2" t="str">
            <v>-</v>
          </cell>
          <cell r="CXE2" t="str">
            <v>-</v>
          </cell>
          <cell r="CXF2" t="str">
            <v>-</v>
          </cell>
          <cell r="CXG2" t="str">
            <v>-</v>
          </cell>
          <cell r="CXH2" t="str">
            <v>-</v>
          </cell>
          <cell r="CXI2" t="str">
            <v>-</v>
          </cell>
          <cell r="CXJ2" t="str">
            <v>-</v>
          </cell>
          <cell r="CXK2" t="str">
            <v>-</v>
          </cell>
          <cell r="CXL2" t="str">
            <v>-</v>
          </cell>
          <cell r="CXM2" t="str">
            <v>-</v>
          </cell>
          <cell r="CXN2" t="str">
            <v>-</v>
          </cell>
          <cell r="CXO2" t="str">
            <v>-</v>
          </cell>
          <cell r="CXP2" t="str">
            <v>-</v>
          </cell>
          <cell r="CXQ2" t="str">
            <v>-</v>
          </cell>
          <cell r="CXR2" t="str">
            <v>-</v>
          </cell>
          <cell r="CXS2" t="str">
            <v>-</v>
          </cell>
          <cell r="CXT2" t="str">
            <v>-</v>
          </cell>
          <cell r="CXU2" t="str">
            <v>-</v>
          </cell>
          <cell r="CXV2" t="str">
            <v>-</v>
          </cell>
          <cell r="CXW2" t="str">
            <v>-</v>
          </cell>
          <cell r="CXX2" t="str">
            <v>-</v>
          </cell>
          <cell r="CXY2" t="str">
            <v>-</v>
          </cell>
          <cell r="CXZ2" t="str">
            <v>-</v>
          </cell>
          <cell r="CYA2" t="str">
            <v>-</v>
          </cell>
          <cell r="CYB2" t="str">
            <v>-</v>
          </cell>
          <cell r="CYC2" t="str">
            <v>-</v>
          </cell>
          <cell r="CYD2" t="str">
            <v>-</v>
          </cell>
          <cell r="CYE2" t="str">
            <v>-</v>
          </cell>
          <cell r="CYF2" t="str">
            <v>-</v>
          </cell>
          <cell r="CYG2" t="str">
            <v>-</v>
          </cell>
          <cell r="CYH2" t="str">
            <v>-</v>
          </cell>
          <cell r="CYI2" t="str">
            <v>-</v>
          </cell>
          <cell r="CYJ2" t="str">
            <v>-</v>
          </cell>
          <cell r="CYK2" t="str">
            <v>-</v>
          </cell>
          <cell r="CYL2" t="str">
            <v>-</v>
          </cell>
          <cell r="CYM2" t="str">
            <v>-</v>
          </cell>
          <cell r="CYN2" t="str">
            <v>-</v>
          </cell>
          <cell r="CYO2" t="str">
            <v>-</v>
          </cell>
          <cell r="CYP2" t="str">
            <v>-</v>
          </cell>
          <cell r="CYQ2" t="str">
            <v>-</v>
          </cell>
          <cell r="CYR2" t="str">
            <v>-</v>
          </cell>
          <cell r="CYS2" t="str">
            <v>-</v>
          </cell>
          <cell r="CYT2" t="str">
            <v>-</v>
          </cell>
          <cell r="CYU2" t="str">
            <v>-</v>
          </cell>
          <cell r="CYV2" t="str">
            <v>-</v>
          </cell>
          <cell r="CYW2" t="str">
            <v>-</v>
          </cell>
          <cell r="CYX2" t="str">
            <v>-</v>
          </cell>
          <cell r="CYY2" t="str">
            <v>-</v>
          </cell>
          <cell r="CYZ2" t="str">
            <v>-</v>
          </cell>
          <cell r="CZA2" t="str">
            <v>-</v>
          </cell>
          <cell r="CZB2" t="str">
            <v>-</v>
          </cell>
          <cell r="CZC2" t="str">
            <v>-</v>
          </cell>
          <cell r="CZD2" t="str">
            <v>-</v>
          </cell>
          <cell r="CZE2" t="str">
            <v>-</v>
          </cell>
          <cell r="CZF2" t="str">
            <v>-</v>
          </cell>
          <cell r="CZG2" t="str">
            <v>-</v>
          </cell>
          <cell r="CZH2" t="str">
            <v>-</v>
          </cell>
          <cell r="CZI2" t="str">
            <v>-</v>
          </cell>
          <cell r="CZJ2" t="str">
            <v>-</v>
          </cell>
          <cell r="CZK2" t="str">
            <v>-</v>
          </cell>
          <cell r="CZL2" t="str">
            <v>-</v>
          </cell>
          <cell r="CZM2" t="str">
            <v>-</v>
          </cell>
          <cell r="CZN2" t="str">
            <v>-</v>
          </cell>
          <cell r="CZO2" t="str">
            <v>-</v>
          </cell>
          <cell r="CZP2" t="str">
            <v>-</v>
          </cell>
          <cell r="CZQ2" t="str">
            <v>-</v>
          </cell>
          <cell r="CZR2" t="str">
            <v>-</v>
          </cell>
          <cell r="CZS2" t="str">
            <v>-</v>
          </cell>
          <cell r="CZT2" t="str">
            <v>-</v>
          </cell>
          <cell r="CZU2" t="str">
            <v>-</v>
          </cell>
          <cell r="CZV2" t="str">
            <v>-</v>
          </cell>
          <cell r="CZW2" t="str">
            <v>-</v>
          </cell>
          <cell r="CZX2" t="str">
            <v>-</v>
          </cell>
          <cell r="CZY2" t="str">
            <v>-</v>
          </cell>
          <cell r="CZZ2" t="str">
            <v>-</v>
          </cell>
          <cell r="DAA2" t="str">
            <v>-</v>
          </cell>
          <cell r="DAB2" t="str">
            <v>-</v>
          </cell>
          <cell r="DAC2" t="str">
            <v>-</v>
          </cell>
          <cell r="DAD2" t="str">
            <v>-</v>
          </cell>
          <cell r="DAE2" t="str">
            <v>-</v>
          </cell>
          <cell r="DAF2" t="str">
            <v>-</v>
          </cell>
          <cell r="DAG2" t="str">
            <v>-</v>
          </cell>
          <cell r="DAH2" t="str">
            <v>-</v>
          </cell>
          <cell r="DAI2" t="str">
            <v>-</v>
          </cell>
          <cell r="DAJ2" t="str">
            <v>-</v>
          </cell>
          <cell r="DAK2" t="str">
            <v>-</v>
          </cell>
          <cell r="DAL2" t="str">
            <v>-</v>
          </cell>
          <cell r="DAM2" t="str">
            <v>-</v>
          </cell>
          <cell r="DAN2" t="str">
            <v>-</v>
          </cell>
          <cell r="DAO2" t="str">
            <v>-</v>
          </cell>
          <cell r="DAP2" t="str">
            <v>-</v>
          </cell>
          <cell r="DAQ2" t="str">
            <v>-</v>
          </cell>
          <cell r="DAR2" t="str">
            <v>-</v>
          </cell>
          <cell r="DAS2" t="str">
            <v>-</v>
          </cell>
          <cell r="DAT2" t="str">
            <v>-</v>
          </cell>
          <cell r="DAU2" t="str">
            <v>-</v>
          </cell>
          <cell r="DAV2" t="str">
            <v>-</v>
          </cell>
          <cell r="DAW2" t="str">
            <v>-</v>
          </cell>
          <cell r="DAX2" t="str">
            <v>-</v>
          </cell>
          <cell r="DAY2" t="str">
            <v>-</v>
          </cell>
          <cell r="DAZ2" t="str">
            <v>-</v>
          </cell>
          <cell r="DBA2" t="str">
            <v>-</v>
          </cell>
          <cell r="DBB2" t="str">
            <v>-</v>
          </cell>
          <cell r="DBC2" t="str">
            <v>-</v>
          </cell>
          <cell r="DBD2" t="str">
            <v>-</v>
          </cell>
          <cell r="DBE2" t="str">
            <v>-</v>
          </cell>
          <cell r="DBF2" t="str">
            <v>-</v>
          </cell>
          <cell r="DBG2" t="str">
            <v>-</v>
          </cell>
          <cell r="DBH2" t="str">
            <v>-</v>
          </cell>
          <cell r="DBI2" t="str">
            <v>-</v>
          </cell>
          <cell r="DBJ2" t="str">
            <v>-</v>
          </cell>
          <cell r="DBK2" t="str">
            <v>-</v>
          </cell>
          <cell r="DBL2" t="str">
            <v>-</v>
          </cell>
          <cell r="DBM2" t="str">
            <v>-</v>
          </cell>
          <cell r="DBN2" t="str">
            <v>-</v>
          </cell>
          <cell r="DBO2" t="str">
            <v>-</v>
          </cell>
          <cell r="DBP2" t="str">
            <v>-</v>
          </cell>
          <cell r="DBQ2" t="str">
            <v>-</v>
          </cell>
          <cell r="DBR2" t="str">
            <v>-</v>
          </cell>
          <cell r="DBS2" t="str">
            <v>-</v>
          </cell>
          <cell r="DBT2" t="str">
            <v>-</v>
          </cell>
          <cell r="DBU2" t="str">
            <v>-</v>
          </cell>
          <cell r="DBV2" t="str">
            <v>-</v>
          </cell>
          <cell r="DBW2" t="str">
            <v>-</v>
          </cell>
          <cell r="DBX2" t="str">
            <v>-</v>
          </cell>
          <cell r="DBY2" t="str">
            <v>-</v>
          </cell>
          <cell r="DBZ2" t="str">
            <v>-</v>
          </cell>
          <cell r="DCA2" t="str">
            <v>-</v>
          </cell>
          <cell r="DCB2" t="str">
            <v>-</v>
          </cell>
          <cell r="DCC2" t="str">
            <v>-</v>
          </cell>
          <cell r="DCD2" t="str">
            <v>-</v>
          </cell>
          <cell r="DCE2" t="str">
            <v>-</v>
          </cell>
          <cell r="DCF2" t="str">
            <v>-</v>
          </cell>
          <cell r="DCG2" t="str">
            <v>-</v>
          </cell>
          <cell r="DCH2" t="str">
            <v>-</v>
          </cell>
          <cell r="DCI2" t="str">
            <v>-</v>
          </cell>
          <cell r="DCJ2" t="str">
            <v>-</v>
          </cell>
          <cell r="DCK2" t="str">
            <v>-</v>
          </cell>
          <cell r="DCL2" t="str">
            <v>-</v>
          </cell>
          <cell r="DCM2" t="str">
            <v>-</v>
          </cell>
          <cell r="DCN2" t="str">
            <v>-</v>
          </cell>
          <cell r="DCO2" t="str">
            <v>-</v>
          </cell>
          <cell r="DCP2" t="str">
            <v>-</v>
          </cell>
          <cell r="DCQ2" t="str">
            <v>-</v>
          </cell>
          <cell r="DCR2" t="str">
            <v>-</v>
          </cell>
          <cell r="DCS2" t="str">
            <v>-</v>
          </cell>
          <cell r="DCT2" t="str">
            <v>-</v>
          </cell>
          <cell r="DCU2" t="str">
            <v>-</v>
          </cell>
          <cell r="DCV2" t="str">
            <v>-</v>
          </cell>
          <cell r="DCW2" t="str">
            <v>-</v>
          </cell>
          <cell r="DCX2" t="str">
            <v>-</v>
          </cell>
          <cell r="DCY2" t="str">
            <v>-</v>
          </cell>
          <cell r="DCZ2" t="str">
            <v>-</v>
          </cell>
          <cell r="DDA2" t="str">
            <v>-</v>
          </cell>
          <cell r="DDB2" t="str">
            <v>-</v>
          </cell>
          <cell r="DDC2" t="str">
            <v>-</v>
          </cell>
          <cell r="DDD2" t="str">
            <v>-</v>
          </cell>
          <cell r="DDE2" t="str">
            <v>-</v>
          </cell>
          <cell r="DDF2" t="str">
            <v>-</v>
          </cell>
          <cell r="DDG2" t="str">
            <v>-</v>
          </cell>
          <cell r="DDH2" t="str">
            <v>-</v>
          </cell>
          <cell r="DDI2" t="str">
            <v>-</v>
          </cell>
          <cell r="DDJ2" t="str">
            <v>-</v>
          </cell>
          <cell r="DDK2" t="str">
            <v>-</v>
          </cell>
          <cell r="DDL2" t="str">
            <v>-</v>
          </cell>
          <cell r="DDM2" t="str">
            <v>-</v>
          </cell>
          <cell r="DDN2" t="str">
            <v>-</v>
          </cell>
          <cell r="DDO2" t="str">
            <v>-</v>
          </cell>
          <cell r="DDP2" t="str">
            <v>-</v>
          </cell>
          <cell r="DDQ2" t="str">
            <v>-</v>
          </cell>
          <cell r="DDR2" t="str">
            <v>-</v>
          </cell>
          <cell r="DDS2" t="str">
            <v>-</v>
          </cell>
          <cell r="DDT2" t="str">
            <v>-</v>
          </cell>
          <cell r="DDU2" t="str">
            <v>-</v>
          </cell>
          <cell r="DDV2" t="str">
            <v>-</v>
          </cell>
          <cell r="DDW2" t="str">
            <v>-</v>
          </cell>
          <cell r="DDX2" t="str">
            <v>-</v>
          </cell>
          <cell r="DDY2" t="str">
            <v>-</v>
          </cell>
          <cell r="DDZ2" t="str">
            <v>-</v>
          </cell>
          <cell r="DEA2" t="str">
            <v>-</v>
          </cell>
          <cell r="DEB2" t="str">
            <v>-</v>
          </cell>
          <cell r="DEC2" t="str">
            <v>-</v>
          </cell>
          <cell r="DED2" t="str">
            <v>-</v>
          </cell>
          <cell r="DEE2" t="str">
            <v>-</v>
          </cell>
          <cell r="DEF2" t="str">
            <v>-</v>
          </cell>
          <cell r="DEG2" t="str">
            <v>-</v>
          </cell>
          <cell r="DEH2" t="str">
            <v>-</v>
          </cell>
          <cell r="DEI2" t="str">
            <v>-</v>
          </cell>
          <cell r="DEJ2" t="str">
            <v>-</v>
          </cell>
          <cell r="DEK2" t="str">
            <v>-</v>
          </cell>
          <cell r="DEL2" t="str">
            <v>-</v>
          </cell>
          <cell r="DEM2" t="str">
            <v>-</v>
          </cell>
          <cell r="DEN2" t="str">
            <v>-</v>
          </cell>
          <cell r="DEO2" t="str">
            <v>-</v>
          </cell>
          <cell r="DEP2" t="str">
            <v>-</v>
          </cell>
          <cell r="DEQ2" t="str">
            <v>-</v>
          </cell>
          <cell r="DER2" t="str">
            <v>-</v>
          </cell>
          <cell r="DES2" t="str">
            <v>-</v>
          </cell>
          <cell r="DET2" t="str">
            <v>-</v>
          </cell>
          <cell r="DEU2" t="str">
            <v>-</v>
          </cell>
          <cell r="DEV2" t="str">
            <v>-</v>
          </cell>
          <cell r="DEW2" t="str">
            <v>-</v>
          </cell>
          <cell r="DEX2" t="str">
            <v>-</v>
          </cell>
          <cell r="DEY2" t="str">
            <v>-</v>
          </cell>
          <cell r="DEZ2" t="str">
            <v>-</v>
          </cell>
          <cell r="DFA2" t="str">
            <v>-</v>
          </cell>
          <cell r="DFB2" t="str">
            <v>-</v>
          </cell>
          <cell r="DFC2" t="str">
            <v>-</v>
          </cell>
          <cell r="DFD2" t="str">
            <v>-</v>
          </cell>
          <cell r="DFE2" t="str">
            <v>-</v>
          </cell>
          <cell r="DFF2" t="str">
            <v>-</v>
          </cell>
          <cell r="DFG2" t="str">
            <v>-</v>
          </cell>
          <cell r="DFH2" t="str">
            <v>-</v>
          </cell>
          <cell r="DFI2" t="str">
            <v>-</v>
          </cell>
          <cell r="DFJ2" t="str">
            <v>-</v>
          </cell>
          <cell r="DFK2" t="str">
            <v>-</v>
          </cell>
          <cell r="DFL2" t="str">
            <v>-</v>
          </cell>
          <cell r="DFM2" t="str">
            <v>-</v>
          </cell>
          <cell r="DFN2" t="str">
            <v>-</v>
          </cell>
          <cell r="DFO2" t="str">
            <v>-</v>
          </cell>
          <cell r="DFP2" t="str">
            <v>-</v>
          </cell>
          <cell r="DFQ2" t="str">
            <v>-</v>
          </cell>
          <cell r="DFR2" t="str">
            <v>-</v>
          </cell>
          <cell r="DFS2" t="str">
            <v>-</v>
          </cell>
          <cell r="DFT2" t="str">
            <v>-</v>
          </cell>
          <cell r="DFU2" t="str">
            <v>-</v>
          </cell>
          <cell r="DFV2" t="str">
            <v>-</v>
          </cell>
          <cell r="DFW2" t="str">
            <v>-</v>
          </cell>
          <cell r="DFX2" t="str">
            <v>-</v>
          </cell>
          <cell r="DFY2" t="str">
            <v>-</v>
          </cell>
          <cell r="DFZ2" t="str">
            <v>-</v>
          </cell>
          <cell r="DGA2" t="str">
            <v>-</v>
          </cell>
          <cell r="DGB2" t="str">
            <v>-</v>
          </cell>
          <cell r="DGC2" t="str">
            <v>-</v>
          </cell>
          <cell r="DGD2" t="str">
            <v>-</v>
          </cell>
          <cell r="DGE2" t="str">
            <v>-</v>
          </cell>
          <cell r="DGF2" t="str">
            <v>-</v>
          </cell>
          <cell r="DGG2" t="str">
            <v>-</v>
          </cell>
          <cell r="DGH2" t="str">
            <v>-</v>
          </cell>
          <cell r="DGI2" t="str">
            <v>-</v>
          </cell>
          <cell r="DGJ2" t="str">
            <v>-</v>
          </cell>
          <cell r="DGK2" t="str">
            <v>-</v>
          </cell>
          <cell r="DGL2" t="str">
            <v>-</v>
          </cell>
          <cell r="DGM2" t="str">
            <v>-</v>
          </cell>
          <cell r="DGN2" t="str">
            <v>-</v>
          </cell>
          <cell r="DGO2" t="str">
            <v>-</v>
          </cell>
          <cell r="DGP2" t="str">
            <v>-</v>
          </cell>
          <cell r="DGQ2" t="str">
            <v>-</v>
          </cell>
          <cell r="DGR2" t="str">
            <v>-</v>
          </cell>
          <cell r="DGS2" t="str">
            <v>-</v>
          </cell>
          <cell r="DGT2" t="str">
            <v>-</v>
          </cell>
          <cell r="DGU2" t="str">
            <v>-</v>
          </cell>
          <cell r="DGV2" t="str">
            <v>-</v>
          </cell>
          <cell r="DGW2" t="str">
            <v>-</v>
          </cell>
          <cell r="DGX2" t="str">
            <v>-</v>
          </cell>
          <cell r="DGY2" t="str">
            <v>-</v>
          </cell>
          <cell r="DGZ2" t="str">
            <v>-</v>
          </cell>
          <cell r="DHA2" t="str">
            <v>-</v>
          </cell>
          <cell r="DHB2" t="str">
            <v>-</v>
          </cell>
          <cell r="DHC2" t="str">
            <v>-</v>
          </cell>
          <cell r="DHD2" t="str">
            <v>-</v>
          </cell>
          <cell r="DHE2" t="str">
            <v>-</v>
          </cell>
          <cell r="DHF2" t="str">
            <v>-</v>
          </cell>
          <cell r="DHG2" t="str">
            <v>-</v>
          </cell>
          <cell r="DHH2" t="str">
            <v>-</v>
          </cell>
          <cell r="DHI2" t="str">
            <v>-</v>
          </cell>
          <cell r="DHJ2" t="str">
            <v>-</v>
          </cell>
          <cell r="DHK2" t="str">
            <v>-</v>
          </cell>
          <cell r="DHL2" t="str">
            <v>-</v>
          </cell>
          <cell r="DHM2" t="str">
            <v>-</v>
          </cell>
          <cell r="DHN2" t="str">
            <v>-</v>
          </cell>
          <cell r="DHO2" t="str">
            <v>-</v>
          </cell>
          <cell r="DHP2" t="str">
            <v>-</v>
          </cell>
          <cell r="DHQ2" t="str">
            <v>-</v>
          </cell>
          <cell r="DHR2" t="str">
            <v>-</v>
          </cell>
          <cell r="DHS2" t="str">
            <v>-</v>
          </cell>
          <cell r="DHT2" t="str">
            <v>-</v>
          </cell>
          <cell r="DHU2" t="str">
            <v>-</v>
          </cell>
          <cell r="DHV2" t="str">
            <v>-</v>
          </cell>
          <cell r="DHW2" t="str">
            <v>-</v>
          </cell>
          <cell r="DHX2" t="str">
            <v>-</v>
          </cell>
          <cell r="DHY2" t="str">
            <v>-</v>
          </cell>
          <cell r="DHZ2" t="str">
            <v>-</v>
          </cell>
          <cell r="DIA2" t="str">
            <v>-</v>
          </cell>
          <cell r="DIB2" t="str">
            <v>-</v>
          </cell>
          <cell r="DIC2" t="str">
            <v>-</v>
          </cell>
          <cell r="DID2" t="str">
            <v>-</v>
          </cell>
          <cell r="DIE2" t="str">
            <v>-</v>
          </cell>
          <cell r="DIF2" t="str">
            <v>-</v>
          </cell>
          <cell r="DIG2" t="str">
            <v>-</v>
          </cell>
          <cell r="DIH2" t="str">
            <v>-</v>
          </cell>
          <cell r="DII2" t="str">
            <v>-</v>
          </cell>
          <cell r="DIJ2" t="str">
            <v>-</v>
          </cell>
          <cell r="DIK2" t="str">
            <v>-</v>
          </cell>
          <cell r="DIL2" t="str">
            <v>-</v>
          </cell>
          <cell r="DIM2" t="str">
            <v>-</v>
          </cell>
          <cell r="DIN2" t="str">
            <v>-</v>
          </cell>
          <cell r="DIO2" t="str">
            <v>-</v>
          </cell>
          <cell r="DIP2" t="str">
            <v>-</v>
          </cell>
          <cell r="DIQ2" t="str">
            <v>-</v>
          </cell>
          <cell r="DIR2" t="str">
            <v>-</v>
          </cell>
          <cell r="DIS2" t="str">
            <v>-</v>
          </cell>
          <cell r="DIT2" t="str">
            <v>-</v>
          </cell>
          <cell r="DIU2" t="str">
            <v>-</v>
          </cell>
          <cell r="DIV2" t="str">
            <v>-</v>
          </cell>
          <cell r="DIW2" t="str">
            <v>-</v>
          </cell>
          <cell r="DIX2" t="str">
            <v>-</v>
          </cell>
          <cell r="DIY2" t="str">
            <v>-</v>
          </cell>
          <cell r="DIZ2" t="str">
            <v>-</v>
          </cell>
          <cell r="DJA2" t="str">
            <v>-</v>
          </cell>
          <cell r="DJB2" t="str">
            <v>-</v>
          </cell>
          <cell r="DJC2" t="str">
            <v>-</v>
          </cell>
          <cell r="DJD2" t="str">
            <v>-</v>
          </cell>
          <cell r="DJE2" t="str">
            <v>-</v>
          </cell>
          <cell r="DJF2" t="str">
            <v>-</v>
          </cell>
          <cell r="DJG2" t="str">
            <v>-</v>
          </cell>
          <cell r="DJH2" t="str">
            <v>-</v>
          </cell>
          <cell r="DJI2" t="str">
            <v>-</v>
          </cell>
          <cell r="DJJ2" t="str">
            <v>-</v>
          </cell>
          <cell r="DJK2" t="str">
            <v>-</v>
          </cell>
          <cell r="DJL2" t="str">
            <v>-</v>
          </cell>
          <cell r="DJM2" t="str">
            <v>-</v>
          </cell>
          <cell r="DJN2" t="str">
            <v>-</v>
          </cell>
          <cell r="DJO2" t="str">
            <v>-</v>
          </cell>
          <cell r="DJP2" t="str">
            <v>-</v>
          </cell>
          <cell r="DJQ2" t="str">
            <v>-</v>
          </cell>
          <cell r="DJR2" t="str">
            <v>-</v>
          </cell>
          <cell r="DJS2" t="str">
            <v>-</v>
          </cell>
          <cell r="DJT2" t="str">
            <v>-</v>
          </cell>
          <cell r="DJU2" t="str">
            <v>-</v>
          </cell>
          <cell r="DJV2" t="str">
            <v>-</v>
          </cell>
          <cell r="DJW2" t="str">
            <v>-</v>
          </cell>
          <cell r="DJX2" t="str">
            <v>-</v>
          </cell>
          <cell r="DJY2" t="str">
            <v>-</v>
          </cell>
          <cell r="DJZ2" t="str">
            <v>-</v>
          </cell>
          <cell r="DKA2" t="str">
            <v>-</v>
          </cell>
          <cell r="DKB2" t="str">
            <v>-</v>
          </cell>
          <cell r="DKC2" t="str">
            <v>-</v>
          </cell>
          <cell r="DKD2" t="str">
            <v>-</v>
          </cell>
          <cell r="DKE2" t="str">
            <v>-</v>
          </cell>
          <cell r="DKF2" t="str">
            <v>-</v>
          </cell>
          <cell r="DKG2" t="str">
            <v>-</v>
          </cell>
          <cell r="DKH2" t="str">
            <v>-</v>
          </cell>
          <cell r="DKI2" t="str">
            <v>-</v>
          </cell>
          <cell r="DKJ2" t="str">
            <v>-</v>
          </cell>
          <cell r="DKK2" t="str">
            <v>-</v>
          </cell>
          <cell r="DKL2" t="str">
            <v>-</v>
          </cell>
          <cell r="DKM2" t="str">
            <v>-</v>
          </cell>
          <cell r="DKN2" t="str">
            <v>-</v>
          </cell>
          <cell r="DKO2" t="str">
            <v>-</v>
          </cell>
          <cell r="DKP2" t="str">
            <v>-</v>
          </cell>
          <cell r="DKQ2" t="str">
            <v>-</v>
          </cell>
          <cell r="DKR2" t="str">
            <v>-</v>
          </cell>
          <cell r="DKS2" t="str">
            <v>-</v>
          </cell>
          <cell r="DKT2" t="str">
            <v>-</v>
          </cell>
          <cell r="DKU2" t="str">
            <v>-</v>
          </cell>
          <cell r="DKV2" t="str">
            <v>-</v>
          </cell>
          <cell r="DKW2" t="str">
            <v>-</v>
          </cell>
          <cell r="DKX2" t="str">
            <v>-</v>
          </cell>
          <cell r="DKY2" t="str">
            <v>-</v>
          </cell>
          <cell r="DKZ2" t="str">
            <v>-</v>
          </cell>
          <cell r="DLA2" t="str">
            <v>-</v>
          </cell>
          <cell r="DLB2" t="str">
            <v>-</v>
          </cell>
          <cell r="DLC2" t="str">
            <v>-</v>
          </cell>
          <cell r="DLD2" t="str">
            <v>-</v>
          </cell>
          <cell r="DLE2" t="str">
            <v>-</v>
          </cell>
          <cell r="DLF2" t="str">
            <v>-</v>
          </cell>
          <cell r="DLG2" t="str">
            <v>-</v>
          </cell>
          <cell r="DLH2" t="str">
            <v>-</v>
          </cell>
          <cell r="DLI2" t="str">
            <v>-</v>
          </cell>
          <cell r="DLJ2" t="str">
            <v>-</v>
          </cell>
          <cell r="DLK2" t="str">
            <v>-</v>
          </cell>
          <cell r="DLL2" t="str">
            <v>-</v>
          </cell>
          <cell r="DLM2" t="str">
            <v>-</v>
          </cell>
          <cell r="DLN2" t="str">
            <v>-</v>
          </cell>
          <cell r="DLO2" t="str">
            <v>-</v>
          </cell>
          <cell r="DLP2" t="str">
            <v>-</v>
          </cell>
          <cell r="DLQ2" t="str">
            <v>-</v>
          </cell>
          <cell r="DLR2" t="str">
            <v>-</v>
          </cell>
          <cell r="DLS2" t="str">
            <v>-</v>
          </cell>
          <cell r="DLT2" t="str">
            <v>-</v>
          </cell>
          <cell r="DLU2" t="str">
            <v>-</v>
          </cell>
          <cell r="DLV2" t="str">
            <v>-</v>
          </cell>
          <cell r="DLW2" t="str">
            <v>-</v>
          </cell>
          <cell r="DLX2" t="str">
            <v>-</v>
          </cell>
          <cell r="DLY2" t="str">
            <v>-</v>
          </cell>
          <cell r="DLZ2" t="str">
            <v>-</v>
          </cell>
          <cell r="DMA2" t="str">
            <v>-</v>
          </cell>
          <cell r="DMB2" t="str">
            <v>-</v>
          </cell>
          <cell r="DMC2" t="str">
            <v>-</v>
          </cell>
          <cell r="DMD2" t="str">
            <v>-</v>
          </cell>
          <cell r="DME2" t="str">
            <v>-</v>
          </cell>
          <cell r="DMF2" t="str">
            <v>-</v>
          </cell>
          <cell r="DMG2" t="str">
            <v>-</v>
          </cell>
          <cell r="DMH2" t="str">
            <v>-</v>
          </cell>
          <cell r="DMI2" t="str">
            <v>-</v>
          </cell>
          <cell r="DMJ2" t="str">
            <v>-</v>
          </cell>
          <cell r="DMK2" t="str">
            <v>-</v>
          </cell>
          <cell r="DML2" t="str">
            <v>-</v>
          </cell>
          <cell r="DMM2" t="str">
            <v>-</v>
          </cell>
          <cell r="DMN2" t="str">
            <v>-</v>
          </cell>
          <cell r="DMO2" t="str">
            <v>-</v>
          </cell>
          <cell r="DMP2" t="str">
            <v>-</v>
          </cell>
          <cell r="DMQ2" t="str">
            <v>-</v>
          </cell>
          <cell r="DMR2" t="str">
            <v>-</v>
          </cell>
          <cell r="DMS2" t="str">
            <v>-</v>
          </cell>
          <cell r="DMT2" t="str">
            <v>-</v>
          </cell>
          <cell r="DMU2" t="str">
            <v>-</v>
          </cell>
          <cell r="DMV2" t="str">
            <v>-</v>
          </cell>
          <cell r="DMW2" t="str">
            <v>-</v>
          </cell>
          <cell r="DMX2" t="str">
            <v>-</v>
          </cell>
          <cell r="DMY2" t="str">
            <v>-</v>
          </cell>
          <cell r="DMZ2" t="str">
            <v>-</v>
          </cell>
          <cell r="DNA2" t="str">
            <v>-</v>
          </cell>
          <cell r="DNB2" t="str">
            <v>-</v>
          </cell>
          <cell r="DNC2" t="str">
            <v>-</v>
          </cell>
          <cell r="DND2" t="str">
            <v>-</v>
          </cell>
          <cell r="DNE2" t="str">
            <v>-</v>
          </cell>
          <cell r="DNF2" t="str">
            <v>-</v>
          </cell>
          <cell r="DNG2" t="str">
            <v>-</v>
          </cell>
          <cell r="DNH2" t="str">
            <v>-</v>
          </cell>
          <cell r="DNI2" t="str">
            <v>-</v>
          </cell>
          <cell r="DNJ2" t="str">
            <v>-</v>
          </cell>
          <cell r="DNK2" t="str">
            <v>-</v>
          </cell>
          <cell r="DNL2" t="str">
            <v>-</v>
          </cell>
          <cell r="DNM2" t="str">
            <v>-</v>
          </cell>
          <cell r="DNN2" t="str">
            <v>-</v>
          </cell>
          <cell r="DNO2" t="str">
            <v>-</v>
          </cell>
          <cell r="DNP2" t="str">
            <v>-</v>
          </cell>
          <cell r="DNQ2" t="str">
            <v>-</v>
          </cell>
          <cell r="DNR2" t="str">
            <v>-</v>
          </cell>
          <cell r="DNS2" t="str">
            <v>-</v>
          </cell>
          <cell r="DNT2" t="str">
            <v>-</v>
          </cell>
          <cell r="DNU2" t="str">
            <v>-</v>
          </cell>
          <cell r="DNV2" t="str">
            <v>-</v>
          </cell>
          <cell r="DNW2" t="str">
            <v>-</v>
          </cell>
          <cell r="DNX2" t="str">
            <v>-</v>
          </cell>
          <cell r="DNY2" t="str">
            <v>-</v>
          </cell>
          <cell r="DNZ2" t="str">
            <v>-</v>
          </cell>
          <cell r="DOA2" t="str">
            <v>-</v>
          </cell>
          <cell r="DOB2" t="str">
            <v>-</v>
          </cell>
          <cell r="DOC2" t="str">
            <v>-</v>
          </cell>
          <cell r="DOD2" t="str">
            <v>-</v>
          </cell>
          <cell r="DOE2" t="str">
            <v>-</v>
          </cell>
          <cell r="DOF2" t="str">
            <v>-</v>
          </cell>
          <cell r="DOG2" t="str">
            <v>-</v>
          </cell>
          <cell r="DOH2" t="str">
            <v>-</v>
          </cell>
          <cell r="DOI2" t="str">
            <v>-</v>
          </cell>
          <cell r="DOJ2" t="str">
            <v>-</v>
          </cell>
          <cell r="DOK2" t="str">
            <v>-</v>
          </cell>
          <cell r="DOL2" t="str">
            <v>-</v>
          </cell>
          <cell r="DOM2" t="str">
            <v>-</v>
          </cell>
          <cell r="DON2" t="str">
            <v>-</v>
          </cell>
          <cell r="DOO2" t="str">
            <v>-</v>
          </cell>
          <cell r="DOP2" t="str">
            <v>-</v>
          </cell>
          <cell r="DOQ2" t="str">
            <v>-</v>
          </cell>
          <cell r="DOR2" t="str">
            <v>-</v>
          </cell>
          <cell r="DOS2" t="str">
            <v>-</v>
          </cell>
          <cell r="DOT2" t="str">
            <v>-</v>
          </cell>
          <cell r="DOU2" t="str">
            <v>-</v>
          </cell>
          <cell r="DOV2" t="str">
            <v>-</v>
          </cell>
          <cell r="DOW2" t="str">
            <v>-</v>
          </cell>
          <cell r="DOX2" t="str">
            <v>-</v>
          </cell>
          <cell r="DOY2" t="str">
            <v>-</v>
          </cell>
          <cell r="DOZ2" t="str">
            <v>-</v>
          </cell>
          <cell r="DPA2" t="str">
            <v>-</v>
          </cell>
          <cell r="DPB2" t="str">
            <v>-</v>
          </cell>
          <cell r="DPC2" t="str">
            <v>-</v>
          </cell>
          <cell r="DPD2" t="str">
            <v>-</v>
          </cell>
          <cell r="DPE2" t="str">
            <v>-</v>
          </cell>
          <cell r="DPF2" t="str">
            <v>-</v>
          </cell>
          <cell r="DPG2" t="str">
            <v>-</v>
          </cell>
          <cell r="DPH2" t="str">
            <v>-</v>
          </cell>
          <cell r="DPI2" t="str">
            <v>-</v>
          </cell>
          <cell r="DPJ2" t="str">
            <v>-</v>
          </cell>
          <cell r="DPK2" t="str">
            <v>-</v>
          </cell>
          <cell r="DPL2" t="str">
            <v>-</v>
          </cell>
          <cell r="DPM2" t="str">
            <v>-</v>
          </cell>
          <cell r="DPN2" t="str">
            <v>-</v>
          </cell>
          <cell r="DPO2" t="str">
            <v>-</v>
          </cell>
          <cell r="DPP2" t="str">
            <v>-</v>
          </cell>
          <cell r="DPQ2" t="str">
            <v>-</v>
          </cell>
          <cell r="DPR2" t="str">
            <v>-</v>
          </cell>
          <cell r="DPS2" t="str">
            <v>-</v>
          </cell>
          <cell r="DPT2" t="str">
            <v>-</v>
          </cell>
          <cell r="DPU2" t="str">
            <v>-</v>
          </cell>
          <cell r="DPV2" t="str">
            <v>-</v>
          </cell>
          <cell r="DPW2" t="str">
            <v>-</v>
          </cell>
          <cell r="DPX2" t="str">
            <v>-</v>
          </cell>
          <cell r="DPY2" t="str">
            <v>-</v>
          </cell>
          <cell r="DPZ2" t="str">
            <v>-</v>
          </cell>
          <cell r="DQA2" t="str">
            <v>-</v>
          </cell>
          <cell r="DQB2" t="str">
            <v>-</v>
          </cell>
          <cell r="DQC2" t="str">
            <v>-</v>
          </cell>
          <cell r="DQD2" t="str">
            <v>-</v>
          </cell>
          <cell r="DQE2" t="str">
            <v>-</v>
          </cell>
          <cell r="DQF2" t="str">
            <v>-</v>
          </cell>
          <cell r="DQG2" t="str">
            <v>-</v>
          </cell>
          <cell r="DQH2" t="str">
            <v>-</v>
          </cell>
          <cell r="DQI2" t="str">
            <v>-</v>
          </cell>
          <cell r="DQJ2" t="str">
            <v>-</v>
          </cell>
          <cell r="DQK2" t="str">
            <v>-</v>
          </cell>
          <cell r="DQL2" t="str">
            <v>-</v>
          </cell>
          <cell r="DQM2" t="str">
            <v>-</v>
          </cell>
          <cell r="DQN2" t="str">
            <v>-</v>
          </cell>
          <cell r="DQO2" t="str">
            <v>-</v>
          </cell>
          <cell r="DQP2" t="str">
            <v>-</v>
          </cell>
          <cell r="DQQ2" t="str">
            <v>-</v>
          </cell>
          <cell r="DQR2" t="str">
            <v>-</v>
          </cell>
          <cell r="DQS2" t="str">
            <v>-</v>
          </cell>
          <cell r="DQT2" t="str">
            <v>-</v>
          </cell>
          <cell r="DQU2" t="str">
            <v>-</v>
          </cell>
          <cell r="DQV2" t="str">
            <v>-</v>
          </cell>
          <cell r="DQW2" t="str">
            <v>-</v>
          </cell>
          <cell r="DQX2" t="str">
            <v>-</v>
          </cell>
          <cell r="DQY2" t="str">
            <v>-</v>
          </cell>
          <cell r="DQZ2" t="str">
            <v>-</v>
          </cell>
          <cell r="DRA2" t="str">
            <v>-</v>
          </cell>
          <cell r="DRB2" t="str">
            <v>-</v>
          </cell>
          <cell r="DRC2" t="str">
            <v>-</v>
          </cell>
          <cell r="DRD2" t="str">
            <v>-</v>
          </cell>
          <cell r="DRE2" t="str">
            <v>-</v>
          </cell>
          <cell r="DRF2" t="str">
            <v>-</v>
          </cell>
          <cell r="DRG2" t="str">
            <v>-</v>
          </cell>
          <cell r="DRH2" t="str">
            <v>-</v>
          </cell>
          <cell r="DRI2" t="str">
            <v>-</v>
          </cell>
          <cell r="DRJ2" t="str">
            <v>-</v>
          </cell>
          <cell r="DRK2" t="str">
            <v>-</v>
          </cell>
          <cell r="DRL2" t="str">
            <v>-</v>
          </cell>
          <cell r="DRM2" t="str">
            <v>-</v>
          </cell>
          <cell r="DRN2" t="str">
            <v>-</v>
          </cell>
          <cell r="DRO2" t="str">
            <v>-</v>
          </cell>
          <cell r="DRP2" t="str">
            <v>-</v>
          </cell>
          <cell r="DRQ2" t="str">
            <v>-</v>
          </cell>
          <cell r="DRR2" t="str">
            <v>-</v>
          </cell>
          <cell r="DRS2" t="str">
            <v>-</v>
          </cell>
          <cell r="DRT2" t="str">
            <v>-</v>
          </cell>
          <cell r="DRU2" t="str">
            <v>-</v>
          </cell>
          <cell r="DRV2" t="str">
            <v>-</v>
          </cell>
          <cell r="DRW2" t="str">
            <v>-</v>
          </cell>
          <cell r="DRX2" t="str">
            <v>-</v>
          </cell>
          <cell r="DRY2" t="str">
            <v>-</v>
          </cell>
          <cell r="DRZ2" t="str">
            <v>-</v>
          </cell>
          <cell r="DSA2" t="str">
            <v>-</v>
          </cell>
          <cell r="DSB2" t="str">
            <v>-</v>
          </cell>
          <cell r="DSC2" t="str">
            <v>-</v>
          </cell>
          <cell r="DSD2" t="str">
            <v>-</v>
          </cell>
          <cell r="DSE2" t="str">
            <v>-</v>
          </cell>
          <cell r="DSF2" t="str">
            <v>-</v>
          </cell>
          <cell r="DSG2" t="str">
            <v>-</v>
          </cell>
          <cell r="DSH2" t="str">
            <v>-</v>
          </cell>
          <cell r="DSI2" t="str">
            <v>-</v>
          </cell>
          <cell r="DSJ2" t="str">
            <v>-</v>
          </cell>
          <cell r="DSK2" t="str">
            <v>-</v>
          </cell>
          <cell r="DSL2" t="str">
            <v>-</v>
          </cell>
          <cell r="DSM2" t="str">
            <v>-</v>
          </cell>
          <cell r="DSN2" t="str">
            <v>-</v>
          </cell>
          <cell r="DSO2" t="str">
            <v>-</v>
          </cell>
          <cell r="DSP2" t="str">
            <v>-</v>
          </cell>
          <cell r="DSQ2" t="str">
            <v>-</v>
          </cell>
          <cell r="DSR2" t="str">
            <v>-</v>
          </cell>
          <cell r="DSS2" t="str">
            <v>-</v>
          </cell>
          <cell r="DST2" t="str">
            <v>-</v>
          </cell>
          <cell r="DSU2" t="str">
            <v>-</v>
          </cell>
          <cell r="DSV2" t="str">
            <v>-</v>
          </cell>
          <cell r="DSW2" t="str">
            <v>-</v>
          </cell>
          <cell r="DSX2" t="str">
            <v>-</v>
          </cell>
          <cell r="DSY2" t="str">
            <v>-</v>
          </cell>
          <cell r="DSZ2" t="str">
            <v>-</v>
          </cell>
          <cell r="DTA2" t="str">
            <v>-</v>
          </cell>
          <cell r="DTB2" t="str">
            <v>-</v>
          </cell>
          <cell r="DTC2" t="str">
            <v>-</v>
          </cell>
          <cell r="DTD2" t="str">
            <v>-</v>
          </cell>
          <cell r="DTE2" t="str">
            <v>-</v>
          </cell>
          <cell r="DTF2" t="str">
            <v>-</v>
          </cell>
          <cell r="DTG2" t="str">
            <v>-</v>
          </cell>
          <cell r="DTH2" t="str">
            <v>-</v>
          </cell>
          <cell r="DTI2" t="str">
            <v>-</v>
          </cell>
          <cell r="DTJ2" t="str">
            <v>-</v>
          </cell>
          <cell r="DTK2" t="str">
            <v>-</v>
          </cell>
          <cell r="DTL2" t="str">
            <v>-</v>
          </cell>
          <cell r="DTM2" t="str">
            <v>-</v>
          </cell>
          <cell r="DTN2" t="str">
            <v>-</v>
          </cell>
          <cell r="DTO2" t="str">
            <v>-</v>
          </cell>
          <cell r="DTP2" t="str">
            <v>-</v>
          </cell>
          <cell r="DTQ2" t="str">
            <v>-</v>
          </cell>
          <cell r="DTR2" t="str">
            <v>-</v>
          </cell>
          <cell r="DTS2" t="str">
            <v>-</v>
          </cell>
          <cell r="DTT2" t="str">
            <v>-</v>
          </cell>
          <cell r="DTU2" t="str">
            <v>-</v>
          </cell>
          <cell r="DTV2" t="str">
            <v>-</v>
          </cell>
          <cell r="DTW2" t="str">
            <v>-</v>
          </cell>
          <cell r="DTX2" t="str">
            <v>-</v>
          </cell>
          <cell r="DTY2" t="str">
            <v>-</v>
          </cell>
          <cell r="DTZ2" t="str">
            <v>-</v>
          </cell>
          <cell r="DUA2" t="str">
            <v>-</v>
          </cell>
          <cell r="DUB2" t="str">
            <v>-</v>
          </cell>
          <cell r="DUC2" t="str">
            <v>-</v>
          </cell>
          <cell r="DUD2" t="str">
            <v>-</v>
          </cell>
          <cell r="DUE2" t="str">
            <v>-</v>
          </cell>
          <cell r="DUF2" t="str">
            <v>-</v>
          </cell>
          <cell r="DUG2" t="str">
            <v>-</v>
          </cell>
          <cell r="DUH2" t="str">
            <v>-</v>
          </cell>
          <cell r="DUI2" t="str">
            <v>-</v>
          </cell>
          <cell r="DUJ2" t="str">
            <v>-</v>
          </cell>
          <cell r="DUK2" t="str">
            <v>-</v>
          </cell>
          <cell r="DUL2" t="str">
            <v>-</v>
          </cell>
          <cell r="DUM2" t="str">
            <v>-</v>
          </cell>
          <cell r="DUN2" t="str">
            <v>-</v>
          </cell>
          <cell r="DUO2" t="str">
            <v>-</v>
          </cell>
          <cell r="DUP2" t="str">
            <v>-</v>
          </cell>
          <cell r="DUQ2" t="str">
            <v>-</v>
          </cell>
          <cell r="DUR2" t="str">
            <v>-</v>
          </cell>
          <cell r="DUS2" t="str">
            <v>-</v>
          </cell>
          <cell r="DUT2" t="str">
            <v>-</v>
          </cell>
          <cell r="DUU2" t="str">
            <v>-</v>
          </cell>
          <cell r="DUV2" t="str">
            <v>-</v>
          </cell>
          <cell r="DUW2" t="str">
            <v>-</v>
          </cell>
          <cell r="DUX2" t="str">
            <v>-</v>
          </cell>
          <cell r="DUY2" t="str">
            <v>-</v>
          </cell>
          <cell r="DUZ2" t="str">
            <v>-</v>
          </cell>
          <cell r="DVA2" t="str">
            <v>-</v>
          </cell>
          <cell r="DVB2" t="str">
            <v>-</v>
          </cell>
          <cell r="DVC2" t="str">
            <v>-</v>
          </cell>
          <cell r="DVD2" t="str">
            <v>-</v>
          </cell>
          <cell r="DVE2" t="str">
            <v>-</v>
          </cell>
          <cell r="DVF2" t="str">
            <v>-</v>
          </cell>
          <cell r="DVG2" t="str">
            <v>-</v>
          </cell>
          <cell r="DVH2" t="str">
            <v>-</v>
          </cell>
          <cell r="DVI2" t="str">
            <v>-</v>
          </cell>
          <cell r="DVJ2" t="str">
            <v>-</v>
          </cell>
          <cell r="DVK2" t="str">
            <v>-</v>
          </cell>
          <cell r="DVL2" t="str">
            <v>-</v>
          </cell>
          <cell r="DVM2" t="str">
            <v>-</v>
          </cell>
          <cell r="DVN2" t="str">
            <v>-</v>
          </cell>
          <cell r="DVO2" t="str">
            <v>-</v>
          </cell>
          <cell r="DVP2" t="str">
            <v>-</v>
          </cell>
          <cell r="DVQ2" t="str">
            <v>-</v>
          </cell>
          <cell r="DVR2" t="str">
            <v>-</v>
          </cell>
          <cell r="DVS2" t="str">
            <v>-</v>
          </cell>
          <cell r="DVT2" t="str">
            <v>-</v>
          </cell>
          <cell r="DVU2" t="str">
            <v>-</v>
          </cell>
          <cell r="DVV2" t="str">
            <v>-</v>
          </cell>
          <cell r="DVW2" t="str">
            <v>-</v>
          </cell>
          <cell r="DVX2" t="str">
            <v>-</v>
          </cell>
          <cell r="DVY2" t="str">
            <v>-</v>
          </cell>
          <cell r="DVZ2" t="str">
            <v>-</v>
          </cell>
          <cell r="DWA2" t="str">
            <v>-</v>
          </cell>
          <cell r="DWB2" t="str">
            <v>-</v>
          </cell>
          <cell r="DWC2" t="str">
            <v>-</v>
          </cell>
          <cell r="DWD2" t="str">
            <v>-</v>
          </cell>
          <cell r="DWE2" t="str">
            <v>-</v>
          </cell>
          <cell r="DWF2" t="str">
            <v>-</v>
          </cell>
          <cell r="DWG2" t="str">
            <v>-</v>
          </cell>
          <cell r="DWH2" t="str">
            <v>-</v>
          </cell>
          <cell r="DWI2" t="str">
            <v>-</v>
          </cell>
          <cell r="DWJ2" t="str">
            <v>-</v>
          </cell>
          <cell r="DWK2" t="str">
            <v>-</v>
          </cell>
          <cell r="DWL2" t="str">
            <v>-</v>
          </cell>
          <cell r="DWM2" t="str">
            <v>-</v>
          </cell>
          <cell r="DWN2" t="str">
            <v>-</v>
          </cell>
          <cell r="DWO2" t="str">
            <v>-</v>
          </cell>
          <cell r="DWP2" t="str">
            <v>-</v>
          </cell>
          <cell r="DWQ2" t="str">
            <v>-</v>
          </cell>
          <cell r="DWR2" t="str">
            <v>-</v>
          </cell>
          <cell r="DWS2" t="str">
            <v>-</v>
          </cell>
          <cell r="DWT2" t="str">
            <v>-</v>
          </cell>
          <cell r="DWU2" t="str">
            <v>-</v>
          </cell>
          <cell r="DWV2" t="str">
            <v>-</v>
          </cell>
          <cell r="DWW2" t="str">
            <v>-</v>
          </cell>
          <cell r="DWX2" t="str">
            <v>-</v>
          </cell>
          <cell r="DWY2" t="str">
            <v>-</v>
          </cell>
          <cell r="DWZ2" t="str">
            <v>-</v>
          </cell>
          <cell r="DXA2" t="str">
            <v>-</v>
          </cell>
          <cell r="DXB2" t="str">
            <v>-</v>
          </cell>
          <cell r="DXC2" t="str">
            <v>-</v>
          </cell>
          <cell r="DXD2" t="str">
            <v>-</v>
          </cell>
          <cell r="DXE2" t="str">
            <v>-</v>
          </cell>
          <cell r="DXF2" t="str">
            <v>-</v>
          </cell>
          <cell r="DXG2" t="str">
            <v>-</v>
          </cell>
          <cell r="DXH2" t="str">
            <v>-</v>
          </cell>
          <cell r="DXI2" t="str">
            <v>-</v>
          </cell>
          <cell r="DXJ2" t="str">
            <v>-</v>
          </cell>
          <cell r="DXK2" t="str">
            <v>-</v>
          </cell>
          <cell r="DXL2" t="str">
            <v>-</v>
          </cell>
          <cell r="DXM2" t="str">
            <v>-</v>
          </cell>
          <cell r="DXN2" t="str">
            <v>-</v>
          </cell>
          <cell r="DXO2" t="str">
            <v>-</v>
          </cell>
          <cell r="DXP2" t="str">
            <v>-</v>
          </cell>
          <cell r="DXQ2" t="str">
            <v>-</v>
          </cell>
          <cell r="DXR2" t="str">
            <v>-</v>
          </cell>
          <cell r="DXS2" t="str">
            <v>-</v>
          </cell>
          <cell r="DXT2" t="str">
            <v>-</v>
          </cell>
          <cell r="DXU2" t="str">
            <v>-</v>
          </cell>
          <cell r="DXV2" t="str">
            <v>-</v>
          </cell>
          <cell r="DXW2" t="str">
            <v>-</v>
          </cell>
          <cell r="DXX2" t="str">
            <v>-</v>
          </cell>
          <cell r="DXY2" t="str">
            <v>-</v>
          </cell>
          <cell r="DXZ2" t="str">
            <v>-</v>
          </cell>
          <cell r="DYA2" t="str">
            <v>-</v>
          </cell>
          <cell r="DYB2" t="str">
            <v>-</v>
          </cell>
          <cell r="DYC2" t="str">
            <v>-</v>
          </cell>
          <cell r="DYD2" t="str">
            <v>-</v>
          </cell>
          <cell r="DYE2" t="str">
            <v>-</v>
          </cell>
          <cell r="DYF2" t="str">
            <v>-</v>
          </cell>
          <cell r="DYG2" t="str">
            <v>-</v>
          </cell>
          <cell r="DYH2" t="str">
            <v>-</v>
          </cell>
          <cell r="DYI2" t="str">
            <v>-</v>
          </cell>
          <cell r="DYJ2" t="str">
            <v>-</v>
          </cell>
          <cell r="DYK2" t="str">
            <v>-</v>
          </cell>
          <cell r="DYL2" t="str">
            <v>-</v>
          </cell>
          <cell r="DYM2" t="str">
            <v>-</v>
          </cell>
          <cell r="DYN2" t="str">
            <v>-</v>
          </cell>
          <cell r="DYO2" t="str">
            <v>-</v>
          </cell>
          <cell r="DYP2" t="str">
            <v>-</v>
          </cell>
          <cell r="DYQ2" t="str">
            <v>-</v>
          </cell>
          <cell r="DYR2" t="str">
            <v>-</v>
          </cell>
          <cell r="DYS2" t="str">
            <v>-</v>
          </cell>
          <cell r="DYT2" t="str">
            <v>-</v>
          </cell>
          <cell r="DYU2" t="str">
            <v>-</v>
          </cell>
          <cell r="DYV2" t="str">
            <v>-</v>
          </cell>
          <cell r="DYW2" t="str">
            <v>-</v>
          </cell>
          <cell r="DYX2" t="str">
            <v>-</v>
          </cell>
          <cell r="DYY2" t="str">
            <v>-</v>
          </cell>
          <cell r="DYZ2" t="str">
            <v>-</v>
          </cell>
          <cell r="DZA2" t="str">
            <v>-</v>
          </cell>
          <cell r="DZB2" t="str">
            <v>-</v>
          </cell>
          <cell r="DZC2" t="str">
            <v>-</v>
          </cell>
          <cell r="DZD2" t="str">
            <v>-</v>
          </cell>
          <cell r="DZE2" t="str">
            <v>-</v>
          </cell>
          <cell r="DZF2" t="str">
            <v>-</v>
          </cell>
          <cell r="DZG2" t="str">
            <v>-</v>
          </cell>
          <cell r="DZH2" t="str">
            <v>-</v>
          </cell>
          <cell r="DZI2" t="str">
            <v>-</v>
          </cell>
          <cell r="DZJ2" t="str">
            <v>-</v>
          </cell>
          <cell r="DZK2" t="str">
            <v>-</v>
          </cell>
          <cell r="DZL2" t="str">
            <v>-</v>
          </cell>
          <cell r="DZM2" t="str">
            <v>-</v>
          </cell>
          <cell r="DZN2" t="str">
            <v>-</v>
          </cell>
          <cell r="DZO2" t="str">
            <v>-</v>
          </cell>
          <cell r="DZP2" t="str">
            <v>-</v>
          </cell>
          <cell r="DZQ2" t="str">
            <v>-</v>
          </cell>
          <cell r="DZR2" t="str">
            <v>-</v>
          </cell>
          <cell r="DZS2" t="str">
            <v>-</v>
          </cell>
          <cell r="DZT2" t="str">
            <v>-</v>
          </cell>
          <cell r="DZU2" t="str">
            <v>-</v>
          </cell>
          <cell r="DZV2" t="str">
            <v>-</v>
          </cell>
          <cell r="DZW2" t="str">
            <v>-</v>
          </cell>
          <cell r="DZX2" t="str">
            <v>-</v>
          </cell>
          <cell r="DZY2" t="str">
            <v>-</v>
          </cell>
          <cell r="DZZ2" t="str">
            <v>-</v>
          </cell>
          <cell r="EAA2" t="str">
            <v>-</v>
          </cell>
          <cell r="EAB2" t="str">
            <v>-</v>
          </cell>
          <cell r="EAC2" t="str">
            <v>-</v>
          </cell>
          <cell r="EAD2" t="str">
            <v>-</v>
          </cell>
          <cell r="EAE2" t="str">
            <v>-</v>
          </cell>
          <cell r="EAF2" t="str">
            <v>-</v>
          </cell>
          <cell r="EAG2" t="str">
            <v>-</v>
          </cell>
          <cell r="EAH2" t="str">
            <v>-</v>
          </cell>
          <cell r="EAI2" t="str">
            <v>-</v>
          </cell>
          <cell r="EAJ2" t="str">
            <v>-</v>
          </cell>
          <cell r="EAK2" t="str">
            <v>-</v>
          </cell>
          <cell r="EAL2" t="str">
            <v>-</v>
          </cell>
          <cell r="EAM2" t="str">
            <v>-</v>
          </cell>
          <cell r="EAN2" t="str">
            <v>-</v>
          </cell>
          <cell r="EAO2" t="str">
            <v>-</v>
          </cell>
          <cell r="EAP2" t="str">
            <v>-</v>
          </cell>
          <cell r="EAQ2" t="str">
            <v>-</v>
          </cell>
          <cell r="EAR2" t="str">
            <v>-</v>
          </cell>
          <cell r="EAS2" t="str">
            <v>-</v>
          </cell>
          <cell r="EAT2" t="str">
            <v>-</v>
          </cell>
          <cell r="EAU2" t="str">
            <v>-</v>
          </cell>
          <cell r="EAV2" t="str">
            <v>-</v>
          </cell>
          <cell r="EAW2" t="str">
            <v>-</v>
          </cell>
          <cell r="EAX2" t="str">
            <v>-</v>
          </cell>
          <cell r="EAY2" t="str">
            <v>-</v>
          </cell>
          <cell r="EAZ2" t="str">
            <v>-</v>
          </cell>
          <cell r="EBA2" t="str">
            <v>-</v>
          </cell>
          <cell r="EBB2" t="str">
            <v>-</v>
          </cell>
          <cell r="EBC2" t="str">
            <v>-</v>
          </cell>
          <cell r="EBD2" t="str">
            <v>-</v>
          </cell>
          <cell r="EBE2" t="str">
            <v>-</v>
          </cell>
          <cell r="EBF2" t="str">
            <v>-</v>
          </cell>
          <cell r="EBG2" t="str">
            <v>-</v>
          </cell>
          <cell r="EBH2" t="str">
            <v>-</v>
          </cell>
          <cell r="EBI2" t="str">
            <v>-</v>
          </cell>
          <cell r="EBJ2" t="str">
            <v>-</v>
          </cell>
          <cell r="EBK2" t="str">
            <v>-</v>
          </cell>
          <cell r="EBL2" t="str">
            <v>-</v>
          </cell>
          <cell r="EBM2" t="str">
            <v>-</v>
          </cell>
          <cell r="EBN2" t="str">
            <v>-</v>
          </cell>
          <cell r="EBO2" t="str">
            <v>-</v>
          </cell>
          <cell r="EBP2" t="str">
            <v>-</v>
          </cell>
          <cell r="EBQ2" t="str">
            <v>-</v>
          </cell>
          <cell r="EBR2" t="str">
            <v>-</v>
          </cell>
          <cell r="EBS2" t="str">
            <v>-</v>
          </cell>
          <cell r="EBT2" t="str">
            <v>-</v>
          </cell>
          <cell r="EBU2" t="str">
            <v>-</v>
          </cell>
          <cell r="EBV2" t="str">
            <v>-</v>
          </cell>
          <cell r="EBW2" t="str">
            <v>-</v>
          </cell>
          <cell r="EBX2" t="str">
            <v>-</v>
          </cell>
          <cell r="EBY2" t="str">
            <v>-</v>
          </cell>
          <cell r="EBZ2" t="str">
            <v>-</v>
          </cell>
          <cell r="ECA2" t="str">
            <v>-</v>
          </cell>
          <cell r="ECB2" t="str">
            <v>-</v>
          </cell>
          <cell r="ECC2" t="str">
            <v>-</v>
          </cell>
          <cell r="ECD2" t="str">
            <v>-</v>
          </cell>
          <cell r="ECE2" t="str">
            <v>-</v>
          </cell>
          <cell r="ECF2" t="str">
            <v>-</v>
          </cell>
          <cell r="ECG2" t="str">
            <v>-</v>
          </cell>
          <cell r="ECH2" t="str">
            <v>-</v>
          </cell>
          <cell r="ECI2" t="str">
            <v>-</v>
          </cell>
          <cell r="ECJ2" t="str">
            <v>-</v>
          </cell>
          <cell r="ECK2" t="str">
            <v>-</v>
          </cell>
          <cell r="ECL2" t="str">
            <v>-</v>
          </cell>
          <cell r="ECM2" t="str">
            <v>-</v>
          </cell>
          <cell r="ECN2" t="str">
            <v>-</v>
          </cell>
          <cell r="ECO2" t="str">
            <v>-</v>
          </cell>
          <cell r="ECP2" t="str">
            <v>-</v>
          </cell>
          <cell r="ECQ2" t="str">
            <v>-</v>
          </cell>
          <cell r="ECR2" t="str">
            <v>-</v>
          </cell>
          <cell r="ECS2" t="str">
            <v>-</v>
          </cell>
          <cell r="ECT2" t="str">
            <v>-</v>
          </cell>
          <cell r="ECU2" t="str">
            <v>-</v>
          </cell>
          <cell r="ECV2" t="str">
            <v>-</v>
          </cell>
          <cell r="ECW2" t="str">
            <v>-</v>
          </cell>
          <cell r="ECX2" t="str">
            <v>-</v>
          </cell>
          <cell r="ECY2" t="str">
            <v>-</v>
          </cell>
          <cell r="ECZ2" t="str">
            <v>-</v>
          </cell>
          <cell r="EDA2" t="str">
            <v>-</v>
          </cell>
          <cell r="EDB2" t="str">
            <v>-</v>
          </cell>
          <cell r="EDC2" t="str">
            <v>-</v>
          </cell>
          <cell r="EDD2" t="str">
            <v>-</v>
          </cell>
          <cell r="EDE2" t="str">
            <v>-</v>
          </cell>
          <cell r="EDF2" t="str">
            <v>-</v>
          </cell>
          <cell r="EDG2" t="str">
            <v>-</v>
          </cell>
          <cell r="EDH2" t="str">
            <v>-</v>
          </cell>
          <cell r="EDI2" t="str">
            <v>-</v>
          </cell>
          <cell r="EDJ2" t="str">
            <v>-</v>
          </cell>
          <cell r="EDK2" t="str">
            <v>-</v>
          </cell>
          <cell r="EDL2" t="str">
            <v>-</v>
          </cell>
          <cell r="EDM2" t="str">
            <v>-</v>
          </cell>
          <cell r="EDN2" t="str">
            <v>-</v>
          </cell>
          <cell r="EDO2" t="str">
            <v>-</v>
          </cell>
          <cell r="EDP2" t="str">
            <v>-</v>
          </cell>
          <cell r="EDQ2" t="str">
            <v>-</v>
          </cell>
          <cell r="EDR2" t="str">
            <v>-</v>
          </cell>
          <cell r="EDS2" t="str">
            <v>-</v>
          </cell>
          <cell r="EDT2" t="str">
            <v>-</v>
          </cell>
          <cell r="EDU2" t="str">
            <v>-</v>
          </cell>
          <cell r="EDV2" t="str">
            <v>-</v>
          </cell>
          <cell r="EDW2" t="str">
            <v>-</v>
          </cell>
          <cell r="EDX2" t="str">
            <v>-</v>
          </cell>
          <cell r="EDY2" t="str">
            <v>-</v>
          </cell>
          <cell r="EDZ2" t="str">
            <v>-</v>
          </cell>
          <cell r="EEA2" t="str">
            <v>-</v>
          </cell>
          <cell r="EEB2" t="str">
            <v>-</v>
          </cell>
          <cell r="EEC2" t="str">
            <v>-</v>
          </cell>
          <cell r="EED2" t="str">
            <v>-</v>
          </cell>
          <cell r="EEE2" t="str">
            <v>-</v>
          </cell>
          <cell r="EEF2" t="str">
            <v>-</v>
          </cell>
          <cell r="EEG2" t="str">
            <v>-</v>
          </cell>
          <cell r="EEH2" t="str">
            <v>-</v>
          </cell>
          <cell r="EEI2" t="str">
            <v>-</v>
          </cell>
          <cell r="EEJ2" t="str">
            <v>-</v>
          </cell>
          <cell r="EEK2" t="str">
            <v>-</v>
          </cell>
          <cell r="EEL2" t="str">
            <v>-</v>
          </cell>
          <cell r="EEM2" t="str">
            <v>-</v>
          </cell>
          <cell r="EEN2" t="str">
            <v>-</v>
          </cell>
          <cell r="EEO2" t="str">
            <v>-</v>
          </cell>
          <cell r="EEP2" t="str">
            <v>-</v>
          </cell>
          <cell r="EEQ2" t="str">
            <v>-</v>
          </cell>
          <cell r="EER2" t="str">
            <v>-</v>
          </cell>
          <cell r="EES2" t="str">
            <v>-</v>
          </cell>
          <cell r="EET2" t="str">
            <v>-</v>
          </cell>
          <cell r="EEU2" t="str">
            <v>-</v>
          </cell>
          <cell r="EEV2" t="str">
            <v>-</v>
          </cell>
          <cell r="EEW2" t="str">
            <v>-</v>
          </cell>
          <cell r="EEX2" t="str">
            <v>-</v>
          </cell>
          <cell r="EEY2" t="str">
            <v>-</v>
          </cell>
          <cell r="EEZ2" t="str">
            <v>-</v>
          </cell>
          <cell r="EFA2" t="str">
            <v>-</v>
          </cell>
          <cell r="EFB2" t="str">
            <v>-</v>
          </cell>
          <cell r="EFC2" t="str">
            <v>-</v>
          </cell>
          <cell r="EFD2" t="str">
            <v>-</v>
          </cell>
          <cell r="EFE2" t="str">
            <v>-</v>
          </cell>
          <cell r="EFF2" t="str">
            <v>-</v>
          </cell>
          <cell r="EFG2" t="str">
            <v>-</v>
          </cell>
          <cell r="EFH2" t="str">
            <v>-</v>
          </cell>
          <cell r="EFI2" t="str">
            <v>-</v>
          </cell>
          <cell r="EFJ2" t="str">
            <v>-</v>
          </cell>
          <cell r="EFK2" t="str">
            <v>-</v>
          </cell>
          <cell r="EFL2" t="str">
            <v>-</v>
          </cell>
          <cell r="EFM2" t="str">
            <v>-</v>
          </cell>
          <cell r="EFN2" t="str">
            <v>-</v>
          </cell>
          <cell r="EFO2" t="str">
            <v>-</v>
          </cell>
          <cell r="EFP2" t="str">
            <v>-</v>
          </cell>
          <cell r="EFQ2" t="str">
            <v>-</v>
          </cell>
          <cell r="EFR2" t="str">
            <v>-</v>
          </cell>
          <cell r="EFS2" t="str">
            <v>-</v>
          </cell>
          <cell r="EFT2" t="str">
            <v>-</v>
          </cell>
          <cell r="EFU2" t="str">
            <v>-</v>
          </cell>
          <cell r="EFV2" t="str">
            <v>-</v>
          </cell>
          <cell r="EFW2" t="str">
            <v>-</v>
          </cell>
          <cell r="EFX2" t="str">
            <v>-</v>
          </cell>
          <cell r="EFY2" t="str">
            <v>-</v>
          </cell>
          <cell r="EFZ2" t="str">
            <v>-</v>
          </cell>
          <cell r="EGA2" t="str">
            <v>-</v>
          </cell>
          <cell r="EGB2" t="str">
            <v>-</v>
          </cell>
          <cell r="EGC2" t="str">
            <v>-</v>
          </cell>
          <cell r="EGD2" t="str">
            <v>-</v>
          </cell>
          <cell r="EGE2" t="str">
            <v>-</v>
          </cell>
          <cell r="EGF2" t="str">
            <v>-</v>
          </cell>
          <cell r="EGG2" t="str">
            <v>-</v>
          </cell>
          <cell r="EGH2" t="str">
            <v>-</v>
          </cell>
          <cell r="EGI2" t="str">
            <v>-</v>
          </cell>
          <cell r="EGJ2" t="str">
            <v>-</v>
          </cell>
          <cell r="EGK2" t="str">
            <v>-</v>
          </cell>
          <cell r="EGL2" t="str">
            <v>-</v>
          </cell>
          <cell r="EGM2" t="str">
            <v>-</v>
          </cell>
          <cell r="EGN2" t="str">
            <v>-</v>
          </cell>
          <cell r="EGO2" t="str">
            <v>-</v>
          </cell>
          <cell r="EGP2" t="str">
            <v>-</v>
          </cell>
          <cell r="EGQ2" t="str">
            <v>-</v>
          </cell>
          <cell r="EGR2" t="str">
            <v>-</v>
          </cell>
          <cell r="EGS2" t="str">
            <v>-</v>
          </cell>
          <cell r="EGT2" t="str">
            <v>-</v>
          </cell>
          <cell r="EGU2" t="str">
            <v>-</v>
          </cell>
          <cell r="EGV2" t="str">
            <v>-</v>
          </cell>
          <cell r="EGW2" t="str">
            <v>-</v>
          </cell>
          <cell r="EGX2" t="str">
            <v>-</v>
          </cell>
          <cell r="EGY2" t="str">
            <v>-</v>
          </cell>
          <cell r="EGZ2" t="str">
            <v>-</v>
          </cell>
          <cell r="EHA2" t="str">
            <v>-</v>
          </cell>
          <cell r="EHB2" t="str">
            <v>-</v>
          </cell>
          <cell r="EHC2" t="str">
            <v>-</v>
          </cell>
          <cell r="EHD2" t="str">
            <v>-</v>
          </cell>
          <cell r="EHE2" t="str">
            <v>-</v>
          </cell>
          <cell r="EHF2" t="str">
            <v>-</v>
          </cell>
          <cell r="EHG2" t="str">
            <v>-</v>
          </cell>
          <cell r="EHH2" t="str">
            <v>-</v>
          </cell>
          <cell r="EHI2" t="str">
            <v>-</v>
          </cell>
          <cell r="EHJ2" t="str">
            <v>-</v>
          </cell>
          <cell r="EHK2" t="str">
            <v>-</v>
          </cell>
          <cell r="EHL2" t="str">
            <v>-</v>
          </cell>
          <cell r="EHM2" t="str">
            <v>-</v>
          </cell>
          <cell r="EHN2" t="str">
            <v>-</v>
          </cell>
          <cell r="EHO2" t="str">
            <v>-</v>
          </cell>
          <cell r="EHP2" t="str">
            <v>-</v>
          </cell>
          <cell r="EHQ2" t="str">
            <v>-</v>
          </cell>
          <cell r="EHR2" t="str">
            <v>-</v>
          </cell>
          <cell r="EHS2" t="str">
            <v>-</v>
          </cell>
          <cell r="EHT2" t="str">
            <v>-</v>
          </cell>
          <cell r="EHU2" t="str">
            <v>-</v>
          </cell>
          <cell r="EHV2" t="str">
            <v>-</v>
          </cell>
          <cell r="EHW2" t="str">
            <v>-</v>
          </cell>
          <cell r="EHX2" t="str">
            <v>-</v>
          </cell>
          <cell r="EHY2" t="str">
            <v>-</v>
          </cell>
          <cell r="EHZ2" t="str">
            <v>-</v>
          </cell>
          <cell r="EIA2" t="str">
            <v>-</v>
          </cell>
          <cell r="EIB2" t="str">
            <v>-</v>
          </cell>
          <cell r="EIC2" t="str">
            <v>-</v>
          </cell>
          <cell r="EID2" t="str">
            <v>-</v>
          </cell>
          <cell r="EIE2" t="str">
            <v>-</v>
          </cell>
          <cell r="EIF2" t="str">
            <v>-</v>
          </cell>
          <cell r="EIG2" t="str">
            <v>-</v>
          </cell>
          <cell r="EIH2" t="str">
            <v>-</v>
          </cell>
          <cell r="EII2" t="str">
            <v>-</v>
          </cell>
          <cell r="EIJ2" t="str">
            <v>-</v>
          </cell>
          <cell r="EIK2" t="str">
            <v>-</v>
          </cell>
          <cell r="EIL2" t="str">
            <v>-</v>
          </cell>
          <cell r="EIM2" t="str">
            <v>-</v>
          </cell>
          <cell r="EIN2" t="str">
            <v>-</v>
          </cell>
          <cell r="EIO2" t="str">
            <v>-</v>
          </cell>
          <cell r="EIP2" t="str">
            <v>-</v>
          </cell>
          <cell r="EIQ2" t="str">
            <v>-</v>
          </cell>
          <cell r="EIR2" t="str">
            <v>-</v>
          </cell>
          <cell r="EIS2" t="str">
            <v>-</v>
          </cell>
          <cell r="EIT2" t="str">
            <v>-</v>
          </cell>
          <cell r="EIU2" t="str">
            <v>-</v>
          </cell>
          <cell r="EIV2" t="str">
            <v>-</v>
          </cell>
          <cell r="EIW2" t="str">
            <v>-</v>
          </cell>
          <cell r="EIX2" t="str">
            <v>-</v>
          </cell>
          <cell r="EIY2" t="str">
            <v>-</v>
          </cell>
          <cell r="EIZ2" t="str">
            <v>-</v>
          </cell>
          <cell r="EJA2" t="str">
            <v>-</v>
          </cell>
          <cell r="EJB2" t="str">
            <v>-</v>
          </cell>
          <cell r="EJC2" t="str">
            <v>-</v>
          </cell>
          <cell r="EJD2" t="str">
            <v>-</v>
          </cell>
          <cell r="EJE2" t="str">
            <v>-</v>
          </cell>
          <cell r="EJF2" t="str">
            <v>-</v>
          </cell>
          <cell r="EJG2" t="str">
            <v>-</v>
          </cell>
          <cell r="EJH2" t="str">
            <v>-</v>
          </cell>
          <cell r="EJI2" t="str">
            <v>-</v>
          </cell>
          <cell r="EJJ2" t="str">
            <v>-</v>
          </cell>
          <cell r="EJK2" t="str">
            <v>-</v>
          </cell>
          <cell r="EJL2" t="str">
            <v>-</v>
          </cell>
          <cell r="EJM2" t="str">
            <v>-</v>
          </cell>
          <cell r="EJN2" t="str">
            <v>-</v>
          </cell>
          <cell r="EJO2" t="str">
            <v>-</v>
          </cell>
          <cell r="EJP2" t="str">
            <v>-</v>
          </cell>
          <cell r="EJQ2" t="str">
            <v>-</v>
          </cell>
          <cell r="EJR2" t="str">
            <v>-</v>
          </cell>
          <cell r="EJS2" t="str">
            <v>-</v>
          </cell>
          <cell r="EJT2" t="str">
            <v>-</v>
          </cell>
          <cell r="EJU2" t="str">
            <v>-</v>
          </cell>
          <cell r="EJV2" t="str">
            <v>-</v>
          </cell>
          <cell r="EJW2" t="str">
            <v>-</v>
          </cell>
          <cell r="EJX2" t="str">
            <v>-</v>
          </cell>
          <cell r="EJY2" t="str">
            <v>-</v>
          </cell>
          <cell r="EJZ2" t="str">
            <v>-</v>
          </cell>
          <cell r="EKA2" t="str">
            <v>-</v>
          </cell>
          <cell r="EKB2" t="str">
            <v>-</v>
          </cell>
          <cell r="EKC2" t="str">
            <v>-</v>
          </cell>
          <cell r="EKD2" t="str">
            <v>-</v>
          </cell>
          <cell r="EKE2" t="str">
            <v>-</v>
          </cell>
          <cell r="EKF2" t="str">
            <v>-</v>
          </cell>
          <cell r="EKG2" t="str">
            <v>-</v>
          </cell>
          <cell r="EKH2" t="str">
            <v>-</v>
          </cell>
          <cell r="EKI2" t="str">
            <v>-</v>
          </cell>
          <cell r="EKJ2" t="str">
            <v>-</v>
          </cell>
          <cell r="EKK2" t="str">
            <v>-</v>
          </cell>
          <cell r="EKL2" t="str">
            <v>-</v>
          </cell>
          <cell r="EKM2" t="str">
            <v>-</v>
          </cell>
          <cell r="EKN2" t="str">
            <v>-</v>
          </cell>
          <cell r="EKO2" t="str">
            <v>-</v>
          </cell>
          <cell r="EKP2" t="str">
            <v>-</v>
          </cell>
          <cell r="EKQ2" t="str">
            <v>-</v>
          </cell>
          <cell r="EKR2" t="str">
            <v>-</v>
          </cell>
          <cell r="EKS2" t="str">
            <v>-</v>
          </cell>
          <cell r="EKT2" t="str">
            <v>-</v>
          </cell>
          <cell r="EKU2" t="str">
            <v>-</v>
          </cell>
          <cell r="EKV2" t="str">
            <v>-</v>
          </cell>
          <cell r="EKW2" t="str">
            <v>-</v>
          </cell>
          <cell r="EKX2" t="str">
            <v>-</v>
          </cell>
          <cell r="EKY2" t="str">
            <v>-</v>
          </cell>
          <cell r="EKZ2" t="str">
            <v>-</v>
          </cell>
          <cell r="ELA2" t="str">
            <v>-</v>
          </cell>
          <cell r="ELB2" t="str">
            <v>-</v>
          </cell>
          <cell r="ELC2" t="str">
            <v>-</v>
          </cell>
          <cell r="ELD2" t="str">
            <v>-</v>
          </cell>
          <cell r="ELE2" t="str">
            <v>-</v>
          </cell>
          <cell r="ELF2" t="str">
            <v>-</v>
          </cell>
          <cell r="ELG2" t="str">
            <v>-</v>
          </cell>
          <cell r="ELH2" t="str">
            <v>-</v>
          </cell>
          <cell r="ELI2" t="str">
            <v>-</v>
          </cell>
          <cell r="ELJ2" t="str">
            <v>-</v>
          </cell>
          <cell r="ELK2" t="str">
            <v>-</v>
          </cell>
          <cell r="ELL2" t="str">
            <v>-</v>
          </cell>
          <cell r="ELM2" t="str">
            <v>-</v>
          </cell>
          <cell r="ELN2" t="str">
            <v>-</v>
          </cell>
          <cell r="ELO2" t="str">
            <v>-</v>
          </cell>
          <cell r="ELP2" t="str">
            <v>-</v>
          </cell>
          <cell r="ELQ2" t="str">
            <v>-</v>
          </cell>
          <cell r="ELR2" t="str">
            <v>-</v>
          </cell>
          <cell r="ELS2" t="str">
            <v>-</v>
          </cell>
          <cell r="ELT2" t="str">
            <v>-</v>
          </cell>
          <cell r="ELU2" t="str">
            <v>-</v>
          </cell>
          <cell r="ELV2" t="str">
            <v>-</v>
          </cell>
          <cell r="ELW2" t="str">
            <v>-</v>
          </cell>
          <cell r="ELX2" t="str">
            <v>-</v>
          </cell>
          <cell r="ELY2" t="str">
            <v>-</v>
          </cell>
          <cell r="ELZ2" t="str">
            <v>-</v>
          </cell>
          <cell r="EMA2" t="str">
            <v>-</v>
          </cell>
          <cell r="EMB2" t="str">
            <v>-</v>
          </cell>
          <cell r="EMC2" t="str">
            <v>-</v>
          </cell>
          <cell r="EMD2" t="str">
            <v>-</v>
          </cell>
          <cell r="EME2" t="str">
            <v>-</v>
          </cell>
          <cell r="EMF2" t="str">
            <v>-</v>
          </cell>
          <cell r="EMG2" t="str">
            <v>-</v>
          </cell>
          <cell r="EMH2" t="str">
            <v>-</v>
          </cell>
          <cell r="EMI2" t="str">
            <v>-</v>
          </cell>
          <cell r="EMJ2" t="str">
            <v>-</v>
          </cell>
          <cell r="EMK2" t="str">
            <v>-</v>
          </cell>
          <cell r="EML2" t="str">
            <v>-</v>
          </cell>
          <cell r="EMM2" t="str">
            <v>-</v>
          </cell>
          <cell r="EMN2" t="str">
            <v>-</v>
          </cell>
          <cell r="EMO2" t="str">
            <v>-</v>
          </cell>
          <cell r="EMP2" t="str">
            <v>-</v>
          </cell>
          <cell r="EMQ2" t="str">
            <v>-</v>
          </cell>
          <cell r="EMR2" t="str">
            <v>-</v>
          </cell>
          <cell r="EMS2" t="str">
            <v>-</v>
          </cell>
          <cell r="EMT2" t="str">
            <v>-</v>
          </cell>
          <cell r="EMU2" t="str">
            <v>-</v>
          </cell>
          <cell r="EMV2" t="str">
            <v>-</v>
          </cell>
          <cell r="EMW2" t="str">
            <v>-</v>
          </cell>
          <cell r="EMX2" t="str">
            <v>-</v>
          </cell>
          <cell r="EMY2" t="str">
            <v>-</v>
          </cell>
          <cell r="EMZ2" t="str">
            <v>-</v>
          </cell>
          <cell r="ENA2" t="str">
            <v>-</v>
          </cell>
          <cell r="ENB2" t="str">
            <v>-</v>
          </cell>
          <cell r="ENC2" t="str">
            <v>-</v>
          </cell>
          <cell r="END2" t="str">
            <v>-</v>
          </cell>
          <cell r="ENE2" t="str">
            <v>-</v>
          </cell>
          <cell r="ENF2" t="str">
            <v>-</v>
          </cell>
          <cell r="ENG2" t="str">
            <v>-</v>
          </cell>
          <cell r="ENH2" t="str">
            <v>-</v>
          </cell>
          <cell r="ENI2" t="str">
            <v>-</v>
          </cell>
          <cell r="ENJ2" t="str">
            <v>-</v>
          </cell>
          <cell r="ENK2" t="str">
            <v>-</v>
          </cell>
          <cell r="ENL2" t="str">
            <v>-</v>
          </cell>
          <cell r="ENM2" t="str">
            <v>-</v>
          </cell>
          <cell r="ENN2" t="str">
            <v>-</v>
          </cell>
          <cell r="ENO2" t="str">
            <v>-</v>
          </cell>
          <cell r="ENP2" t="str">
            <v>-</v>
          </cell>
          <cell r="ENQ2" t="str">
            <v>-</v>
          </cell>
          <cell r="ENR2" t="str">
            <v>-</v>
          </cell>
          <cell r="ENS2" t="str">
            <v>-</v>
          </cell>
          <cell r="ENT2" t="str">
            <v>-</v>
          </cell>
          <cell r="ENU2" t="str">
            <v>-</v>
          </cell>
          <cell r="ENV2" t="str">
            <v>-</v>
          </cell>
          <cell r="ENW2" t="str">
            <v>-</v>
          </cell>
          <cell r="ENX2" t="str">
            <v>-</v>
          </cell>
          <cell r="ENY2" t="str">
            <v>-</v>
          </cell>
          <cell r="ENZ2" t="str">
            <v>-</v>
          </cell>
          <cell r="EOA2" t="str">
            <v>-</v>
          </cell>
          <cell r="EOB2" t="str">
            <v>-</v>
          </cell>
          <cell r="EOC2" t="str">
            <v>-</v>
          </cell>
          <cell r="EOD2" t="str">
            <v>-</v>
          </cell>
          <cell r="EOE2" t="str">
            <v>-</v>
          </cell>
          <cell r="EOF2" t="str">
            <v>-</v>
          </cell>
          <cell r="EOG2" t="str">
            <v>-</v>
          </cell>
          <cell r="EOH2" t="str">
            <v>-</v>
          </cell>
          <cell r="EOI2" t="str">
            <v>-</v>
          </cell>
          <cell r="EOJ2" t="str">
            <v>-</v>
          </cell>
          <cell r="EOK2" t="str">
            <v>-</v>
          </cell>
          <cell r="EOL2" t="str">
            <v>-</v>
          </cell>
          <cell r="EOM2" t="str">
            <v>-</v>
          </cell>
          <cell r="EON2" t="str">
            <v>-</v>
          </cell>
          <cell r="EOO2" t="str">
            <v>-</v>
          </cell>
          <cell r="EOP2" t="str">
            <v>-</v>
          </cell>
          <cell r="EOQ2" t="str">
            <v>-</v>
          </cell>
          <cell r="EOR2" t="str">
            <v>-</v>
          </cell>
          <cell r="EOS2" t="str">
            <v>-</v>
          </cell>
          <cell r="EOT2" t="str">
            <v>-</v>
          </cell>
          <cell r="EOU2" t="str">
            <v>-</v>
          </cell>
          <cell r="EOV2" t="str">
            <v>-</v>
          </cell>
          <cell r="EOW2" t="str">
            <v>-</v>
          </cell>
          <cell r="EOX2" t="str">
            <v>-</v>
          </cell>
          <cell r="EOY2" t="str">
            <v>-</v>
          </cell>
          <cell r="EOZ2" t="str">
            <v>-</v>
          </cell>
          <cell r="EPA2" t="str">
            <v>-</v>
          </cell>
          <cell r="EPB2" t="str">
            <v>-</v>
          </cell>
          <cell r="EPC2" t="str">
            <v>-</v>
          </cell>
          <cell r="EPD2" t="str">
            <v>-</v>
          </cell>
          <cell r="EPE2" t="str">
            <v>-</v>
          </cell>
          <cell r="EPF2" t="str">
            <v>-</v>
          </cell>
          <cell r="EPG2" t="str">
            <v>-</v>
          </cell>
          <cell r="EPH2" t="str">
            <v>-</v>
          </cell>
          <cell r="EPI2" t="str">
            <v>-</v>
          </cell>
          <cell r="EPJ2" t="str">
            <v>-</v>
          </cell>
          <cell r="EPK2" t="str">
            <v>-</v>
          </cell>
          <cell r="EPL2" t="str">
            <v>-</v>
          </cell>
          <cell r="EPM2" t="str">
            <v>-</v>
          </cell>
          <cell r="EPN2" t="str">
            <v>-</v>
          </cell>
          <cell r="EPO2" t="str">
            <v>-</v>
          </cell>
          <cell r="EPP2" t="str">
            <v>-</v>
          </cell>
          <cell r="EPQ2" t="str">
            <v>-</v>
          </cell>
          <cell r="EPR2" t="str">
            <v>-</v>
          </cell>
          <cell r="EPS2" t="str">
            <v>-</v>
          </cell>
          <cell r="EPT2" t="str">
            <v>-</v>
          </cell>
          <cell r="EPU2" t="str">
            <v>-</v>
          </cell>
          <cell r="EPV2" t="str">
            <v>-</v>
          </cell>
          <cell r="EPW2" t="str">
            <v>-</v>
          </cell>
          <cell r="EPX2" t="str">
            <v>-</v>
          </cell>
          <cell r="EPY2" t="str">
            <v>-</v>
          </cell>
          <cell r="EPZ2" t="str">
            <v>-</v>
          </cell>
          <cell r="EQA2" t="str">
            <v>-</v>
          </cell>
          <cell r="EQB2" t="str">
            <v>-</v>
          </cell>
          <cell r="EQC2" t="str">
            <v>-</v>
          </cell>
          <cell r="EQD2" t="str">
            <v>-</v>
          </cell>
          <cell r="EQE2" t="str">
            <v>-</v>
          </cell>
          <cell r="EQF2" t="str">
            <v>-</v>
          </cell>
          <cell r="EQG2" t="str">
            <v>-</v>
          </cell>
          <cell r="EQH2" t="str">
            <v>-</v>
          </cell>
          <cell r="EQI2" t="str">
            <v>-</v>
          </cell>
          <cell r="EQJ2" t="str">
            <v>-</v>
          </cell>
          <cell r="EQK2" t="str">
            <v>-</v>
          </cell>
          <cell r="EQL2" t="str">
            <v>-</v>
          </cell>
          <cell r="EQM2" t="str">
            <v>-</v>
          </cell>
          <cell r="EQN2" t="str">
            <v>-</v>
          </cell>
          <cell r="EQO2" t="str">
            <v>-</v>
          </cell>
          <cell r="EQP2" t="str">
            <v>-</v>
          </cell>
          <cell r="EQQ2" t="str">
            <v>-</v>
          </cell>
          <cell r="EQR2" t="str">
            <v>-</v>
          </cell>
          <cell r="EQS2" t="str">
            <v>-</v>
          </cell>
          <cell r="EQT2" t="str">
            <v>-</v>
          </cell>
          <cell r="EQU2" t="str">
            <v>-</v>
          </cell>
          <cell r="EQV2" t="str">
            <v>-</v>
          </cell>
          <cell r="EQW2" t="str">
            <v>-</v>
          </cell>
          <cell r="EQX2" t="str">
            <v>-</v>
          </cell>
          <cell r="EQY2" t="str">
            <v>-</v>
          </cell>
          <cell r="EQZ2" t="str">
            <v>-</v>
          </cell>
          <cell r="ERA2" t="str">
            <v>-</v>
          </cell>
          <cell r="ERB2" t="str">
            <v>-</v>
          </cell>
          <cell r="ERC2" t="str">
            <v>-</v>
          </cell>
          <cell r="ERD2" t="str">
            <v>-</v>
          </cell>
          <cell r="ERE2" t="str">
            <v>-</v>
          </cell>
          <cell r="ERF2" t="str">
            <v>-</v>
          </cell>
          <cell r="ERG2" t="str">
            <v>-</v>
          </cell>
          <cell r="ERH2" t="str">
            <v>-</v>
          </cell>
          <cell r="ERI2" t="str">
            <v>-</v>
          </cell>
          <cell r="ERJ2" t="str">
            <v>-</v>
          </cell>
          <cell r="ERK2" t="str">
            <v>-</v>
          </cell>
          <cell r="ERL2" t="str">
            <v>-</v>
          </cell>
          <cell r="ERM2" t="str">
            <v>-</v>
          </cell>
          <cell r="ERN2" t="str">
            <v>-</v>
          </cell>
          <cell r="ERO2" t="str">
            <v>-</v>
          </cell>
          <cell r="ERP2" t="str">
            <v>-</v>
          </cell>
          <cell r="ERQ2" t="str">
            <v>-</v>
          </cell>
          <cell r="ERR2" t="str">
            <v>-</v>
          </cell>
          <cell r="ERS2" t="str">
            <v>-</v>
          </cell>
          <cell r="ERT2" t="str">
            <v>-</v>
          </cell>
          <cell r="ERU2" t="str">
            <v>-</v>
          </cell>
          <cell r="ERV2" t="str">
            <v>-</v>
          </cell>
          <cell r="ERW2" t="str">
            <v>-</v>
          </cell>
          <cell r="ERX2" t="str">
            <v>-</v>
          </cell>
          <cell r="ERY2" t="str">
            <v>-</v>
          </cell>
          <cell r="ERZ2" t="str">
            <v>-</v>
          </cell>
          <cell r="ESA2" t="str">
            <v>-</v>
          </cell>
          <cell r="ESB2" t="str">
            <v>-</v>
          </cell>
          <cell r="ESC2" t="str">
            <v>-</v>
          </cell>
          <cell r="ESD2" t="str">
            <v>-</v>
          </cell>
          <cell r="ESE2" t="str">
            <v>-</v>
          </cell>
          <cell r="ESF2" t="str">
            <v>-</v>
          </cell>
          <cell r="ESG2" t="str">
            <v>-</v>
          </cell>
          <cell r="ESH2" t="str">
            <v>-</v>
          </cell>
          <cell r="ESI2" t="str">
            <v>-</v>
          </cell>
          <cell r="ESJ2" t="str">
            <v>-</v>
          </cell>
          <cell r="ESK2" t="str">
            <v>-</v>
          </cell>
          <cell r="ESL2" t="str">
            <v>-</v>
          </cell>
          <cell r="ESM2" t="str">
            <v>-</v>
          </cell>
          <cell r="ESN2" t="str">
            <v>-</v>
          </cell>
          <cell r="ESO2" t="str">
            <v>-</v>
          </cell>
          <cell r="ESP2" t="str">
            <v>-</v>
          </cell>
          <cell r="ESQ2" t="str">
            <v>-</v>
          </cell>
          <cell r="ESR2" t="str">
            <v>-</v>
          </cell>
          <cell r="ESS2" t="str">
            <v>-</v>
          </cell>
          <cell r="EST2" t="str">
            <v>-</v>
          </cell>
          <cell r="ESU2" t="str">
            <v>-</v>
          </cell>
          <cell r="ESV2" t="str">
            <v>-</v>
          </cell>
          <cell r="ESW2" t="str">
            <v>-</v>
          </cell>
          <cell r="ESX2" t="str">
            <v>-</v>
          </cell>
          <cell r="ESY2" t="str">
            <v>-</v>
          </cell>
          <cell r="ESZ2" t="str">
            <v>-</v>
          </cell>
          <cell r="ETA2" t="str">
            <v>-</v>
          </cell>
          <cell r="ETB2" t="str">
            <v>-</v>
          </cell>
          <cell r="ETC2" t="str">
            <v>-</v>
          </cell>
          <cell r="ETD2" t="str">
            <v>-</v>
          </cell>
          <cell r="ETE2" t="str">
            <v>-</v>
          </cell>
          <cell r="ETF2" t="str">
            <v>-</v>
          </cell>
          <cell r="ETG2" t="str">
            <v>-</v>
          </cell>
          <cell r="ETH2" t="str">
            <v>-</v>
          </cell>
          <cell r="ETI2" t="str">
            <v>-</v>
          </cell>
          <cell r="ETJ2" t="str">
            <v>-</v>
          </cell>
          <cell r="ETK2" t="str">
            <v>-</v>
          </cell>
          <cell r="ETL2" t="str">
            <v>-</v>
          </cell>
          <cell r="ETM2" t="str">
            <v>-</v>
          </cell>
          <cell r="ETN2" t="str">
            <v>-</v>
          </cell>
          <cell r="ETO2" t="str">
            <v>-</v>
          </cell>
          <cell r="ETP2" t="str">
            <v>-</v>
          </cell>
          <cell r="ETQ2" t="str">
            <v>-</v>
          </cell>
          <cell r="ETR2" t="str">
            <v>-</v>
          </cell>
          <cell r="ETS2" t="str">
            <v>-</v>
          </cell>
          <cell r="ETT2" t="str">
            <v>-</v>
          </cell>
          <cell r="ETU2" t="str">
            <v>-</v>
          </cell>
          <cell r="ETV2" t="str">
            <v>-</v>
          </cell>
          <cell r="ETW2" t="str">
            <v>-</v>
          </cell>
          <cell r="ETX2" t="str">
            <v>-</v>
          </cell>
          <cell r="ETY2" t="str">
            <v>-</v>
          </cell>
          <cell r="ETZ2" t="str">
            <v>-</v>
          </cell>
          <cell r="EUA2" t="str">
            <v>-</v>
          </cell>
          <cell r="EUB2" t="str">
            <v>-</v>
          </cell>
          <cell r="EUC2" t="str">
            <v>-</v>
          </cell>
          <cell r="EUD2" t="str">
            <v>-</v>
          </cell>
          <cell r="EUE2" t="str">
            <v>-</v>
          </cell>
          <cell r="EUF2" t="str">
            <v>-</v>
          </cell>
          <cell r="EUG2" t="str">
            <v>-</v>
          </cell>
          <cell r="EUH2" t="str">
            <v>-</v>
          </cell>
          <cell r="EUI2" t="str">
            <v>-</v>
          </cell>
          <cell r="EUJ2" t="str">
            <v>-</v>
          </cell>
          <cell r="EUK2" t="str">
            <v>-</v>
          </cell>
          <cell r="EUL2" t="str">
            <v>-</v>
          </cell>
          <cell r="EUM2" t="str">
            <v>-</v>
          </cell>
          <cell r="EUN2" t="str">
            <v>-</v>
          </cell>
          <cell r="EUO2" t="str">
            <v>-</v>
          </cell>
          <cell r="EUP2" t="str">
            <v>-</v>
          </cell>
          <cell r="EUQ2" t="str">
            <v>-</v>
          </cell>
          <cell r="EUR2" t="str">
            <v>-</v>
          </cell>
          <cell r="EUS2" t="str">
            <v>-</v>
          </cell>
          <cell r="EUT2" t="str">
            <v>-</v>
          </cell>
          <cell r="EUU2" t="str">
            <v>-</v>
          </cell>
          <cell r="EUV2" t="str">
            <v>-</v>
          </cell>
          <cell r="EUW2" t="str">
            <v>-</v>
          </cell>
          <cell r="EUX2" t="str">
            <v>-</v>
          </cell>
          <cell r="EUY2" t="str">
            <v>-</v>
          </cell>
          <cell r="EUZ2" t="str">
            <v>-</v>
          </cell>
          <cell r="EVA2" t="str">
            <v>-</v>
          </cell>
          <cell r="EVB2" t="str">
            <v>-</v>
          </cell>
          <cell r="EVC2" t="str">
            <v>-</v>
          </cell>
          <cell r="EVD2" t="str">
            <v>-</v>
          </cell>
          <cell r="EVE2" t="str">
            <v>-</v>
          </cell>
          <cell r="EVF2" t="str">
            <v>-</v>
          </cell>
          <cell r="EVG2" t="str">
            <v>-</v>
          </cell>
          <cell r="EVH2" t="str">
            <v>-</v>
          </cell>
          <cell r="EVI2" t="str">
            <v>-</v>
          </cell>
          <cell r="EVJ2" t="str">
            <v>-</v>
          </cell>
          <cell r="EVK2" t="str">
            <v>-</v>
          </cell>
          <cell r="EVL2" t="str">
            <v>-</v>
          </cell>
          <cell r="EVM2" t="str">
            <v>-</v>
          </cell>
          <cell r="EVN2" t="str">
            <v>-</v>
          </cell>
          <cell r="EVO2" t="str">
            <v>-</v>
          </cell>
          <cell r="EVP2" t="str">
            <v>-</v>
          </cell>
          <cell r="EVQ2" t="str">
            <v>-</v>
          </cell>
          <cell r="EVR2" t="str">
            <v>-</v>
          </cell>
          <cell r="EVS2" t="str">
            <v>-</v>
          </cell>
          <cell r="EVT2" t="str">
            <v>-</v>
          </cell>
          <cell r="EVU2" t="str">
            <v>-</v>
          </cell>
          <cell r="EVV2" t="str">
            <v>-</v>
          </cell>
          <cell r="EVW2" t="str">
            <v>-</v>
          </cell>
          <cell r="EVX2" t="str">
            <v>-</v>
          </cell>
          <cell r="EVY2" t="str">
            <v>-</v>
          </cell>
          <cell r="EVZ2" t="str">
            <v>-</v>
          </cell>
          <cell r="EWA2" t="str">
            <v>-</v>
          </cell>
          <cell r="EWB2" t="str">
            <v>-</v>
          </cell>
          <cell r="EWC2" t="str">
            <v>-</v>
          </cell>
          <cell r="EWD2" t="str">
            <v>-</v>
          </cell>
          <cell r="EWE2" t="str">
            <v>-</v>
          </cell>
          <cell r="EWF2" t="str">
            <v>-</v>
          </cell>
          <cell r="EWG2" t="str">
            <v>-</v>
          </cell>
          <cell r="EWH2" t="str">
            <v>-</v>
          </cell>
          <cell r="EWI2" t="str">
            <v>-</v>
          </cell>
          <cell r="EWJ2" t="str">
            <v>-</v>
          </cell>
          <cell r="EWK2" t="str">
            <v>-</v>
          </cell>
          <cell r="EWL2" t="str">
            <v>-</v>
          </cell>
          <cell r="EWM2" t="str">
            <v>-</v>
          </cell>
          <cell r="EWN2" t="str">
            <v>-</v>
          </cell>
          <cell r="EWO2" t="str">
            <v>-</v>
          </cell>
          <cell r="EWP2" t="str">
            <v>-</v>
          </cell>
          <cell r="EWQ2" t="str">
            <v>-</v>
          </cell>
          <cell r="EWR2" t="str">
            <v>-</v>
          </cell>
          <cell r="EWS2" t="str">
            <v>-</v>
          </cell>
          <cell r="EWT2" t="str">
            <v>-</v>
          </cell>
          <cell r="EWU2" t="str">
            <v>-</v>
          </cell>
          <cell r="EWV2" t="str">
            <v>-</v>
          </cell>
          <cell r="EWW2" t="str">
            <v>-</v>
          </cell>
          <cell r="EWX2" t="str">
            <v>-</v>
          </cell>
          <cell r="EWY2" t="str">
            <v>-</v>
          </cell>
          <cell r="EWZ2" t="str">
            <v>-</v>
          </cell>
          <cell r="EXA2" t="str">
            <v>-</v>
          </cell>
          <cell r="EXB2" t="str">
            <v>-</v>
          </cell>
          <cell r="EXC2" t="str">
            <v>-</v>
          </cell>
          <cell r="EXD2" t="str">
            <v>-</v>
          </cell>
          <cell r="EXE2" t="str">
            <v>-</v>
          </cell>
          <cell r="EXF2" t="str">
            <v>-</v>
          </cell>
          <cell r="EXG2" t="str">
            <v>-</v>
          </cell>
          <cell r="EXH2" t="str">
            <v>-</v>
          </cell>
          <cell r="EXI2" t="str">
            <v>-</v>
          </cell>
          <cell r="EXJ2" t="str">
            <v>-</v>
          </cell>
          <cell r="EXK2" t="str">
            <v>-</v>
          </cell>
          <cell r="EXL2" t="str">
            <v>-</v>
          </cell>
          <cell r="EXM2" t="str">
            <v>-</v>
          </cell>
          <cell r="EXN2" t="str">
            <v>-</v>
          </cell>
          <cell r="EXO2" t="str">
            <v>-</v>
          </cell>
          <cell r="EXP2" t="str">
            <v>-</v>
          </cell>
          <cell r="EXQ2" t="str">
            <v>-</v>
          </cell>
          <cell r="EXR2" t="str">
            <v>-</v>
          </cell>
          <cell r="EXS2" t="str">
            <v>-</v>
          </cell>
          <cell r="EXT2" t="str">
            <v>-</v>
          </cell>
          <cell r="EXU2" t="str">
            <v>-</v>
          </cell>
          <cell r="EXV2" t="str">
            <v>-</v>
          </cell>
          <cell r="EXW2" t="str">
            <v>-</v>
          </cell>
          <cell r="EXX2" t="str">
            <v>-</v>
          </cell>
          <cell r="EXY2" t="str">
            <v>-</v>
          </cell>
          <cell r="EXZ2" t="str">
            <v>-</v>
          </cell>
          <cell r="EYA2" t="str">
            <v>-</v>
          </cell>
          <cell r="EYB2" t="str">
            <v>-</v>
          </cell>
          <cell r="EYC2" t="str">
            <v>-</v>
          </cell>
          <cell r="EYD2" t="str">
            <v>-</v>
          </cell>
          <cell r="EYE2" t="str">
            <v>-</v>
          </cell>
          <cell r="EYF2" t="str">
            <v>-</v>
          </cell>
          <cell r="EYG2" t="str">
            <v>-</v>
          </cell>
          <cell r="EYH2" t="str">
            <v>-</v>
          </cell>
          <cell r="EYI2" t="str">
            <v>-</v>
          </cell>
          <cell r="EYJ2" t="str">
            <v>-</v>
          </cell>
          <cell r="EYK2" t="str">
            <v>-</v>
          </cell>
          <cell r="EYL2" t="str">
            <v>-</v>
          </cell>
          <cell r="EYM2" t="str">
            <v>-</v>
          </cell>
          <cell r="EYN2" t="str">
            <v>-</v>
          </cell>
          <cell r="EYO2" t="str">
            <v>-</v>
          </cell>
          <cell r="EYP2" t="str">
            <v>-</v>
          </cell>
          <cell r="EYQ2" t="str">
            <v>-</v>
          </cell>
          <cell r="EYR2" t="str">
            <v>-</v>
          </cell>
          <cell r="EYS2" t="str">
            <v>-</v>
          </cell>
          <cell r="EYT2" t="str">
            <v>-</v>
          </cell>
          <cell r="EYU2" t="str">
            <v>-</v>
          </cell>
          <cell r="EYV2" t="str">
            <v>-</v>
          </cell>
          <cell r="EYW2" t="str">
            <v>-</v>
          </cell>
          <cell r="EYX2" t="str">
            <v>-</v>
          </cell>
          <cell r="EYY2" t="str">
            <v>-</v>
          </cell>
          <cell r="EYZ2" t="str">
            <v>-</v>
          </cell>
          <cell r="EZA2" t="str">
            <v>-</v>
          </cell>
          <cell r="EZB2" t="str">
            <v>-</v>
          </cell>
          <cell r="EZC2" t="str">
            <v>-</v>
          </cell>
          <cell r="EZD2" t="str">
            <v>-</v>
          </cell>
          <cell r="EZE2" t="str">
            <v>-</v>
          </cell>
          <cell r="EZF2" t="str">
            <v>-</v>
          </cell>
          <cell r="EZG2" t="str">
            <v>-</v>
          </cell>
          <cell r="EZH2" t="str">
            <v>-</v>
          </cell>
          <cell r="EZI2" t="str">
            <v>-</v>
          </cell>
          <cell r="EZJ2" t="str">
            <v>-</v>
          </cell>
          <cell r="EZK2" t="str">
            <v>-</v>
          </cell>
          <cell r="EZL2" t="str">
            <v>-</v>
          </cell>
          <cell r="EZM2" t="str">
            <v>-</v>
          </cell>
          <cell r="EZN2" t="str">
            <v>-</v>
          </cell>
          <cell r="EZO2" t="str">
            <v>-</v>
          </cell>
          <cell r="EZP2" t="str">
            <v>-</v>
          </cell>
          <cell r="EZQ2" t="str">
            <v>-</v>
          </cell>
          <cell r="EZR2" t="str">
            <v>-</v>
          </cell>
          <cell r="EZS2" t="str">
            <v>-</v>
          </cell>
          <cell r="EZT2" t="str">
            <v>-</v>
          </cell>
          <cell r="EZU2" t="str">
            <v>-</v>
          </cell>
          <cell r="EZV2" t="str">
            <v>-</v>
          </cell>
          <cell r="EZW2" t="str">
            <v>-</v>
          </cell>
          <cell r="EZX2" t="str">
            <v>-</v>
          </cell>
          <cell r="EZY2" t="str">
            <v>-</v>
          </cell>
          <cell r="EZZ2" t="str">
            <v>-</v>
          </cell>
          <cell r="FAA2" t="str">
            <v>-</v>
          </cell>
          <cell r="FAB2" t="str">
            <v>-</v>
          </cell>
          <cell r="FAC2" t="str">
            <v>-</v>
          </cell>
          <cell r="FAD2" t="str">
            <v>-</v>
          </cell>
          <cell r="FAE2" t="str">
            <v>-</v>
          </cell>
          <cell r="FAF2" t="str">
            <v>-</v>
          </cell>
          <cell r="FAG2" t="str">
            <v>-</v>
          </cell>
          <cell r="FAH2" t="str">
            <v>-</v>
          </cell>
          <cell r="FAI2" t="str">
            <v>-</v>
          </cell>
          <cell r="FAJ2" t="str">
            <v>-</v>
          </cell>
          <cell r="FAK2" t="str">
            <v>-</v>
          </cell>
          <cell r="FAL2" t="str">
            <v>-</v>
          </cell>
          <cell r="FAM2" t="str">
            <v>-</v>
          </cell>
          <cell r="FAN2" t="str">
            <v>-</v>
          </cell>
          <cell r="FAO2" t="str">
            <v>-</v>
          </cell>
          <cell r="FAP2" t="str">
            <v>-</v>
          </cell>
          <cell r="FAQ2" t="str">
            <v>-</v>
          </cell>
          <cell r="FAR2" t="str">
            <v>-</v>
          </cell>
          <cell r="FAS2" t="str">
            <v>-</v>
          </cell>
          <cell r="FAT2" t="str">
            <v>-</v>
          </cell>
          <cell r="FAU2" t="str">
            <v>-</v>
          </cell>
          <cell r="FAV2" t="str">
            <v>-</v>
          </cell>
          <cell r="FAW2" t="str">
            <v>-</v>
          </cell>
          <cell r="FAX2" t="str">
            <v>-</v>
          </cell>
          <cell r="FAY2" t="str">
            <v>-</v>
          </cell>
          <cell r="FAZ2" t="str">
            <v>-</v>
          </cell>
          <cell r="FBA2" t="str">
            <v>-</v>
          </cell>
          <cell r="FBB2" t="str">
            <v>-</v>
          </cell>
          <cell r="FBC2" t="str">
            <v>-</v>
          </cell>
          <cell r="FBD2" t="str">
            <v>-</v>
          </cell>
          <cell r="FBE2" t="str">
            <v>-</v>
          </cell>
          <cell r="FBF2" t="str">
            <v>-</v>
          </cell>
          <cell r="FBG2" t="str">
            <v>-</v>
          </cell>
          <cell r="FBH2" t="str">
            <v>-</v>
          </cell>
          <cell r="FBI2" t="str">
            <v>-</v>
          </cell>
          <cell r="FBJ2" t="str">
            <v>-</v>
          </cell>
          <cell r="FBK2" t="str">
            <v>-</v>
          </cell>
          <cell r="FBL2" t="str">
            <v>-</v>
          </cell>
          <cell r="FBM2" t="str">
            <v>-</v>
          </cell>
          <cell r="FBN2" t="str">
            <v>-</v>
          </cell>
          <cell r="FBO2" t="str">
            <v>-</v>
          </cell>
          <cell r="FBP2" t="str">
            <v>-</v>
          </cell>
          <cell r="FBQ2" t="str">
            <v>-</v>
          </cell>
          <cell r="FBR2" t="str">
            <v>-</v>
          </cell>
          <cell r="FBS2" t="str">
            <v>-</v>
          </cell>
          <cell r="FBT2" t="str">
            <v>-</v>
          </cell>
          <cell r="FBU2" t="str">
            <v>-</v>
          </cell>
          <cell r="FBV2" t="str">
            <v>-</v>
          </cell>
          <cell r="FBW2" t="str">
            <v>-</v>
          </cell>
          <cell r="FBX2" t="str">
            <v>-</v>
          </cell>
          <cell r="FBY2" t="str">
            <v>-</v>
          </cell>
          <cell r="FBZ2" t="str">
            <v>-</v>
          </cell>
          <cell r="FCA2" t="str">
            <v>-</v>
          </cell>
          <cell r="FCB2" t="str">
            <v>-</v>
          </cell>
          <cell r="FCC2" t="str">
            <v>-</v>
          </cell>
          <cell r="FCD2" t="str">
            <v>-</v>
          </cell>
          <cell r="FCE2" t="str">
            <v>-</v>
          </cell>
          <cell r="FCF2" t="str">
            <v>-</v>
          </cell>
          <cell r="FCG2" t="str">
            <v>-</v>
          </cell>
          <cell r="FCH2" t="str">
            <v>-</v>
          </cell>
          <cell r="FCI2" t="str">
            <v>-</v>
          </cell>
          <cell r="FCJ2" t="str">
            <v>-</v>
          </cell>
          <cell r="FCK2" t="str">
            <v>-</v>
          </cell>
          <cell r="FCL2" t="str">
            <v>-</v>
          </cell>
          <cell r="FCM2" t="str">
            <v>-</v>
          </cell>
          <cell r="FCN2" t="str">
            <v>-</v>
          </cell>
          <cell r="FCO2" t="str">
            <v>-</v>
          </cell>
          <cell r="FCP2" t="str">
            <v>-</v>
          </cell>
          <cell r="FCQ2" t="str">
            <v>-</v>
          </cell>
          <cell r="FCR2" t="str">
            <v>-</v>
          </cell>
          <cell r="FCS2" t="str">
            <v>-</v>
          </cell>
          <cell r="FCT2" t="str">
            <v>-</v>
          </cell>
          <cell r="FCU2" t="str">
            <v>-</v>
          </cell>
          <cell r="FCV2" t="str">
            <v>-</v>
          </cell>
          <cell r="FCW2" t="str">
            <v>-</v>
          </cell>
          <cell r="FCX2" t="str">
            <v>-</v>
          </cell>
          <cell r="FCY2" t="str">
            <v>-</v>
          </cell>
          <cell r="FCZ2" t="str">
            <v>-</v>
          </cell>
          <cell r="FDA2" t="str">
            <v>-</v>
          </cell>
          <cell r="FDB2" t="str">
            <v>-</v>
          </cell>
          <cell r="FDC2" t="str">
            <v>-</v>
          </cell>
          <cell r="FDD2" t="str">
            <v>-</v>
          </cell>
          <cell r="FDE2" t="str">
            <v>-</v>
          </cell>
          <cell r="FDF2" t="str">
            <v>-</v>
          </cell>
          <cell r="FDG2" t="str">
            <v>-</v>
          </cell>
          <cell r="FDH2" t="str">
            <v>-</v>
          </cell>
          <cell r="FDI2" t="str">
            <v>-</v>
          </cell>
          <cell r="FDJ2" t="str">
            <v>-</v>
          </cell>
          <cell r="FDK2" t="str">
            <v>-</v>
          </cell>
          <cell r="FDL2" t="str">
            <v>-</v>
          </cell>
          <cell r="FDM2" t="str">
            <v>-</v>
          </cell>
          <cell r="FDN2" t="str">
            <v>-</v>
          </cell>
          <cell r="FDO2" t="str">
            <v>-</v>
          </cell>
          <cell r="FDP2" t="str">
            <v>-</v>
          </cell>
          <cell r="FDQ2" t="str">
            <v>-</v>
          </cell>
          <cell r="FDR2" t="str">
            <v>-</v>
          </cell>
          <cell r="FDS2" t="str">
            <v>-</v>
          </cell>
          <cell r="FDT2" t="str">
            <v>-</v>
          </cell>
          <cell r="FDU2" t="str">
            <v>-</v>
          </cell>
          <cell r="FDV2" t="str">
            <v>-</v>
          </cell>
          <cell r="FDW2" t="str">
            <v>-</v>
          </cell>
          <cell r="FDX2" t="str">
            <v>-</v>
          </cell>
          <cell r="FDY2" t="str">
            <v>-</v>
          </cell>
          <cell r="FDZ2" t="str">
            <v>-</v>
          </cell>
          <cell r="FEA2" t="str">
            <v>-</v>
          </cell>
          <cell r="FEB2" t="str">
            <v>-</v>
          </cell>
          <cell r="FEC2" t="str">
            <v>-</v>
          </cell>
          <cell r="FED2" t="str">
            <v>-</v>
          </cell>
          <cell r="FEE2" t="str">
            <v>-</v>
          </cell>
          <cell r="FEF2" t="str">
            <v>-</v>
          </cell>
          <cell r="FEG2" t="str">
            <v>-</v>
          </cell>
          <cell r="FEH2" t="str">
            <v>-</v>
          </cell>
          <cell r="FEI2" t="str">
            <v>-</v>
          </cell>
          <cell r="FEJ2" t="str">
            <v>-</v>
          </cell>
          <cell r="FEK2" t="str">
            <v>-</v>
          </cell>
          <cell r="FEL2" t="str">
            <v>-</v>
          </cell>
          <cell r="FEM2" t="str">
            <v>-</v>
          </cell>
          <cell r="FEN2" t="str">
            <v>-</v>
          </cell>
          <cell r="FEO2" t="str">
            <v>-</v>
          </cell>
          <cell r="FEP2" t="str">
            <v>-</v>
          </cell>
          <cell r="FEQ2" t="str">
            <v>-</v>
          </cell>
          <cell r="FER2" t="str">
            <v>-</v>
          </cell>
          <cell r="FES2" t="str">
            <v>-</v>
          </cell>
          <cell r="FET2" t="str">
            <v>-</v>
          </cell>
          <cell r="FEU2" t="str">
            <v>-</v>
          </cell>
          <cell r="FEV2" t="str">
            <v>-</v>
          </cell>
          <cell r="FEW2" t="str">
            <v>-</v>
          </cell>
          <cell r="FEX2" t="str">
            <v>-</v>
          </cell>
          <cell r="FEY2" t="str">
            <v>-</v>
          </cell>
          <cell r="FEZ2" t="str">
            <v>-</v>
          </cell>
          <cell r="FFA2" t="str">
            <v>-</v>
          </cell>
          <cell r="FFB2" t="str">
            <v>-</v>
          </cell>
          <cell r="FFC2" t="str">
            <v>-</v>
          </cell>
          <cell r="FFD2" t="str">
            <v>-</v>
          </cell>
          <cell r="FFE2" t="str">
            <v>-</v>
          </cell>
          <cell r="FFF2" t="str">
            <v>-</v>
          </cell>
          <cell r="FFG2" t="str">
            <v>-</v>
          </cell>
          <cell r="FFH2" t="str">
            <v>-</v>
          </cell>
          <cell r="FFI2" t="str">
            <v>-</v>
          </cell>
          <cell r="FFJ2" t="str">
            <v>-</v>
          </cell>
          <cell r="FFK2" t="str">
            <v>-</v>
          </cell>
          <cell r="FFL2" t="str">
            <v>-</v>
          </cell>
          <cell r="FFM2" t="str">
            <v>-</v>
          </cell>
          <cell r="FFN2" t="str">
            <v>-</v>
          </cell>
          <cell r="FFO2" t="str">
            <v>-</v>
          </cell>
          <cell r="FFP2" t="str">
            <v>-</v>
          </cell>
          <cell r="FFQ2" t="str">
            <v>-</v>
          </cell>
          <cell r="FFR2" t="str">
            <v>-</v>
          </cell>
          <cell r="FFS2" t="str">
            <v>-</v>
          </cell>
          <cell r="FFT2" t="str">
            <v>-</v>
          </cell>
          <cell r="FFU2" t="str">
            <v>-</v>
          </cell>
          <cell r="FFV2" t="str">
            <v>-</v>
          </cell>
          <cell r="FFW2" t="str">
            <v>-</v>
          </cell>
          <cell r="FFX2" t="str">
            <v>-</v>
          </cell>
          <cell r="FFY2" t="str">
            <v>-</v>
          </cell>
          <cell r="FFZ2" t="str">
            <v>-</v>
          </cell>
          <cell r="FGA2" t="str">
            <v>-</v>
          </cell>
          <cell r="FGB2" t="str">
            <v>-</v>
          </cell>
          <cell r="FGC2" t="str">
            <v>-</v>
          </cell>
          <cell r="FGD2" t="str">
            <v>-</v>
          </cell>
          <cell r="FGE2" t="str">
            <v>-</v>
          </cell>
          <cell r="FGF2" t="str">
            <v>-</v>
          </cell>
          <cell r="FGG2" t="str">
            <v>-</v>
          </cell>
          <cell r="FGH2" t="str">
            <v>-</v>
          </cell>
          <cell r="FGI2" t="str">
            <v>-</v>
          </cell>
          <cell r="FGJ2" t="str">
            <v>-</v>
          </cell>
          <cell r="FGK2" t="str">
            <v>-</v>
          </cell>
          <cell r="FGL2" t="str">
            <v>-</v>
          </cell>
          <cell r="FGM2" t="str">
            <v>-</v>
          </cell>
          <cell r="FGN2" t="str">
            <v>-</v>
          </cell>
          <cell r="FGO2" t="str">
            <v>-</v>
          </cell>
          <cell r="FGP2" t="str">
            <v>-</v>
          </cell>
          <cell r="FGQ2" t="str">
            <v>-</v>
          </cell>
          <cell r="FGR2" t="str">
            <v>-</v>
          </cell>
          <cell r="FGS2" t="str">
            <v>-</v>
          </cell>
          <cell r="FGT2" t="str">
            <v>-</v>
          </cell>
          <cell r="FGU2" t="str">
            <v>-</v>
          </cell>
          <cell r="FGV2" t="str">
            <v>-</v>
          </cell>
          <cell r="FGW2" t="str">
            <v>-</v>
          </cell>
          <cell r="FGX2" t="str">
            <v>-</v>
          </cell>
          <cell r="FGY2" t="str">
            <v>-</v>
          </cell>
          <cell r="FGZ2" t="str">
            <v>-</v>
          </cell>
          <cell r="FHA2" t="str">
            <v>-</v>
          </cell>
          <cell r="FHB2" t="str">
            <v>-</v>
          </cell>
          <cell r="FHC2" t="str">
            <v>-</v>
          </cell>
          <cell r="FHD2" t="str">
            <v>-</v>
          </cell>
          <cell r="FHE2" t="str">
            <v>-</v>
          </cell>
          <cell r="FHF2" t="str">
            <v>-</v>
          </cell>
          <cell r="FHG2" t="str">
            <v>-</v>
          </cell>
          <cell r="FHH2" t="str">
            <v>-</v>
          </cell>
          <cell r="FHI2" t="str">
            <v>-</v>
          </cell>
          <cell r="FHJ2" t="str">
            <v>-</v>
          </cell>
          <cell r="FHK2" t="str">
            <v>-</v>
          </cell>
          <cell r="FHL2" t="str">
            <v>-</v>
          </cell>
          <cell r="FHM2" t="str">
            <v>-</v>
          </cell>
          <cell r="FHN2" t="str">
            <v>-</v>
          </cell>
          <cell r="FHO2" t="str">
            <v>-</v>
          </cell>
          <cell r="FHP2" t="str">
            <v>-</v>
          </cell>
          <cell r="FHQ2" t="str">
            <v>-</v>
          </cell>
          <cell r="FHR2" t="str">
            <v>-</v>
          </cell>
          <cell r="FHS2" t="str">
            <v>-</v>
          </cell>
          <cell r="FHT2" t="str">
            <v>-</v>
          </cell>
          <cell r="FHU2" t="str">
            <v>-</v>
          </cell>
          <cell r="FHV2" t="str">
            <v>-</v>
          </cell>
          <cell r="FHW2" t="str">
            <v>-</v>
          </cell>
          <cell r="FHX2" t="str">
            <v>-</v>
          </cell>
          <cell r="FHY2" t="str">
            <v>-</v>
          </cell>
          <cell r="FHZ2" t="str">
            <v>-</v>
          </cell>
          <cell r="FIA2" t="str">
            <v>-</v>
          </cell>
          <cell r="FIB2" t="str">
            <v>-</v>
          </cell>
          <cell r="FIC2" t="str">
            <v>-</v>
          </cell>
          <cell r="FID2" t="str">
            <v>-</v>
          </cell>
          <cell r="FIE2" t="str">
            <v>-</v>
          </cell>
          <cell r="FIF2" t="str">
            <v>-</v>
          </cell>
          <cell r="FIG2" t="str">
            <v>-</v>
          </cell>
          <cell r="FIH2" t="str">
            <v>-</v>
          </cell>
          <cell r="FII2" t="str">
            <v>-</v>
          </cell>
          <cell r="FIJ2" t="str">
            <v>-</v>
          </cell>
          <cell r="FIK2" t="str">
            <v>-</v>
          </cell>
          <cell r="FIL2" t="str">
            <v>-</v>
          </cell>
          <cell r="FIM2" t="str">
            <v>-</v>
          </cell>
          <cell r="FIN2" t="str">
            <v>-</v>
          </cell>
          <cell r="FIO2" t="str">
            <v>-</v>
          </cell>
          <cell r="FIP2" t="str">
            <v>-</v>
          </cell>
          <cell r="FIQ2" t="str">
            <v>-</v>
          </cell>
          <cell r="FIR2" t="str">
            <v>-</v>
          </cell>
          <cell r="FIS2" t="str">
            <v>-</v>
          </cell>
          <cell r="FIT2" t="str">
            <v>-</v>
          </cell>
          <cell r="FIU2" t="str">
            <v>-</v>
          </cell>
          <cell r="FIV2" t="str">
            <v>-</v>
          </cell>
          <cell r="FIW2" t="str">
            <v>-</v>
          </cell>
          <cell r="FIX2" t="str">
            <v>-</v>
          </cell>
          <cell r="FIY2" t="str">
            <v>-</v>
          </cell>
          <cell r="FIZ2" t="str">
            <v>-</v>
          </cell>
          <cell r="FJA2" t="str">
            <v>-</v>
          </cell>
          <cell r="FJB2" t="str">
            <v>-</v>
          </cell>
          <cell r="FJC2" t="str">
            <v>-</v>
          </cell>
          <cell r="FJD2" t="str">
            <v>-</v>
          </cell>
          <cell r="FJE2" t="str">
            <v>-</v>
          </cell>
          <cell r="FJF2" t="str">
            <v>-</v>
          </cell>
          <cell r="FJG2" t="str">
            <v>-</v>
          </cell>
          <cell r="FJH2" t="str">
            <v>-</v>
          </cell>
          <cell r="FJI2" t="str">
            <v>-</v>
          </cell>
          <cell r="FJJ2" t="str">
            <v>-</v>
          </cell>
          <cell r="FJK2" t="str">
            <v>-</v>
          </cell>
          <cell r="FJL2" t="str">
            <v>-</v>
          </cell>
          <cell r="FJM2" t="str">
            <v>-</v>
          </cell>
          <cell r="FJN2" t="str">
            <v>-</v>
          </cell>
          <cell r="FJO2" t="str">
            <v>-</v>
          </cell>
          <cell r="FJP2" t="str">
            <v>-</v>
          </cell>
          <cell r="FJQ2" t="str">
            <v>-</v>
          </cell>
          <cell r="FJR2" t="str">
            <v>-</v>
          </cell>
          <cell r="FJS2" t="str">
            <v>-</v>
          </cell>
          <cell r="FJT2" t="str">
            <v>-</v>
          </cell>
          <cell r="FJU2" t="str">
            <v>-</v>
          </cell>
          <cell r="FJV2" t="str">
            <v>-</v>
          </cell>
          <cell r="FJW2" t="str">
            <v>-</v>
          </cell>
          <cell r="FJX2" t="str">
            <v>-</v>
          </cell>
          <cell r="FJY2" t="str">
            <v>-</v>
          </cell>
          <cell r="FJZ2" t="str">
            <v>-</v>
          </cell>
          <cell r="FKA2" t="str">
            <v>-</v>
          </cell>
          <cell r="FKB2" t="str">
            <v>-</v>
          </cell>
          <cell r="FKC2" t="str">
            <v>-</v>
          </cell>
          <cell r="FKD2" t="str">
            <v>-</v>
          </cell>
          <cell r="FKE2" t="str">
            <v>-</v>
          </cell>
          <cell r="FKF2" t="str">
            <v>-</v>
          </cell>
          <cell r="FKG2" t="str">
            <v>-</v>
          </cell>
          <cell r="FKH2" t="str">
            <v>-</v>
          </cell>
          <cell r="FKI2" t="str">
            <v>-</v>
          </cell>
          <cell r="FKJ2" t="str">
            <v>-</v>
          </cell>
          <cell r="FKK2" t="str">
            <v>-</v>
          </cell>
          <cell r="FKL2" t="str">
            <v>-</v>
          </cell>
          <cell r="FKM2" t="str">
            <v>-</v>
          </cell>
          <cell r="FKN2" t="str">
            <v>-</v>
          </cell>
          <cell r="FKO2" t="str">
            <v>-</v>
          </cell>
          <cell r="FKP2" t="str">
            <v>-</v>
          </cell>
          <cell r="FKQ2" t="str">
            <v>-</v>
          </cell>
          <cell r="FKR2" t="str">
            <v>-</v>
          </cell>
          <cell r="FKS2" t="str">
            <v>-</v>
          </cell>
          <cell r="FKT2" t="str">
            <v>-</v>
          </cell>
          <cell r="FKU2" t="str">
            <v>-</v>
          </cell>
          <cell r="FKV2" t="str">
            <v>-</v>
          </cell>
          <cell r="FKW2" t="str">
            <v>-</v>
          </cell>
          <cell r="FKX2" t="str">
            <v>-</v>
          </cell>
          <cell r="FKY2" t="str">
            <v>-</v>
          </cell>
          <cell r="FKZ2" t="str">
            <v>-</v>
          </cell>
          <cell r="FLA2" t="str">
            <v>-</v>
          </cell>
          <cell r="FLB2" t="str">
            <v>-</v>
          </cell>
          <cell r="FLC2" t="str">
            <v>-</v>
          </cell>
          <cell r="FLD2" t="str">
            <v>-</v>
          </cell>
          <cell r="FLE2" t="str">
            <v>-</v>
          </cell>
          <cell r="FLF2" t="str">
            <v>-</v>
          </cell>
          <cell r="FLG2" t="str">
            <v>-</v>
          </cell>
          <cell r="FLH2" t="str">
            <v>-</v>
          </cell>
          <cell r="FLI2" t="str">
            <v>-</v>
          </cell>
          <cell r="FLJ2" t="str">
            <v>-</v>
          </cell>
          <cell r="FLK2" t="str">
            <v>-</v>
          </cell>
          <cell r="FLL2" t="str">
            <v>-</v>
          </cell>
          <cell r="FLM2" t="str">
            <v>-</v>
          </cell>
          <cell r="FLN2" t="str">
            <v>-</v>
          </cell>
          <cell r="FLO2" t="str">
            <v>-</v>
          </cell>
          <cell r="FLP2" t="str">
            <v>-</v>
          </cell>
          <cell r="FLQ2" t="str">
            <v>-</v>
          </cell>
          <cell r="FLR2" t="str">
            <v>-</v>
          </cell>
          <cell r="FLS2" t="str">
            <v>-</v>
          </cell>
          <cell r="FLT2" t="str">
            <v>-</v>
          </cell>
          <cell r="FLU2" t="str">
            <v>-</v>
          </cell>
          <cell r="FLV2" t="str">
            <v>-</v>
          </cell>
          <cell r="FLW2" t="str">
            <v>-</v>
          </cell>
          <cell r="FLX2" t="str">
            <v>-</v>
          </cell>
          <cell r="FLY2" t="str">
            <v>-</v>
          </cell>
          <cell r="FLZ2" t="str">
            <v>-</v>
          </cell>
          <cell r="FMA2" t="str">
            <v>-</v>
          </cell>
          <cell r="FMB2" t="str">
            <v>-</v>
          </cell>
          <cell r="FMC2" t="str">
            <v>-</v>
          </cell>
          <cell r="FMD2" t="str">
            <v>-</v>
          </cell>
          <cell r="FME2" t="str">
            <v>-</v>
          </cell>
          <cell r="FMF2" t="str">
            <v>-</v>
          </cell>
          <cell r="FMG2" t="str">
            <v>-</v>
          </cell>
          <cell r="FMH2" t="str">
            <v>-</v>
          </cell>
          <cell r="FMI2" t="str">
            <v>-</v>
          </cell>
          <cell r="FMJ2" t="str">
            <v>-</v>
          </cell>
          <cell r="FMK2" t="str">
            <v>-</v>
          </cell>
          <cell r="FML2" t="str">
            <v>-</v>
          </cell>
          <cell r="FMM2" t="str">
            <v>-</v>
          </cell>
          <cell r="FMN2" t="str">
            <v>-</v>
          </cell>
          <cell r="FMO2" t="str">
            <v>-</v>
          </cell>
          <cell r="FMP2" t="str">
            <v>-</v>
          </cell>
          <cell r="FMQ2" t="str">
            <v>-</v>
          </cell>
          <cell r="FMR2" t="str">
            <v>-</v>
          </cell>
          <cell r="FMS2" t="str">
            <v>-</v>
          </cell>
          <cell r="FMT2" t="str">
            <v>-</v>
          </cell>
          <cell r="FMU2" t="str">
            <v>-</v>
          </cell>
          <cell r="FMV2" t="str">
            <v>-</v>
          </cell>
          <cell r="FMW2" t="str">
            <v>-</v>
          </cell>
          <cell r="FMX2" t="str">
            <v>-</v>
          </cell>
          <cell r="FMY2" t="str">
            <v>-</v>
          </cell>
          <cell r="FMZ2" t="str">
            <v>-</v>
          </cell>
          <cell r="FNA2" t="str">
            <v>-</v>
          </cell>
          <cell r="FNB2" t="str">
            <v>-</v>
          </cell>
          <cell r="FNC2" t="str">
            <v>-</v>
          </cell>
          <cell r="FND2" t="str">
            <v>-</v>
          </cell>
          <cell r="FNE2" t="str">
            <v>-</v>
          </cell>
          <cell r="FNF2" t="str">
            <v>-</v>
          </cell>
          <cell r="FNG2" t="str">
            <v>-</v>
          </cell>
          <cell r="FNH2" t="str">
            <v>-</v>
          </cell>
          <cell r="FNI2" t="str">
            <v>-</v>
          </cell>
          <cell r="FNJ2" t="str">
            <v>-</v>
          </cell>
          <cell r="FNK2" t="str">
            <v>-</v>
          </cell>
          <cell r="FNL2" t="str">
            <v>-</v>
          </cell>
          <cell r="FNM2" t="str">
            <v>-</v>
          </cell>
          <cell r="FNN2" t="str">
            <v>-</v>
          </cell>
          <cell r="FNO2" t="str">
            <v>-</v>
          </cell>
          <cell r="FNP2" t="str">
            <v>-</v>
          </cell>
          <cell r="FNQ2" t="str">
            <v>-</v>
          </cell>
          <cell r="FNR2" t="str">
            <v>-</v>
          </cell>
          <cell r="FNS2" t="str">
            <v>-</v>
          </cell>
          <cell r="FNT2" t="str">
            <v>-</v>
          </cell>
          <cell r="FNU2" t="str">
            <v>-</v>
          </cell>
          <cell r="FNV2" t="str">
            <v>-</v>
          </cell>
          <cell r="FNW2" t="str">
            <v>-</v>
          </cell>
          <cell r="FNX2" t="str">
            <v>-</v>
          </cell>
          <cell r="FNY2" t="str">
            <v>-</v>
          </cell>
          <cell r="FNZ2" t="str">
            <v>-</v>
          </cell>
          <cell r="FOA2" t="str">
            <v>-</v>
          </cell>
          <cell r="FOB2" t="str">
            <v>-</v>
          </cell>
          <cell r="FOC2" t="str">
            <v>-</v>
          </cell>
          <cell r="FOD2" t="str">
            <v>-</v>
          </cell>
          <cell r="FOE2" t="str">
            <v>-</v>
          </cell>
          <cell r="FOF2" t="str">
            <v>-</v>
          </cell>
          <cell r="FOG2" t="str">
            <v>-</v>
          </cell>
          <cell r="FOH2" t="str">
            <v>-</v>
          </cell>
          <cell r="FOI2" t="str">
            <v>-</v>
          </cell>
          <cell r="FOJ2" t="str">
            <v>-</v>
          </cell>
          <cell r="FOK2" t="str">
            <v>-</v>
          </cell>
          <cell r="FOL2" t="str">
            <v>-</v>
          </cell>
          <cell r="FOM2" t="str">
            <v>-</v>
          </cell>
          <cell r="FON2" t="str">
            <v>-</v>
          </cell>
          <cell r="FOO2" t="str">
            <v>-</v>
          </cell>
          <cell r="FOP2" t="str">
            <v>-</v>
          </cell>
          <cell r="FOQ2" t="str">
            <v>-</v>
          </cell>
          <cell r="FOR2" t="str">
            <v>-</v>
          </cell>
          <cell r="FOS2" t="str">
            <v>-</v>
          </cell>
          <cell r="FOT2" t="str">
            <v>-</v>
          </cell>
          <cell r="FOU2" t="str">
            <v>-</v>
          </cell>
          <cell r="FOV2" t="str">
            <v>-</v>
          </cell>
          <cell r="FOW2" t="str">
            <v>-</v>
          </cell>
          <cell r="FOX2" t="str">
            <v>-</v>
          </cell>
          <cell r="FOY2" t="str">
            <v>-</v>
          </cell>
          <cell r="FOZ2" t="str">
            <v>-</v>
          </cell>
          <cell r="FPA2" t="str">
            <v>-</v>
          </cell>
          <cell r="FPB2" t="str">
            <v>-</v>
          </cell>
          <cell r="FPC2" t="str">
            <v>-</v>
          </cell>
          <cell r="FPD2" t="str">
            <v>-</v>
          </cell>
          <cell r="FPE2" t="str">
            <v>-</v>
          </cell>
          <cell r="FPF2" t="str">
            <v>-</v>
          </cell>
          <cell r="FPG2" t="str">
            <v>-</v>
          </cell>
          <cell r="FPH2" t="str">
            <v>-</v>
          </cell>
          <cell r="FPI2" t="str">
            <v>-</v>
          </cell>
          <cell r="FPJ2" t="str">
            <v>-</v>
          </cell>
          <cell r="FPK2" t="str">
            <v>-</v>
          </cell>
          <cell r="FPL2" t="str">
            <v>-</v>
          </cell>
          <cell r="FPM2" t="str">
            <v>-</v>
          </cell>
          <cell r="FPN2" t="str">
            <v>-</v>
          </cell>
          <cell r="FPO2" t="str">
            <v>-</v>
          </cell>
          <cell r="FPP2" t="str">
            <v>-</v>
          </cell>
          <cell r="FPQ2" t="str">
            <v>-</v>
          </cell>
          <cell r="FPR2" t="str">
            <v>-</v>
          </cell>
          <cell r="FPS2" t="str">
            <v>-</v>
          </cell>
          <cell r="FPT2" t="str">
            <v>-</v>
          </cell>
          <cell r="FPU2" t="str">
            <v>-</v>
          </cell>
          <cell r="FPV2" t="str">
            <v>-</v>
          </cell>
          <cell r="FPW2" t="str">
            <v>-</v>
          </cell>
          <cell r="FPX2" t="str">
            <v>-</v>
          </cell>
          <cell r="FPY2" t="str">
            <v>-</v>
          </cell>
          <cell r="FPZ2" t="str">
            <v>-</v>
          </cell>
          <cell r="FQA2" t="str">
            <v>-</v>
          </cell>
          <cell r="FQB2" t="str">
            <v>-</v>
          </cell>
          <cell r="FQC2" t="str">
            <v>-</v>
          </cell>
          <cell r="FQD2" t="str">
            <v>-</v>
          </cell>
          <cell r="FQE2" t="str">
            <v>-</v>
          </cell>
          <cell r="FQF2" t="str">
            <v>-</v>
          </cell>
          <cell r="FQG2" t="str">
            <v>-</v>
          </cell>
          <cell r="FQH2" t="str">
            <v>-</v>
          </cell>
          <cell r="FQI2" t="str">
            <v>-</v>
          </cell>
          <cell r="FQJ2" t="str">
            <v>-</v>
          </cell>
          <cell r="FQK2" t="str">
            <v>-</v>
          </cell>
          <cell r="FQL2" t="str">
            <v>-</v>
          </cell>
          <cell r="FQM2" t="str">
            <v>-</v>
          </cell>
          <cell r="FQN2" t="str">
            <v>-</v>
          </cell>
          <cell r="FQO2" t="str">
            <v>-</v>
          </cell>
          <cell r="FQP2" t="str">
            <v>-</v>
          </cell>
          <cell r="FQQ2" t="str">
            <v>-</v>
          </cell>
          <cell r="FQR2" t="str">
            <v>-</v>
          </cell>
          <cell r="FQS2" t="str">
            <v>-</v>
          </cell>
          <cell r="FQT2" t="str">
            <v>-</v>
          </cell>
          <cell r="FQU2" t="str">
            <v>-</v>
          </cell>
          <cell r="FQV2" t="str">
            <v>-</v>
          </cell>
          <cell r="FQW2" t="str">
            <v>-</v>
          </cell>
          <cell r="FQX2" t="str">
            <v>-</v>
          </cell>
          <cell r="FQY2" t="str">
            <v>-</v>
          </cell>
          <cell r="FQZ2" t="str">
            <v>-</v>
          </cell>
          <cell r="FRA2" t="str">
            <v>-</v>
          </cell>
          <cell r="FRB2" t="str">
            <v>-</v>
          </cell>
          <cell r="FRC2" t="str">
            <v>-</v>
          </cell>
          <cell r="FRD2" t="str">
            <v>-</v>
          </cell>
          <cell r="FRE2" t="str">
            <v>-</v>
          </cell>
          <cell r="FRF2" t="str">
            <v>-</v>
          </cell>
          <cell r="FRG2" t="str">
            <v>-</v>
          </cell>
          <cell r="FRH2" t="str">
            <v>-</v>
          </cell>
          <cell r="FRI2" t="str">
            <v>-</v>
          </cell>
          <cell r="FRJ2" t="str">
            <v>-</v>
          </cell>
          <cell r="FRK2" t="str">
            <v>-</v>
          </cell>
          <cell r="FRL2" t="str">
            <v>-</v>
          </cell>
          <cell r="FRM2" t="str">
            <v>-</v>
          </cell>
          <cell r="FRN2" t="str">
            <v>-</v>
          </cell>
          <cell r="FRO2" t="str">
            <v>-</v>
          </cell>
          <cell r="FRP2" t="str">
            <v>-</v>
          </cell>
          <cell r="FRQ2" t="str">
            <v>-</v>
          </cell>
          <cell r="FRR2" t="str">
            <v>-</v>
          </cell>
          <cell r="FRS2" t="str">
            <v>-</v>
          </cell>
          <cell r="FRT2" t="str">
            <v>-</v>
          </cell>
          <cell r="FRU2" t="str">
            <v>-</v>
          </cell>
          <cell r="FRV2" t="str">
            <v>-</v>
          </cell>
          <cell r="FRW2" t="str">
            <v>-</v>
          </cell>
          <cell r="FRX2" t="str">
            <v>-</v>
          </cell>
          <cell r="FRY2" t="str">
            <v>-</v>
          </cell>
          <cell r="FRZ2" t="str">
            <v>-</v>
          </cell>
          <cell r="FSA2" t="str">
            <v>-</v>
          </cell>
          <cell r="FSB2" t="str">
            <v>-</v>
          </cell>
          <cell r="FSC2" t="str">
            <v>-</v>
          </cell>
          <cell r="FSD2" t="str">
            <v>-</v>
          </cell>
          <cell r="FSE2" t="str">
            <v>-</v>
          </cell>
          <cell r="FSF2" t="str">
            <v>-</v>
          </cell>
          <cell r="FSG2" t="str">
            <v>-</v>
          </cell>
          <cell r="FSH2" t="str">
            <v>-</v>
          </cell>
          <cell r="FSI2" t="str">
            <v>-</v>
          </cell>
          <cell r="FSJ2" t="str">
            <v>-</v>
          </cell>
          <cell r="FSK2" t="str">
            <v>-</v>
          </cell>
          <cell r="FSL2" t="str">
            <v>-</v>
          </cell>
          <cell r="FSM2" t="str">
            <v>-</v>
          </cell>
          <cell r="FSN2" t="str">
            <v>-</v>
          </cell>
          <cell r="FSO2" t="str">
            <v>-</v>
          </cell>
          <cell r="FSP2" t="str">
            <v>-</v>
          </cell>
          <cell r="FSQ2" t="str">
            <v>-</v>
          </cell>
          <cell r="FSR2" t="str">
            <v>-</v>
          </cell>
          <cell r="FSS2" t="str">
            <v>-</v>
          </cell>
          <cell r="FST2" t="str">
            <v>-</v>
          </cell>
          <cell r="FSU2" t="str">
            <v>-</v>
          </cell>
          <cell r="FSV2" t="str">
            <v>-</v>
          </cell>
          <cell r="FSW2" t="str">
            <v>-</v>
          </cell>
          <cell r="FSX2" t="str">
            <v>-</v>
          </cell>
          <cell r="FSY2" t="str">
            <v>-</v>
          </cell>
          <cell r="FSZ2" t="str">
            <v>-</v>
          </cell>
          <cell r="FTA2" t="str">
            <v>-</v>
          </cell>
          <cell r="FTB2" t="str">
            <v>-</v>
          </cell>
          <cell r="FTC2" t="str">
            <v>-</v>
          </cell>
          <cell r="FTD2" t="str">
            <v>-</v>
          </cell>
          <cell r="FTE2" t="str">
            <v>-</v>
          </cell>
          <cell r="FTF2" t="str">
            <v>-</v>
          </cell>
          <cell r="FTG2" t="str">
            <v>-</v>
          </cell>
          <cell r="FTH2" t="str">
            <v>-</v>
          </cell>
          <cell r="FTI2" t="str">
            <v>-</v>
          </cell>
          <cell r="FTJ2" t="str">
            <v>-</v>
          </cell>
          <cell r="FTK2" t="str">
            <v>-</v>
          </cell>
          <cell r="FTL2" t="str">
            <v>-</v>
          </cell>
          <cell r="FTM2" t="str">
            <v>-</v>
          </cell>
          <cell r="FTN2" t="str">
            <v>-</v>
          </cell>
          <cell r="FTO2" t="str">
            <v>-</v>
          </cell>
          <cell r="FTP2" t="str">
            <v>-</v>
          </cell>
          <cell r="FTQ2" t="str">
            <v>-</v>
          </cell>
          <cell r="FTR2" t="str">
            <v>-</v>
          </cell>
          <cell r="FTS2" t="str">
            <v>-</v>
          </cell>
          <cell r="FTT2" t="str">
            <v>-</v>
          </cell>
          <cell r="FTU2" t="str">
            <v>-</v>
          </cell>
          <cell r="FTV2" t="str">
            <v>-</v>
          </cell>
          <cell r="FTW2" t="str">
            <v>-</v>
          </cell>
          <cell r="FTX2" t="str">
            <v>-</v>
          </cell>
          <cell r="FTY2" t="str">
            <v>-</v>
          </cell>
          <cell r="FTZ2" t="str">
            <v>-</v>
          </cell>
          <cell r="FUA2" t="str">
            <v>-</v>
          </cell>
          <cell r="FUB2" t="str">
            <v>-</v>
          </cell>
          <cell r="FUC2" t="str">
            <v>-</v>
          </cell>
          <cell r="FUD2" t="str">
            <v>-</v>
          </cell>
          <cell r="FUE2" t="str">
            <v>-</v>
          </cell>
          <cell r="FUF2" t="str">
            <v>-</v>
          </cell>
          <cell r="FUG2" t="str">
            <v>-</v>
          </cell>
          <cell r="FUH2" t="str">
            <v>-</v>
          </cell>
          <cell r="FUI2" t="str">
            <v>-</v>
          </cell>
          <cell r="FUJ2" t="str">
            <v>-</v>
          </cell>
          <cell r="FUK2" t="str">
            <v>-</v>
          </cell>
          <cell r="FUL2" t="str">
            <v>-</v>
          </cell>
          <cell r="FUM2" t="str">
            <v>-</v>
          </cell>
          <cell r="FUN2" t="str">
            <v>-</v>
          </cell>
          <cell r="FUO2" t="str">
            <v>-</v>
          </cell>
          <cell r="FUP2" t="str">
            <v>-</v>
          </cell>
          <cell r="FUQ2" t="str">
            <v>-</v>
          </cell>
          <cell r="FUR2" t="str">
            <v>-</v>
          </cell>
          <cell r="FUS2" t="str">
            <v>-</v>
          </cell>
          <cell r="FUT2" t="str">
            <v>-</v>
          </cell>
          <cell r="FUU2" t="str">
            <v>-</v>
          </cell>
          <cell r="FUV2" t="str">
            <v>-</v>
          </cell>
          <cell r="FUW2" t="str">
            <v>-</v>
          </cell>
          <cell r="FUX2" t="str">
            <v>-</v>
          </cell>
          <cell r="FUY2" t="str">
            <v>-</v>
          </cell>
          <cell r="FUZ2" t="str">
            <v>-</v>
          </cell>
          <cell r="FVA2" t="str">
            <v>-</v>
          </cell>
          <cell r="FVB2" t="str">
            <v>-</v>
          </cell>
          <cell r="FVC2" t="str">
            <v>-</v>
          </cell>
          <cell r="FVD2" t="str">
            <v>-</v>
          </cell>
          <cell r="FVE2" t="str">
            <v>-</v>
          </cell>
          <cell r="FVF2" t="str">
            <v>-</v>
          </cell>
          <cell r="FVG2" t="str">
            <v>-</v>
          </cell>
          <cell r="FVH2" t="str">
            <v>-</v>
          </cell>
          <cell r="FVI2" t="str">
            <v>-</v>
          </cell>
          <cell r="FVJ2" t="str">
            <v>-</v>
          </cell>
          <cell r="FVK2" t="str">
            <v>-</v>
          </cell>
          <cell r="FVL2" t="str">
            <v>-</v>
          </cell>
          <cell r="FVM2" t="str">
            <v>-</v>
          </cell>
          <cell r="FVN2" t="str">
            <v>-</v>
          </cell>
          <cell r="FVO2" t="str">
            <v>-</v>
          </cell>
          <cell r="FVP2" t="str">
            <v>-</v>
          </cell>
          <cell r="FVQ2" t="str">
            <v>-</v>
          </cell>
          <cell r="FVR2" t="str">
            <v>-</v>
          </cell>
          <cell r="FVS2" t="str">
            <v>-</v>
          </cell>
          <cell r="FVT2" t="str">
            <v>-</v>
          </cell>
          <cell r="FVU2" t="str">
            <v>-</v>
          </cell>
          <cell r="FVV2" t="str">
            <v>-</v>
          </cell>
          <cell r="FVW2" t="str">
            <v>-</v>
          </cell>
          <cell r="FVX2" t="str">
            <v>-</v>
          </cell>
          <cell r="FVY2" t="str">
            <v>-</v>
          </cell>
          <cell r="FVZ2" t="str">
            <v>-</v>
          </cell>
          <cell r="FWA2" t="str">
            <v>-</v>
          </cell>
          <cell r="FWB2" t="str">
            <v>-</v>
          </cell>
          <cell r="FWC2" t="str">
            <v>-</v>
          </cell>
          <cell r="FWD2" t="str">
            <v>-</v>
          </cell>
          <cell r="FWE2" t="str">
            <v>-</v>
          </cell>
          <cell r="FWF2" t="str">
            <v>-</v>
          </cell>
          <cell r="FWG2" t="str">
            <v>-</v>
          </cell>
          <cell r="FWH2" t="str">
            <v>-</v>
          </cell>
          <cell r="FWI2" t="str">
            <v>-</v>
          </cell>
          <cell r="FWJ2" t="str">
            <v>-</v>
          </cell>
          <cell r="FWK2" t="str">
            <v>-</v>
          </cell>
          <cell r="FWL2" t="str">
            <v>-</v>
          </cell>
          <cell r="FWM2" t="str">
            <v>-</v>
          </cell>
          <cell r="FWN2" t="str">
            <v>-</v>
          </cell>
          <cell r="FWO2" t="str">
            <v>-</v>
          </cell>
          <cell r="FWP2" t="str">
            <v>-</v>
          </cell>
          <cell r="FWQ2" t="str">
            <v>-</v>
          </cell>
          <cell r="FWR2" t="str">
            <v>-</v>
          </cell>
          <cell r="FWS2" t="str">
            <v>-</v>
          </cell>
          <cell r="FWT2" t="str">
            <v>-</v>
          </cell>
          <cell r="FWU2" t="str">
            <v>-</v>
          </cell>
          <cell r="FWV2" t="str">
            <v>-</v>
          </cell>
          <cell r="FWW2" t="str">
            <v>-</v>
          </cell>
          <cell r="FWX2" t="str">
            <v>-</v>
          </cell>
          <cell r="FWY2" t="str">
            <v>-</v>
          </cell>
          <cell r="FWZ2" t="str">
            <v>-</v>
          </cell>
          <cell r="FXA2" t="str">
            <v>-</v>
          </cell>
          <cell r="FXB2" t="str">
            <v>-</v>
          </cell>
          <cell r="FXC2" t="str">
            <v>-</v>
          </cell>
          <cell r="FXD2" t="str">
            <v>-</v>
          </cell>
          <cell r="FXE2" t="str">
            <v>-</v>
          </cell>
          <cell r="FXF2" t="str">
            <v>-</v>
          </cell>
          <cell r="FXG2" t="str">
            <v>-</v>
          </cell>
          <cell r="FXH2" t="str">
            <v>-</v>
          </cell>
          <cell r="FXI2" t="str">
            <v>-</v>
          </cell>
          <cell r="FXJ2" t="str">
            <v>-</v>
          </cell>
          <cell r="FXK2" t="str">
            <v>-</v>
          </cell>
          <cell r="FXL2" t="str">
            <v>-</v>
          </cell>
          <cell r="FXM2" t="str">
            <v>-</v>
          </cell>
          <cell r="FXN2" t="str">
            <v>-</v>
          </cell>
          <cell r="FXO2" t="str">
            <v>-</v>
          </cell>
          <cell r="FXP2" t="str">
            <v>-</v>
          </cell>
          <cell r="FXQ2" t="str">
            <v>-</v>
          </cell>
          <cell r="FXR2" t="str">
            <v>-</v>
          </cell>
          <cell r="FXS2" t="str">
            <v>-</v>
          </cell>
          <cell r="FXT2" t="str">
            <v>-</v>
          </cell>
          <cell r="FXU2" t="str">
            <v>-</v>
          </cell>
          <cell r="FXV2" t="str">
            <v>-</v>
          </cell>
          <cell r="FXW2" t="str">
            <v>-</v>
          </cell>
          <cell r="FXX2" t="str">
            <v>-</v>
          </cell>
          <cell r="FXY2" t="str">
            <v>-</v>
          </cell>
          <cell r="FXZ2" t="str">
            <v>-</v>
          </cell>
          <cell r="FYA2" t="str">
            <v>-</v>
          </cell>
          <cell r="FYB2" t="str">
            <v>-</v>
          </cell>
          <cell r="FYC2" t="str">
            <v>-</v>
          </cell>
          <cell r="FYD2" t="str">
            <v>-</v>
          </cell>
          <cell r="FYE2" t="str">
            <v>-</v>
          </cell>
          <cell r="FYF2" t="str">
            <v>-</v>
          </cell>
          <cell r="FYG2" t="str">
            <v>-</v>
          </cell>
          <cell r="FYH2" t="str">
            <v>-</v>
          </cell>
          <cell r="FYI2" t="str">
            <v>-</v>
          </cell>
          <cell r="FYJ2" t="str">
            <v>-</v>
          </cell>
          <cell r="FYK2" t="str">
            <v>-</v>
          </cell>
          <cell r="FYL2" t="str">
            <v>-</v>
          </cell>
          <cell r="FYM2" t="str">
            <v>-</v>
          </cell>
          <cell r="FYN2" t="str">
            <v>-</v>
          </cell>
          <cell r="FYO2" t="str">
            <v>-</v>
          </cell>
          <cell r="FYP2" t="str">
            <v>-</v>
          </cell>
          <cell r="FYQ2" t="str">
            <v>-</v>
          </cell>
          <cell r="FYR2" t="str">
            <v>-</v>
          </cell>
          <cell r="FYS2" t="str">
            <v>-</v>
          </cell>
          <cell r="FYT2" t="str">
            <v>-</v>
          </cell>
          <cell r="FYU2" t="str">
            <v>-</v>
          </cell>
          <cell r="FYV2" t="str">
            <v>-</v>
          </cell>
          <cell r="FYW2" t="str">
            <v>-</v>
          </cell>
          <cell r="FYX2" t="str">
            <v>-</v>
          </cell>
          <cell r="FYY2" t="str">
            <v>-</v>
          </cell>
          <cell r="FYZ2" t="str">
            <v>-</v>
          </cell>
          <cell r="FZA2" t="str">
            <v>-</v>
          </cell>
          <cell r="FZB2" t="str">
            <v>-</v>
          </cell>
          <cell r="FZC2" t="str">
            <v>-</v>
          </cell>
          <cell r="FZD2" t="str">
            <v>-</v>
          </cell>
          <cell r="FZE2" t="str">
            <v>-</v>
          </cell>
          <cell r="FZF2" t="str">
            <v>-</v>
          </cell>
          <cell r="FZG2" t="str">
            <v>-</v>
          </cell>
          <cell r="FZH2" t="str">
            <v>-</v>
          </cell>
          <cell r="FZI2" t="str">
            <v>-</v>
          </cell>
          <cell r="FZJ2" t="str">
            <v>-</v>
          </cell>
          <cell r="FZK2" t="str">
            <v>-</v>
          </cell>
          <cell r="FZL2" t="str">
            <v>-</v>
          </cell>
          <cell r="FZM2" t="str">
            <v>-</v>
          </cell>
          <cell r="FZN2" t="str">
            <v>-</v>
          </cell>
          <cell r="FZO2" t="str">
            <v>-</v>
          </cell>
          <cell r="FZP2" t="str">
            <v>-</v>
          </cell>
          <cell r="FZQ2" t="str">
            <v>-</v>
          </cell>
          <cell r="FZR2" t="str">
            <v>-</v>
          </cell>
          <cell r="FZS2" t="str">
            <v>-</v>
          </cell>
          <cell r="FZT2" t="str">
            <v>-</v>
          </cell>
          <cell r="FZU2" t="str">
            <v>-</v>
          </cell>
          <cell r="FZV2" t="str">
            <v>-</v>
          </cell>
          <cell r="FZW2" t="str">
            <v>-</v>
          </cell>
          <cell r="FZX2" t="str">
            <v>-</v>
          </cell>
          <cell r="FZY2" t="str">
            <v>-</v>
          </cell>
          <cell r="FZZ2" t="str">
            <v>-</v>
          </cell>
          <cell r="GAA2" t="str">
            <v>-</v>
          </cell>
          <cell r="GAB2" t="str">
            <v>-</v>
          </cell>
          <cell r="GAC2" t="str">
            <v>-</v>
          </cell>
          <cell r="GAD2" t="str">
            <v>-</v>
          </cell>
          <cell r="GAE2" t="str">
            <v>-</v>
          </cell>
          <cell r="GAF2" t="str">
            <v>-</v>
          </cell>
          <cell r="GAG2" t="str">
            <v>-</v>
          </cell>
          <cell r="GAH2" t="str">
            <v>-</v>
          </cell>
          <cell r="GAI2" t="str">
            <v>-</v>
          </cell>
          <cell r="GAJ2" t="str">
            <v>-</v>
          </cell>
          <cell r="GAK2" t="str">
            <v>-</v>
          </cell>
          <cell r="GAL2" t="str">
            <v>-</v>
          </cell>
          <cell r="GAM2" t="str">
            <v>-</v>
          </cell>
          <cell r="GAN2" t="str">
            <v>-</v>
          </cell>
          <cell r="GAO2" t="str">
            <v>-</v>
          </cell>
          <cell r="GAP2" t="str">
            <v>-</v>
          </cell>
          <cell r="GAQ2" t="str">
            <v>-</v>
          </cell>
          <cell r="GAR2" t="str">
            <v>-</v>
          </cell>
          <cell r="GAS2" t="str">
            <v>-</v>
          </cell>
          <cell r="GAT2" t="str">
            <v>-</v>
          </cell>
          <cell r="GAU2" t="str">
            <v>-</v>
          </cell>
          <cell r="GAV2" t="str">
            <v>-</v>
          </cell>
          <cell r="GAW2" t="str">
            <v>-</v>
          </cell>
          <cell r="GAX2" t="str">
            <v>-</v>
          </cell>
          <cell r="GAY2" t="str">
            <v>-</v>
          </cell>
          <cell r="GAZ2" t="str">
            <v>-</v>
          </cell>
          <cell r="GBA2" t="str">
            <v>-</v>
          </cell>
          <cell r="GBB2" t="str">
            <v>-</v>
          </cell>
          <cell r="GBC2" t="str">
            <v>-</v>
          </cell>
          <cell r="GBD2" t="str">
            <v>-</v>
          </cell>
          <cell r="GBE2" t="str">
            <v>-</v>
          </cell>
          <cell r="GBF2" t="str">
            <v>-</v>
          </cell>
          <cell r="GBG2" t="str">
            <v>-</v>
          </cell>
          <cell r="GBH2" t="str">
            <v>-</v>
          </cell>
          <cell r="GBI2" t="str">
            <v>-</v>
          </cell>
          <cell r="GBJ2" t="str">
            <v>-</v>
          </cell>
          <cell r="GBK2" t="str">
            <v>-</v>
          </cell>
          <cell r="GBL2" t="str">
            <v>-</v>
          </cell>
          <cell r="GBM2" t="str">
            <v>-</v>
          </cell>
          <cell r="GBN2" t="str">
            <v>-</v>
          </cell>
          <cell r="GBO2" t="str">
            <v>-</v>
          </cell>
          <cell r="GBP2" t="str">
            <v>-</v>
          </cell>
          <cell r="GBQ2" t="str">
            <v>-</v>
          </cell>
          <cell r="GBR2" t="str">
            <v>-</v>
          </cell>
          <cell r="GBS2" t="str">
            <v>-</v>
          </cell>
          <cell r="GBT2" t="str">
            <v>-</v>
          </cell>
          <cell r="GBU2" t="str">
            <v>-</v>
          </cell>
          <cell r="GBV2" t="str">
            <v>-</v>
          </cell>
          <cell r="GBW2" t="str">
            <v>-</v>
          </cell>
          <cell r="GBX2" t="str">
            <v>-</v>
          </cell>
          <cell r="GBY2" t="str">
            <v>-</v>
          </cell>
          <cell r="GBZ2" t="str">
            <v>-</v>
          </cell>
          <cell r="GCA2" t="str">
            <v>-</v>
          </cell>
          <cell r="GCB2" t="str">
            <v>-</v>
          </cell>
          <cell r="GCC2" t="str">
            <v>-</v>
          </cell>
          <cell r="GCD2" t="str">
            <v>-</v>
          </cell>
          <cell r="GCE2" t="str">
            <v>-</v>
          </cell>
          <cell r="GCF2" t="str">
            <v>-</v>
          </cell>
          <cell r="GCG2" t="str">
            <v>-</v>
          </cell>
          <cell r="GCH2" t="str">
            <v>-</v>
          </cell>
          <cell r="GCI2" t="str">
            <v>-</v>
          </cell>
          <cell r="GCJ2" t="str">
            <v>-</v>
          </cell>
          <cell r="GCK2" t="str">
            <v>-</v>
          </cell>
          <cell r="GCL2" t="str">
            <v>-</v>
          </cell>
          <cell r="GCM2" t="str">
            <v>-</v>
          </cell>
          <cell r="GCN2" t="str">
            <v>-</v>
          </cell>
          <cell r="GCO2" t="str">
            <v>-</v>
          </cell>
          <cell r="GCP2" t="str">
            <v>-</v>
          </cell>
          <cell r="GCQ2" t="str">
            <v>-</v>
          </cell>
          <cell r="GCR2" t="str">
            <v>-</v>
          </cell>
          <cell r="GCS2" t="str">
            <v>-</v>
          </cell>
          <cell r="GCT2" t="str">
            <v>-</v>
          </cell>
          <cell r="GCU2" t="str">
            <v>-</v>
          </cell>
          <cell r="GCV2" t="str">
            <v>-</v>
          </cell>
          <cell r="GCW2" t="str">
            <v>-</v>
          </cell>
          <cell r="GCX2" t="str">
            <v>-</v>
          </cell>
          <cell r="GCY2" t="str">
            <v>-</v>
          </cell>
          <cell r="GCZ2" t="str">
            <v>-</v>
          </cell>
          <cell r="GDA2" t="str">
            <v>-</v>
          </cell>
          <cell r="GDB2" t="str">
            <v>-</v>
          </cell>
          <cell r="GDC2" t="str">
            <v>-</v>
          </cell>
          <cell r="GDD2" t="str">
            <v>-</v>
          </cell>
          <cell r="GDE2" t="str">
            <v>-</v>
          </cell>
          <cell r="GDF2" t="str">
            <v>-</v>
          </cell>
          <cell r="GDG2" t="str">
            <v>-</v>
          </cell>
          <cell r="GDH2" t="str">
            <v>-</v>
          </cell>
          <cell r="GDI2" t="str">
            <v>-</v>
          </cell>
          <cell r="GDJ2" t="str">
            <v>-</v>
          </cell>
          <cell r="GDK2" t="str">
            <v>-</v>
          </cell>
          <cell r="GDL2" t="str">
            <v>-</v>
          </cell>
          <cell r="GDM2" t="str">
            <v>-</v>
          </cell>
          <cell r="GDN2" t="str">
            <v>-</v>
          </cell>
          <cell r="GDO2" t="str">
            <v>-</v>
          </cell>
          <cell r="GDP2" t="str">
            <v>-</v>
          </cell>
          <cell r="GDQ2" t="str">
            <v>-</v>
          </cell>
          <cell r="GDR2" t="str">
            <v>-</v>
          </cell>
          <cell r="GDS2" t="str">
            <v>-</v>
          </cell>
          <cell r="GDT2" t="str">
            <v>-</v>
          </cell>
          <cell r="GDU2" t="str">
            <v>-</v>
          </cell>
          <cell r="GDV2" t="str">
            <v>-</v>
          </cell>
          <cell r="GDW2" t="str">
            <v>-</v>
          </cell>
          <cell r="GDX2" t="str">
            <v>-</v>
          </cell>
          <cell r="GDY2" t="str">
            <v>-</v>
          </cell>
          <cell r="GDZ2" t="str">
            <v>-</v>
          </cell>
          <cell r="GEA2" t="str">
            <v>-</v>
          </cell>
          <cell r="GEB2" t="str">
            <v>-</v>
          </cell>
          <cell r="GEC2" t="str">
            <v>-</v>
          </cell>
          <cell r="GED2" t="str">
            <v>-</v>
          </cell>
          <cell r="GEE2" t="str">
            <v>-</v>
          </cell>
          <cell r="GEF2" t="str">
            <v>-</v>
          </cell>
          <cell r="GEG2" t="str">
            <v>-</v>
          </cell>
          <cell r="GEH2" t="str">
            <v>-</v>
          </cell>
          <cell r="GEI2" t="str">
            <v>-</v>
          </cell>
          <cell r="GEJ2" t="str">
            <v>-</v>
          </cell>
          <cell r="GEK2" t="str">
            <v>-</v>
          </cell>
          <cell r="GEL2" t="str">
            <v>-</v>
          </cell>
          <cell r="GEM2" t="str">
            <v>-</v>
          </cell>
          <cell r="GEN2" t="str">
            <v>-</v>
          </cell>
          <cell r="GEO2" t="str">
            <v>-</v>
          </cell>
          <cell r="GEP2" t="str">
            <v>-</v>
          </cell>
          <cell r="GEQ2" t="str">
            <v>-</v>
          </cell>
          <cell r="GER2" t="str">
            <v>-</v>
          </cell>
          <cell r="GES2" t="str">
            <v>-</v>
          </cell>
          <cell r="GET2" t="str">
            <v>-</v>
          </cell>
          <cell r="GEU2" t="str">
            <v>-</v>
          </cell>
          <cell r="GEV2" t="str">
            <v>-</v>
          </cell>
          <cell r="GEW2" t="str">
            <v>-</v>
          </cell>
          <cell r="GEX2" t="str">
            <v>-</v>
          </cell>
          <cell r="GEY2" t="str">
            <v>-</v>
          </cell>
          <cell r="GEZ2" t="str">
            <v>-</v>
          </cell>
          <cell r="GFA2" t="str">
            <v>-</v>
          </cell>
          <cell r="GFB2" t="str">
            <v>-</v>
          </cell>
          <cell r="GFC2" t="str">
            <v>-</v>
          </cell>
          <cell r="GFD2" t="str">
            <v>-</v>
          </cell>
          <cell r="GFE2" t="str">
            <v>-</v>
          </cell>
          <cell r="GFF2" t="str">
            <v>-</v>
          </cell>
          <cell r="GFG2" t="str">
            <v>-</v>
          </cell>
          <cell r="GFH2" t="str">
            <v>-</v>
          </cell>
          <cell r="GFI2" t="str">
            <v>-</v>
          </cell>
          <cell r="GFJ2" t="str">
            <v>-</v>
          </cell>
          <cell r="GFK2" t="str">
            <v>-</v>
          </cell>
          <cell r="GFL2" t="str">
            <v>-</v>
          </cell>
          <cell r="GFM2" t="str">
            <v>-</v>
          </cell>
          <cell r="GFN2" t="str">
            <v>-</v>
          </cell>
          <cell r="GFO2" t="str">
            <v>-</v>
          </cell>
          <cell r="GFP2" t="str">
            <v>-</v>
          </cell>
          <cell r="GFQ2" t="str">
            <v>-</v>
          </cell>
          <cell r="GFR2" t="str">
            <v>-</v>
          </cell>
          <cell r="GFS2" t="str">
            <v>-</v>
          </cell>
          <cell r="GFT2" t="str">
            <v>-</v>
          </cell>
          <cell r="GFU2" t="str">
            <v>-</v>
          </cell>
          <cell r="GFV2" t="str">
            <v>-</v>
          </cell>
          <cell r="GFW2" t="str">
            <v>-</v>
          </cell>
          <cell r="GFX2" t="str">
            <v>-</v>
          </cell>
          <cell r="GFY2" t="str">
            <v>-</v>
          </cell>
          <cell r="GFZ2" t="str">
            <v>-</v>
          </cell>
          <cell r="GGA2" t="str">
            <v>-</v>
          </cell>
          <cell r="GGB2" t="str">
            <v>-</v>
          </cell>
          <cell r="GGC2" t="str">
            <v>-</v>
          </cell>
          <cell r="GGD2" t="str">
            <v>-</v>
          </cell>
          <cell r="GGE2" t="str">
            <v>-</v>
          </cell>
          <cell r="GGF2" t="str">
            <v>-</v>
          </cell>
          <cell r="GGG2" t="str">
            <v>-</v>
          </cell>
          <cell r="GGH2" t="str">
            <v>-</v>
          </cell>
          <cell r="GGI2" t="str">
            <v>-</v>
          </cell>
          <cell r="GGJ2" t="str">
            <v>-</v>
          </cell>
          <cell r="GGK2" t="str">
            <v>-</v>
          </cell>
          <cell r="GGL2" t="str">
            <v>-</v>
          </cell>
          <cell r="GGM2" t="str">
            <v>-</v>
          </cell>
          <cell r="GGN2" t="str">
            <v>-</v>
          </cell>
          <cell r="GGO2" t="str">
            <v>-</v>
          </cell>
          <cell r="GGP2" t="str">
            <v>-</v>
          </cell>
          <cell r="GGQ2" t="str">
            <v>-</v>
          </cell>
          <cell r="GGR2" t="str">
            <v>-</v>
          </cell>
          <cell r="GGS2" t="str">
            <v>-</v>
          </cell>
          <cell r="GGT2" t="str">
            <v>-</v>
          </cell>
          <cell r="GGU2" t="str">
            <v>-</v>
          </cell>
          <cell r="GGV2" t="str">
            <v>-</v>
          </cell>
          <cell r="GGW2" t="str">
            <v>-</v>
          </cell>
          <cell r="GGX2" t="str">
            <v>-</v>
          </cell>
          <cell r="GGY2" t="str">
            <v>-</v>
          </cell>
          <cell r="GGZ2" t="str">
            <v>-</v>
          </cell>
          <cell r="GHA2" t="str">
            <v>-</v>
          </cell>
          <cell r="GHB2" t="str">
            <v>-</v>
          </cell>
          <cell r="GHC2" t="str">
            <v>-</v>
          </cell>
          <cell r="GHD2" t="str">
            <v>-</v>
          </cell>
          <cell r="GHE2" t="str">
            <v>-</v>
          </cell>
          <cell r="GHF2" t="str">
            <v>-</v>
          </cell>
          <cell r="GHG2" t="str">
            <v>-</v>
          </cell>
          <cell r="GHH2" t="str">
            <v>-</v>
          </cell>
          <cell r="GHI2" t="str">
            <v>-</v>
          </cell>
          <cell r="GHJ2" t="str">
            <v>-</v>
          </cell>
          <cell r="GHK2" t="str">
            <v>-</v>
          </cell>
          <cell r="GHL2" t="str">
            <v>-</v>
          </cell>
          <cell r="GHM2" t="str">
            <v>-</v>
          </cell>
          <cell r="GHN2" t="str">
            <v>-</v>
          </cell>
          <cell r="GHO2" t="str">
            <v>-</v>
          </cell>
          <cell r="GHP2" t="str">
            <v>-</v>
          </cell>
          <cell r="GHQ2" t="str">
            <v>-</v>
          </cell>
          <cell r="GHR2" t="str">
            <v>-</v>
          </cell>
          <cell r="GHS2" t="str">
            <v>-</v>
          </cell>
          <cell r="GHT2" t="str">
            <v>-</v>
          </cell>
          <cell r="GHU2" t="str">
            <v>-</v>
          </cell>
          <cell r="GHV2" t="str">
            <v>-</v>
          </cell>
          <cell r="GHW2" t="str">
            <v>-</v>
          </cell>
          <cell r="GHX2" t="str">
            <v>-</v>
          </cell>
          <cell r="GHY2" t="str">
            <v>-</v>
          </cell>
          <cell r="GHZ2" t="str">
            <v>-</v>
          </cell>
          <cell r="GIA2" t="str">
            <v>-</v>
          </cell>
          <cell r="GIB2" t="str">
            <v>-</v>
          </cell>
          <cell r="GIC2" t="str">
            <v>-</v>
          </cell>
          <cell r="GID2" t="str">
            <v>-</v>
          </cell>
          <cell r="GIE2" t="str">
            <v>-</v>
          </cell>
          <cell r="GIF2" t="str">
            <v>-</v>
          </cell>
          <cell r="GIG2" t="str">
            <v>-</v>
          </cell>
          <cell r="GIH2" t="str">
            <v>-</v>
          </cell>
          <cell r="GII2" t="str">
            <v>-</v>
          </cell>
          <cell r="GIJ2" t="str">
            <v>-</v>
          </cell>
          <cell r="GIK2" t="str">
            <v>-</v>
          </cell>
          <cell r="GIL2" t="str">
            <v>-</v>
          </cell>
          <cell r="GIM2" t="str">
            <v>-</v>
          </cell>
          <cell r="GIN2" t="str">
            <v>-</v>
          </cell>
          <cell r="GIO2" t="str">
            <v>-</v>
          </cell>
          <cell r="GIP2" t="str">
            <v>-</v>
          </cell>
          <cell r="GIQ2" t="str">
            <v>-</v>
          </cell>
          <cell r="GIR2" t="str">
            <v>-</v>
          </cell>
          <cell r="GIS2" t="str">
            <v>-</v>
          </cell>
          <cell r="GIT2" t="str">
            <v>-</v>
          </cell>
          <cell r="GIU2" t="str">
            <v>-</v>
          </cell>
          <cell r="GIV2" t="str">
            <v>-</v>
          </cell>
          <cell r="GIW2" t="str">
            <v>-</v>
          </cell>
          <cell r="GIX2" t="str">
            <v>-</v>
          </cell>
          <cell r="GIY2" t="str">
            <v>-</v>
          </cell>
          <cell r="GIZ2" t="str">
            <v>-</v>
          </cell>
          <cell r="GJA2" t="str">
            <v>-</v>
          </cell>
          <cell r="GJB2" t="str">
            <v>-</v>
          </cell>
          <cell r="GJC2" t="str">
            <v>-</v>
          </cell>
          <cell r="GJD2" t="str">
            <v>-</v>
          </cell>
          <cell r="GJE2" t="str">
            <v>-</v>
          </cell>
          <cell r="GJF2" t="str">
            <v>-</v>
          </cell>
          <cell r="GJG2" t="str">
            <v>-</v>
          </cell>
          <cell r="GJH2" t="str">
            <v>-</v>
          </cell>
          <cell r="GJI2" t="str">
            <v>-</v>
          </cell>
          <cell r="GJJ2" t="str">
            <v>-</v>
          </cell>
          <cell r="GJK2" t="str">
            <v>-</v>
          </cell>
          <cell r="GJL2" t="str">
            <v>-</v>
          </cell>
          <cell r="GJM2" t="str">
            <v>-</v>
          </cell>
          <cell r="GJN2" t="str">
            <v>-</v>
          </cell>
          <cell r="GJO2" t="str">
            <v>-</v>
          </cell>
          <cell r="GJP2" t="str">
            <v>-</v>
          </cell>
          <cell r="GJQ2" t="str">
            <v>-</v>
          </cell>
          <cell r="GJR2" t="str">
            <v>-</v>
          </cell>
          <cell r="GJS2" t="str">
            <v>-</v>
          </cell>
          <cell r="GJT2" t="str">
            <v>-</v>
          </cell>
          <cell r="GJU2" t="str">
            <v>-</v>
          </cell>
          <cell r="GJV2" t="str">
            <v>-</v>
          </cell>
          <cell r="GJW2" t="str">
            <v>-</v>
          </cell>
          <cell r="GJX2" t="str">
            <v>-</v>
          </cell>
          <cell r="GJY2" t="str">
            <v>-</v>
          </cell>
          <cell r="GJZ2" t="str">
            <v>-</v>
          </cell>
          <cell r="GKA2" t="str">
            <v>-</v>
          </cell>
          <cell r="GKB2" t="str">
            <v>-</v>
          </cell>
          <cell r="GKC2" t="str">
            <v>-</v>
          </cell>
          <cell r="GKD2" t="str">
            <v>-</v>
          </cell>
          <cell r="GKE2" t="str">
            <v>-</v>
          </cell>
          <cell r="GKF2" t="str">
            <v>-</v>
          </cell>
          <cell r="GKG2" t="str">
            <v>-</v>
          </cell>
          <cell r="GKH2" t="str">
            <v>-</v>
          </cell>
          <cell r="GKI2" t="str">
            <v>-</v>
          </cell>
          <cell r="GKJ2" t="str">
            <v>-</v>
          </cell>
          <cell r="GKK2" t="str">
            <v>-</v>
          </cell>
          <cell r="GKL2" t="str">
            <v>-</v>
          </cell>
          <cell r="GKM2" t="str">
            <v>-</v>
          </cell>
          <cell r="GKN2" t="str">
            <v>-</v>
          </cell>
          <cell r="GKO2" t="str">
            <v>-</v>
          </cell>
          <cell r="GKP2" t="str">
            <v>-</v>
          </cell>
          <cell r="GKQ2" t="str">
            <v>-</v>
          </cell>
          <cell r="GKR2" t="str">
            <v>-</v>
          </cell>
          <cell r="GKS2" t="str">
            <v>-</v>
          </cell>
          <cell r="GKT2" t="str">
            <v>-</v>
          </cell>
          <cell r="GKU2" t="str">
            <v>-</v>
          </cell>
          <cell r="GKV2" t="str">
            <v>-</v>
          </cell>
          <cell r="GKW2" t="str">
            <v>-</v>
          </cell>
          <cell r="GKX2" t="str">
            <v>-</v>
          </cell>
          <cell r="GKY2" t="str">
            <v>-</v>
          </cell>
          <cell r="GKZ2" t="str">
            <v>-</v>
          </cell>
          <cell r="GLA2" t="str">
            <v>-</v>
          </cell>
          <cell r="GLB2" t="str">
            <v>-</v>
          </cell>
          <cell r="GLC2" t="str">
            <v>-</v>
          </cell>
          <cell r="GLD2" t="str">
            <v>-</v>
          </cell>
          <cell r="GLE2" t="str">
            <v>-</v>
          </cell>
          <cell r="GLF2" t="str">
            <v>-</v>
          </cell>
          <cell r="GLG2" t="str">
            <v>-</v>
          </cell>
          <cell r="GLH2" t="str">
            <v>-</v>
          </cell>
          <cell r="GLI2" t="str">
            <v>-</v>
          </cell>
          <cell r="GLJ2" t="str">
            <v>-</v>
          </cell>
          <cell r="GLK2" t="str">
            <v>-</v>
          </cell>
          <cell r="GLL2" t="str">
            <v>-</v>
          </cell>
          <cell r="GLM2" t="str">
            <v>-</v>
          </cell>
          <cell r="GLN2" t="str">
            <v>-</v>
          </cell>
          <cell r="GLO2" t="str">
            <v>-</v>
          </cell>
          <cell r="GLP2" t="str">
            <v>-</v>
          </cell>
          <cell r="GLQ2" t="str">
            <v>-</v>
          </cell>
          <cell r="GLR2" t="str">
            <v>-</v>
          </cell>
          <cell r="GLS2" t="str">
            <v>-</v>
          </cell>
          <cell r="GLT2" t="str">
            <v>-</v>
          </cell>
          <cell r="GLU2" t="str">
            <v>-</v>
          </cell>
          <cell r="GLV2" t="str">
            <v>-</v>
          </cell>
          <cell r="GLW2" t="str">
            <v>-</v>
          </cell>
          <cell r="GLX2" t="str">
            <v>-</v>
          </cell>
          <cell r="GLY2" t="str">
            <v>-</v>
          </cell>
          <cell r="GLZ2" t="str">
            <v>-</v>
          </cell>
          <cell r="GMA2" t="str">
            <v>-</v>
          </cell>
          <cell r="GMB2" t="str">
            <v>-</v>
          </cell>
          <cell r="GMC2" t="str">
            <v>-</v>
          </cell>
          <cell r="GMD2" t="str">
            <v>-</v>
          </cell>
          <cell r="GME2" t="str">
            <v>-</v>
          </cell>
          <cell r="GMF2" t="str">
            <v>-</v>
          </cell>
          <cell r="GMG2" t="str">
            <v>-</v>
          </cell>
          <cell r="GMH2" t="str">
            <v>-</v>
          </cell>
          <cell r="GMI2" t="str">
            <v>-</v>
          </cell>
          <cell r="GMJ2" t="str">
            <v>-</v>
          </cell>
          <cell r="GMK2" t="str">
            <v>-</v>
          </cell>
          <cell r="GML2" t="str">
            <v>-</v>
          </cell>
          <cell r="GMM2" t="str">
            <v>-</v>
          </cell>
          <cell r="GMN2" t="str">
            <v>-</v>
          </cell>
          <cell r="GMO2" t="str">
            <v>-</v>
          </cell>
          <cell r="GMP2" t="str">
            <v>-</v>
          </cell>
          <cell r="GMQ2" t="str">
            <v>-</v>
          </cell>
          <cell r="GMR2" t="str">
            <v>-</v>
          </cell>
          <cell r="GMS2" t="str">
            <v>-</v>
          </cell>
          <cell r="GMT2" t="str">
            <v>-</v>
          </cell>
          <cell r="GMU2" t="str">
            <v>-</v>
          </cell>
          <cell r="GMV2" t="str">
            <v>-</v>
          </cell>
          <cell r="GMW2" t="str">
            <v>-</v>
          </cell>
          <cell r="GMX2" t="str">
            <v>-</v>
          </cell>
          <cell r="GMY2" t="str">
            <v>-</v>
          </cell>
          <cell r="GMZ2" t="str">
            <v>-</v>
          </cell>
          <cell r="GNA2" t="str">
            <v>-</v>
          </cell>
          <cell r="GNB2" t="str">
            <v>-</v>
          </cell>
          <cell r="GNC2" t="str">
            <v>-</v>
          </cell>
          <cell r="GND2" t="str">
            <v>-</v>
          </cell>
          <cell r="GNE2" t="str">
            <v>-</v>
          </cell>
          <cell r="GNF2" t="str">
            <v>-</v>
          </cell>
          <cell r="GNG2" t="str">
            <v>-</v>
          </cell>
          <cell r="GNH2" t="str">
            <v>-</v>
          </cell>
          <cell r="GNI2" t="str">
            <v>-</v>
          </cell>
          <cell r="GNJ2" t="str">
            <v>-</v>
          </cell>
          <cell r="GNK2" t="str">
            <v>-</v>
          </cell>
          <cell r="GNL2" t="str">
            <v>-</v>
          </cell>
          <cell r="GNM2" t="str">
            <v>-</v>
          </cell>
          <cell r="GNN2" t="str">
            <v>-</v>
          </cell>
          <cell r="GNO2" t="str">
            <v>-</v>
          </cell>
          <cell r="GNP2" t="str">
            <v>-</v>
          </cell>
          <cell r="GNQ2" t="str">
            <v>-</v>
          </cell>
          <cell r="GNR2" t="str">
            <v>-</v>
          </cell>
          <cell r="GNS2" t="str">
            <v>-</v>
          </cell>
          <cell r="GNT2" t="str">
            <v>-</v>
          </cell>
          <cell r="GNU2" t="str">
            <v>-</v>
          </cell>
          <cell r="GNV2" t="str">
            <v>-</v>
          </cell>
          <cell r="GNW2" t="str">
            <v>-</v>
          </cell>
          <cell r="GNX2" t="str">
            <v>-</v>
          </cell>
          <cell r="GNY2" t="str">
            <v>-</v>
          </cell>
          <cell r="GNZ2" t="str">
            <v>-</v>
          </cell>
          <cell r="GOA2" t="str">
            <v>-</v>
          </cell>
          <cell r="GOB2" t="str">
            <v>-</v>
          </cell>
          <cell r="GOC2" t="str">
            <v>-</v>
          </cell>
          <cell r="GOD2" t="str">
            <v>-</v>
          </cell>
          <cell r="GOE2" t="str">
            <v>-</v>
          </cell>
          <cell r="GOF2" t="str">
            <v>-</v>
          </cell>
          <cell r="GOG2" t="str">
            <v>-</v>
          </cell>
          <cell r="GOH2" t="str">
            <v>-</v>
          </cell>
          <cell r="GOI2" t="str">
            <v>-</v>
          </cell>
          <cell r="GOJ2" t="str">
            <v>-</v>
          </cell>
          <cell r="GOK2" t="str">
            <v>-</v>
          </cell>
          <cell r="GOL2" t="str">
            <v>-</v>
          </cell>
          <cell r="GOM2" t="str">
            <v>-</v>
          </cell>
          <cell r="GON2" t="str">
            <v>-</v>
          </cell>
          <cell r="GOO2" t="str">
            <v>-</v>
          </cell>
          <cell r="GOP2" t="str">
            <v>-</v>
          </cell>
          <cell r="GOQ2" t="str">
            <v>-</v>
          </cell>
          <cell r="GOR2" t="str">
            <v>-</v>
          </cell>
          <cell r="GOS2" t="str">
            <v>-</v>
          </cell>
          <cell r="GOT2" t="str">
            <v>-</v>
          </cell>
          <cell r="GOU2" t="str">
            <v>-</v>
          </cell>
          <cell r="GOV2" t="str">
            <v>-</v>
          </cell>
          <cell r="GOW2" t="str">
            <v>-</v>
          </cell>
          <cell r="GOX2" t="str">
            <v>-</v>
          </cell>
          <cell r="GOY2" t="str">
            <v>-</v>
          </cell>
          <cell r="GOZ2" t="str">
            <v>-</v>
          </cell>
          <cell r="GPA2" t="str">
            <v>-</v>
          </cell>
          <cell r="GPB2" t="str">
            <v>-</v>
          </cell>
          <cell r="GPC2" t="str">
            <v>-</v>
          </cell>
          <cell r="GPD2" t="str">
            <v>-</v>
          </cell>
          <cell r="GPE2" t="str">
            <v>-</v>
          </cell>
          <cell r="GPF2" t="str">
            <v>-</v>
          </cell>
          <cell r="GPG2" t="str">
            <v>-</v>
          </cell>
          <cell r="GPH2" t="str">
            <v>-</v>
          </cell>
          <cell r="GPI2" t="str">
            <v>-</v>
          </cell>
          <cell r="GPJ2" t="str">
            <v>-</v>
          </cell>
          <cell r="GPK2" t="str">
            <v>-</v>
          </cell>
          <cell r="GPL2" t="str">
            <v>-</v>
          </cell>
          <cell r="GPM2" t="str">
            <v>-</v>
          </cell>
          <cell r="GPN2" t="str">
            <v>-</v>
          </cell>
          <cell r="GPO2" t="str">
            <v>-</v>
          </cell>
          <cell r="GPP2" t="str">
            <v>-</v>
          </cell>
          <cell r="GPQ2" t="str">
            <v>-</v>
          </cell>
          <cell r="GPR2" t="str">
            <v>-</v>
          </cell>
          <cell r="GPS2" t="str">
            <v>-</v>
          </cell>
          <cell r="GPT2" t="str">
            <v>-</v>
          </cell>
          <cell r="GPU2" t="str">
            <v>-</v>
          </cell>
          <cell r="GPV2" t="str">
            <v>-</v>
          </cell>
          <cell r="GPW2" t="str">
            <v>-</v>
          </cell>
          <cell r="GPX2" t="str">
            <v>-</v>
          </cell>
          <cell r="GPY2" t="str">
            <v>-</v>
          </cell>
          <cell r="GPZ2" t="str">
            <v>-</v>
          </cell>
          <cell r="GQA2" t="str">
            <v>-</v>
          </cell>
          <cell r="GQB2" t="str">
            <v>-</v>
          </cell>
          <cell r="GQC2" t="str">
            <v>-</v>
          </cell>
          <cell r="GQD2" t="str">
            <v>-</v>
          </cell>
          <cell r="GQE2" t="str">
            <v>-</v>
          </cell>
          <cell r="GQF2" t="str">
            <v>-</v>
          </cell>
          <cell r="GQG2" t="str">
            <v>-</v>
          </cell>
          <cell r="GQH2" t="str">
            <v>-</v>
          </cell>
          <cell r="GQI2" t="str">
            <v>-</v>
          </cell>
          <cell r="GQJ2" t="str">
            <v>-</v>
          </cell>
          <cell r="GQK2" t="str">
            <v>-</v>
          </cell>
          <cell r="GQL2" t="str">
            <v>-</v>
          </cell>
          <cell r="GQM2" t="str">
            <v>-</v>
          </cell>
          <cell r="GQN2" t="str">
            <v>-</v>
          </cell>
          <cell r="GQO2" t="str">
            <v>-</v>
          </cell>
          <cell r="GQP2" t="str">
            <v>-</v>
          </cell>
          <cell r="GQQ2" t="str">
            <v>-</v>
          </cell>
          <cell r="GQR2" t="str">
            <v>-</v>
          </cell>
          <cell r="GQS2" t="str">
            <v>-</v>
          </cell>
          <cell r="GQT2" t="str">
            <v>-</v>
          </cell>
          <cell r="GQU2" t="str">
            <v>-</v>
          </cell>
          <cell r="GQV2" t="str">
            <v>-</v>
          </cell>
          <cell r="GQW2" t="str">
            <v>-</v>
          </cell>
          <cell r="GQX2" t="str">
            <v>-</v>
          </cell>
          <cell r="GQY2" t="str">
            <v>-</v>
          </cell>
          <cell r="GQZ2" t="str">
            <v>-</v>
          </cell>
          <cell r="GRA2" t="str">
            <v>-</v>
          </cell>
          <cell r="GRB2" t="str">
            <v>-</v>
          </cell>
          <cell r="GRC2" t="str">
            <v>-</v>
          </cell>
          <cell r="GRD2" t="str">
            <v>-</v>
          </cell>
          <cell r="GRE2" t="str">
            <v>-</v>
          </cell>
          <cell r="GRF2" t="str">
            <v>-</v>
          </cell>
          <cell r="GRG2" t="str">
            <v>-</v>
          </cell>
          <cell r="GRH2" t="str">
            <v>-</v>
          </cell>
          <cell r="GRI2" t="str">
            <v>-</v>
          </cell>
          <cell r="GRJ2" t="str">
            <v>-</v>
          </cell>
          <cell r="GRK2" t="str">
            <v>-</v>
          </cell>
          <cell r="GRL2" t="str">
            <v>-</v>
          </cell>
          <cell r="GRM2" t="str">
            <v>-</v>
          </cell>
          <cell r="GRN2" t="str">
            <v>-</v>
          </cell>
          <cell r="GRO2" t="str">
            <v>-</v>
          </cell>
          <cell r="GRP2" t="str">
            <v>-</v>
          </cell>
          <cell r="GRQ2" t="str">
            <v>-</v>
          </cell>
          <cell r="GRR2" t="str">
            <v>-</v>
          </cell>
          <cell r="GRS2" t="str">
            <v>-</v>
          </cell>
          <cell r="GRT2" t="str">
            <v>-</v>
          </cell>
          <cell r="GRU2" t="str">
            <v>-</v>
          </cell>
          <cell r="GRV2" t="str">
            <v>-</v>
          </cell>
          <cell r="GRW2" t="str">
            <v>-</v>
          </cell>
          <cell r="GRX2" t="str">
            <v>-</v>
          </cell>
          <cell r="GRY2" t="str">
            <v>-</v>
          </cell>
          <cell r="GRZ2" t="str">
            <v>-</v>
          </cell>
          <cell r="GSA2" t="str">
            <v>-</v>
          </cell>
          <cell r="GSB2" t="str">
            <v>-</v>
          </cell>
          <cell r="GSC2" t="str">
            <v>-</v>
          </cell>
          <cell r="GSD2" t="str">
            <v>-</v>
          </cell>
          <cell r="GSE2" t="str">
            <v>-</v>
          </cell>
          <cell r="GSF2" t="str">
            <v>-</v>
          </cell>
          <cell r="GSG2" t="str">
            <v>-</v>
          </cell>
          <cell r="GSH2" t="str">
            <v>-</v>
          </cell>
          <cell r="GSI2" t="str">
            <v>-</v>
          </cell>
          <cell r="GSJ2" t="str">
            <v>-</v>
          </cell>
          <cell r="GSK2" t="str">
            <v>-</v>
          </cell>
          <cell r="GSL2" t="str">
            <v>-</v>
          </cell>
          <cell r="GSM2" t="str">
            <v>-</v>
          </cell>
          <cell r="GSN2" t="str">
            <v>-</v>
          </cell>
          <cell r="GSO2" t="str">
            <v>-</v>
          </cell>
          <cell r="GSP2" t="str">
            <v>-</v>
          </cell>
          <cell r="GSQ2" t="str">
            <v>-</v>
          </cell>
          <cell r="GSR2" t="str">
            <v>-</v>
          </cell>
          <cell r="GSS2" t="str">
            <v>-</v>
          </cell>
          <cell r="GST2" t="str">
            <v>-</v>
          </cell>
          <cell r="GSU2" t="str">
            <v>-</v>
          </cell>
          <cell r="GSV2" t="str">
            <v>-</v>
          </cell>
          <cell r="GSW2" t="str">
            <v>-</v>
          </cell>
          <cell r="GSX2" t="str">
            <v>-</v>
          </cell>
          <cell r="GSY2" t="str">
            <v>-</v>
          </cell>
          <cell r="GSZ2" t="str">
            <v>-</v>
          </cell>
          <cell r="GTA2" t="str">
            <v>-</v>
          </cell>
          <cell r="GTB2" t="str">
            <v>-</v>
          </cell>
          <cell r="GTC2" t="str">
            <v>-</v>
          </cell>
          <cell r="GTD2" t="str">
            <v>-</v>
          </cell>
          <cell r="GTE2" t="str">
            <v>-</v>
          </cell>
          <cell r="GTF2" t="str">
            <v>-</v>
          </cell>
          <cell r="GTG2" t="str">
            <v>-</v>
          </cell>
          <cell r="GTH2" t="str">
            <v>-</v>
          </cell>
          <cell r="GTI2" t="str">
            <v>-</v>
          </cell>
          <cell r="GTJ2" t="str">
            <v>-</v>
          </cell>
          <cell r="GTK2" t="str">
            <v>-</v>
          </cell>
          <cell r="GTL2" t="str">
            <v>-</v>
          </cell>
          <cell r="GTM2" t="str">
            <v>-</v>
          </cell>
          <cell r="GTN2" t="str">
            <v>-</v>
          </cell>
          <cell r="GTO2" t="str">
            <v>-</v>
          </cell>
          <cell r="GTP2" t="str">
            <v>-</v>
          </cell>
          <cell r="GTQ2" t="str">
            <v>-</v>
          </cell>
          <cell r="GTR2" t="str">
            <v>-</v>
          </cell>
          <cell r="GTS2" t="str">
            <v>-</v>
          </cell>
          <cell r="GTT2" t="str">
            <v>-</v>
          </cell>
          <cell r="GTU2" t="str">
            <v>-</v>
          </cell>
          <cell r="GTV2" t="str">
            <v>-</v>
          </cell>
          <cell r="GTW2" t="str">
            <v>-</v>
          </cell>
          <cell r="GTX2" t="str">
            <v>-</v>
          </cell>
          <cell r="GTY2" t="str">
            <v>-</v>
          </cell>
          <cell r="GTZ2" t="str">
            <v>-</v>
          </cell>
          <cell r="GUA2" t="str">
            <v>-</v>
          </cell>
          <cell r="GUB2" t="str">
            <v>-</v>
          </cell>
          <cell r="GUC2" t="str">
            <v>-</v>
          </cell>
          <cell r="GUD2" t="str">
            <v>-</v>
          </cell>
          <cell r="GUE2" t="str">
            <v>-</v>
          </cell>
          <cell r="GUF2" t="str">
            <v>-</v>
          </cell>
          <cell r="GUG2" t="str">
            <v>-</v>
          </cell>
          <cell r="GUH2" t="str">
            <v>-</v>
          </cell>
          <cell r="GUI2" t="str">
            <v>-</v>
          </cell>
          <cell r="GUJ2" t="str">
            <v>-</v>
          </cell>
          <cell r="GUK2" t="str">
            <v>-</v>
          </cell>
          <cell r="GUL2" t="str">
            <v>-</v>
          </cell>
          <cell r="GUM2" t="str">
            <v>-</v>
          </cell>
          <cell r="GUN2" t="str">
            <v>-</v>
          </cell>
          <cell r="GUO2" t="str">
            <v>-</v>
          </cell>
          <cell r="GUP2" t="str">
            <v>-</v>
          </cell>
          <cell r="GUQ2" t="str">
            <v>-</v>
          </cell>
          <cell r="GUR2" t="str">
            <v>-</v>
          </cell>
          <cell r="GUS2" t="str">
            <v>-</v>
          </cell>
          <cell r="GUT2" t="str">
            <v>-</v>
          </cell>
          <cell r="GUU2" t="str">
            <v>-</v>
          </cell>
          <cell r="GUV2" t="str">
            <v>-</v>
          </cell>
          <cell r="GUW2" t="str">
            <v>-</v>
          </cell>
          <cell r="GUX2" t="str">
            <v>-</v>
          </cell>
          <cell r="GUY2" t="str">
            <v>-</v>
          </cell>
          <cell r="GUZ2" t="str">
            <v>-</v>
          </cell>
          <cell r="GVA2" t="str">
            <v>-</v>
          </cell>
          <cell r="GVB2" t="str">
            <v>-</v>
          </cell>
          <cell r="GVC2" t="str">
            <v>-</v>
          </cell>
          <cell r="GVD2" t="str">
            <v>-</v>
          </cell>
          <cell r="GVE2" t="str">
            <v>-</v>
          </cell>
          <cell r="GVF2" t="str">
            <v>-</v>
          </cell>
          <cell r="GVG2" t="str">
            <v>-</v>
          </cell>
          <cell r="GVH2" t="str">
            <v>-</v>
          </cell>
          <cell r="GVI2" t="str">
            <v>-</v>
          </cell>
          <cell r="GVJ2" t="str">
            <v>-</v>
          </cell>
          <cell r="GVK2" t="str">
            <v>-</v>
          </cell>
          <cell r="GVL2" t="str">
            <v>-</v>
          </cell>
          <cell r="GVM2" t="str">
            <v>-</v>
          </cell>
          <cell r="GVN2" t="str">
            <v>-</v>
          </cell>
          <cell r="GVO2" t="str">
            <v>-</v>
          </cell>
          <cell r="GVP2" t="str">
            <v>-</v>
          </cell>
          <cell r="GVQ2" t="str">
            <v>-</v>
          </cell>
          <cell r="GVR2" t="str">
            <v>-</v>
          </cell>
          <cell r="GVS2" t="str">
            <v>-</v>
          </cell>
          <cell r="GVT2" t="str">
            <v>-</v>
          </cell>
          <cell r="GVU2" t="str">
            <v>-</v>
          </cell>
          <cell r="GVV2" t="str">
            <v>-</v>
          </cell>
          <cell r="GVW2" t="str">
            <v>-</v>
          </cell>
          <cell r="GVX2" t="str">
            <v>-</v>
          </cell>
          <cell r="GVY2" t="str">
            <v>-</v>
          </cell>
          <cell r="GVZ2" t="str">
            <v>-</v>
          </cell>
          <cell r="GWA2" t="str">
            <v>-</v>
          </cell>
          <cell r="GWB2" t="str">
            <v>-</v>
          </cell>
          <cell r="GWC2" t="str">
            <v>-</v>
          </cell>
          <cell r="GWD2" t="str">
            <v>-</v>
          </cell>
          <cell r="GWE2" t="str">
            <v>-</v>
          </cell>
          <cell r="GWF2" t="str">
            <v>-</v>
          </cell>
          <cell r="GWG2" t="str">
            <v>-</v>
          </cell>
          <cell r="GWH2" t="str">
            <v>-</v>
          </cell>
          <cell r="GWI2" t="str">
            <v>-</v>
          </cell>
          <cell r="GWJ2" t="str">
            <v>-</v>
          </cell>
          <cell r="GWK2" t="str">
            <v>-</v>
          </cell>
          <cell r="GWL2" t="str">
            <v>-</v>
          </cell>
          <cell r="GWM2" t="str">
            <v>-</v>
          </cell>
          <cell r="GWN2" t="str">
            <v>-</v>
          </cell>
          <cell r="GWO2" t="str">
            <v>-</v>
          </cell>
          <cell r="GWP2" t="str">
            <v>-</v>
          </cell>
          <cell r="GWQ2" t="str">
            <v>-</v>
          </cell>
          <cell r="GWR2" t="str">
            <v>-</v>
          </cell>
          <cell r="GWS2" t="str">
            <v>-</v>
          </cell>
          <cell r="GWT2" t="str">
            <v>-</v>
          </cell>
          <cell r="GWU2" t="str">
            <v>-</v>
          </cell>
          <cell r="GWV2" t="str">
            <v>-</v>
          </cell>
          <cell r="GWW2" t="str">
            <v>-</v>
          </cell>
          <cell r="GWX2" t="str">
            <v>-</v>
          </cell>
          <cell r="GWY2" t="str">
            <v>-</v>
          </cell>
          <cell r="GWZ2" t="str">
            <v>-</v>
          </cell>
          <cell r="GXA2" t="str">
            <v>-</v>
          </cell>
          <cell r="GXB2" t="str">
            <v>-</v>
          </cell>
          <cell r="GXC2" t="str">
            <v>-</v>
          </cell>
          <cell r="GXD2" t="str">
            <v>-</v>
          </cell>
          <cell r="GXE2" t="str">
            <v>-</v>
          </cell>
          <cell r="GXF2" t="str">
            <v>-</v>
          </cell>
          <cell r="GXG2" t="str">
            <v>-</v>
          </cell>
          <cell r="GXH2" t="str">
            <v>-</v>
          </cell>
          <cell r="GXI2" t="str">
            <v>-</v>
          </cell>
          <cell r="GXJ2" t="str">
            <v>-</v>
          </cell>
          <cell r="GXK2" t="str">
            <v>-</v>
          </cell>
          <cell r="GXL2" t="str">
            <v>-</v>
          </cell>
          <cell r="GXM2" t="str">
            <v>-</v>
          </cell>
          <cell r="GXN2" t="str">
            <v>-</v>
          </cell>
          <cell r="GXO2" t="str">
            <v>-</v>
          </cell>
          <cell r="GXP2" t="str">
            <v>-</v>
          </cell>
          <cell r="GXQ2" t="str">
            <v>-</v>
          </cell>
          <cell r="GXR2" t="str">
            <v>-</v>
          </cell>
          <cell r="GXS2" t="str">
            <v>-</v>
          </cell>
          <cell r="GXT2" t="str">
            <v>-</v>
          </cell>
          <cell r="GXU2" t="str">
            <v>-</v>
          </cell>
          <cell r="GXV2" t="str">
            <v>-</v>
          </cell>
          <cell r="GXW2" t="str">
            <v>-</v>
          </cell>
          <cell r="GXX2" t="str">
            <v>-</v>
          </cell>
          <cell r="GXY2" t="str">
            <v>-</v>
          </cell>
          <cell r="GXZ2" t="str">
            <v>-</v>
          </cell>
          <cell r="GYA2" t="str">
            <v>-</v>
          </cell>
          <cell r="GYB2" t="str">
            <v>-</v>
          </cell>
          <cell r="GYC2" t="str">
            <v>-</v>
          </cell>
          <cell r="GYD2" t="str">
            <v>-</v>
          </cell>
          <cell r="GYE2" t="str">
            <v>-</v>
          </cell>
          <cell r="GYF2" t="str">
            <v>-</v>
          </cell>
          <cell r="GYG2" t="str">
            <v>-</v>
          </cell>
          <cell r="GYH2" t="str">
            <v>-</v>
          </cell>
          <cell r="GYI2" t="str">
            <v>-</v>
          </cell>
          <cell r="GYJ2" t="str">
            <v>-</v>
          </cell>
          <cell r="GYK2" t="str">
            <v>-</v>
          </cell>
          <cell r="GYL2" t="str">
            <v>-</v>
          </cell>
          <cell r="GYM2" t="str">
            <v>-</v>
          </cell>
          <cell r="GYN2" t="str">
            <v>-</v>
          </cell>
          <cell r="GYO2" t="str">
            <v>-</v>
          </cell>
          <cell r="GYP2" t="str">
            <v>-</v>
          </cell>
          <cell r="GYQ2" t="str">
            <v>-</v>
          </cell>
          <cell r="GYR2" t="str">
            <v>-</v>
          </cell>
          <cell r="GYS2" t="str">
            <v>-</v>
          </cell>
          <cell r="GYT2" t="str">
            <v>-</v>
          </cell>
          <cell r="GYU2" t="str">
            <v>-</v>
          </cell>
          <cell r="GYV2" t="str">
            <v>-</v>
          </cell>
          <cell r="GYW2" t="str">
            <v>-</v>
          </cell>
          <cell r="GYX2" t="str">
            <v>-</v>
          </cell>
          <cell r="GYY2" t="str">
            <v>-</v>
          </cell>
          <cell r="GYZ2" t="str">
            <v>-</v>
          </cell>
          <cell r="GZA2" t="str">
            <v>-</v>
          </cell>
          <cell r="GZB2" t="str">
            <v>-</v>
          </cell>
          <cell r="GZC2" t="str">
            <v>-</v>
          </cell>
          <cell r="GZD2" t="str">
            <v>-</v>
          </cell>
          <cell r="GZE2" t="str">
            <v>-</v>
          </cell>
          <cell r="GZF2" t="str">
            <v>-</v>
          </cell>
          <cell r="GZG2" t="str">
            <v>-</v>
          </cell>
          <cell r="GZH2" t="str">
            <v>-</v>
          </cell>
          <cell r="GZI2" t="str">
            <v>-</v>
          </cell>
          <cell r="GZJ2" t="str">
            <v>-</v>
          </cell>
          <cell r="GZK2" t="str">
            <v>-</v>
          </cell>
          <cell r="GZL2" t="str">
            <v>-</v>
          </cell>
          <cell r="GZM2" t="str">
            <v>-</v>
          </cell>
          <cell r="GZN2" t="str">
            <v>-</v>
          </cell>
          <cell r="GZO2" t="str">
            <v>-</v>
          </cell>
          <cell r="GZP2" t="str">
            <v>-</v>
          </cell>
          <cell r="GZQ2" t="str">
            <v>-</v>
          </cell>
          <cell r="GZR2" t="str">
            <v>-</v>
          </cell>
          <cell r="GZS2" t="str">
            <v>-</v>
          </cell>
          <cell r="GZT2" t="str">
            <v>-</v>
          </cell>
          <cell r="GZU2" t="str">
            <v>-</v>
          </cell>
          <cell r="GZV2" t="str">
            <v>-</v>
          </cell>
          <cell r="GZW2" t="str">
            <v>-</v>
          </cell>
          <cell r="GZX2" t="str">
            <v>-</v>
          </cell>
          <cell r="GZY2" t="str">
            <v>-</v>
          </cell>
          <cell r="GZZ2" t="str">
            <v>-</v>
          </cell>
          <cell r="HAA2" t="str">
            <v>-</v>
          </cell>
          <cell r="HAB2" t="str">
            <v>-</v>
          </cell>
          <cell r="HAC2" t="str">
            <v>-</v>
          </cell>
          <cell r="HAD2" t="str">
            <v>-</v>
          </cell>
          <cell r="HAE2" t="str">
            <v>-</v>
          </cell>
          <cell r="HAF2" t="str">
            <v>-</v>
          </cell>
          <cell r="HAG2" t="str">
            <v>-</v>
          </cell>
          <cell r="HAH2" t="str">
            <v>-</v>
          </cell>
          <cell r="HAI2" t="str">
            <v>-</v>
          </cell>
          <cell r="HAJ2" t="str">
            <v>-</v>
          </cell>
          <cell r="HAK2" t="str">
            <v>-</v>
          </cell>
          <cell r="HAL2" t="str">
            <v>-</v>
          </cell>
          <cell r="HAM2" t="str">
            <v>-</v>
          </cell>
          <cell r="HAN2" t="str">
            <v>-</v>
          </cell>
          <cell r="HAO2" t="str">
            <v>-</v>
          </cell>
          <cell r="HAP2" t="str">
            <v>-</v>
          </cell>
          <cell r="HAQ2" t="str">
            <v>-</v>
          </cell>
          <cell r="HAR2" t="str">
            <v>-</v>
          </cell>
          <cell r="HAS2" t="str">
            <v>-</v>
          </cell>
          <cell r="HAT2" t="str">
            <v>-</v>
          </cell>
          <cell r="HAU2" t="str">
            <v>-</v>
          </cell>
          <cell r="HAV2" t="str">
            <v>-</v>
          </cell>
          <cell r="HAW2" t="str">
            <v>-</v>
          </cell>
          <cell r="HAX2" t="str">
            <v>-</v>
          </cell>
          <cell r="HAY2" t="str">
            <v>-</v>
          </cell>
          <cell r="HAZ2" t="str">
            <v>-</v>
          </cell>
          <cell r="HBA2" t="str">
            <v>-</v>
          </cell>
          <cell r="HBB2" t="str">
            <v>-</v>
          </cell>
          <cell r="HBC2" t="str">
            <v>-</v>
          </cell>
          <cell r="HBD2" t="str">
            <v>-</v>
          </cell>
          <cell r="HBE2" t="str">
            <v>-</v>
          </cell>
          <cell r="HBF2" t="str">
            <v>-</v>
          </cell>
          <cell r="HBG2" t="str">
            <v>-</v>
          </cell>
          <cell r="HBH2" t="str">
            <v>-</v>
          </cell>
          <cell r="HBI2" t="str">
            <v>-</v>
          </cell>
          <cell r="HBJ2" t="str">
            <v>-</v>
          </cell>
          <cell r="HBK2" t="str">
            <v>-</v>
          </cell>
          <cell r="HBL2" t="str">
            <v>-</v>
          </cell>
          <cell r="HBM2" t="str">
            <v>-</v>
          </cell>
          <cell r="HBN2" t="str">
            <v>-</v>
          </cell>
          <cell r="HBO2" t="str">
            <v>-</v>
          </cell>
          <cell r="HBP2" t="str">
            <v>-</v>
          </cell>
          <cell r="HBQ2" t="str">
            <v>-</v>
          </cell>
          <cell r="HBR2" t="str">
            <v>-</v>
          </cell>
          <cell r="HBS2" t="str">
            <v>-</v>
          </cell>
          <cell r="HBT2" t="str">
            <v>-</v>
          </cell>
          <cell r="HBU2" t="str">
            <v>-</v>
          </cell>
          <cell r="HBV2" t="str">
            <v>-</v>
          </cell>
          <cell r="HBW2" t="str">
            <v>-</v>
          </cell>
          <cell r="HBX2" t="str">
            <v>-</v>
          </cell>
          <cell r="HBY2" t="str">
            <v>-</v>
          </cell>
          <cell r="HBZ2" t="str">
            <v>-</v>
          </cell>
          <cell r="HCA2" t="str">
            <v>-</v>
          </cell>
          <cell r="HCB2" t="str">
            <v>-</v>
          </cell>
          <cell r="HCC2" t="str">
            <v>-</v>
          </cell>
          <cell r="HCD2" t="str">
            <v>-</v>
          </cell>
          <cell r="HCE2" t="str">
            <v>-</v>
          </cell>
          <cell r="HCF2" t="str">
            <v>-</v>
          </cell>
          <cell r="HCG2" t="str">
            <v>-</v>
          </cell>
          <cell r="HCH2" t="str">
            <v>-</v>
          </cell>
          <cell r="HCI2" t="str">
            <v>-</v>
          </cell>
          <cell r="HCJ2" t="str">
            <v>-</v>
          </cell>
          <cell r="HCK2" t="str">
            <v>-</v>
          </cell>
          <cell r="HCL2" t="str">
            <v>-</v>
          </cell>
          <cell r="HCM2" t="str">
            <v>-</v>
          </cell>
          <cell r="HCN2" t="str">
            <v>-</v>
          </cell>
          <cell r="HCO2" t="str">
            <v>-</v>
          </cell>
          <cell r="HCP2" t="str">
            <v>-</v>
          </cell>
          <cell r="HCQ2" t="str">
            <v>-</v>
          </cell>
          <cell r="HCR2" t="str">
            <v>-</v>
          </cell>
          <cell r="HCS2" t="str">
            <v>-</v>
          </cell>
          <cell r="HCT2" t="str">
            <v>-</v>
          </cell>
          <cell r="HCU2" t="str">
            <v>-</v>
          </cell>
          <cell r="HCV2" t="str">
            <v>-</v>
          </cell>
          <cell r="HCW2" t="str">
            <v>-</v>
          </cell>
          <cell r="HCX2" t="str">
            <v>-</v>
          </cell>
          <cell r="HCY2" t="str">
            <v>-</v>
          </cell>
          <cell r="HCZ2" t="str">
            <v>-</v>
          </cell>
          <cell r="HDA2" t="str">
            <v>-</v>
          </cell>
          <cell r="HDB2" t="str">
            <v>-</v>
          </cell>
          <cell r="HDC2" t="str">
            <v>-</v>
          </cell>
          <cell r="HDD2" t="str">
            <v>-</v>
          </cell>
          <cell r="HDE2" t="str">
            <v>-</v>
          </cell>
          <cell r="HDF2" t="str">
            <v>-</v>
          </cell>
          <cell r="HDG2" t="str">
            <v>-</v>
          </cell>
          <cell r="HDH2" t="str">
            <v>-</v>
          </cell>
          <cell r="HDI2" t="str">
            <v>-</v>
          </cell>
          <cell r="HDJ2" t="str">
            <v>-</v>
          </cell>
          <cell r="HDK2" t="str">
            <v>-</v>
          </cell>
          <cell r="HDL2" t="str">
            <v>-</v>
          </cell>
          <cell r="HDM2" t="str">
            <v>-</v>
          </cell>
          <cell r="HDN2" t="str">
            <v>-</v>
          </cell>
          <cell r="HDO2" t="str">
            <v>-</v>
          </cell>
          <cell r="HDP2" t="str">
            <v>-</v>
          </cell>
          <cell r="HDQ2" t="str">
            <v>-</v>
          </cell>
          <cell r="HDR2" t="str">
            <v>-</v>
          </cell>
          <cell r="HDS2" t="str">
            <v>-</v>
          </cell>
          <cell r="HDT2" t="str">
            <v>-</v>
          </cell>
          <cell r="HDU2" t="str">
            <v>-</v>
          </cell>
          <cell r="HDV2" t="str">
            <v>-</v>
          </cell>
          <cell r="HDW2" t="str">
            <v>-</v>
          </cell>
          <cell r="HDX2" t="str">
            <v>-</v>
          </cell>
          <cell r="HDY2" t="str">
            <v>-</v>
          </cell>
          <cell r="HDZ2" t="str">
            <v>-</v>
          </cell>
          <cell r="HEA2" t="str">
            <v>-</v>
          </cell>
          <cell r="HEB2" t="str">
            <v>-</v>
          </cell>
          <cell r="HEC2" t="str">
            <v>-</v>
          </cell>
          <cell r="HED2" t="str">
            <v>-</v>
          </cell>
          <cell r="HEE2" t="str">
            <v>-</v>
          </cell>
          <cell r="HEF2" t="str">
            <v>-</v>
          </cell>
          <cell r="HEG2" t="str">
            <v>-</v>
          </cell>
          <cell r="HEH2" t="str">
            <v>-</v>
          </cell>
          <cell r="HEI2" t="str">
            <v>-</v>
          </cell>
          <cell r="HEJ2" t="str">
            <v>-</v>
          </cell>
          <cell r="HEK2" t="str">
            <v>-</v>
          </cell>
          <cell r="HEL2" t="str">
            <v>-</v>
          </cell>
          <cell r="HEM2" t="str">
            <v>-</v>
          </cell>
          <cell r="HEN2" t="str">
            <v>-</v>
          </cell>
          <cell r="HEO2" t="str">
            <v>-</v>
          </cell>
          <cell r="HEP2" t="str">
            <v>-</v>
          </cell>
          <cell r="HEQ2" t="str">
            <v>-</v>
          </cell>
          <cell r="HER2" t="str">
            <v>-</v>
          </cell>
          <cell r="HES2" t="str">
            <v>-</v>
          </cell>
          <cell r="HET2" t="str">
            <v>-</v>
          </cell>
          <cell r="HEU2" t="str">
            <v>-</v>
          </cell>
          <cell r="HEV2" t="str">
            <v>-</v>
          </cell>
          <cell r="HEW2" t="str">
            <v>-</v>
          </cell>
          <cell r="HEX2" t="str">
            <v>-</v>
          </cell>
          <cell r="HEY2" t="str">
            <v>-</v>
          </cell>
          <cell r="HEZ2" t="str">
            <v>-</v>
          </cell>
          <cell r="HFA2" t="str">
            <v>-</v>
          </cell>
          <cell r="HFB2" t="str">
            <v>-</v>
          </cell>
          <cell r="HFC2" t="str">
            <v>-</v>
          </cell>
          <cell r="HFD2" t="str">
            <v>-</v>
          </cell>
          <cell r="HFE2" t="str">
            <v>-</v>
          </cell>
          <cell r="HFF2" t="str">
            <v>-</v>
          </cell>
          <cell r="HFG2" t="str">
            <v>-</v>
          </cell>
          <cell r="HFH2" t="str">
            <v>-</v>
          </cell>
          <cell r="HFI2" t="str">
            <v>-</v>
          </cell>
          <cell r="HFJ2" t="str">
            <v>-</v>
          </cell>
          <cell r="HFK2" t="str">
            <v>-</v>
          </cell>
          <cell r="HFL2" t="str">
            <v>-</v>
          </cell>
          <cell r="HFM2" t="str">
            <v>-</v>
          </cell>
          <cell r="HFN2" t="str">
            <v>-</v>
          </cell>
          <cell r="HFO2" t="str">
            <v>-</v>
          </cell>
          <cell r="HFP2" t="str">
            <v>-</v>
          </cell>
          <cell r="HFQ2" t="str">
            <v>-</v>
          </cell>
          <cell r="HFR2" t="str">
            <v>-</v>
          </cell>
          <cell r="HFS2" t="str">
            <v>-</v>
          </cell>
          <cell r="HFT2" t="str">
            <v>-</v>
          </cell>
          <cell r="HFU2" t="str">
            <v>-</v>
          </cell>
          <cell r="HFV2" t="str">
            <v>-</v>
          </cell>
          <cell r="HFW2" t="str">
            <v>-</v>
          </cell>
          <cell r="HFX2" t="str">
            <v>-</v>
          </cell>
          <cell r="HFY2" t="str">
            <v>-</v>
          </cell>
          <cell r="HFZ2" t="str">
            <v>-</v>
          </cell>
          <cell r="HGA2" t="str">
            <v>-</v>
          </cell>
          <cell r="HGB2" t="str">
            <v>-</v>
          </cell>
          <cell r="HGC2" t="str">
            <v>-</v>
          </cell>
          <cell r="HGD2" t="str">
            <v>-</v>
          </cell>
          <cell r="HGE2" t="str">
            <v>-</v>
          </cell>
          <cell r="HGF2" t="str">
            <v>-</v>
          </cell>
          <cell r="HGG2" t="str">
            <v>-</v>
          </cell>
          <cell r="HGH2" t="str">
            <v>-</v>
          </cell>
          <cell r="HGI2" t="str">
            <v>-</v>
          </cell>
          <cell r="HGJ2" t="str">
            <v>-</v>
          </cell>
          <cell r="HGK2" t="str">
            <v>-</v>
          </cell>
          <cell r="HGL2" t="str">
            <v>-</v>
          </cell>
          <cell r="HGM2" t="str">
            <v>-</v>
          </cell>
          <cell r="HGN2" t="str">
            <v>-</v>
          </cell>
          <cell r="HGO2" t="str">
            <v>-</v>
          </cell>
          <cell r="HGP2" t="str">
            <v>-</v>
          </cell>
          <cell r="HGQ2" t="str">
            <v>-</v>
          </cell>
          <cell r="HGR2" t="str">
            <v>-</v>
          </cell>
          <cell r="HGS2" t="str">
            <v>-</v>
          </cell>
          <cell r="HGT2" t="str">
            <v>-</v>
          </cell>
          <cell r="HGU2" t="str">
            <v>-</v>
          </cell>
          <cell r="HGV2" t="str">
            <v>-</v>
          </cell>
          <cell r="HGW2" t="str">
            <v>-</v>
          </cell>
          <cell r="HGX2" t="str">
            <v>-</v>
          </cell>
          <cell r="HGY2" t="str">
            <v>-</v>
          </cell>
          <cell r="HGZ2" t="str">
            <v>-</v>
          </cell>
          <cell r="HHA2" t="str">
            <v>-</v>
          </cell>
          <cell r="HHB2" t="str">
            <v>-</v>
          </cell>
          <cell r="HHC2" t="str">
            <v>-</v>
          </cell>
          <cell r="HHD2" t="str">
            <v>-</v>
          </cell>
          <cell r="HHE2" t="str">
            <v>-</v>
          </cell>
          <cell r="HHF2" t="str">
            <v>-</v>
          </cell>
          <cell r="HHG2" t="str">
            <v>-</v>
          </cell>
          <cell r="HHH2" t="str">
            <v>-</v>
          </cell>
          <cell r="HHI2" t="str">
            <v>-</v>
          </cell>
          <cell r="HHJ2" t="str">
            <v>-</v>
          </cell>
          <cell r="HHK2" t="str">
            <v>-</v>
          </cell>
          <cell r="HHL2" t="str">
            <v>-</v>
          </cell>
          <cell r="HHM2" t="str">
            <v>-</v>
          </cell>
          <cell r="HHN2" t="str">
            <v>-</v>
          </cell>
          <cell r="HHO2" t="str">
            <v>-</v>
          </cell>
          <cell r="HHP2" t="str">
            <v>-</v>
          </cell>
          <cell r="HHQ2" t="str">
            <v>-</v>
          </cell>
          <cell r="HHR2" t="str">
            <v>-</v>
          </cell>
          <cell r="HHS2" t="str">
            <v>-</v>
          </cell>
          <cell r="HHT2" t="str">
            <v>-</v>
          </cell>
          <cell r="HHU2" t="str">
            <v>-</v>
          </cell>
          <cell r="HHV2" t="str">
            <v>-</v>
          </cell>
          <cell r="HHW2" t="str">
            <v>-</v>
          </cell>
          <cell r="HHX2" t="str">
            <v>-</v>
          </cell>
          <cell r="HHY2" t="str">
            <v>-</v>
          </cell>
          <cell r="HHZ2" t="str">
            <v>-</v>
          </cell>
          <cell r="HIA2" t="str">
            <v>-</v>
          </cell>
          <cell r="HIB2" t="str">
            <v>-</v>
          </cell>
          <cell r="HIC2" t="str">
            <v>-</v>
          </cell>
          <cell r="HID2" t="str">
            <v>-</v>
          </cell>
          <cell r="HIE2" t="str">
            <v>-</v>
          </cell>
          <cell r="HIF2" t="str">
            <v>-</v>
          </cell>
          <cell r="HIG2" t="str">
            <v>-</v>
          </cell>
          <cell r="HIH2" t="str">
            <v>-</v>
          </cell>
          <cell r="HII2" t="str">
            <v>-</v>
          </cell>
          <cell r="HIJ2" t="str">
            <v>-</v>
          </cell>
          <cell r="HIK2" t="str">
            <v>-</v>
          </cell>
          <cell r="HIL2" t="str">
            <v>-</v>
          </cell>
          <cell r="HIM2" t="str">
            <v>-</v>
          </cell>
          <cell r="HIN2" t="str">
            <v>-</v>
          </cell>
          <cell r="HIO2" t="str">
            <v>-</v>
          </cell>
          <cell r="HIP2" t="str">
            <v>-</v>
          </cell>
          <cell r="HIQ2" t="str">
            <v>-</v>
          </cell>
          <cell r="HIR2" t="str">
            <v>-</v>
          </cell>
          <cell r="HIS2" t="str">
            <v>-</v>
          </cell>
          <cell r="HIT2" t="str">
            <v>-</v>
          </cell>
          <cell r="HIU2" t="str">
            <v>-</v>
          </cell>
          <cell r="HIV2" t="str">
            <v>-</v>
          </cell>
          <cell r="HIW2" t="str">
            <v>-</v>
          </cell>
          <cell r="HIX2" t="str">
            <v>-</v>
          </cell>
          <cell r="HIY2" t="str">
            <v>-</v>
          </cell>
          <cell r="HIZ2" t="str">
            <v>-</v>
          </cell>
          <cell r="HJA2" t="str">
            <v>-</v>
          </cell>
          <cell r="HJB2" t="str">
            <v>-</v>
          </cell>
          <cell r="HJC2" t="str">
            <v>-</v>
          </cell>
          <cell r="HJD2" t="str">
            <v>-</v>
          </cell>
          <cell r="HJE2" t="str">
            <v>-</v>
          </cell>
          <cell r="HJF2" t="str">
            <v>-</v>
          </cell>
          <cell r="HJG2" t="str">
            <v>-</v>
          </cell>
          <cell r="HJH2" t="str">
            <v>-</v>
          </cell>
          <cell r="HJI2" t="str">
            <v>-</v>
          </cell>
          <cell r="HJJ2" t="str">
            <v>-</v>
          </cell>
          <cell r="HJK2" t="str">
            <v>-</v>
          </cell>
          <cell r="HJL2" t="str">
            <v>-</v>
          </cell>
          <cell r="HJM2" t="str">
            <v>-</v>
          </cell>
          <cell r="HJN2" t="str">
            <v>-</v>
          </cell>
          <cell r="HJO2" t="str">
            <v>-</v>
          </cell>
          <cell r="HJP2" t="str">
            <v>-</v>
          </cell>
          <cell r="HJQ2" t="str">
            <v>-</v>
          </cell>
          <cell r="HJR2" t="str">
            <v>-</v>
          </cell>
          <cell r="HJS2" t="str">
            <v>-</v>
          </cell>
          <cell r="HJT2" t="str">
            <v>-</v>
          </cell>
          <cell r="HJU2" t="str">
            <v>-</v>
          </cell>
          <cell r="HJV2" t="str">
            <v>-</v>
          </cell>
          <cell r="HJW2" t="str">
            <v>-</v>
          </cell>
          <cell r="HJX2" t="str">
            <v>-</v>
          </cell>
          <cell r="HJY2" t="str">
            <v>-</v>
          </cell>
          <cell r="HJZ2" t="str">
            <v>-</v>
          </cell>
          <cell r="HKA2" t="str">
            <v>-</v>
          </cell>
          <cell r="HKB2" t="str">
            <v>-</v>
          </cell>
          <cell r="HKC2" t="str">
            <v>-</v>
          </cell>
          <cell r="HKD2" t="str">
            <v>-</v>
          </cell>
          <cell r="HKE2" t="str">
            <v>-</v>
          </cell>
          <cell r="HKF2" t="str">
            <v>-</v>
          </cell>
          <cell r="HKG2" t="str">
            <v>-</v>
          </cell>
          <cell r="HKH2" t="str">
            <v>-</v>
          </cell>
          <cell r="HKI2" t="str">
            <v>-</v>
          </cell>
          <cell r="HKJ2" t="str">
            <v>-</v>
          </cell>
          <cell r="HKK2" t="str">
            <v>-</v>
          </cell>
          <cell r="HKL2" t="str">
            <v>-</v>
          </cell>
          <cell r="HKM2" t="str">
            <v>-</v>
          </cell>
          <cell r="HKN2" t="str">
            <v>-</v>
          </cell>
          <cell r="HKO2" t="str">
            <v>-</v>
          </cell>
          <cell r="HKP2" t="str">
            <v>-</v>
          </cell>
          <cell r="HKQ2" t="str">
            <v>-</v>
          </cell>
          <cell r="HKR2" t="str">
            <v>-</v>
          </cell>
          <cell r="HKS2" t="str">
            <v>-</v>
          </cell>
          <cell r="HKT2" t="str">
            <v>-</v>
          </cell>
          <cell r="HKU2" t="str">
            <v>-</v>
          </cell>
          <cell r="HKV2" t="str">
            <v>-</v>
          </cell>
          <cell r="HKW2" t="str">
            <v>-</v>
          </cell>
          <cell r="HKX2" t="str">
            <v>-</v>
          </cell>
          <cell r="HKY2" t="str">
            <v>-</v>
          </cell>
          <cell r="HKZ2" t="str">
            <v>-</v>
          </cell>
          <cell r="HLA2" t="str">
            <v>-</v>
          </cell>
          <cell r="HLB2" t="str">
            <v>-</v>
          </cell>
          <cell r="HLC2" t="str">
            <v>-</v>
          </cell>
          <cell r="HLD2" t="str">
            <v>-</v>
          </cell>
          <cell r="HLE2" t="str">
            <v>-</v>
          </cell>
          <cell r="HLF2" t="str">
            <v>-</v>
          </cell>
          <cell r="HLG2" t="str">
            <v>-</v>
          </cell>
          <cell r="HLH2" t="str">
            <v>-</v>
          </cell>
          <cell r="HLI2" t="str">
            <v>-</v>
          </cell>
          <cell r="HLJ2" t="str">
            <v>-</v>
          </cell>
          <cell r="HLK2" t="str">
            <v>-</v>
          </cell>
          <cell r="HLL2" t="str">
            <v>-</v>
          </cell>
          <cell r="HLM2" t="str">
            <v>-</v>
          </cell>
          <cell r="HLN2" t="str">
            <v>-</v>
          </cell>
          <cell r="HLO2" t="str">
            <v>-</v>
          </cell>
          <cell r="HLP2" t="str">
            <v>-</v>
          </cell>
          <cell r="HLQ2" t="str">
            <v>-</v>
          </cell>
          <cell r="HLR2" t="str">
            <v>-</v>
          </cell>
          <cell r="HLS2" t="str">
            <v>-</v>
          </cell>
          <cell r="HLT2" t="str">
            <v>-</v>
          </cell>
          <cell r="HLU2" t="str">
            <v>-</v>
          </cell>
          <cell r="HLV2" t="str">
            <v>-</v>
          </cell>
          <cell r="HLW2" t="str">
            <v>-</v>
          </cell>
          <cell r="HLX2" t="str">
            <v>-</v>
          </cell>
          <cell r="HLY2" t="str">
            <v>-</v>
          </cell>
          <cell r="HLZ2" t="str">
            <v>-</v>
          </cell>
          <cell r="HMA2" t="str">
            <v>-</v>
          </cell>
          <cell r="HMB2" t="str">
            <v>-</v>
          </cell>
          <cell r="HMC2" t="str">
            <v>-</v>
          </cell>
          <cell r="HMD2" t="str">
            <v>-</v>
          </cell>
          <cell r="HME2" t="str">
            <v>-</v>
          </cell>
          <cell r="HMF2" t="str">
            <v>-</v>
          </cell>
          <cell r="HMG2" t="str">
            <v>-</v>
          </cell>
          <cell r="HMH2" t="str">
            <v>-</v>
          </cell>
          <cell r="HMI2" t="str">
            <v>-</v>
          </cell>
          <cell r="HMJ2" t="str">
            <v>-</v>
          </cell>
          <cell r="HMK2" t="str">
            <v>-</v>
          </cell>
          <cell r="HML2" t="str">
            <v>-</v>
          </cell>
          <cell r="HMM2" t="str">
            <v>-</v>
          </cell>
          <cell r="HMN2" t="str">
            <v>-</v>
          </cell>
          <cell r="HMO2" t="str">
            <v>-</v>
          </cell>
          <cell r="HMP2" t="str">
            <v>-</v>
          </cell>
          <cell r="HMQ2" t="str">
            <v>-</v>
          </cell>
          <cell r="HMR2" t="str">
            <v>-</v>
          </cell>
          <cell r="HMS2" t="str">
            <v>-</v>
          </cell>
          <cell r="HMT2" t="str">
            <v>-</v>
          </cell>
          <cell r="HMU2" t="str">
            <v>-</v>
          </cell>
          <cell r="HMV2" t="str">
            <v>-</v>
          </cell>
          <cell r="HMW2" t="str">
            <v>-</v>
          </cell>
          <cell r="HMX2" t="str">
            <v>-</v>
          </cell>
          <cell r="HMY2" t="str">
            <v>-</v>
          </cell>
          <cell r="HMZ2" t="str">
            <v>-</v>
          </cell>
          <cell r="HNA2" t="str">
            <v>-</v>
          </cell>
          <cell r="HNB2" t="str">
            <v>-</v>
          </cell>
          <cell r="HNC2" t="str">
            <v>-</v>
          </cell>
          <cell r="HND2" t="str">
            <v>-</v>
          </cell>
          <cell r="HNE2" t="str">
            <v>-</v>
          </cell>
          <cell r="HNF2" t="str">
            <v>-</v>
          </cell>
          <cell r="HNG2" t="str">
            <v>-</v>
          </cell>
          <cell r="HNH2" t="str">
            <v>-</v>
          </cell>
          <cell r="HNI2" t="str">
            <v>-</v>
          </cell>
          <cell r="HNJ2" t="str">
            <v>-</v>
          </cell>
          <cell r="HNK2" t="str">
            <v>-</v>
          </cell>
          <cell r="HNL2" t="str">
            <v>-</v>
          </cell>
          <cell r="HNM2" t="str">
            <v>-</v>
          </cell>
          <cell r="HNN2" t="str">
            <v>-</v>
          </cell>
          <cell r="HNO2" t="str">
            <v>-</v>
          </cell>
          <cell r="HNP2" t="str">
            <v>-</v>
          </cell>
          <cell r="HNQ2" t="str">
            <v>-</v>
          </cell>
          <cell r="HNR2" t="str">
            <v>-</v>
          </cell>
          <cell r="HNS2" t="str">
            <v>-</v>
          </cell>
          <cell r="HNT2" t="str">
            <v>-</v>
          </cell>
          <cell r="HNU2" t="str">
            <v>-</v>
          </cell>
          <cell r="HNV2" t="str">
            <v>-</v>
          </cell>
          <cell r="HNW2" t="str">
            <v>-</v>
          </cell>
          <cell r="HNX2" t="str">
            <v>-</v>
          </cell>
          <cell r="HNY2" t="str">
            <v>-</v>
          </cell>
          <cell r="HNZ2" t="str">
            <v>-</v>
          </cell>
          <cell r="HOA2" t="str">
            <v>-</v>
          </cell>
          <cell r="HOB2" t="str">
            <v>-</v>
          </cell>
          <cell r="HOC2" t="str">
            <v>-</v>
          </cell>
          <cell r="HOD2" t="str">
            <v>-</v>
          </cell>
          <cell r="HOE2" t="str">
            <v>-</v>
          </cell>
          <cell r="HOF2" t="str">
            <v>-</v>
          </cell>
          <cell r="HOG2" t="str">
            <v>-</v>
          </cell>
          <cell r="HOH2" t="str">
            <v>-</v>
          </cell>
          <cell r="HOI2" t="str">
            <v>-</v>
          </cell>
          <cell r="HOJ2" t="str">
            <v>-</v>
          </cell>
          <cell r="HOK2" t="str">
            <v>-</v>
          </cell>
          <cell r="HOL2" t="str">
            <v>-</v>
          </cell>
          <cell r="HOM2" t="str">
            <v>-</v>
          </cell>
          <cell r="HON2" t="str">
            <v>-</v>
          </cell>
          <cell r="HOO2" t="str">
            <v>-</v>
          </cell>
          <cell r="HOP2" t="str">
            <v>-</v>
          </cell>
          <cell r="HOQ2" t="str">
            <v>-</v>
          </cell>
          <cell r="HOR2" t="str">
            <v>-</v>
          </cell>
          <cell r="HOS2" t="str">
            <v>-</v>
          </cell>
          <cell r="HOT2" t="str">
            <v>-</v>
          </cell>
          <cell r="HOU2" t="str">
            <v>-</v>
          </cell>
          <cell r="HOV2" t="str">
            <v>-</v>
          </cell>
          <cell r="HOW2" t="str">
            <v>-</v>
          </cell>
          <cell r="HOX2" t="str">
            <v>-</v>
          </cell>
          <cell r="HOY2" t="str">
            <v>-</v>
          </cell>
          <cell r="HOZ2" t="str">
            <v>-</v>
          </cell>
          <cell r="HPA2" t="str">
            <v>-</v>
          </cell>
          <cell r="HPB2" t="str">
            <v>-</v>
          </cell>
          <cell r="HPC2" t="str">
            <v>-</v>
          </cell>
          <cell r="HPD2" t="str">
            <v>-</v>
          </cell>
          <cell r="HPE2" t="str">
            <v>-</v>
          </cell>
          <cell r="HPF2" t="str">
            <v>-</v>
          </cell>
          <cell r="HPG2" t="str">
            <v>-</v>
          </cell>
          <cell r="HPH2" t="str">
            <v>-</v>
          </cell>
          <cell r="HPI2" t="str">
            <v>-</v>
          </cell>
          <cell r="HPJ2" t="str">
            <v>-</v>
          </cell>
          <cell r="HPK2" t="str">
            <v>-</v>
          </cell>
          <cell r="HPL2" t="str">
            <v>-</v>
          </cell>
          <cell r="HPM2" t="str">
            <v>-</v>
          </cell>
          <cell r="HPN2" t="str">
            <v>-</v>
          </cell>
          <cell r="HPO2" t="str">
            <v>-</v>
          </cell>
          <cell r="HPP2" t="str">
            <v>-</v>
          </cell>
          <cell r="HPQ2" t="str">
            <v>-</v>
          </cell>
          <cell r="HPR2" t="str">
            <v>-</v>
          </cell>
          <cell r="HPS2" t="str">
            <v>-</v>
          </cell>
          <cell r="HPT2" t="str">
            <v>-</v>
          </cell>
          <cell r="HPU2" t="str">
            <v>-</v>
          </cell>
          <cell r="HPV2" t="str">
            <v>-</v>
          </cell>
          <cell r="HPW2" t="str">
            <v>-</v>
          </cell>
          <cell r="HPX2" t="str">
            <v>-</v>
          </cell>
          <cell r="HPY2" t="str">
            <v>-</v>
          </cell>
          <cell r="HPZ2" t="str">
            <v>-</v>
          </cell>
          <cell r="HQA2" t="str">
            <v>-</v>
          </cell>
          <cell r="HQB2" t="str">
            <v>-</v>
          </cell>
          <cell r="HQC2" t="str">
            <v>-</v>
          </cell>
          <cell r="HQD2" t="str">
            <v>-</v>
          </cell>
          <cell r="HQE2" t="str">
            <v>-</v>
          </cell>
          <cell r="HQF2" t="str">
            <v>-</v>
          </cell>
          <cell r="HQG2" t="str">
            <v>-</v>
          </cell>
          <cell r="HQH2" t="str">
            <v>-</v>
          </cell>
          <cell r="HQI2" t="str">
            <v>-</v>
          </cell>
          <cell r="HQJ2" t="str">
            <v>-</v>
          </cell>
          <cell r="HQK2" t="str">
            <v>-</v>
          </cell>
          <cell r="HQL2" t="str">
            <v>-</v>
          </cell>
          <cell r="HQM2" t="str">
            <v>-</v>
          </cell>
          <cell r="HQN2" t="str">
            <v>-</v>
          </cell>
          <cell r="HQO2" t="str">
            <v>-</v>
          </cell>
          <cell r="HQP2" t="str">
            <v>-</v>
          </cell>
          <cell r="HQQ2" t="str">
            <v>-</v>
          </cell>
          <cell r="HQR2" t="str">
            <v>-</v>
          </cell>
          <cell r="HQS2" t="str">
            <v>-</v>
          </cell>
          <cell r="HQT2" t="str">
            <v>-</v>
          </cell>
          <cell r="HQU2" t="str">
            <v>-</v>
          </cell>
          <cell r="HQV2" t="str">
            <v>-</v>
          </cell>
          <cell r="HQW2" t="str">
            <v>-</v>
          </cell>
          <cell r="HQX2" t="str">
            <v>-</v>
          </cell>
          <cell r="HQY2" t="str">
            <v>-</v>
          </cell>
          <cell r="HQZ2" t="str">
            <v>-</v>
          </cell>
          <cell r="HRA2" t="str">
            <v>-</v>
          </cell>
          <cell r="HRB2" t="str">
            <v>-</v>
          </cell>
          <cell r="HRC2" t="str">
            <v>-</v>
          </cell>
          <cell r="HRD2" t="str">
            <v>-</v>
          </cell>
          <cell r="HRE2" t="str">
            <v>-</v>
          </cell>
          <cell r="HRF2" t="str">
            <v>-</v>
          </cell>
          <cell r="HRG2" t="str">
            <v>-</v>
          </cell>
          <cell r="HRH2" t="str">
            <v>-</v>
          </cell>
          <cell r="HRI2" t="str">
            <v>-</v>
          </cell>
          <cell r="HRJ2" t="str">
            <v>-</v>
          </cell>
          <cell r="HRK2" t="str">
            <v>-</v>
          </cell>
          <cell r="HRL2" t="str">
            <v>-</v>
          </cell>
          <cell r="HRM2" t="str">
            <v>-</v>
          </cell>
          <cell r="HRN2" t="str">
            <v>-</v>
          </cell>
          <cell r="HRO2" t="str">
            <v>-</v>
          </cell>
          <cell r="HRP2" t="str">
            <v>-</v>
          </cell>
          <cell r="HRQ2" t="str">
            <v>-</v>
          </cell>
          <cell r="HRR2" t="str">
            <v>-</v>
          </cell>
          <cell r="HRS2" t="str">
            <v>-</v>
          </cell>
          <cell r="HRT2" t="str">
            <v>-</v>
          </cell>
          <cell r="HRU2" t="str">
            <v>-</v>
          </cell>
          <cell r="HRV2" t="str">
            <v>-</v>
          </cell>
          <cell r="HRW2" t="str">
            <v>-</v>
          </cell>
          <cell r="HRX2" t="str">
            <v>-</v>
          </cell>
          <cell r="HRY2" t="str">
            <v>-</v>
          </cell>
          <cell r="HRZ2" t="str">
            <v>-</v>
          </cell>
          <cell r="HSA2" t="str">
            <v>-</v>
          </cell>
          <cell r="HSB2" t="str">
            <v>-</v>
          </cell>
          <cell r="HSC2" t="str">
            <v>-</v>
          </cell>
          <cell r="HSD2" t="str">
            <v>-</v>
          </cell>
          <cell r="HSE2" t="str">
            <v>-</v>
          </cell>
          <cell r="HSF2" t="str">
            <v>-</v>
          </cell>
          <cell r="HSG2" t="str">
            <v>-</v>
          </cell>
          <cell r="HSH2" t="str">
            <v>-</v>
          </cell>
          <cell r="HSI2" t="str">
            <v>-</v>
          </cell>
          <cell r="HSJ2" t="str">
            <v>-</v>
          </cell>
          <cell r="HSK2" t="str">
            <v>-</v>
          </cell>
          <cell r="HSL2" t="str">
            <v>-</v>
          </cell>
          <cell r="HSM2" t="str">
            <v>-</v>
          </cell>
          <cell r="HSN2" t="str">
            <v>-</v>
          </cell>
          <cell r="HSO2" t="str">
            <v>-</v>
          </cell>
          <cell r="HSP2" t="str">
            <v>-</v>
          </cell>
          <cell r="HSQ2" t="str">
            <v>-</v>
          </cell>
          <cell r="HSR2" t="str">
            <v>-</v>
          </cell>
          <cell r="HSS2" t="str">
            <v>-</v>
          </cell>
          <cell r="HST2" t="str">
            <v>-</v>
          </cell>
          <cell r="HSU2" t="str">
            <v>-</v>
          </cell>
          <cell r="HSV2" t="str">
            <v>-</v>
          </cell>
          <cell r="HSW2" t="str">
            <v>-</v>
          </cell>
          <cell r="HSX2" t="str">
            <v>-</v>
          </cell>
          <cell r="HSY2" t="str">
            <v>-</v>
          </cell>
          <cell r="HSZ2" t="str">
            <v>-</v>
          </cell>
          <cell r="HTA2" t="str">
            <v>-</v>
          </cell>
          <cell r="HTB2" t="str">
            <v>-</v>
          </cell>
          <cell r="HTC2" t="str">
            <v>-</v>
          </cell>
          <cell r="HTD2" t="str">
            <v>-</v>
          </cell>
          <cell r="HTE2" t="str">
            <v>-</v>
          </cell>
          <cell r="HTF2" t="str">
            <v>-</v>
          </cell>
          <cell r="HTG2" t="str">
            <v>-</v>
          </cell>
          <cell r="HTH2" t="str">
            <v>-</v>
          </cell>
          <cell r="HTI2" t="str">
            <v>-</v>
          </cell>
          <cell r="HTJ2" t="str">
            <v>-</v>
          </cell>
          <cell r="HTK2" t="str">
            <v>-</v>
          </cell>
          <cell r="HTL2" t="str">
            <v>-</v>
          </cell>
          <cell r="HTM2" t="str">
            <v>-</v>
          </cell>
          <cell r="HTN2" t="str">
            <v>-</v>
          </cell>
          <cell r="HTO2" t="str">
            <v>-</v>
          </cell>
          <cell r="HTP2" t="str">
            <v>-</v>
          </cell>
          <cell r="HTQ2" t="str">
            <v>-</v>
          </cell>
          <cell r="HTR2" t="str">
            <v>-</v>
          </cell>
          <cell r="HTS2" t="str">
            <v>-</v>
          </cell>
          <cell r="HTT2" t="str">
            <v>-</v>
          </cell>
          <cell r="HTU2" t="str">
            <v>-</v>
          </cell>
          <cell r="HTV2" t="str">
            <v>-</v>
          </cell>
          <cell r="HTW2" t="str">
            <v>-</v>
          </cell>
          <cell r="HTX2" t="str">
            <v>-</v>
          </cell>
          <cell r="HTY2" t="str">
            <v>-</v>
          </cell>
          <cell r="HTZ2" t="str">
            <v>-</v>
          </cell>
          <cell r="HUA2" t="str">
            <v>-</v>
          </cell>
          <cell r="HUB2" t="str">
            <v>-</v>
          </cell>
          <cell r="HUC2" t="str">
            <v>-</v>
          </cell>
          <cell r="HUD2" t="str">
            <v>-</v>
          </cell>
          <cell r="HUE2" t="str">
            <v>-</v>
          </cell>
          <cell r="HUF2" t="str">
            <v>-</v>
          </cell>
          <cell r="HUG2" t="str">
            <v>-</v>
          </cell>
          <cell r="HUH2" t="str">
            <v>-</v>
          </cell>
          <cell r="HUI2" t="str">
            <v>-</v>
          </cell>
          <cell r="HUJ2" t="str">
            <v>-</v>
          </cell>
          <cell r="HUK2" t="str">
            <v>-</v>
          </cell>
          <cell r="HUL2" t="str">
            <v>-</v>
          </cell>
          <cell r="HUM2" t="str">
            <v>-</v>
          </cell>
          <cell r="HUN2" t="str">
            <v>-</v>
          </cell>
          <cell r="HUO2" t="str">
            <v>-</v>
          </cell>
          <cell r="HUP2" t="str">
            <v>-</v>
          </cell>
          <cell r="HUQ2" t="str">
            <v>-</v>
          </cell>
          <cell r="HUR2" t="str">
            <v>-</v>
          </cell>
          <cell r="HUS2" t="str">
            <v>-</v>
          </cell>
          <cell r="HUT2" t="str">
            <v>-</v>
          </cell>
          <cell r="HUU2" t="str">
            <v>-</v>
          </cell>
          <cell r="HUV2" t="str">
            <v>-</v>
          </cell>
          <cell r="HUW2" t="str">
            <v>-</v>
          </cell>
          <cell r="HUX2" t="str">
            <v>-</v>
          </cell>
          <cell r="HUY2" t="str">
            <v>-</v>
          </cell>
          <cell r="HUZ2" t="str">
            <v>-</v>
          </cell>
          <cell r="HVA2" t="str">
            <v>-</v>
          </cell>
          <cell r="HVB2" t="str">
            <v>-</v>
          </cell>
          <cell r="HVC2" t="str">
            <v>-</v>
          </cell>
          <cell r="HVD2" t="str">
            <v>-</v>
          </cell>
          <cell r="HVE2" t="str">
            <v>-</v>
          </cell>
          <cell r="HVF2" t="str">
            <v>-</v>
          </cell>
          <cell r="HVG2" t="str">
            <v>-</v>
          </cell>
          <cell r="HVH2" t="str">
            <v>-</v>
          </cell>
          <cell r="HVI2" t="str">
            <v>-</v>
          </cell>
          <cell r="HVJ2" t="str">
            <v>-</v>
          </cell>
          <cell r="HVK2" t="str">
            <v>-</v>
          </cell>
          <cell r="HVL2" t="str">
            <v>-</v>
          </cell>
          <cell r="HVM2" t="str">
            <v>-</v>
          </cell>
          <cell r="HVN2" t="str">
            <v>-</v>
          </cell>
          <cell r="HVO2" t="str">
            <v>-</v>
          </cell>
          <cell r="HVP2" t="str">
            <v>-</v>
          </cell>
          <cell r="HVQ2" t="str">
            <v>-</v>
          </cell>
          <cell r="HVR2" t="str">
            <v>-</v>
          </cell>
          <cell r="HVS2" t="str">
            <v>-</v>
          </cell>
          <cell r="HVT2" t="str">
            <v>-</v>
          </cell>
          <cell r="HVU2" t="str">
            <v>-</v>
          </cell>
          <cell r="HVV2" t="str">
            <v>-</v>
          </cell>
          <cell r="HVW2" t="str">
            <v>-</v>
          </cell>
          <cell r="HVX2" t="str">
            <v>-</v>
          </cell>
          <cell r="HVY2" t="str">
            <v>-</v>
          </cell>
          <cell r="HVZ2" t="str">
            <v>-</v>
          </cell>
          <cell r="HWA2" t="str">
            <v>-</v>
          </cell>
          <cell r="HWB2" t="str">
            <v>-</v>
          </cell>
          <cell r="HWC2" t="str">
            <v>-</v>
          </cell>
          <cell r="HWD2" t="str">
            <v>-</v>
          </cell>
          <cell r="HWE2" t="str">
            <v>-</v>
          </cell>
          <cell r="HWF2" t="str">
            <v>-</v>
          </cell>
          <cell r="HWG2" t="str">
            <v>-</v>
          </cell>
          <cell r="HWH2" t="str">
            <v>-</v>
          </cell>
          <cell r="HWI2" t="str">
            <v>-</v>
          </cell>
          <cell r="HWJ2" t="str">
            <v>-</v>
          </cell>
          <cell r="HWK2" t="str">
            <v>-</v>
          </cell>
          <cell r="HWL2" t="str">
            <v>-</v>
          </cell>
          <cell r="HWM2" t="str">
            <v>-</v>
          </cell>
          <cell r="HWN2" t="str">
            <v>-</v>
          </cell>
          <cell r="HWO2" t="str">
            <v>-</v>
          </cell>
          <cell r="HWP2" t="str">
            <v>-</v>
          </cell>
          <cell r="HWQ2" t="str">
            <v>-</v>
          </cell>
          <cell r="HWR2" t="str">
            <v>-</v>
          </cell>
          <cell r="HWS2" t="str">
            <v>-</v>
          </cell>
          <cell r="HWT2" t="str">
            <v>-</v>
          </cell>
          <cell r="HWU2" t="str">
            <v>-</v>
          </cell>
          <cell r="HWV2" t="str">
            <v>-</v>
          </cell>
          <cell r="HWW2" t="str">
            <v>-</v>
          </cell>
          <cell r="HWX2" t="str">
            <v>-</v>
          </cell>
          <cell r="HWY2" t="str">
            <v>-</v>
          </cell>
          <cell r="HWZ2" t="str">
            <v>-</v>
          </cell>
          <cell r="HXA2" t="str">
            <v>-</v>
          </cell>
          <cell r="HXB2" t="str">
            <v>-</v>
          </cell>
          <cell r="HXC2" t="str">
            <v>-</v>
          </cell>
          <cell r="HXD2" t="str">
            <v>-</v>
          </cell>
          <cell r="HXE2" t="str">
            <v>-</v>
          </cell>
          <cell r="HXF2" t="str">
            <v>-</v>
          </cell>
          <cell r="HXG2" t="str">
            <v>-</v>
          </cell>
          <cell r="HXH2" t="str">
            <v>-</v>
          </cell>
          <cell r="HXI2" t="str">
            <v>-</v>
          </cell>
          <cell r="HXJ2" t="str">
            <v>-</v>
          </cell>
          <cell r="HXK2" t="str">
            <v>-</v>
          </cell>
          <cell r="HXL2" t="str">
            <v>-</v>
          </cell>
          <cell r="HXM2" t="str">
            <v>-</v>
          </cell>
          <cell r="HXN2" t="str">
            <v>-</v>
          </cell>
          <cell r="HXO2" t="str">
            <v>-</v>
          </cell>
          <cell r="HXP2" t="str">
            <v>-</v>
          </cell>
          <cell r="HXQ2" t="str">
            <v>-</v>
          </cell>
          <cell r="HXR2" t="str">
            <v>-</v>
          </cell>
          <cell r="HXS2" t="str">
            <v>-</v>
          </cell>
          <cell r="HXT2" t="str">
            <v>-</v>
          </cell>
          <cell r="HXU2" t="str">
            <v>-</v>
          </cell>
          <cell r="HXV2" t="str">
            <v>-</v>
          </cell>
          <cell r="HXW2" t="str">
            <v>-</v>
          </cell>
          <cell r="HXX2" t="str">
            <v>-</v>
          </cell>
          <cell r="HXY2" t="str">
            <v>-</v>
          </cell>
          <cell r="HXZ2" t="str">
            <v>-</v>
          </cell>
          <cell r="HYA2" t="str">
            <v>-</v>
          </cell>
          <cell r="HYB2" t="str">
            <v>-</v>
          </cell>
          <cell r="HYC2" t="str">
            <v>-</v>
          </cell>
          <cell r="HYD2" t="str">
            <v>-</v>
          </cell>
          <cell r="HYE2" t="str">
            <v>-</v>
          </cell>
          <cell r="HYF2" t="str">
            <v>-</v>
          </cell>
          <cell r="HYG2" t="str">
            <v>-</v>
          </cell>
          <cell r="HYH2" t="str">
            <v>-</v>
          </cell>
          <cell r="HYI2" t="str">
            <v>-</v>
          </cell>
          <cell r="HYJ2" t="str">
            <v>-</v>
          </cell>
          <cell r="HYK2" t="str">
            <v>-</v>
          </cell>
          <cell r="HYL2" t="str">
            <v>-</v>
          </cell>
          <cell r="HYM2" t="str">
            <v>-</v>
          </cell>
          <cell r="HYN2" t="str">
            <v>-</v>
          </cell>
          <cell r="HYO2" t="str">
            <v>-</v>
          </cell>
          <cell r="HYP2" t="str">
            <v>-</v>
          </cell>
          <cell r="HYQ2" t="str">
            <v>-</v>
          </cell>
          <cell r="HYR2" t="str">
            <v>-</v>
          </cell>
          <cell r="HYS2" t="str">
            <v>-</v>
          </cell>
          <cell r="HYT2" t="str">
            <v>-</v>
          </cell>
          <cell r="HYU2" t="str">
            <v>-</v>
          </cell>
          <cell r="HYV2" t="str">
            <v>-</v>
          </cell>
          <cell r="HYW2" t="str">
            <v>-</v>
          </cell>
          <cell r="HYX2" t="str">
            <v>-</v>
          </cell>
          <cell r="HYY2" t="str">
            <v>-</v>
          </cell>
          <cell r="HYZ2" t="str">
            <v>-</v>
          </cell>
          <cell r="HZA2" t="str">
            <v>-</v>
          </cell>
          <cell r="HZB2" t="str">
            <v>-</v>
          </cell>
          <cell r="HZC2" t="str">
            <v>-</v>
          </cell>
          <cell r="HZD2" t="str">
            <v>-</v>
          </cell>
          <cell r="HZE2" t="str">
            <v>-</v>
          </cell>
          <cell r="HZF2" t="str">
            <v>-</v>
          </cell>
          <cell r="HZG2" t="str">
            <v>-</v>
          </cell>
          <cell r="HZH2" t="str">
            <v>-</v>
          </cell>
          <cell r="HZI2" t="str">
            <v>-</v>
          </cell>
          <cell r="HZJ2" t="str">
            <v>-</v>
          </cell>
          <cell r="HZK2" t="str">
            <v>-</v>
          </cell>
          <cell r="HZL2" t="str">
            <v>-</v>
          </cell>
          <cell r="HZM2" t="str">
            <v>-</v>
          </cell>
          <cell r="HZN2" t="str">
            <v>-</v>
          </cell>
          <cell r="HZO2" t="str">
            <v>-</v>
          </cell>
          <cell r="HZP2" t="str">
            <v>-</v>
          </cell>
          <cell r="HZQ2" t="str">
            <v>-</v>
          </cell>
          <cell r="HZR2" t="str">
            <v>-</v>
          </cell>
          <cell r="HZS2" t="str">
            <v>-</v>
          </cell>
          <cell r="HZT2" t="str">
            <v>-</v>
          </cell>
          <cell r="HZU2" t="str">
            <v>-</v>
          </cell>
          <cell r="HZV2" t="str">
            <v>-</v>
          </cell>
          <cell r="HZW2" t="str">
            <v>-</v>
          </cell>
          <cell r="HZX2" t="str">
            <v>-</v>
          </cell>
          <cell r="HZY2" t="str">
            <v>-</v>
          </cell>
          <cell r="HZZ2" t="str">
            <v>-</v>
          </cell>
          <cell r="IAA2" t="str">
            <v>-</v>
          </cell>
          <cell r="IAB2" t="str">
            <v>-</v>
          </cell>
          <cell r="IAC2" t="str">
            <v>-</v>
          </cell>
          <cell r="IAD2" t="str">
            <v>-</v>
          </cell>
          <cell r="IAE2" t="str">
            <v>-</v>
          </cell>
          <cell r="IAF2" t="str">
            <v>-</v>
          </cell>
          <cell r="IAG2" t="str">
            <v>-</v>
          </cell>
          <cell r="IAH2" t="str">
            <v>-</v>
          </cell>
          <cell r="IAI2" t="str">
            <v>-</v>
          </cell>
          <cell r="IAJ2" t="str">
            <v>-</v>
          </cell>
          <cell r="IAK2" t="str">
            <v>-</v>
          </cell>
          <cell r="IAL2" t="str">
            <v>-</v>
          </cell>
          <cell r="IAM2" t="str">
            <v>-</v>
          </cell>
          <cell r="IAN2" t="str">
            <v>-</v>
          </cell>
          <cell r="IAO2" t="str">
            <v>-</v>
          </cell>
          <cell r="IAP2" t="str">
            <v>-</v>
          </cell>
          <cell r="IAQ2" t="str">
            <v>-</v>
          </cell>
          <cell r="IAR2" t="str">
            <v>-</v>
          </cell>
          <cell r="IAS2" t="str">
            <v>-</v>
          </cell>
          <cell r="IAT2" t="str">
            <v>-</v>
          </cell>
          <cell r="IAU2" t="str">
            <v>-</v>
          </cell>
          <cell r="IAV2" t="str">
            <v>-</v>
          </cell>
          <cell r="IAW2" t="str">
            <v>-</v>
          </cell>
          <cell r="IAX2" t="str">
            <v>-</v>
          </cell>
          <cell r="IAY2" t="str">
            <v>-</v>
          </cell>
          <cell r="IAZ2" t="str">
            <v>-</v>
          </cell>
          <cell r="IBA2" t="str">
            <v>-</v>
          </cell>
          <cell r="IBB2" t="str">
            <v>-</v>
          </cell>
          <cell r="IBC2" t="str">
            <v>-</v>
          </cell>
          <cell r="IBD2" t="str">
            <v>-</v>
          </cell>
          <cell r="IBE2" t="str">
            <v>-</v>
          </cell>
          <cell r="IBF2" t="str">
            <v>-</v>
          </cell>
          <cell r="IBG2" t="str">
            <v>-</v>
          </cell>
          <cell r="IBH2" t="str">
            <v>-</v>
          </cell>
          <cell r="IBI2" t="str">
            <v>-</v>
          </cell>
          <cell r="IBJ2" t="str">
            <v>-</v>
          </cell>
          <cell r="IBK2" t="str">
            <v>-</v>
          </cell>
          <cell r="IBL2" t="str">
            <v>-</v>
          </cell>
          <cell r="IBM2" t="str">
            <v>-</v>
          </cell>
          <cell r="IBN2" t="str">
            <v>-</v>
          </cell>
          <cell r="IBO2" t="str">
            <v>-</v>
          </cell>
          <cell r="IBP2" t="str">
            <v>-</v>
          </cell>
          <cell r="IBQ2" t="str">
            <v>-</v>
          </cell>
          <cell r="IBR2" t="str">
            <v>-</v>
          </cell>
          <cell r="IBS2" t="str">
            <v>-</v>
          </cell>
          <cell r="IBT2" t="str">
            <v>-</v>
          </cell>
          <cell r="IBU2" t="str">
            <v>-</v>
          </cell>
          <cell r="IBV2" t="str">
            <v>-</v>
          </cell>
          <cell r="IBW2" t="str">
            <v>-</v>
          </cell>
          <cell r="IBX2" t="str">
            <v>-</v>
          </cell>
          <cell r="IBY2" t="str">
            <v>-</v>
          </cell>
          <cell r="IBZ2" t="str">
            <v>-</v>
          </cell>
          <cell r="ICA2" t="str">
            <v>-</v>
          </cell>
          <cell r="ICB2" t="str">
            <v>-</v>
          </cell>
          <cell r="ICC2" t="str">
            <v>-</v>
          </cell>
          <cell r="ICD2" t="str">
            <v>-</v>
          </cell>
          <cell r="ICE2" t="str">
            <v>-</v>
          </cell>
          <cell r="ICF2" t="str">
            <v>-</v>
          </cell>
          <cell r="ICG2" t="str">
            <v>-</v>
          </cell>
          <cell r="ICH2" t="str">
            <v>-</v>
          </cell>
          <cell r="ICI2" t="str">
            <v>-</v>
          </cell>
          <cell r="ICJ2" t="str">
            <v>-</v>
          </cell>
          <cell r="ICK2" t="str">
            <v>-</v>
          </cell>
          <cell r="ICL2" t="str">
            <v>-</v>
          </cell>
          <cell r="ICM2" t="str">
            <v>-</v>
          </cell>
          <cell r="ICN2" t="str">
            <v>-</v>
          </cell>
          <cell r="ICO2" t="str">
            <v>-</v>
          </cell>
          <cell r="ICP2" t="str">
            <v>-</v>
          </cell>
          <cell r="ICQ2" t="str">
            <v>-</v>
          </cell>
          <cell r="ICR2" t="str">
            <v>-</v>
          </cell>
          <cell r="ICS2" t="str">
            <v>-</v>
          </cell>
          <cell r="ICT2" t="str">
            <v>-</v>
          </cell>
          <cell r="ICU2" t="str">
            <v>-</v>
          </cell>
          <cell r="ICV2" t="str">
            <v>-</v>
          </cell>
          <cell r="ICW2" t="str">
            <v>-</v>
          </cell>
          <cell r="ICX2" t="str">
            <v>-</v>
          </cell>
          <cell r="ICY2" t="str">
            <v>-</v>
          </cell>
          <cell r="ICZ2" t="str">
            <v>-</v>
          </cell>
          <cell r="IDA2" t="str">
            <v>-</v>
          </cell>
          <cell r="IDB2" t="str">
            <v>-</v>
          </cell>
          <cell r="IDC2" t="str">
            <v>-</v>
          </cell>
          <cell r="IDD2" t="str">
            <v>-</v>
          </cell>
          <cell r="IDE2" t="str">
            <v>-</v>
          </cell>
          <cell r="IDF2" t="str">
            <v>-</v>
          </cell>
          <cell r="IDG2" t="str">
            <v>-</v>
          </cell>
          <cell r="IDH2" t="str">
            <v>-</v>
          </cell>
          <cell r="IDI2" t="str">
            <v>-</v>
          </cell>
          <cell r="IDJ2" t="str">
            <v>-</v>
          </cell>
          <cell r="IDK2" t="str">
            <v>-</v>
          </cell>
          <cell r="IDL2" t="str">
            <v>-</v>
          </cell>
          <cell r="IDM2" t="str">
            <v>-</v>
          </cell>
          <cell r="IDN2" t="str">
            <v>-</v>
          </cell>
          <cell r="IDO2" t="str">
            <v>-</v>
          </cell>
          <cell r="IDP2" t="str">
            <v>-</v>
          </cell>
          <cell r="IDQ2" t="str">
            <v>-</v>
          </cell>
          <cell r="IDR2" t="str">
            <v>-</v>
          </cell>
          <cell r="IDS2" t="str">
            <v>-</v>
          </cell>
          <cell r="IDT2" t="str">
            <v>-</v>
          </cell>
          <cell r="IDU2" t="str">
            <v>-</v>
          </cell>
          <cell r="IDV2" t="str">
            <v>-</v>
          </cell>
          <cell r="IDW2" t="str">
            <v>-</v>
          </cell>
          <cell r="IDX2" t="str">
            <v>-</v>
          </cell>
          <cell r="IDY2" t="str">
            <v>-</v>
          </cell>
          <cell r="IDZ2" t="str">
            <v>-</v>
          </cell>
          <cell r="IEA2" t="str">
            <v>-</v>
          </cell>
          <cell r="IEB2" t="str">
            <v>-</v>
          </cell>
          <cell r="IEC2" t="str">
            <v>-</v>
          </cell>
          <cell r="IED2" t="str">
            <v>-</v>
          </cell>
          <cell r="IEE2" t="str">
            <v>-</v>
          </cell>
          <cell r="IEF2" t="str">
            <v>-</v>
          </cell>
          <cell r="IEG2" t="str">
            <v>-</v>
          </cell>
          <cell r="IEH2" t="str">
            <v>-</v>
          </cell>
          <cell r="IEI2" t="str">
            <v>-</v>
          </cell>
          <cell r="IEJ2" t="str">
            <v>-</v>
          </cell>
          <cell r="IEK2" t="str">
            <v>-</v>
          </cell>
          <cell r="IEL2" t="str">
            <v>-</v>
          </cell>
          <cell r="IEM2" t="str">
            <v>-</v>
          </cell>
          <cell r="IEN2" t="str">
            <v>-</v>
          </cell>
          <cell r="IEO2" t="str">
            <v>-</v>
          </cell>
          <cell r="IEP2" t="str">
            <v>-</v>
          </cell>
          <cell r="IEQ2" t="str">
            <v>-</v>
          </cell>
          <cell r="IER2" t="str">
            <v>-</v>
          </cell>
          <cell r="IES2" t="str">
            <v>-</v>
          </cell>
          <cell r="IET2" t="str">
            <v>-</v>
          </cell>
          <cell r="IEU2" t="str">
            <v>-</v>
          </cell>
          <cell r="IEV2" t="str">
            <v>-</v>
          </cell>
          <cell r="IEW2" t="str">
            <v>-</v>
          </cell>
          <cell r="IEX2" t="str">
            <v>-</v>
          </cell>
          <cell r="IEY2" t="str">
            <v>-</v>
          </cell>
          <cell r="IEZ2" t="str">
            <v>-</v>
          </cell>
          <cell r="IFA2" t="str">
            <v>-</v>
          </cell>
          <cell r="IFB2" t="str">
            <v>-</v>
          </cell>
          <cell r="IFC2" t="str">
            <v>-</v>
          </cell>
          <cell r="IFD2" t="str">
            <v>-</v>
          </cell>
          <cell r="IFE2" t="str">
            <v>-</v>
          </cell>
          <cell r="IFF2" t="str">
            <v>-</v>
          </cell>
          <cell r="IFG2" t="str">
            <v>-</v>
          </cell>
          <cell r="IFH2" t="str">
            <v>-</v>
          </cell>
          <cell r="IFI2" t="str">
            <v>-</v>
          </cell>
          <cell r="IFJ2" t="str">
            <v>-</v>
          </cell>
          <cell r="IFK2" t="str">
            <v>-</v>
          </cell>
          <cell r="IFL2" t="str">
            <v>-</v>
          </cell>
          <cell r="IFM2" t="str">
            <v>-</v>
          </cell>
          <cell r="IFN2" t="str">
            <v>-</v>
          </cell>
          <cell r="IFO2" t="str">
            <v>-</v>
          </cell>
          <cell r="IFP2" t="str">
            <v>-</v>
          </cell>
          <cell r="IFQ2" t="str">
            <v>-</v>
          </cell>
          <cell r="IFR2" t="str">
            <v>-</v>
          </cell>
          <cell r="IFS2" t="str">
            <v>-</v>
          </cell>
          <cell r="IFT2" t="str">
            <v>-</v>
          </cell>
          <cell r="IFU2" t="str">
            <v>-</v>
          </cell>
          <cell r="IFV2" t="str">
            <v>-</v>
          </cell>
          <cell r="IFW2" t="str">
            <v>-</v>
          </cell>
          <cell r="IFX2" t="str">
            <v>-</v>
          </cell>
          <cell r="IFY2" t="str">
            <v>-</v>
          </cell>
          <cell r="IFZ2" t="str">
            <v>-</v>
          </cell>
          <cell r="IGA2" t="str">
            <v>-</v>
          </cell>
          <cell r="IGB2" t="str">
            <v>-</v>
          </cell>
          <cell r="IGC2" t="str">
            <v>-</v>
          </cell>
          <cell r="IGD2" t="str">
            <v>-</v>
          </cell>
          <cell r="IGE2" t="str">
            <v>-</v>
          </cell>
          <cell r="IGF2" t="str">
            <v>-</v>
          </cell>
          <cell r="IGG2" t="str">
            <v>-</v>
          </cell>
          <cell r="IGH2" t="str">
            <v>-</v>
          </cell>
          <cell r="IGI2" t="str">
            <v>-</v>
          </cell>
          <cell r="IGJ2" t="str">
            <v>-</v>
          </cell>
          <cell r="IGK2" t="str">
            <v>-</v>
          </cell>
          <cell r="IGL2" t="str">
            <v>-</v>
          </cell>
          <cell r="IGM2" t="str">
            <v>-</v>
          </cell>
          <cell r="IGN2" t="str">
            <v>-</v>
          </cell>
          <cell r="IGO2" t="str">
            <v>-</v>
          </cell>
          <cell r="IGP2" t="str">
            <v>-</v>
          </cell>
          <cell r="IGQ2" t="str">
            <v>-</v>
          </cell>
          <cell r="IGR2" t="str">
            <v>-</v>
          </cell>
          <cell r="IGS2" t="str">
            <v>-</v>
          </cell>
          <cell r="IGT2" t="str">
            <v>-</v>
          </cell>
          <cell r="IGU2" t="str">
            <v>-</v>
          </cell>
          <cell r="IGV2" t="str">
            <v>-</v>
          </cell>
          <cell r="IGW2" t="str">
            <v>-</v>
          </cell>
          <cell r="IGX2" t="str">
            <v>-</v>
          </cell>
          <cell r="IGY2" t="str">
            <v>-</v>
          </cell>
          <cell r="IGZ2" t="str">
            <v>-</v>
          </cell>
          <cell r="IHA2" t="str">
            <v>-</v>
          </cell>
          <cell r="IHB2" t="str">
            <v>-</v>
          </cell>
          <cell r="IHC2" t="str">
            <v>-</v>
          </cell>
          <cell r="IHD2" t="str">
            <v>-</v>
          </cell>
          <cell r="IHE2" t="str">
            <v>-</v>
          </cell>
          <cell r="IHF2" t="str">
            <v>-</v>
          </cell>
          <cell r="IHG2" t="str">
            <v>-</v>
          </cell>
          <cell r="IHH2" t="str">
            <v>-</v>
          </cell>
          <cell r="IHI2" t="str">
            <v>-</v>
          </cell>
          <cell r="IHJ2" t="str">
            <v>-</v>
          </cell>
          <cell r="IHK2" t="str">
            <v>-</v>
          </cell>
          <cell r="IHL2" t="str">
            <v>-</v>
          </cell>
          <cell r="IHM2" t="str">
            <v>-</v>
          </cell>
          <cell r="IHN2" t="str">
            <v>-</v>
          </cell>
          <cell r="IHO2" t="str">
            <v>-</v>
          </cell>
          <cell r="IHP2" t="str">
            <v>-</v>
          </cell>
          <cell r="IHQ2" t="str">
            <v>-</v>
          </cell>
          <cell r="IHR2" t="str">
            <v>-</v>
          </cell>
          <cell r="IHS2" t="str">
            <v>-</v>
          </cell>
          <cell r="IHT2" t="str">
            <v>-</v>
          </cell>
          <cell r="IHU2" t="str">
            <v>-</v>
          </cell>
          <cell r="IHV2" t="str">
            <v>-</v>
          </cell>
          <cell r="IHW2" t="str">
            <v>-</v>
          </cell>
          <cell r="IHX2" t="str">
            <v>-</v>
          </cell>
          <cell r="IHY2" t="str">
            <v>-</v>
          </cell>
          <cell r="IHZ2" t="str">
            <v>-</v>
          </cell>
          <cell r="IIA2" t="str">
            <v>-</v>
          </cell>
          <cell r="IIB2" t="str">
            <v>-</v>
          </cell>
          <cell r="IIC2" t="str">
            <v>-</v>
          </cell>
          <cell r="IID2" t="str">
            <v>-</v>
          </cell>
          <cell r="IIE2" t="str">
            <v>-</v>
          </cell>
          <cell r="IIF2" t="str">
            <v>-</v>
          </cell>
          <cell r="IIG2" t="str">
            <v>-</v>
          </cell>
          <cell r="IIH2" t="str">
            <v>-</v>
          </cell>
          <cell r="III2" t="str">
            <v>-</v>
          </cell>
          <cell r="IIJ2" t="str">
            <v>-</v>
          </cell>
          <cell r="IIK2" t="str">
            <v>-</v>
          </cell>
          <cell r="IIL2" t="str">
            <v>-</v>
          </cell>
          <cell r="IIM2" t="str">
            <v>-</v>
          </cell>
          <cell r="IIN2" t="str">
            <v>-</v>
          </cell>
          <cell r="IIO2" t="str">
            <v>-</v>
          </cell>
          <cell r="IIP2" t="str">
            <v>-</v>
          </cell>
          <cell r="IIQ2" t="str">
            <v>-</v>
          </cell>
          <cell r="IIR2" t="str">
            <v>-</v>
          </cell>
          <cell r="IIS2" t="str">
            <v>-</v>
          </cell>
          <cell r="IIT2" t="str">
            <v>-</v>
          </cell>
          <cell r="IIU2" t="str">
            <v>-</v>
          </cell>
          <cell r="IIV2" t="str">
            <v>-</v>
          </cell>
          <cell r="IIW2" t="str">
            <v>-</v>
          </cell>
          <cell r="IIX2" t="str">
            <v>-</v>
          </cell>
          <cell r="IIY2" t="str">
            <v>-</v>
          </cell>
          <cell r="IIZ2" t="str">
            <v>-</v>
          </cell>
          <cell r="IJA2" t="str">
            <v>-</v>
          </cell>
          <cell r="IJB2" t="str">
            <v>-</v>
          </cell>
          <cell r="IJC2" t="str">
            <v>-</v>
          </cell>
          <cell r="IJD2" t="str">
            <v>-</v>
          </cell>
          <cell r="IJE2" t="str">
            <v>-</v>
          </cell>
          <cell r="IJF2" t="str">
            <v>-</v>
          </cell>
          <cell r="IJG2" t="str">
            <v>-</v>
          </cell>
          <cell r="IJH2" t="str">
            <v>-</v>
          </cell>
          <cell r="IJI2" t="str">
            <v>-</v>
          </cell>
          <cell r="IJJ2" t="str">
            <v>-</v>
          </cell>
          <cell r="IJK2" t="str">
            <v>-</v>
          </cell>
          <cell r="IJL2" t="str">
            <v>-</v>
          </cell>
          <cell r="IJM2" t="str">
            <v>-</v>
          </cell>
          <cell r="IJN2" t="str">
            <v>-</v>
          </cell>
          <cell r="IJO2" t="str">
            <v>-</v>
          </cell>
          <cell r="IJP2" t="str">
            <v>-</v>
          </cell>
          <cell r="IJQ2" t="str">
            <v>-</v>
          </cell>
          <cell r="IJR2" t="str">
            <v>-</v>
          </cell>
          <cell r="IJS2" t="str">
            <v>-</v>
          </cell>
          <cell r="IJT2" t="str">
            <v>-</v>
          </cell>
          <cell r="IJU2" t="str">
            <v>-</v>
          </cell>
          <cell r="IJV2" t="str">
            <v>-</v>
          </cell>
          <cell r="IJW2" t="str">
            <v>-</v>
          </cell>
          <cell r="IJX2" t="str">
            <v>-</v>
          </cell>
          <cell r="IJY2" t="str">
            <v>-</v>
          </cell>
          <cell r="IJZ2" t="str">
            <v>-</v>
          </cell>
          <cell r="IKA2" t="str">
            <v>-</v>
          </cell>
          <cell r="IKB2" t="str">
            <v>-</v>
          </cell>
          <cell r="IKC2" t="str">
            <v>-</v>
          </cell>
          <cell r="IKD2" t="str">
            <v>-</v>
          </cell>
          <cell r="IKE2" t="str">
            <v>-</v>
          </cell>
          <cell r="IKF2" t="str">
            <v>-</v>
          </cell>
          <cell r="IKG2" t="str">
            <v>-</v>
          </cell>
          <cell r="IKH2" t="str">
            <v>-</v>
          </cell>
          <cell r="IKI2" t="str">
            <v>-</v>
          </cell>
          <cell r="IKJ2" t="str">
            <v>-</v>
          </cell>
          <cell r="IKK2" t="str">
            <v>-</v>
          </cell>
          <cell r="IKL2" t="str">
            <v>-</v>
          </cell>
          <cell r="IKM2" t="str">
            <v>-</v>
          </cell>
          <cell r="IKN2" t="str">
            <v>-</v>
          </cell>
          <cell r="IKO2" t="str">
            <v>-</v>
          </cell>
          <cell r="IKP2" t="str">
            <v>-</v>
          </cell>
          <cell r="IKQ2" t="str">
            <v>-</v>
          </cell>
          <cell r="IKR2" t="str">
            <v>-</v>
          </cell>
          <cell r="IKS2" t="str">
            <v>-</v>
          </cell>
          <cell r="IKT2" t="str">
            <v>-</v>
          </cell>
          <cell r="IKU2" t="str">
            <v>-</v>
          </cell>
          <cell r="IKV2" t="str">
            <v>-</v>
          </cell>
          <cell r="IKW2" t="str">
            <v>-</v>
          </cell>
          <cell r="IKX2" t="str">
            <v>-</v>
          </cell>
          <cell r="IKY2" t="str">
            <v>-</v>
          </cell>
          <cell r="IKZ2" t="str">
            <v>-</v>
          </cell>
          <cell r="ILA2" t="str">
            <v>-</v>
          </cell>
          <cell r="ILB2" t="str">
            <v>-</v>
          </cell>
          <cell r="ILC2" t="str">
            <v>-</v>
          </cell>
          <cell r="ILD2" t="str">
            <v>-</v>
          </cell>
          <cell r="ILE2" t="str">
            <v>-</v>
          </cell>
          <cell r="ILF2" t="str">
            <v>-</v>
          </cell>
          <cell r="ILG2" t="str">
            <v>-</v>
          </cell>
          <cell r="ILH2" t="str">
            <v>-</v>
          </cell>
          <cell r="ILI2" t="str">
            <v>-</v>
          </cell>
          <cell r="ILJ2" t="str">
            <v>-</v>
          </cell>
          <cell r="ILK2" t="str">
            <v>-</v>
          </cell>
          <cell r="ILL2" t="str">
            <v>-</v>
          </cell>
          <cell r="ILM2" t="str">
            <v>-</v>
          </cell>
          <cell r="ILN2" t="str">
            <v>-</v>
          </cell>
          <cell r="ILO2" t="str">
            <v>-</v>
          </cell>
          <cell r="ILP2" t="str">
            <v>-</v>
          </cell>
          <cell r="ILQ2" t="str">
            <v>-</v>
          </cell>
          <cell r="ILR2" t="str">
            <v>-</v>
          </cell>
          <cell r="ILS2" t="str">
            <v>-</v>
          </cell>
          <cell r="ILT2" t="str">
            <v>-</v>
          </cell>
          <cell r="ILU2" t="str">
            <v>-</v>
          </cell>
          <cell r="ILV2" t="str">
            <v>-</v>
          </cell>
          <cell r="ILW2" t="str">
            <v>-</v>
          </cell>
          <cell r="ILX2" t="str">
            <v>-</v>
          </cell>
          <cell r="ILY2" t="str">
            <v>-</v>
          </cell>
          <cell r="ILZ2" t="str">
            <v>-</v>
          </cell>
          <cell r="IMA2" t="str">
            <v>-</v>
          </cell>
          <cell r="IMB2" t="str">
            <v>-</v>
          </cell>
          <cell r="IMC2" t="str">
            <v>-</v>
          </cell>
          <cell r="IMD2" t="str">
            <v>-</v>
          </cell>
          <cell r="IME2" t="str">
            <v>-</v>
          </cell>
          <cell r="IMF2" t="str">
            <v>-</v>
          </cell>
          <cell r="IMG2" t="str">
            <v>-</v>
          </cell>
          <cell r="IMH2" t="str">
            <v>-</v>
          </cell>
          <cell r="IMI2" t="str">
            <v>-</v>
          </cell>
          <cell r="IMJ2" t="str">
            <v>-</v>
          </cell>
          <cell r="IMK2" t="str">
            <v>-</v>
          </cell>
          <cell r="IML2" t="str">
            <v>-</v>
          </cell>
          <cell r="IMM2" t="str">
            <v>-</v>
          </cell>
          <cell r="IMN2" t="str">
            <v>-</v>
          </cell>
          <cell r="IMO2" t="str">
            <v>-</v>
          </cell>
          <cell r="IMP2" t="str">
            <v>-</v>
          </cell>
          <cell r="IMQ2" t="str">
            <v>-</v>
          </cell>
          <cell r="IMR2" t="str">
            <v>-</v>
          </cell>
          <cell r="IMS2" t="str">
            <v>-</v>
          </cell>
          <cell r="IMT2" t="str">
            <v>-</v>
          </cell>
          <cell r="IMU2" t="str">
            <v>-</v>
          </cell>
          <cell r="IMV2" t="str">
            <v>-</v>
          </cell>
          <cell r="IMW2" t="str">
            <v>-</v>
          </cell>
          <cell r="IMX2" t="str">
            <v>-</v>
          </cell>
          <cell r="IMY2" t="str">
            <v>-</v>
          </cell>
          <cell r="IMZ2" t="str">
            <v>-</v>
          </cell>
          <cell r="INA2" t="str">
            <v>-</v>
          </cell>
          <cell r="INB2" t="str">
            <v>-</v>
          </cell>
          <cell r="INC2" t="str">
            <v>-</v>
          </cell>
          <cell r="IND2" t="str">
            <v>-</v>
          </cell>
          <cell r="INE2" t="str">
            <v>-</v>
          </cell>
          <cell r="INF2" t="str">
            <v>-</v>
          </cell>
          <cell r="ING2" t="str">
            <v>-</v>
          </cell>
          <cell r="INH2" t="str">
            <v>-</v>
          </cell>
          <cell r="INI2" t="str">
            <v>-</v>
          </cell>
          <cell r="INJ2" t="str">
            <v>-</v>
          </cell>
          <cell r="INK2" t="str">
            <v>-</v>
          </cell>
          <cell r="INL2" t="str">
            <v>-</v>
          </cell>
          <cell r="INM2" t="str">
            <v>-</v>
          </cell>
          <cell r="INN2" t="str">
            <v>-</v>
          </cell>
          <cell r="INO2" t="str">
            <v>-</v>
          </cell>
          <cell r="INP2" t="str">
            <v>-</v>
          </cell>
          <cell r="INQ2" t="str">
            <v>-</v>
          </cell>
          <cell r="INR2" t="str">
            <v>-</v>
          </cell>
          <cell r="INS2" t="str">
            <v>-</v>
          </cell>
          <cell r="INT2" t="str">
            <v>-</v>
          </cell>
          <cell r="INU2" t="str">
            <v>-</v>
          </cell>
          <cell r="INV2" t="str">
            <v>-</v>
          </cell>
          <cell r="INW2" t="str">
            <v>-</v>
          </cell>
          <cell r="INX2" t="str">
            <v>-</v>
          </cell>
          <cell r="INY2" t="str">
            <v>-</v>
          </cell>
          <cell r="INZ2" t="str">
            <v>-</v>
          </cell>
          <cell r="IOA2" t="str">
            <v>-</v>
          </cell>
          <cell r="IOB2" t="str">
            <v>-</v>
          </cell>
          <cell r="IOC2" t="str">
            <v>-</v>
          </cell>
          <cell r="IOD2" t="str">
            <v>-</v>
          </cell>
          <cell r="IOE2" t="str">
            <v>-</v>
          </cell>
          <cell r="IOF2" t="str">
            <v>-</v>
          </cell>
          <cell r="IOG2" t="str">
            <v>-</v>
          </cell>
          <cell r="IOH2" t="str">
            <v>-</v>
          </cell>
          <cell r="IOI2" t="str">
            <v>-</v>
          </cell>
          <cell r="IOJ2" t="str">
            <v>-</v>
          </cell>
          <cell r="IOK2" t="str">
            <v>-</v>
          </cell>
          <cell r="IOL2" t="str">
            <v>-</v>
          </cell>
          <cell r="IOM2" t="str">
            <v>-</v>
          </cell>
          <cell r="ION2" t="str">
            <v>-</v>
          </cell>
          <cell r="IOO2" t="str">
            <v>-</v>
          </cell>
          <cell r="IOP2" t="str">
            <v>-</v>
          </cell>
          <cell r="IOQ2" t="str">
            <v>-</v>
          </cell>
          <cell r="IOR2" t="str">
            <v>-</v>
          </cell>
          <cell r="IOS2" t="str">
            <v>-</v>
          </cell>
          <cell r="IOT2" t="str">
            <v>-</v>
          </cell>
          <cell r="IOU2" t="str">
            <v>-</v>
          </cell>
          <cell r="IOV2" t="str">
            <v>-</v>
          </cell>
          <cell r="IOW2" t="str">
            <v>-</v>
          </cell>
          <cell r="IOX2" t="str">
            <v>-</v>
          </cell>
          <cell r="IOY2" t="str">
            <v>-</v>
          </cell>
          <cell r="IOZ2" t="str">
            <v>-</v>
          </cell>
          <cell r="IPA2" t="str">
            <v>-</v>
          </cell>
          <cell r="IPB2" t="str">
            <v>-</v>
          </cell>
          <cell r="IPC2" t="str">
            <v>-</v>
          </cell>
          <cell r="IPD2" t="str">
            <v>-</v>
          </cell>
          <cell r="IPE2" t="str">
            <v>-</v>
          </cell>
          <cell r="IPF2" t="str">
            <v>-</v>
          </cell>
          <cell r="IPG2" t="str">
            <v>-</v>
          </cell>
          <cell r="IPH2" t="str">
            <v>-</v>
          </cell>
          <cell r="IPI2" t="str">
            <v>-</v>
          </cell>
          <cell r="IPJ2" t="str">
            <v>-</v>
          </cell>
          <cell r="IPK2" t="str">
            <v>-</v>
          </cell>
          <cell r="IPL2" t="str">
            <v>-</v>
          </cell>
          <cell r="IPM2" t="str">
            <v>-</v>
          </cell>
          <cell r="IPN2" t="str">
            <v>-</v>
          </cell>
          <cell r="IPO2" t="str">
            <v>-</v>
          </cell>
          <cell r="IPP2" t="str">
            <v>-</v>
          </cell>
          <cell r="IPQ2" t="str">
            <v>-</v>
          </cell>
          <cell r="IPR2" t="str">
            <v>-</v>
          </cell>
          <cell r="IPS2" t="str">
            <v>-</v>
          </cell>
          <cell r="IPT2" t="str">
            <v>-</v>
          </cell>
          <cell r="IPU2" t="str">
            <v>-</v>
          </cell>
          <cell r="IPV2" t="str">
            <v>-</v>
          </cell>
          <cell r="IPW2" t="str">
            <v>-</v>
          </cell>
          <cell r="IPX2" t="str">
            <v>-</v>
          </cell>
          <cell r="IPY2" t="str">
            <v>-</v>
          </cell>
          <cell r="IPZ2" t="str">
            <v>-</v>
          </cell>
          <cell r="IQA2" t="str">
            <v>-</v>
          </cell>
          <cell r="IQB2" t="str">
            <v>-</v>
          </cell>
          <cell r="IQC2" t="str">
            <v>-</v>
          </cell>
          <cell r="IQD2" t="str">
            <v>-</v>
          </cell>
          <cell r="IQE2" t="str">
            <v>-</v>
          </cell>
          <cell r="IQF2" t="str">
            <v>-</v>
          </cell>
          <cell r="IQG2" t="str">
            <v>-</v>
          </cell>
          <cell r="IQH2" t="str">
            <v>-</v>
          </cell>
          <cell r="IQI2" t="str">
            <v>-</v>
          </cell>
          <cell r="IQJ2" t="str">
            <v>-</v>
          </cell>
          <cell r="IQK2" t="str">
            <v>-</v>
          </cell>
          <cell r="IQL2" t="str">
            <v>-</v>
          </cell>
          <cell r="IQM2" t="str">
            <v>-</v>
          </cell>
          <cell r="IQN2" t="str">
            <v>-</v>
          </cell>
          <cell r="IQO2" t="str">
            <v>-</v>
          </cell>
          <cell r="IQP2" t="str">
            <v>-</v>
          </cell>
          <cell r="IQQ2" t="str">
            <v>-</v>
          </cell>
          <cell r="IQR2" t="str">
            <v>-</v>
          </cell>
          <cell r="IQS2" t="str">
            <v>-</v>
          </cell>
          <cell r="IQT2" t="str">
            <v>-</v>
          </cell>
          <cell r="IQU2" t="str">
            <v>-</v>
          </cell>
          <cell r="IQV2" t="str">
            <v>-</v>
          </cell>
          <cell r="IQW2" t="str">
            <v>-</v>
          </cell>
          <cell r="IQX2" t="str">
            <v>-</v>
          </cell>
          <cell r="IQY2" t="str">
            <v>-</v>
          </cell>
          <cell r="IQZ2" t="str">
            <v>-</v>
          </cell>
          <cell r="IRA2" t="str">
            <v>-</v>
          </cell>
          <cell r="IRB2" t="str">
            <v>-</v>
          </cell>
          <cell r="IRC2" t="str">
            <v>-</v>
          </cell>
          <cell r="IRD2" t="str">
            <v>-</v>
          </cell>
          <cell r="IRE2" t="str">
            <v>-</v>
          </cell>
          <cell r="IRF2" t="str">
            <v>-</v>
          </cell>
          <cell r="IRG2" t="str">
            <v>-</v>
          </cell>
          <cell r="IRH2" t="str">
            <v>-</v>
          </cell>
          <cell r="IRI2" t="str">
            <v>-</v>
          </cell>
          <cell r="IRJ2" t="str">
            <v>-</v>
          </cell>
          <cell r="IRK2" t="str">
            <v>-</v>
          </cell>
          <cell r="IRL2" t="str">
            <v>-</v>
          </cell>
          <cell r="IRM2" t="str">
            <v>-</v>
          </cell>
          <cell r="IRN2" t="str">
            <v>-</v>
          </cell>
          <cell r="IRO2" t="str">
            <v>-</v>
          </cell>
          <cell r="IRP2" t="str">
            <v>-</v>
          </cell>
          <cell r="IRQ2" t="str">
            <v>-</v>
          </cell>
          <cell r="IRR2" t="str">
            <v>-</v>
          </cell>
          <cell r="IRS2" t="str">
            <v>-</v>
          </cell>
          <cell r="IRT2" t="str">
            <v>-</v>
          </cell>
          <cell r="IRU2" t="str">
            <v>-</v>
          </cell>
          <cell r="IRV2" t="str">
            <v>-</v>
          </cell>
          <cell r="IRW2" t="str">
            <v>-</v>
          </cell>
          <cell r="IRX2" t="str">
            <v>-</v>
          </cell>
          <cell r="IRY2" t="str">
            <v>-</v>
          </cell>
          <cell r="IRZ2" t="str">
            <v>-</v>
          </cell>
          <cell r="ISA2" t="str">
            <v>-</v>
          </cell>
          <cell r="ISB2" t="str">
            <v>-</v>
          </cell>
          <cell r="ISC2" t="str">
            <v>-</v>
          </cell>
          <cell r="ISD2" t="str">
            <v>-</v>
          </cell>
          <cell r="ISE2" t="str">
            <v>-</v>
          </cell>
          <cell r="ISF2" t="str">
            <v>-</v>
          </cell>
          <cell r="ISG2" t="str">
            <v>-</v>
          </cell>
          <cell r="ISH2" t="str">
            <v>-</v>
          </cell>
          <cell r="ISI2" t="str">
            <v>-</v>
          </cell>
          <cell r="ISJ2" t="str">
            <v>-</v>
          </cell>
          <cell r="ISK2" t="str">
            <v>-</v>
          </cell>
          <cell r="ISL2" t="str">
            <v>-</v>
          </cell>
          <cell r="ISM2" t="str">
            <v>-</v>
          </cell>
          <cell r="ISN2" t="str">
            <v>-</v>
          </cell>
          <cell r="ISO2" t="str">
            <v>-</v>
          </cell>
          <cell r="ISP2" t="str">
            <v>-</v>
          </cell>
          <cell r="ISQ2" t="str">
            <v>-</v>
          </cell>
          <cell r="ISR2" t="str">
            <v>-</v>
          </cell>
          <cell r="ISS2" t="str">
            <v>-</v>
          </cell>
          <cell r="IST2" t="str">
            <v>-</v>
          </cell>
          <cell r="ISU2" t="str">
            <v>-</v>
          </cell>
          <cell r="ISV2" t="str">
            <v>-</v>
          </cell>
          <cell r="ISW2" t="str">
            <v>-</v>
          </cell>
          <cell r="ISX2" t="str">
            <v>-</v>
          </cell>
          <cell r="ISY2" t="str">
            <v>-</v>
          </cell>
          <cell r="ISZ2" t="str">
            <v>-</v>
          </cell>
          <cell r="ITA2" t="str">
            <v>-</v>
          </cell>
          <cell r="ITB2" t="str">
            <v>-</v>
          </cell>
          <cell r="ITC2" t="str">
            <v>-</v>
          </cell>
          <cell r="ITD2" t="str">
            <v>-</v>
          </cell>
          <cell r="ITE2" t="str">
            <v>-</v>
          </cell>
          <cell r="ITF2" t="str">
            <v>-</v>
          </cell>
          <cell r="ITG2" t="str">
            <v>-</v>
          </cell>
          <cell r="ITH2" t="str">
            <v>-</v>
          </cell>
          <cell r="ITI2" t="str">
            <v>-</v>
          </cell>
          <cell r="ITJ2" t="str">
            <v>-</v>
          </cell>
          <cell r="ITK2" t="str">
            <v>-</v>
          </cell>
          <cell r="ITL2" t="str">
            <v>-</v>
          </cell>
          <cell r="ITM2" t="str">
            <v>-</v>
          </cell>
          <cell r="ITN2" t="str">
            <v>-</v>
          </cell>
          <cell r="ITO2" t="str">
            <v>-</v>
          </cell>
          <cell r="ITP2" t="str">
            <v>-</v>
          </cell>
          <cell r="ITQ2" t="str">
            <v>-</v>
          </cell>
          <cell r="ITR2" t="str">
            <v>-</v>
          </cell>
          <cell r="ITS2" t="str">
            <v>-</v>
          </cell>
          <cell r="ITT2" t="str">
            <v>-</v>
          </cell>
          <cell r="ITU2" t="str">
            <v>-</v>
          </cell>
          <cell r="ITV2" t="str">
            <v>-</v>
          </cell>
          <cell r="ITW2" t="str">
            <v>-</v>
          </cell>
          <cell r="ITX2" t="str">
            <v>-</v>
          </cell>
          <cell r="ITY2" t="str">
            <v>-</v>
          </cell>
          <cell r="ITZ2" t="str">
            <v>-</v>
          </cell>
          <cell r="IUA2" t="str">
            <v>-</v>
          </cell>
          <cell r="IUB2" t="str">
            <v>-</v>
          </cell>
          <cell r="IUC2" t="str">
            <v>-</v>
          </cell>
          <cell r="IUD2" t="str">
            <v>-</v>
          </cell>
          <cell r="IUE2" t="str">
            <v>-</v>
          </cell>
          <cell r="IUF2" t="str">
            <v>-</v>
          </cell>
          <cell r="IUG2" t="str">
            <v>-</v>
          </cell>
          <cell r="IUH2" t="str">
            <v>-</v>
          </cell>
          <cell r="IUI2" t="str">
            <v>-</v>
          </cell>
          <cell r="IUJ2" t="str">
            <v>-</v>
          </cell>
          <cell r="IUK2" t="str">
            <v>-</v>
          </cell>
          <cell r="IUL2" t="str">
            <v>-</v>
          </cell>
          <cell r="IUM2" t="str">
            <v>-</v>
          </cell>
          <cell r="IUN2" t="str">
            <v>-</v>
          </cell>
          <cell r="IUO2" t="str">
            <v>-</v>
          </cell>
          <cell r="IUP2" t="str">
            <v>-</v>
          </cell>
          <cell r="IUQ2" t="str">
            <v>-</v>
          </cell>
          <cell r="IUR2" t="str">
            <v>-</v>
          </cell>
          <cell r="IUS2" t="str">
            <v>-</v>
          </cell>
          <cell r="IUT2" t="str">
            <v>-</v>
          </cell>
          <cell r="IUU2" t="str">
            <v>-</v>
          </cell>
          <cell r="IUV2" t="str">
            <v>-</v>
          </cell>
          <cell r="IUW2" t="str">
            <v>-</v>
          </cell>
          <cell r="IUX2" t="str">
            <v>-</v>
          </cell>
          <cell r="IUY2" t="str">
            <v>-</v>
          </cell>
          <cell r="IUZ2" t="str">
            <v>-</v>
          </cell>
          <cell r="IVA2" t="str">
            <v>-</v>
          </cell>
          <cell r="IVB2" t="str">
            <v>-</v>
          </cell>
          <cell r="IVC2" t="str">
            <v>-</v>
          </cell>
          <cell r="IVD2" t="str">
            <v>-</v>
          </cell>
          <cell r="IVE2" t="str">
            <v>-</v>
          </cell>
          <cell r="IVF2" t="str">
            <v>-</v>
          </cell>
          <cell r="IVG2" t="str">
            <v>-</v>
          </cell>
          <cell r="IVH2" t="str">
            <v>-</v>
          </cell>
          <cell r="IVI2" t="str">
            <v>-</v>
          </cell>
          <cell r="IVJ2" t="str">
            <v>-</v>
          </cell>
          <cell r="IVK2" t="str">
            <v>-</v>
          </cell>
          <cell r="IVL2" t="str">
            <v>-</v>
          </cell>
          <cell r="IVM2" t="str">
            <v>-</v>
          </cell>
          <cell r="IVN2" t="str">
            <v>-</v>
          </cell>
          <cell r="IVO2" t="str">
            <v>-</v>
          </cell>
          <cell r="IVP2" t="str">
            <v>-</v>
          </cell>
          <cell r="IVQ2" t="str">
            <v>-</v>
          </cell>
          <cell r="IVR2" t="str">
            <v>-</v>
          </cell>
          <cell r="IVS2" t="str">
            <v>-</v>
          </cell>
          <cell r="IVT2" t="str">
            <v>-</v>
          </cell>
          <cell r="IVU2" t="str">
            <v>-</v>
          </cell>
          <cell r="IVV2" t="str">
            <v>-</v>
          </cell>
          <cell r="IVW2" t="str">
            <v>-</v>
          </cell>
          <cell r="IVX2" t="str">
            <v>-</v>
          </cell>
          <cell r="IVY2" t="str">
            <v>-</v>
          </cell>
          <cell r="IVZ2" t="str">
            <v>-</v>
          </cell>
          <cell r="IWA2" t="str">
            <v>-</v>
          </cell>
          <cell r="IWB2" t="str">
            <v>-</v>
          </cell>
          <cell r="IWC2" t="str">
            <v>-</v>
          </cell>
          <cell r="IWD2" t="str">
            <v>-</v>
          </cell>
          <cell r="IWE2" t="str">
            <v>-</v>
          </cell>
          <cell r="IWF2" t="str">
            <v>-</v>
          </cell>
          <cell r="IWG2" t="str">
            <v>-</v>
          </cell>
          <cell r="IWH2" t="str">
            <v>-</v>
          </cell>
          <cell r="IWI2" t="str">
            <v>-</v>
          </cell>
          <cell r="IWJ2" t="str">
            <v>-</v>
          </cell>
          <cell r="IWK2" t="str">
            <v>-</v>
          </cell>
          <cell r="IWL2" t="str">
            <v>-</v>
          </cell>
          <cell r="IWM2" t="str">
            <v>-</v>
          </cell>
          <cell r="IWN2" t="str">
            <v>-</v>
          </cell>
          <cell r="IWO2" t="str">
            <v>-</v>
          </cell>
          <cell r="IWP2" t="str">
            <v>-</v>
          </cell>
          <cell r="IWQ2" t="str">
            <v>-</v>
          </cell>
          <cell r="IWR2" t="str">
            <v>-</v>
          </cell>
          <cell r="IWS2" t="str">
            <v>-</v>
          </cell>
          <cell r="IWT2" t="str">
            <v>-</v>
          </cell>
          <cell r="IWU2" t="str">
            <v>-</v>
          </cell>
          <cell r="IWV2" t="str">
            <v>-</v>
          </cell>
          <cell r="IWW2" t="str">
            <v>-</v>
          </cell>
          <cell r="IWX2" t="str">
            <v>-</v>
          </cell>
          <cell r="IWY2" t="str">
            <v>-</v>
          </cell>
          <cell r="IWZ2" t="str">
            <v>-</v>
          </cell>
          <cell r="IXA2" t="str">
            <v>-</v>
          </cell>
          <cell r="IXB2" t="str">
            <v>-</v>
          </cell>
          <cell r="IXC2" t="str">
            <v>-</v>
          </cell>
          <cell r="IXD2" t="str">
            <v>-</v>
          </cell>
          <cell r="IXE2" t="str">
            <v>-</v>
          </cell>
          <cell r="IXF2" t="str">
            <v>-</v>
          </cell>
          <cell r="IXG2" t="str">
            <v>-</v>
          </cell>
          <cell r="IXH2" t="str">
            <v>-</v>
          </cell>
          <cell r="IXI2" t="str">
            <v>-</v>
          </cell>
          <cell r="IXJ2" t="str">
            <v>-</v>
          </cell>
          <cell r="IXK2" t="str">
            <v>-</v>
          </cell>
          <cell r="IXL2" t="str">
            <v>-</v>
          </cell>
          <cell r="IXM2" t="str">
            <v>-</v>
          </cell>
          <cell r="IXN2" t="str">
            <v>-</v>
          </cell>
          <cell r="IXO2" t="str">
            <v>-</v>
          </cell>
          <cell r="IXP2" t="str">
            <v>-</v>
          </cell>
          <cell r="IXQ2" t="str">
            <v>-</v>
          </cell>
          <cell r="IXR2" t="str">
            <v>-</v>
          </cell>
          <cell r="IXS2" t="str">
            <v>-</v>
          </cell>
          <cell r="IXT2" t="str">
            <v>-</v>
          </cell>
          <cell r="IXU2" t="str">
            <v>-</v>
          </cell>
          <cell r="IXV2" t="str">
            <v>-</v>
          </cell>
          <cell r="IXW2" t="str">
            <v>-</v>
          </cell>
          <cell r="IXX2" t="str">
            <v>-</v>
          </cell>
          <cell r="IXY2" t="str">
            <v>-</v>
          </cell>
          <cell r="IXZ2" t="str">
            <v>-</v>
          </cell>
          <cell r="IYA2" t="str">
            <v>-</v>
          </cell>
          <cell r="IYB2" t="str">
            <v>-</v>
          </cell>
          <cell r="IYC2" t="str">
            <v>-</v>
          </cell>
          <cell r="IYD2" t="str">
            <v>-</v>
          </cell>
          <cell r="IYE2" t="str">
            <v>-</v>
          </cell>
          <cell r="IYF2" t="str">
            <v>-</v>
          </cell>
          <cell r="IYG2" t="str">
            <v>-</v>
          </cell>
          <cell r="IYH2" t="str">
            <v>-</v>
          </cell>
          <cell r="IYI2" t="str">
            <v>-</v>
          </cell>
          <cell r="IYJ2" t="str">
            <v>-</v>
          </cell>
          <cell r="IYK2" t="str">
            <v>-</v>
          </cell>
          <cell r="IYL2" t="str">
            <v>-</v>
          </cell>
          <cell r="IYM2" t="str">
            <v>-</v>
          </cell>
          <cell r="IYN2" t="str">
            <v>-</v>
          </cell>
          <cell r="IYO2" t="str">
            <v>-</v>
          </cell>
          <cell r="IYP2" t="str">
            <v>-</v>
          </cell>
          <cell r="IYQ2" t="str">
            <v>-</v>
          </cell>
          <cell r="IYR2" t="str">
            <v>-</v>
          </cell>
          <cell r="IYS2" t="str">
            <v>-</v>
          </cell>
          <cell r="IYT2" t="str">
            <v>-</v>
          </cell>
          <cell r="IYU2" t="str">
            <v>-</v>
          </cell>
          <cell r="IYV2" t="str">
            <v>-</v>
          </cell>
          <cell r="IYW2" t="str">
            <v>-</v>
          </cell>
          <cell r="IYX2" t="str">
            <v>-</v>
          </cell>
          <cell r="IYY2" t="str">
            <v>-</v>
          </cell>
          <cell r="IYZ2" t="str">
            <v>-</v>
          </cell>
          <cell r="IZA2" t="str">
            <v>-</v>
          </cell>
          <cell r="IZB2" t="str">
            <v>-</v>
          </cell>
          <cell r="IZC2" t="str">
            <v>-</v>
          </cell>
          <cell r="IZD2" t="str">
            <v>-</v>
          </cell>
          <cell r="IZE2" t="str">
            <v>-</v>
          </cell>
          <cell r="IZF2" t="str">
            <v>-</v>
          </cell>
          <cell r="IZG2" t="str">
            <v>-</v>
          </cell>
          <cell r="IZH2" t="str">
            <v>-</v>
          </cell>
          <cell r="IZI2" t="str">
            <v>-</v>
          </cell>
          <cell r="IZJ2" t="str">
            <v>-</v>
          </cell>
          <cell r="IZK2" t="str">
            <v>-</v>
          </cell>
          <cell r="IZL2" t="str">
            <v>-</v>
          </cell>
          <cell r="IZM2" t="str">
            <v>-</v>
          </cell>
          <cell r="IZN2" t="str">
            <v>-</v>
          </cell>
          <cell r="IZO2" t="str">
            <v>-</v>
          </cell>
          <cell r="IZP2" t="str">
            <v>-</v>
          </cell>
          <cell r="IZQ2" t="str">
            <v>-</v>
          </cell>
          <cell r="IZR2" t="str">
            <v>-</v>
          </cell>
          <cell r="IZS2" t="str">
            <v>-</v>
          </cell>
          <cell r="IZT2" t="str">
            <v>-</v>
          </cell>
          <cell r="IZU2" t="str">
            <v>-</v>
          </cell>
          <cell r="IZV2" t="str">
            <v>-</v>
          </cell>
          <cell r="IZW2" t="str">
            <v>-</v>
          </cell>
          <cell r="IZX2" t="str">
            <v>-</v>
          </cell>
          <cell r="IZY2" t="str">
            <v>-</v>
          </cell>
          <cell r="IZZ2" t="str">
            <v>-</v>
          </cell>
          <cell r="JAA2" t="str">
            <v>-</v>
          </cell>
          <cell r="JAB2" t="str">
            <v>-</v>
          </cell>
          <cell r="JAC2" t="str">
            <v>-</v>
          </cell>
          <cell r="JAD2" t="str">
            <v>-</v>
          </cell>
          <cell r="JAE2" t="str">
            <v>-</v>
          </cell>
          <cell r="JAF2" t="str">
            <v>-</v>
          </cell>
          <cell r="JAG2" t="str">
            <v>-</v>
          </cell>
          <cell r="JAH2" t="str">
            <v>-</v>
          </cell>
          <cell r="JAI2" t="str">
            <v>-</v>
          </cell>
          <cell r="JAJ2" t="str">
            <v>-</v>
          </cell>
          <cell r="JAK2" t="str">
            <v>-</v>
          </cell>
          <cell r="JAL2" t="str">
            <v>-</v>
          </cell>
          <cell r="JAM2" t="str">
            <v>-</v>
          </cell>
          <cell r="JAN2" t="str">
            <v>-</v>
          </cell>
          <cell r="JAO2" t="str">
            <v>-</v>
          </cell>
          <cell r="JAP2" t="str">
            <v>-</v>
          </cell>
          <cell r="JAQ2" t="str">
            <v>-</v>
          </cell>
          <cell r="JAR2" t="str">
            <v>-</v>
          </cell>
          <cell r="JAS2" t="str">
            <v>-</v>
          </cell>
          <cell r="JAT2" t="str">
            <v>-</v>
          </cell>
          <cell r="JAU2" t="str">
            <v>-</v>
          </cell>
          <cell r="JAV2" t="str">
            <v>-</v>
          </cell>
          <cell r="JAW2" t="str">
            <v>-</v>
          </cell>
          <cell r="JAX2" t="str">
            <v>-</v>
          </cell>
          <cell r="JAY2" t="str">
            <v>-</v>
          </cell>
          <cell r="JAZ2" t="str">
            <v>-</v>
          </cell>
          <cell r="JBA2" t="str">
            <v>-</v>
          </cell>
          <cell r="JBB2" t="str">
            <v>-</v>
          </cell>
          <cell r="JBC2" t="str">
            <v>-</v>
          </cell>
          <cell r="JBD2" t="str">
            <v>-</v>
          </cell>
          <cell r="JBE2" t="str">
            <v>-</v>
          </cell>
          <cell r="JBF2" t="str">
            <v>-</v>
          </cell>
          <cell r="JBG2" t="str">
            <v>-</v>
          </cell>
          <cell r="JBH2" t="str">
            <v>-</v>
          </cell>
          <cell r="JBI2" t="str">
            <v>-</v>
          </cell>
          <cell r="JBJ2" t="str">
            <v>-</v>
          </cell>
          <cell r="JBK2" t="str">
            <v>-</v>
          </cell>
          <cell r="JBL2" t="str">
            <v>-</v>
          </cell>
          <cell r="JBM2" t="str">
            <v>-</v>
          </cell>
          <cell r="JBN2" t="str">
            <v>-</v>
          </cell>
          <cell r="JBO2" t="str">
            <v>-</v>
          </cell>
          <cell r="JBP2" t="str">
            <v>-</v>
          </cell>
          <cell r="JBQ2" t="str">
            <v>-</v>
          </cell>
          <cell r="JBR2" t="str">
            <v>-</v>
          </cell>
          <cell r="JBS2" t="str">
            <v>-</v>
          </cell>
          <cell r="JBT2" t="str">
            <v>-</v>
          </cell>
          <cell r="JBU2" t="str">
            <v>-</v>
          </cell>
          <cell r="JBV2" t="str">
            <v>-</v>
          </cell>
          <cell r="JBW2" t="str">
            <v>-</v>
          </cell>
          <cell r="JBX2" t="str">
            <v>-</v>
          </cell>
          <cell r="JBY2" t="str">
            <v>-</v>
          </cell>
          <cell r="JBZ2" t="str">
            <v>-</v>
          </cell>
          <cell r="JCA2" t="str">
            <v>-</v>
          </cell>
          <cell r="JCB2" t="str">
            <v>-</v>
          </cell>
          <cell r="JCC2" t="str">
            <v>-</v>
          </cell>
          <cell r="JCD2" t="str">
            <v>-</v>
          </cell>
          <cell r="JCE2" t="str">
            <v>-</v>
          </cell>
          <cell r="JCF2" t="str">
            <v>-</v>
          </cell>
          <cell r="JCG2" t="str">
            <v>-</v>
          </cell>
          <cell r="JCH2" t="str">
            <v>-</v>
          </cell>
          <cell r="JCI2" t="str">
            <v>-</v>
          </cell>
          <cell r="JCJ2" t="str">
            <v>-</v>
          </cell>
          <cell r="JCK2" t="str">
            <v>-</v>
          </cell>
          <cell r="JCL2" t="str">
            <v>-</v>
          </cell>
          <cell r="JCM2" t="str">
            <v>-</v>
          </cell>
          <cell r="JCN2" t="str">
            <v>-</v>
          </cell>
          <cell r="JCO2" t="str">
            <v>-</v>
          </cell>
          <cell r="JCP2" t="str">
            <v>-</v>
          </cell>
          <cell r="JCQ2" t="str">
            <v>-</v>
          </cell>
          <cell r="JCR2" t="str">
            <v>-</v>
          </cell>
          <cell r="JCS2" t="str">
            <v>-</v>
          </cell>
          <cell r="JCT2" t="str">
            <v>-</v>
          </cell>
          <cell r="JCU2" t="str">
            <v>-</v>
          </cell>
          <cell r="JCV2" t="str">
            <v>-</v>
          </cell>
          <cell r="JCW2" t="str">
            <v>-</v>
          </cell>
          <cell r="JCX2" t="str">
            <v>-</v>
          </cell>
          <cell r="JCY2" t="str">
            <v>-</v>
          </cell>
          <cell r="JCZ2" t="str">
            <v>-</v>
          </cell>
          <cell r="JDA2" t="str">
            <v>-</v>
          </cell>
          <cell r="JDB2" t="str">
            <v>-</v>
          </cell>
          <cell r="JDC2" t="str">
            <v>-</v>
          </cell>
          <cell r="JDD2" t="str">
            <v>-</v>
          </cell>
          <cell r="JDE2" t="str">
            <v>-</v>
          </cell>
          <cell r="JDF2" t="str">
            <v>-</v>
          </cell>
          <cell r="JDG2" t="str">
            <v>-</v>
          </cell>
          <cell r="JDH2" t="str">
            <v>-</v>
          </cell>
          <cell r="JDI2" t="str">
            <v>-</v>
          </cell>
          <cell r="JDJ2" t="str">
            <v>-</v>
          </cell>
          <cell r="JDK2" t="str">
            <v>-</v>
          </cell>
          <cell r="JDL2" t="str">
            <v>-</v>
          </cell>
          <cell r="JDM2" t="str">
            <v>-</v>
          </cell>
          <cell r="JDN2" t="str">
            <v>-</v>
          </cell>
          <cell r="JDO2" t="str">
            <v>-</v>
          </cell>
          <cell r="JDP2" t="str">
            <v>-</v>
          </cell>
          <cell r="JDQ2" t="str">
            <v>-</v>
          </cell>
          <cell r="JDR2" t="str">
            <v>-</v>
          </cell>
          <cell r="JDS2" t="str">
            <v>-</v>
          </cell>
          <cell r="JDT2" t="str">
            <v>-</v>
          </cell>
          <cell r="JDU2" t="str">
            <v>-</v>
          </cell>
          <cell r="JDV2" t="str">
            <v>-</v>
          </cell>
          <cell r="JDW2" t="str">
            <v>-</v>
          </cell>
          <cell r="JDX2" t="str">
            <v>-</v>
          </cell>
          <cell r="JDY2" t="str">
            <v>-</v>
          </cell>
          <cell r="JDZ2" t="str">
            <v>-</v>
          </cell>
          <cell r="JEA2" t="str">
            <v>-</v>
          </cell>
          <cell r="JEB2" t="str">
            <v>-</v>
          </cell>
          <cell r="JEC2" t="str">
            <v>-</v>
          </cell>
          <cell r="JED2" t="str">
            <v>-</v>
          </cell>
          <cell r="JEE2" t="str">
            <v>-</v>
          </cell>
          <cell r="JEF2" t="str">
            <v>-</v>
          </cell>
          <cell r="JEG2" t="str">
            <v>-</v>
          </cell>
          <cell r="JEH2" t="str">
            <v>-</v>
          </cell>
          <cell r="JEI2" t="str">
            <v>-</v>
          </cell>
          <cell r="JEJ2" t="str">
            <v>-</v>
          </cell>
          <cell r="JEK2" t="str">
            <v>-</v>
          </cell>
          <cell r="JEL2" t="str">
            <v>-</v>
          </cell>
          <cell r="JEM2" t="str">
            <v>-</v>
          </cell>
          <cell r="JEN2" t="str">
            <v>-</v>
          </cell>
          <cell r="JEO2" t="str">
            <v>-</v>
          </cell>
          <cell r="JEP2" t="str">
            <v>-</v>
          </cell>
          <cell r="JEQ2" t="str">
            <v>-</v>
          </cell>
          <cell r="JER2" t="str">
            <v>-</v>
          </cell>
          <cell r="JES2" t="str">
            <v>-</v>
          </cell>
          <cell r="JET2" t="str">
            <v>-</v>
          </cell>
          <cell r="JEU2" t="str">
            <v>-</v>
          </cell>
          <cell r="JEV2" t="str">
            <v>-</v>
          </cell>
          <cell r="JEW2" t="str">
            <v>-</v>
          </cell>
          <cell r="JEX2" t="str">
            <v>-</v>
          </cell>
          <cell r="JEY2" t="str">
            <v>-</v>
          </cell>
          <cell r="JEZ2" t="str">
            <v>-</v>
          </cell>
          <cell r="JFA2" t="str">
            <v>-</v>
          </cell>
          <cell r="JFB2" t="str">
            <v>-</v>
          </cell>
          <cell r="JFC2" t="str">
            <v>-</v>
          </cell>
          <cell r="JFD2" t="str">
            <v>-</v>
          </cell>
          <cell r="JFE2" t="str">
            <v>-</v>
          </cell>
          <cell r="JFF2" t="str">
            <v>-</v>
          </cell>
          <cell r="JFG2" t="str">
            <v>-</v>
          </cell>
          <cell r="JFH2" t="str">
            <v>-</v>
          </cell>
          <cell r="JFI2" t="str">
            <v>-</v>
          </cell>
          <cell r="JFJ2" t="str">
            <v>-</v>
          </cell>
          <cell r="JFK2" t="str">
            <v>-</v>
          </cell>
          <cell r="JFL2" t="str">
            <v>-</v>
          </cell>
          <cell r="JFM2" t="str">
            <v>-</v>
          </cell>
          <cell r="JFN2" t="str">
            <v>-</v>
          </cell>
          <cell r="JFO2" t="str">
            <v>-</v>
          </cell>
          <cell r="JFP2" t="str">
            <v>-</v>
          </cell>
          <cell r="JFQ2" t="str">
            <v>-</v>
          </cell>
          <cell r="JFR2" t="str">
            <v>-</v>
          </cell>
          <cell r="JFS2" t="str">
            <v>-</v>
          </cell>
          <cell r="JFT2" t="str">
            <v>-</v>
          </cell>
          <cell r="JFU2" t="str">
            <v>-</v>
          </cell>
          <cell r="JFV2" t="str">
            <v>-</v>
          </cell>
          <cell r="JFW2" t="str">
            <v>-</v>
          </cell>
          <cell r="JFX2" t="str">
            <v>-</v>
          </cell>
          <cell r="JFY2" t="str">
            <v>-</v>
          </cell>
          <cell r="JFZ2" t="str">
            <v>-</v>
          </cell>
          <cell r="JGA2" t="str">
            <v>-</v>
          </cell>
          <cell r="JGB2" t="str">
            <v>-</v>
          </cell>
          <cell r="JGC2" t="str">
            <v>-</v>
          </cell>
          <cell r="JGD2" t="str">
            <v>-</v>
          </cell>
          <cell r="JGE2" t="str">
            <v>-</v>
          </cell>
          <cell r="JGF2" t="str">
            <v>-</v>
          </cell>
          <cell r="JGG2" t="str">
            <v>-</v>
          </cell>
          <cell r="JGH2" t="str">
            <v>-</v>
          </cell>
          <cell r="JGI2" t="str">
            <v>-</v>
          </cell>
          <cell r="JGJ2" t="str">
            <v>-</v>
          </cell>
          <cell r="JGK2" t="str">
            <v>-</v>
          </cell>
          <cell r="JGL2" t="str">
            <v>-</v>
          </cell>
          <cell r="JGM2" t="str">
            <v>-</v>
          </cell>
          <cell r="JGN2" t="str">
            <v>-</v>
          </cell>
          <cell r="JGO2" t="str">
            <v>-</v>
          </cell>
          <cell r="JGP2" t="str">
            <v>-</v>
          </cell>
          <cell r="JGQ2" t="str">
            <v>-</v>
          </cell>
          <cell r="JGR2" t="str">
            <v>-</v>
          </cell>
          <cell r="JGS2" t="str">
            <v>-</v>
          </cell>
          <cell r="JGT2" t="str">
            <v>-</v>
          </cell>
          <cell r="JGU2" t="str">
            <v>-</v>
          </cell>
          <cell r="JGV2" t="str">
            <v>-</v>
          </cell>
          <cell r="JGW2" t="str">
            <v>-</v>
          </cell>
          <cell r="JGX2" t="str">
            <v>-</v>
          </cell>
          <cell r="JGY2" t="str">
            <v>-</v>
          </cell>
          <cell r="JGZ2" t="str">
            <v>-</v>
          </cell>
          <cell r="JHA2" t="str">
            <v>-</v>
          </cell>
          <cell r="JHB2" t="str">
            <v>-</v>
          </cell>
          <cell r="JHC2" t="str">
            <v>-</v>
          </cell>
          <cell r="JHD2" t="str">
            <v>-</v>
          </cell>
          <cell r="JHE2" t="str">
            <v>-</v>
          </cell>
          <cell r="JHF2" t="str">
            <v>-</v>
          </cell>
          <cell r="JHG2" t="str">
            <v>-</v>
          </cell>
          <cell r="JHH2" t="str">
            <v>-</v>
          </cell>
          <cell r="JHI2" t="str">
            <v>-</v>
          </cell>
          <cell r="JHJ2" t="str">
            <v>-</v>
          </cell>
          <cell r="JHK2" t="str">
            <v>-</v>
          </cell>
          <cell r="JHL2" t="str">
            <v>-</v>
          </cell>
          <cell r="JHM2" t="str">
            <v>-</v>
          </cell>
          <cell r="JHN2" t="str">
            <v>-</v>
          </cell>
          <cell r="JHO2" t="str">
            <v>-</v>
          </cell>
          <cell r="JHP2" t="str">
            <v>-</v>
          </cell>
          <cell r="JHQ2" t="str">
            <v>-</v>
          </cell>
          <cell r="JHR2" t="str">
            <v>-</v>
          </cell>
          <cell r="JHS2" t="str">
            <v>-</v>
          </cell>
          <cell r="JHT2" t="str">
            <v>-</v>
          </cell>
          <cell r="JHU2" t="str">
            <v>-</v>
          </cell>
          <cell r="JHV2" t="str">
            <v>-</v>
          </cell>
          <cell r="JHW2" t="str">
            <v>-</v>
          </cell>
          <cell r="JHX2" t="str">
            <v>-</v>
          </cell>
          <cell r="JHY2" t="str">
            <v>-</v>
          </cell>
          <cell r="JHZ2" t="str">
            <v>-</v>
          </cell>
          <cell r="JIA2" t="str">
            <v>-</v>
          </cell>
          <cell r="JIB2" t="str">
            <v>-</v>
          </cell>
          <cell r="JIC2" t="str">
            <v>-</v>
          </cell>
          <cell r="JID2" t="str">
            <v>-</v>
          </cell>
          <cell r="JIE2" t="str">
            <v>-</v>
          </cell>
          <cell r="JIF2" t="str">
            <v>-</v>
          </cell>
          <cell r="JIG2" t="str">
            <v>-</v>
          </cell>
          <cell r="JIH2" t="str">
            <v>-</v>
          </cell>
          <cell r="JII2" t="str">
            <v>-</v>
          </cell>
          <cell r="JIJ2" t="str">
            <v>-</v>
          </cell>
          <cell r="JIK2" t="str">
            <v>-</v>
          </cell>
          <cell r="JIL2" t="str">
            <v>-</v>
          </cell>
          <cell r="JIM2" t="str">
            <v>-</v>
          </cell>
          <cell r="JIN2" t="str">
            <v>-</v>
          </cell>
          <cell r="JIO2" t="str">
            <v>-</v>
          </cell>
          <cell r="JIP2" t="str">
            <v>-</v>
          </cell>
          <cell r="JIQ2" t="str">
            <v>-</v>
          </cell>
          <cell r="JIR2" t="str">
            <v>-</v>
          </cell>
          <cell r="JIS2" t="str">
            <v>-</v>
          </cell>
          <cell r="JIT2" t="str">
            <v>-</v>
          </cell>
          <cell r="JIU2" t="str">
            <v>-</v>
          </cell>
          <cell r="JIV2" t="str">
            <v>-</v>
          </cell>
          <cell r="JIW2" t="str">
            <v>-</v>
          </cell>
          <cell r="JIX2" t="str">
            <v>-</v>
          </cell>
          <cell r="JIY2" t="str">
            <v>-</v>
          </cell>
          <cell r="JIZ2" t="str">
            <v>-</v>
          </cell>
          <cell r="JJA2" t="str">
            <v>-</v>
          </cell>
          <cell r="JJB2" t="str">
            <v>-</v>
          </cell>
          <cell r="JJC2" t="str">
            <v>-</v>
          </cell>
          <cell r="JJD2" t="str">
            <v>-</v>
          </cell>
          <cell r="JJE2" t="str">
            <v>-</v>
          </cell>
          <cell r="JJF2" t="str">
            <v>-</v>
          </cell>
          <cell r="JJG2" t="str">
            <v>-</v>
          </cell>
          <cell r="JJH2" t="str">
            <v>-</v>
          </cell>
          <cell r="JJI2" t="str">
            <v>-</v>
          </cell>
          <cell r="JJJ2" t="str">
            <v>-</v>
          </cell>
          <cell r="JJK2" t="str">
            <v>-</v>
          </cell>
          <cell r="JJL2" t="str">
            <v>-</v>
          </cell>
          <cell r="JJM2" t="str">
            <v>-</v>
          </cell>
          <cell r="JJN2" t="str">
            <v>-</v>
          </cell>
          <cell r="JJO2" t="str">
            <v>-</v>
          </cell>
          <cell r="JJP2" t="str">
            <v>-</v>
          </cell>
          <cell r="JJQ2" t="str">
            <v>-</v>
          </cell>
          <cell r="JJR2" t="str">
            <v>-</v>
          </cell>
          <cell r="JJS2" t="str">
            <v>-</v>
          </cell>
          <cell r="JJT2" t="str">
            <v>-</v>
          </cell>
          <cell r="JJU2" t="str">
            <v>-</v>
          </cell>
          <cell r="JJV2" t="str">
            <v>-</v>
          </cell>
          <cell r="JJW2" t="str">
            <v>-</v>
          </cell>
          <cell r="JJX2" t="str">
            <v>-</v>
          </cell>
          <cell r="JJY2" t="str">
            <v>-</v>
          </cell>
          <cell r="JJZ2" t="str">
            <v>-</v>
          </cell>
          <cell r="JKA2" t="str">
            <v>-</v>
          </cell>
          <cell r="JKB2" t="str">
            <v>-</v>
          </cell>
          <cell r="JKC2" t="str">
            <v>-</v>
          </cell>
          <cell r="JKD2" t="str">
            <v>-</v>
          </cell>
          <cell r="JKE2" t="str">
            <v>-</v>
          </cell>
          <cell r="JKF2" t="str">
            <v>-</v>
          </cell>
          <cell r="JKG2" t="str">
            <v>-</v>
          </cell>
          <cell r="JKH2" t="str">
            <v>-</v>
          </cell>
          <cell r="JKI2" t="str">
            <v>-</v>
          </cell>
          <cell r="JKJ2" t="str">
            <v>-</v>
          </cell>
          <cell r="JKK2" t="str">
            <v>-</v>
          </cell>
          <cell r="JKL2" t="str">
            <v>-</v>
          </cell>
          <cell r="JKM2" t="str">
            <v>-</v>
          </cell>
          <cell r="JKN2" t="str">
            <v>-</v>
          </cell>
          <cell r="JKO2" t="str">
            <v>-</v>
          </cell>
          <cell r="JKP2" t="str">
            <v>-</v>
          </cell>
          <cell r="JKQ2" t="str">
            <v>-</v>
          </cell>
          <cell r="JKR2" t="str">
            <v>-</v>
          </cell>
          <cell r="JKS2" t="str">
            <v>-</v>
          </cell>
          <cell r="JKT2" t="str">
            <v>-</v>
          </cell>
          <cell r="JKU2" t="str">
            <v>-</v>
          </cell>
          <cell r="JKV2" t="str">
            <v>-</v>
          </cell>
          <cell r="JKW2" t="str">
            <v>-</v>
          </cell>
          <cell r="JKX2" t="str">
            <v>-</v>
          </cell>
          <cell r="JKY2" t="str">
            <v>-</v>
          </cell>
          <cell r="JKZ2" t="str">
            <v>-</v>
          </cell>
          <cell r="JLA2" t="str">
            <v>-</v>
          </cell>
          <cell r="JLB2" t="str">
            <v>-</v>
          </cell>
          <cell r="JLC2" t="str">
            <v>-</v>
          </cell>
          <cell r="JLD2" t="str">
            <v>-</v>
          </cell>
          <cell r="JLE2" t="str">
            <v>-</v>
          </cell>
          <cell r="JLF2" t="str">
            <v>-</v>
          </cell>
          <cell r="JLG2" t="str">
            <v>-</v>
          </cell>
          <cell r="JLH2" t="str">
            <v>-</v>
          </cell>
          <cell r="JLI2" t="str">
            <v>-</v>
          </cell>
          <cell r="JLJ2" t="str">
            <v>-</v>
          </cell>
          <cell r="JLK2" t="str">
            <v>-</v>
          </cell>
          <cell r="JLL2" t="str">
            <v>-</v>
          </cell>
          <cell r="JLM2" t="str">
            <v>-</v>
          </cell>
          <cell r="JLN2" t="str">
            <v>-</v>
          </cell>
          <cell r="JLO2" t="str">
            <v>-</v>
          </cell>
          <cell r="JLP2" t="str">
            <v>-</v>
          </cell>
          <cell r="JLQ2" t="str">
            <v>-</v>
          </cell>
          <cell r="JLR2" t="str">
            <v>-</v>
          </cell>
          <cell r="JLS2" t="str">
            <v>-</v>
          </cell>
          <cell r="JLT2" t="str">
            <v>-</v>
          </cell>
          <cell r="JLU2" t="str">
            <v>-</v>
          </cell>
          <cell r="JLV2" t="str">
            <v>-</v>
          </cell>
          <cell r="JLW2" t="str">
            <v>-</v>
          </cell>
          <cell r="JLX2" t="str">
            <v>-</v>
          </cell>
          <cell r="JLY2" t="str">
            <v>-</v>
          </cell>
          <cell r="JLZ2" t="str">
            <v>-</v>
          </cell>
          <cell r="JMA2" t="str">
            <v>-</v>
          </cell>
          <cell r="JMB2" t="str">
            <v>-</v>
          </cell>
          <cell r="JMC2" t="str">
            <v>-</v>
          </cell>
          <cell r="JMD2" t="str">
            <v>-</v>
          </cell>
          <cell r="JME2" t="str">
            <v>-</v>
          </cell>
          <cell r="JMF2" t="str">
            <v>-</v>
          </cell>
          <cell r="JMG2" t="str">
            <v>-</v>
          </cell>
          <cell r="JMH2" t="str">
            <v>-</v>
          </cell>
          <cell r="JMI2" t="str">
            <v>-</v>
          </cell>
          <cell r="JMJ2" t="str">
            <v>-</v>
          </cell>
          <cell r="JMK2" t="str">
            <v>-</v>
          </cell>
          <cell r="JML2" t="str">
            <v>-</v>
          </cell>
          <cell r="JMM2" t="str">
            <v>-</v>
          </cell>
          <cell r="JMN2" t="str">
            <v>-</v>
          </cell>
          <cell r="JMO2" t="str">
            <v>-</v>
          </cell>
          <cell r="JMP2" t="str">
            <v>-</v>
          </cell>
          <cell r="JMQ2" t="str">
            <v>-</v>
          </cell>
          <cell r="JMR2" t="str">
            <v>-</v>
          </cell>
          <cell r="JMS2" t="str">
            <v>-</v>
          </cell>
          <cell r="JMT2" t="str">
            <v>-</v>
          </cell>
          <cell r="JMU2" t="str">
            <v>-</v>
          </cell>
          <cell r="JMV2" t="str">
            <v>-</v>
          </cell>
          <cell r="JMW2" t="str">
            <v>-</v>
          </cell>
          <cell r="JMX2" t="str">
            <v>-</v>
          </cell>
          <cell r="JMY2" t="str">
            <v>-</v>
          </cell>
          <cell r="JMZ2" t="str">
            <v>-</v>
          </cell>
          <cell r="JNA2" t="str">
            <v>-</v>
          </cell>
          <cell r="JNB2" t="str">
            <v>-</v>
          </cell>
          <cell r="JNC2" t="str">
            <v>-</v>
          </cell>
          <cell r="JND2" t="str">
            <v>-</v>
          </cell>
          <cell r="JNE2" t="str">
            <v>-</v>
          </cell>
          <cell r="JNF2" t="str">
            <v>-</v>
          </cell>
          <cell r="JNG2" t="str">
            <v>-</v>
          </cell>
          <cell r="JNH2" t="str">
            <v>-</v>
          </cell>
          <cell r="JNI2" t="str">
            <v>-</v>
          </cell>
          <cell r="JNJ2" t="str">
            <v>-</v>
          </cell>
          <cell r="JNK2" t="str">
            <v>-</v>
          </cell>
          <cell r="JNL2" t="str">
            <v>-</v>
          </cell>
          <cell r="JNM2" t="str">
            <v>-</v>
          </cell>
          <cell r="JNN2" t="str">
            <v>-</v>
          </cell>
          <cell r="JNO2" t="str">
            <v>-</v>
          </cell>
          <cell r="JNP2" t="str">
            <v>-</v>
          </cell>
          <cell r="JNQ2" t="str">
            <v>-</v>
          </cell>
          <cell r="JNR2" t="str">
            <v>-</v>
          </cell>
          <cell r="JNS2" t="str">
            <v>-</v>
          </cell>
          <cell r="JNT2" t="str">
            <v>-</v>
          </cell>
          <cell r="JNU2" t="str">
            <v>-</v>
          </cell>
          <cell r="JNV2" t="str">
            <v>-</v>
          </cell>
          <cell r="JNW2" t="str">
            <v>-</v>
          </cell>
          <cell r="JNX2" t="str">
            <v>-</v>
          </cell>
          <cell r="JNY2" t="str">
            <v>-</v>
          </cell>
          <cell r="JNZ2" t="str">
            <v>-</v>
          </cell>
          <cell r="JOA2" t="str">
            <v>-</v>
          </cell>
          <cell r="JOB2" t="str">
            <v>-</v>
          </cell>
          <cell r="JOC2" t="str">
            <v>-</v>
          </cell>
          <cell r="JOD2" t="str">
            <v>-</v>
          </cell>
          <cell r="JOE2" t="str">
            <v>-</v>
          </cell>
          <cell r="JOF2" t="str">
            <v>-</v>
          </cell>
          <cell r="JOG2" t="str">
            <v>-</v>
          </cell>
          <cell r="JOH2" t="str">
            <v>-</v>
          </cell>
          <cell r="JOI2" t="str">
            <v>-</v>
          </cell>
          <cell r="JOJ2" t="str">
            <v>-</v>
          </cell>
          <cell r="JOK2" t="str">
            <v>-</v>
          </cell>
          <cell r="JOL2" t="str">
            <v>-</v>
          </cell>
          <cell r="JOM2" t="str">
            <v>-</v>
          </cell>
          <cell r="JON2" t="str">
            <v>-</v>
          </cell>
          <cell r="JOO2" t="str">
            <v>-</v>
          </cell>
          <cell r="JOP2" t="str">
            <v>-</v>
          </cell>
          <cell r="JOQ2" t="str">
            <v>-</v>
          </cell>
          <cell r="JOR2" t="str">
            <v>-</v>
          </cell>
          <cell r="JOS2" t="str">
            <v>-</v>
          </cell>
          <cell r="JOT2" t="str">
            <v>-</v>
          </cell>
          <cell r="JOU2" t="str">
            <v>-</v>
          </cell>
          <cell r="JOV2" t="str">
            <v>-</v>
          </cell>
          <cell r="JOW2" t="str">
            <v>-</v>
          </cell>
          <cell r="JOX2" t="str">
            <v>-</v>
          </cell>
          <cell r="JOY2" t="str">
            <v>-</v>
          </cell>
          <cell r="JOZ2" t="str">
            <v>-</v>
          </cell>
          <cell r="JPA2" t="str">
            <v>-</v>
          </cell>
          <cell r="JPB2" t="str">
            <v>-</v>
          </cell>
          <cell r="JPC2" t="str">
            <v>-</v>
          </cell>
          <cell r="JPD2" t="str">
            <v>-</v>
          </cell>
          <cell r="JPE2" t="str">
            <v>-</v>
          </cell>
          <cell r="JPF2" t="str">
            <v>-</v>
          </cell>
          <cell r="JPG2" t="str">
            <v>-</v>
          </cell>
          <cell r="JPH2" t="str">
            <v>-</v>
          </cell>
          <cell r="JPI2" t="str">
            <v>-</v>
          </cell>
          <cell r="JPJ2" t="str">
            <v>-</v>
          </cell>
          <cell r="JPK2" t="str">
            <v>-</v>
          </cell>
          <cell r="JPL2" t="str">
            <v>-</v>
          </cell>
          <cell r="JPM2" t="str">
            <v>-</v>
          </cell>
          <cell r="JPN2" t="str">
            <v>-</v>
          </cell>
          <cell r="JPO2" t="str">
            <v>-</v>
          </cell>
          <cell r="JPP2" t="str">
            <v>-</v>
          </cell>
          <cell r="JPQ2" t="str">
            <v>-</v>
          </cell>
          <cell r="JPR2" t="str">
            <v>-</v>
          </cell>
          <cell r="JPS2" t="str">
            <v>-</v>
          </cell>
          <cell r="JPT2" t="str">
            <v>-</v>
          </cell>
          <cell r="JPU2" t="str">
            <v>-</v>
          </cell>
          <cell r="JPV2" t="str">
            <v>-</v>
          </cell>
          <cell r="JPW2" t="str">
            <v>-</v>
          </cell>
          <cell r="JPX2" t="str">
            <v>-</v>
          </cell>
          <cell r="JPY2" t="str">
            <v>-</v>
          </cell>
          <cell r="JPZ2" t="str">
            <v>-</v>
          </cell>
          <cell r="JQA2" t="str">
            <v>-</v>
          </cell>
          <cell r="JQB2" t="str">
            <v>-</v>
          </cell>
          <cell r="JQC2" t="str">
            <v>-</v>
          </cell>
          <cell r="JQD2" t="str">
            <v>-</v>
          </cell>
          <cell r="JQE2" t="str">
            <v>-</v>
          </cell>
          <cell r="JQF2" t="str">
            <v>-</v>
          </cell>
          <cell r="JQG2" t="str">
            <v>-</v>
          </cell>
          <cell r="JQH2" t="str">
            <v>-</v>
          </cell>
          <cell r="JQI2" t="str">
            <v>-</v>
          </cell>
          <cell r="JQJ2" t="str">
            <v>-</v>
          </cell>
          <cell r="JQK2" t="str">
            <v>-</v>
          </cell>
          <cell r="JQL2" t="str">
            <v>-</v>
          </cell>
          <cell r="JQM2" t="str">
            <v>-</v>
          </cell>
          <cell r="JQN2" t="str">
            <v>-</v>
          </cell>
          <cell r="JQO2" t="str">
            <v>-</v>
          </cell>
          <cell r="JQP2" t="str">
            <v>-</v>
          </cell>
          <cell r="JQQ2" t="str">
            <v>-</v>
          </cell>
          <cell r="JQR2" t="str">
            <v>-</v>
          </cell>
          <cell r="JQS2" t="str">
            <v>-</v>
          </cell>
          <cell r="JQT2" t="str">
            <v>-</v>
          </cell>
          <cell r="JQU2" t="str">
            <v>-</v>
          </cell>
          <cell r="JQV2" t="str">
            <v>-</v>
          </cell>
          <cell r="JQW2" t="str">
            <v>-</v>
          </cell>
          <cell r="JQX2" t="str">
            <v>-</v>
          </cell>
          <cell r="JQY2" t="str">
            <v>-</v>
          </cell>
          <cell r="JQZ2" t="str">
            <v>-</v>
          </cell>
          <cell r="JRA2" t="str">
            <v>-</v>
          </cell>
          <cell r="JRB2" t="str">
            <v>-</v>
          </cell>
          <cell r="JRC2" t="str">
            <v>-</v>
          </cell>
          <cell r="JRD2" t="str">
            <v>-</v>
          </cell>
          <cell r="JRE2" t="str">
            <v>-</v>
          </cell>
          <cell r="JRF2" t="str">
            <v>-</v>
          </cell>
          <cell r="JRG2" t="str">
            <v>-</v>
          </cell>
          <cell r="JRH2" t="str">
            <v>-</v>
          </cell>
          <cell r="JRI2" t="str">
            <v>-</v>
          </cell>
          <cell r="JRJ2" t="str">
            <v>-</v>
          </cell>
          <cell r="JRK2" t="str">
            <v>-</v>
          </cell>
          <cell r="JRL2" t="str">
            <v>-</v>
          </cell>
          <cell r="JRM2" t="str">
            <v>-</v>
          </cell>
          <cell r="JRN2" t="str">
            <v>-</v>
          </cell>
          <cell r="JRO2" t="str">
            <v>-</v>
          </cell>
          <cell r="JRP2" t="str">
            <v>-</v>
          </cell>
          <cell r="JRQ2" t="str">
            <v>-</v>
          </cell>
          <cell r="JRR2" t="str">
            <v>-</v>
          </cell>
          <cell r="JRS2" t="str">
            <v>-</v>
          </cell>
          <cell r="JRT2" t="str">
            <v>-</v>
          </cell>
          <cell r="JRU2" t="str">
            <v>-</v>
          </cell>
          <cell r="JRV2" t="str">
            <v>-</v>
          </cell>
          <cell r="JRW2" t="str">
            <v>-</v>
          </cell>
          <cell r="JRX2" t="str">
            <v>-</v>
          </cell>
          <cell r="JRY2" t="str">
            <v>-</v>
          </cell>
          <cell r="JRZ2" t="str">
            <v>-</v>
          </cell>
          <cell r="JSA2" t="str">
            <v>-</v>
          </cell>
          <cell r="JSB2" t="str">
            <v>-</v>
          </cell>
          <cell r="JSC2" t="str">
            <v>-</v>
          </cell>
          <cell r="JSD2" t="str">
            <v>-</v>
          </cell>
          <cell r="JSE2" t="str">
            <v>-</v>
          </cell>
          <cell r="JSF2" t="str">
            <v>-</v>
          </cell>
          <cell r="JSG2" t="str">
            <v>-</v>
          </cell>
          <cell r="JSH2" t="str">
            <v>-</v>
          </cell>
          <cell r="JSI2" t="str">
            <v>-</v>
          </cell>
          <cell r="JSJ2" t="str">
            <v>-</v>
          </cell>
          <cell r="JSK2" t="str">
            <v>-</v>
          </cell>
          <cell r="JSL2" t="str">
            <v>-</v>
          </cell>
          <cell r="JSM2" t="str">
            <v>-</v>
          </cell>
          <cell r="JSN2" t="str">
            <v>-</v>
          </cell>
          <cell r="JSO2" t="str">
            <v>-</v>
          </cell>
          <cell r="JSP2" t="str">
            <v>-</v>
          </cell>
          <cell r="JSQ2" t="str">
            <v>-</v>
          </cell>
          <cell r="JSR2" t="str">
            <v>-</v>
          </cell>
          <cell r="JSS2" t="str">
            <v>-</v>
          </cell>
          <cell r="JST2" t="str">
            <v>-</v>
          </cell>
          <cell r="JSU2" t="str">
            <v>-</v>
          </cell>
          <cell r="JSV2" t="str">
            <v>-</v>
          </cell>
          <cell r="JSW2" t="str">
            <v>-</v>
          </cell>
          <cell r="JSX2" t="str">
            <v>-</v>
          </cell>
          <cell r="JSY2" t="str">
            <v>-</v>
          </cell>
          <cell r="JSZ2" t="str">
            <v>-</v>
          </cell>
          <cell r="JTA2" t="str">
            <v>-</v>
          </cell>
          <cell r="JTB2" t="str">
            <v>-</v>
          </cell>
          <cell r="JTC2" t="str">
            <v>-</v>
          </cell>
          <cell r="JTD2" t="str">
            <v>-</v>
          </cell>
          <cell r="JTE2" t="str">
            <v>-</v>
          </cell>
          <cell r="JTF2" t="str">
            <v>-</v>
          </cell>
          <cell r="JTG2" t="str">
            <v>-</v>
          </cell>
          <cell r="JTH2" t="str">
            <v>-</v>
          </cell>
          <cell r="JTI2" t="str">
            <v>-</v>
          </cell>
          <cell r="JTJ2" t="str">
            <v>-</v>
          </cell>
          <cell r="JTK2" t="str">
            <v>-</v>
          </cell>
          <cell r="JTL2" t="str">
            <v>-</v>
          </cell>
          <cell r="JTM2" t="str">
            <v>-</v>
          </cell>
          <cell r="JTN2" t="str">
            <v>-</v>
          </cell>
          <cell r="JTO2" t="str">
            <v>-</v>
          </cell>
          <cell r="JTP2" t="str">
            <v>-</v>
          </cell>
          <cell r="JTQ2" t="str">
            <v>-</v>
          </cell>
          <cell r="JTR2" t="str">
            <v>-</v>
          </cell>
          <cell r="JTS2" t="str">
            <v>-</v>
          </cell>
          <cell r="JTT2" t="str">
            <v>-</v>
          </cell>
          <cell r="JTU2" t="str">
            <v>-</v>
          </cell>
          <cell r="JTV2" t="str">
            <v>-</v>
          </cell>
          <cell r="JTW2" t="str">
            <v>-</v>
          </cell>
          <cell r="JTX2" t="str">
            <v>-</v>
          </cell>
          <cell r="JTY2" t="str">
            <v>-</v>
          </cell>
          <cell r="JTZ2" t="str">
            <v>-</v>
          </cell>
          <cell r="JUA2" t="str">
            <v>-</v>
          </cell>
          <cell r="JUB2" t="str">
            <v>-</v>
          </cell>
          <cell r="JUC2" t="str">
            <v>-</v>
          </cell>
          <cell r="JUD2" t="str">
            <v>-</v>
          </cell>
          <cell r="JUE2" t="str">
            <v>-</v>
          </cell>
          <cell r="JUF2" t="str">
            <v>-</v>
          </cell>
          <cell r="JUG2" t="str">
            <v>-</v>
          </cell>
          <cell r="JUH2" t="str">
            <v>-</v>
          </cell>
          <cell r="JUI2" t="str">
            <v>-</v>
          </cell>
          <cell r="JUJ2" t="str">
            <v>-</v>
          </cell>
          <cell r="JUK2" t="str">
            <v>-</v>
          </cell>
          <cell r="JUL2" t="str">
            <v>-</v>
          </cell>
          <cell r="JUM2" t="str">
            <v>-</v>
          </cell>
          <cell r="JUN2" t="str">
            <v>-</v>
          </cell>
          <cell r="JUO2" t="str">
            <v>-</v>
          </cell>
          <cell r="JUP2" t="str">
            <v>-</v>
          </cell>
          <cell r="JUQ2" t="str">
            <v>-</v>
          </cell>
          <cell r="JUR2" t="str">
            <v>-</v>
          </cell>
          <cell r="JUS2" t="str">
            <v>-</v>
          </cell>
          <cell r="JUT2" t="str">
            <v>-</v>
          </cell>
          <cell r="JUU2" t="str">
            <v>-</v>
          </cell>
          <cell r="JUV2" t="str">
            <v>-</v>
          </cell>
          <cell r="JUW2" t="str">
            <v>-</v>
          </cell>
          <cell r="JUX2" t="str">
            <v>-</v>
          </cell>
          <cell r="JUY2" t="str">
            <v>-</v>
          </cell>
          <cell r="JUZ2" t="str">
            <v>-</v>
          </cell>
          <cell r="JVA2" t="str">
            <v>-</v>
          </cell>
          <cell r="JVB2" t="str">
            <v>-</v>
          </cell>
          <cell r="JVC2" t="str">
            <v>-</v>
          </cell>
          <cell r="JVD2" t="str">
            <v>-</v>
          </cell>
          <cell r="JVE2" t="str">
            <v>-</v>
          </cell>
          <cell r="JVF2" t="str">
            <v>-</v>
          </cell>
          <cell r="JVG2" t="str">
            <v>-</v>
          </cell>
          <cell r="JVH2" t="str">
            <v>-</v>
          </cell>
          <cell r="JVI2" t="str">
            <v>-</v>
          </cell>
          <cell r="JVJ2" t="str">
            <v>-</v>
          </cell>
          <cell r="JVK2" t="str">
            <v>-</v>
          </cell>
          <cell r="JVL2" t="str">
            <v>-</v>
          </cell>
          <cell r="JVM2" t="str">
            <v>-</v>
          </cell>
          <cell r="JVN2" t="str">
            <v>-</v>
          </cell>
          <cell r="JVO2" t="str">
            <v>-</v>
          </cell>
          <cell r="JVP2" t="str">
            <v>-</v>
          </cell>
          <cell r="JVQ2" t="str">
            <v>-</v>
          </cell>
          <cell r="JVR2" t="str">
            <v>-</v>
          </cell>
          <cell r="JVS2" t="str">
            <v>-</v>
          </cell>
          <cell r="JVT2" t="str">
            <v>-</v>
          </cell>
          <cell r="JVU2" t="str">
            <v>-</v>
          </cell>
          <cell r="JVV2" t="str">
            <v>-</v>
          </cell>
          <cell r="JVW2" t="str">
            <v>-</v>
          </cell>
          <cell r="JVX2" t="str">
            <v>-</v>
          </cell>
          <cell r="JVY2" t="str">
            <v>-</v>
          </cell>
          <cell r="JVZ2" t="str">
            <v>-</v>
          </cell>
          <cell r="JWA2" t="str">
            <v>-</v>
          </cell>
          <cell r="JWB2" t="str">
            <v>-</v>
          </cell>
          <cell r="JWC2" t="str">
            <v>-</v>
          </cell>
          <cell r="JWD2" t="str">
            <v>-</v>
          </cell>
          <cell r="JWE2" t="str">
            <v>-</v>
          </cell>
          <cell r="JWF2" t="str">
            <v>-</v>
          </cell>
          <cell r="JWG2" t="str">
            <v>-</v>
          </cell>
          <cell r="JWH2" t="str">
            <v>-</v>
          </cell>
          <cell r="JWI2" t="str">
            <v>-</v>
          </cell>
          <cell r="JWJ2" t="str">
            <v>-</v>
          </cell>
          <cell r="JWK2" t="str">
            <v>-</v>
          </cell>
          <cell r="JWL2" t="str">
            <v>-</v>
          </cell>
          <cell r="JWM2" t="str">
            <v>-</v>
          </cell>
          <cell r="JWN2" t="str">
            <v>-</v>
          </cell>
          <cell r="JWO2" t="str">
            <v>-</v>
          </cell>
          <cell r="JWP2" t="str">
            <v>-</v>
          </cell>
          <cell r="JWQ2" t="str">
            <v>-</v>
          </cell>
          <cell r="JWR2" t="str">
            <v>-</v>
          </cell>
          <cell r="JWS2" t="str">
            <v>-</v>
          </cell>
          <cell r="JWT2" t="str">
            <v>-</v>
          </cell>
          <cell r="JWU2" t="str">
            <v>-</v>
          </cell>
          <cell r="JWV2" t="str">
            <v>-</v>
          </cell>
          <cell r="JWW2" t="str">
            <v>-</v>
          </cell>
          <cell r="JWX2" t="str">
            <v>-</v>
          </cell>
          <cell r="JWY2" t="str">
            <v>-</v>
          </cell>
          <cell r="JWZ2" t="str">
            <v>-</v>
          </cell>
          <cell r="JXA2" t="str">
            <v>-</v>
          </cell>
          <cell r="JXB2" t="str">
            <v>-</v>
          </cell>
          <cell r="JXC2" t="str">
            <v>-</v>
          </cell>
          <cell r="JXD2" t="str">
            <v>-</v>
          </cell>
          <cell r="JXE2" t="str">
            <v>-</v>
          </cell>
          <cell r="JXF2" t="str">
            <v>-</v>
          </cell>
          <cell r="JXG2" t="str">
            <v>-</v>
          </cell>
          <cell r="JXH2" t="str">
            <v>-</v>
          </cell>
          <cell r="JXI2" t="str">
            <v>-</v>
          </cell>
          <cell r="JXJ2" t="str">
            <v>-</v>
          </cell>
          <cell r="JXK2" t="str">
            <v>-</v>
          </cell>
          <cell r="JXL2" t="str">
            <v>-</v>
          </cell>
          <cell r="JXM2" t="str">
            <v>-</v>
          </cell>
          <cell r="JXN2" t="str">
            <v>-</v>
          </cell>
          <cell r="JXO2" t="str">
            <v>-</v>
          </cell>
          <cell r="JXP2" t="str">
            <v>-</v>
          </cell>
          <cell r="JXQ2" t="str">
            <v>-</v>
          </cell>
          <cell r="JXR2" t="str">
            <v>-</v>
          </cell>
          <cell r="JXS2" t="str">
            <v>-</v>
          </cell>
          <cell r="JXT2" t="str">
            <v>-</v>
          </cell>
          <cell r="JXU2" t="str">
            <v>-</v>
          </cell>
          <cell r="JXV2" t="str">
            <v>-</v>
          </cell>
          <cell r="JXW2" t="str">
            <v>-</v>
          </cell>
          <cell r="JXX2" t="str">
            <v>-</v>
          </cell>
          <cell r="JXY2" t="str">
            <v>-</v>
          </cell>
          <cell r="JXZ2" t="str">
            <v>-</v>
          </cell>
          <cell r="JYA2" t="str">
            <v>-</v>
          </cell>
          <cell r="JYB2" t="str">
            <v>-</v>
          </cell>
          <cell r="JYC2" t="str">
            <v>-</v>
          </cell>
          <cell r="JYD2" t="str">
            <v>-</v>
          </cell>
          <cell r="JYE2" t="str">
            <v>-</v>
          </cell>
          <cell r="JYF2" t="str">
            <v>-</v>
          </cell>
          <cell r="JYG2" t="str">
            <v>-</v>
          </cell>
          <cell r="JYH2" t="str">
            <v>-</v>
          </cell>
          <cell r="JYI2" t="str">
            <v>-</v>
          </cell>
          <cell r="JYJ2" t="str">
            <v>-</v>
          </cell>
          <cell r="JYK2" t="str">
            <v>-</v>
          </cell>
          <cell r="JYL2" t="str">
            <v>-</v>
          </cell>
          <cell r="JYM2" t="str">
            <v>-</v>
          </cell>
          <cell r="JYN2" t="str">
            <v>-</v>
          </cell>
          <cell r="JYO2" t="str">
            <v>-</v>
          </cell>
          <cell r="JYP2" t="str">
            <v>-</v>
          </cell>
          <cell r="JYQ2" t="str">
            <v>-</v>
          </cell>
          <cell r="JYR2" t="str">
            <v>-</v>
          </cell>
          <cell r="JYS2" t="str">
            <v>-</v>
          </cell>
          <cell r="JYT2" t="str">
            <v>-</v>
          </cell>
          <cell r="JYU2" t="str">
            <v>-</v>
          </cell>
          <cell r="JYV2" t="str">
            <v>-</v>
          </cell>
          <cell r="JYW2" t="str">
            <v>-</v>
          </cell>
          <cell r="JYX2" t="str">
            <v>-</v>
          </cell>
          <cell r="JYY2" t="str">
            <v>-</v>
          </cell>
          <cell r="JYZ2" t="str">
            <v>-</v>
          </cell>
          <cell r="JZA2" t="str">
            <v>-</v>
          </cell>
          <cell r="JZB2" t="str">
            <v>-</v>
          </cell>
          <cell r="JZC2" t="str">
            <v>-</v>
          </cell>
          <cell r="JZD2" t="str">
            <v>-</v>
          </cell>
          <cell r="JZE2" t="str">
            <v>-</v>
          </cell>
          <cell r="JZF2" t="str">
            <v>-</v>
          </cell>
          <cell r="JZG2" t="str">
            <v>-</v>
          </cell>
          <cell r="JZH2" t="str">
            <v>-</v>
          </cell>
          <cell r="JZI2" t="str">
            <v>-</v>
          </cell>
          <cell r="JZJ2" t="str">
            <v>-</v>
          </cell>
          <cell r="JZK2" t="str">
            <v>-</v>
          </cell>
          <cell r="JZL2" t="str">
            <v>-</v>
          </cell>
          <cell r="JZM2" t="str">
            <v>-</v>
          </cell>
          <cell r="JZN2" t="str">
            <v>-</v>
          </cell>
          <cell r="JZO2" t="str">
            <v>-</v>
          </cell>
          <cell r="JZP2" t="str">
            <v>-</v>
          </cell>
          <cell r="JZQ2" t="str">
            <v>-</v>
          </cell>
          <cell r="JZR2" t="str">
            <v>-</v>
          </cell>
          <cell r="JZS2" t="str">
            <v>-</v>
          </cell>
          <cell r="JZT2" t="str">
            <v>-</v>
          </cell>
          <cell r="JZU2" t="str">
            <v>-</v>
          </cell>
          <cell r="JZV2" t="str">
            <v>-</v>
          </cell>
          <cell r="JZW2" t="str">
            <v>-</v>
          </cell>
          <cell r="JZX2" t="str">
            <v>-</v>
          </cell>
          <cell r="JZY2" t="str">
            <v>-</v>
          </cell>
          <cell r="JZZ2" t="str">
            <v>-</v>
          </cell>
          <cell r="KAA2" t="str">
            <v>-</v>
          </cell>
          <cell r="KAB2" t="str">
            <v>-</v>
          </cell>
          <cell r="KAC2" t="str">
            <v>-</v>
          </cell>
          <cell r="KAD2" t="str">
            <v>-</v>
          </cell>
          <cell r="KAE2" t="str">
            <v>-</v>
          </cell>
          <cell r="KAF2" t="str">
            <v>-</v>
          </cell>
          <cell r="KAG2" t="str">
            <v>-</v>
          </cell>
          <cell r="KAH2" t="str">
            <v>-</v>
          </cell>
          <cell r="KAI2" t="str">
            <v>-</v>
          </cell>
          <cell r="KAJ2" t="str">
            <v>-</v>
          </cell>
          <cell r="KAK2" t="str">
            <v>-</v>
          </cell>
          <cell r="KAL2" t="str">
            <v>-</v>
          </cell>
          <cell r="KAM2" t="str">
            <v>-</v>
          </cell>
          <cell r="KAN2" t="str">
            <v>-</v>
          </cell>
          <cell r="KAO2" t="str">
            <v>-</v>
          </cell>
          <cell r="KAP2" t="str">
            <v>-</v>
          </cell>
          <cell r="KAQ2" t="str">
            <v>-</v>
          </cell>
          <cell r="KAR2" t="str">
            <v>-</v>
          </cell>
          <cell r="KAS2" t="str">
            <v>-</v>
          </cell>
          <cell r="KAT2" t="str">
            <v>-</v>
          </cell>
          <cell r="KAU2" t="str">
            <v>-</v>
          </cell>
          <cell r="KAV2" t="str">
            <v>-</v>
          </cell>
          <cell r="KAW2" t="str">
            <v>-</v>
          </cell>
          <cell r="KAX2" t="str">
            <v>-</v>
          </cell>
          <cell r="KAY2" t="str">
            <v>-</v>
          </cell>
          <cell r="KAZ2" t="str">
            <v>-</v>
          </cell>
          <cell r="KBA2" t="str">
            <v>-</v>
          </cell>
          <cell r="KBB2" t="str">
            <v>-</v>
          </cell>
          <cell r="KBC2" t="str">
            <v>-</v>
          </cell>
          <cell r="KBD2" t="str">
            <v>-</v>
          </cell>
          <cell r="KBE2" t="str">
            <v>-</v>
          </cell>
          <cell r="KBF2" t="str">
            <v>-</v>
          </cell>
          <cell r="KBG2" t="str">
            <v>-</v>
          </cell>
          <cell r="KBH2" t="str">
            <v>-</v>
          </cell>
          <cell r="KBI2" t="str">
            <v>-</v>
          </cell>
          <cell r="KBJ2" t="str">
            <v>-</v>
          </cell>
          <cell r="KBK2" t="str">
            <v>-</v>
          </cell>
          <cell r="KBL2" t="str">
            <v>-</v>
          </cell>
          <cell r="KBM2" t="str">
            <v>-</v>
          </cell>
          <cell r="KBN2" t="str">
            <v>-</v>
          </cell>
          <cell r="KBO2" t="str">
            <v>-</v>
          </cell>
          <cell r="KBP2" t="str">
            <v>-</v>
          </cell>
          <cell r="KBQ2" t="str">
            <v>-</v>
          </cell>
          <cell r="KBR2" t="str">
            <v>-</v>
          </cell>
          <cell r="KBS2" t="str">
            <v>-</v>
          </cell>
          <cell r="KBT2" t="str">
            <v>-</v>
          </cell>
          <cell r="KBU2" t="str">
            <v>-</v>
          </cell>
          <cell r="KBV2" t="str">
            <v>-</v>
          </cell>
          <cell r="KBW2" t="str">
            <v>-</v>
          </cell>
          <cell r="KBX2" t="str">
            <v>-</v>
          </cell>
          <cell r="KBY2" t="str">
            <v>-</v>
          </cell>
          <cell r="KBZ2" t="str">
            <v>-</v>
          </cell>
          <cell r="KCA2" t="str">
            <v>-</v>
          </cell>
          <cell r="KCB2" t="str">
            <v>-</v>
          </cell>
          <cell r="KCC2" t="str">
            <v>-</v>
          </cell>
          <cell r="KCD2" t="str">
            <v>-</v>
          </cell>
          <cell r="KCE2" t="str">
            <v>-</v>
          </cell>
          <cell r="KCF2" t="str">
            <v>-</v>
          </cell>
          <cell r="KCG2" t="str">
            <v>-</v>
          </cell>
          <cell r="KCH2" t="str">
            <v>-</v>
          </cell>
          <cell r="KCI2" t="str">
            <v>-</v>
          </cell>
          <cell r="KCJ2" t="str">
            <v>-</v>
          </cell>
          <cell r="KCK2" t="str">
            <v>-</v>
          </cell>
          <cell r="KCL2" t="str">
            <v>-</v>
          </cell>
          <cell r="KCM2" t="str">
            <v>-</v>
          </cell>
          <cell r="KCN2" t="str">
            <v>-</v>
          </cell>
          <cell r="KCO2" t="str">
            <v>-</v>
          </cell>
          <cell r="KCP2" t="str">
            <v>-</v>
          </cell>
          <cell r="KCQ2" t="str">
            <v>-</v>
          </cell>
          <cell r="KCR2" t="str">
            <v>-</v>
          </cell>
          <cell r="KCS2" t="str">
            <v>-</v>
          </cell>
          <cell r="KCT2" t="str">
            <v>-</v>
          </cell>
          <cell r="KCU2" t="str">
            <v>-</v>
          </cell>
          <cell r="KCV2" t="str">
            <v>-</v>
          </cell>
          <cell r="KCW2" t="str">
            <v>-</v>
          </cell>
          <cell r="KCX2" t="str">
            <v>-</v>
          </cell>
          <cell r="KCY2" t="str">
            <v>-</v>
          </cell>
          <cell r="KCZ2" t="str">
            <v>-</v>
          </cell>
          <cell r="KDA2" t="str">
            <v>-</v>
          </cell>
          <cell r="KDB2" t="str">
            <v>-</v>
          </cell>
          <cell r="KDC2" t="str">
            <v>-</v>
          </cell>
          <cell r="KDD2" t="str">
            <v>-</v>
          </cell>
          <cell r="KDE2" t="str">
            <v>-</v>
          </cell>
          <cell r="KDF2" t="str">
            <v>-</v>
          </cell>
          <cell r="KDG2" t="str">
            <v>-</v>
          </cell>
          <cell r="KDH2" t="str">
            <v>-</v>
          </cell>
          <cell r="KDI2" t="str">
            <v>-</v>
          </cell>
          <cell r="KDJ2" t="str">
            <v>-</v>
          </cell>
          <cell r="KDK2" t="str">
            <v>-</v>
          </cell>
          <cell r="KDL2" t="str">
            <v>-</v>
          </cell>
          <cell r="KDM2" t="str">
            <v>-</v>
          </cell>
          <cell r="KDN2" t="str">
            <v>-</v>
          </cell>
          <cell r="KDO2" t="str">
            <v>-</v>
          </cell>
          <cell r="KDP2" t="str">
            <v>-</v>
          </cell>
          <cell r="KDQ2" t="str">
            <v>-</v>
          </cell>
          <cell r="KDR2" t="str">
            <v>-</v>
          </cell>
          <cell r="KDS2" t="str">
            <v>-</v>
          </cell>
          <cell r="KDT2" t="str">
            <v>-</v>
          </cell>
          <cell r="KDU2" t="str">
            <v>-</v>
          </cell>
          <cell r="KDV2" t="str">
            <v>-</v>
          </cell>
          <cell r="KDW2" t="str">
            <v>-</v>
          </cell>
          <cell r="KDX2" t="str">
            <v>-</v>
          </cell>
          <cell r="KDY2" t="str">
            <v>-</v>
          </cell>
          <cell r="KDZ2" t="str">
            <v>-</v>
          </cell>
          <cell r="KEA2" t="str">
            <v>-</v>
          </cell>
          <cell r="KEB2" t="str">
            <v>-</v>
          </cell>
          <cell r="KEC2" t="str">
            <v>-</v>
          </cell>
          <cell r="KED2" t="str">
            <v>-</v>
          </cell>
          <cell r="KEE2" t="str">
            <v>-</v>
          </cell>
          <cell r="KEF2" t="str">
            <v>-</v>
          </cell>
          <cell r="KEG2" t="str">
            <v>-</v>
          </cell>
          <cell r="KEH2" t="str">
            <v>-</v>
          </cell>
          <cell r="KEI2" t="str">
            <v>-</v>
          </cell>
          <cell r="KEJ2" t="str">
            <v>-</v>
          </cell>
          <cell r="KEK2" t="str">
            <v>-</v>
          </cell>
          <cell r="KEL2" t="str">
            <v>-</v>
          </cell>
          <cell r="KEM2" t="str">
            <v>-</v>
          </cell>
          <cell r="KEN2" t="str">
            <v>-</v>
          </cell>
          <cell r="KEO2" t="str">
            <v>-</v>
          </cell>
          <cell r="KEP2" t="str">
            <v>-</v>
          </cell>
          <cell r="KEQ2" t="str">
            <v>-</v>
          </cell>
          <cell r="KER2" t="str">
            <v>-</v>
          </cell>
          <cell r="KES2" t="str">
            <v>-</v>
          </cell>
          <cell r="KET2" t="str">
            <v>-</v>
          </cell>
          <cell r="KEU2" t="str">
            <v>-</v>
          </cell>
          <cell r="KEV2" t="str">
            <v>-</v>
          </cell>
          <cell r="KEW2" t="str">
            <v>-</v>
          </cell>
          <cell r="KEX2" t="str">
            <v>-</v>
          </cell>
          <cell r="KEY2" t="str">
            <v>-</v>
          </cell>
          <cell r="KEZ2" t="str">
            <v>-</v>
          </cell>
          <cell r="KFA2" t="str">
            <v>-</v>
          </cell>
          <cell r="KFB2" t="str">
            <v>-</v>
          </cell>
          <cell r="KFC2" t="str">
            <v>-</v>
          </cell>
          <cell r="KFD2" t="str">
            <v>-</v>
          </cell>
          <cell r="KFE2" t="str">
            <v>-</v>
          </cell>
          <cell r="KFF2" t="str">
            <v>-</v>
          </cell>
          <cell r="KFG2" t="str">
            <v>-</v>
          </cell>
          <cell r="KFH2" t="str">
            <v>-</v>
          </cell>
          <cell r="KFI2" t="str">
            <v>-</v>
          </cell>
          <cell r="KFJ2" t="str">
            <v>-</v>
          </cell>
          <cell r="KFK2" t="str">
            <v>-</v>
          </cell>
          <cell r="KFL2" t="str">
            <v>-</v>
          </cell>
          <cell r="KFM2" t="str">
            <v>-</v>
          </cell>
          <cell r="KFN2" t="str">
            <v>-</v>
          </cell>
          <cell r="KFO2" t="str">
            <v>-</v>
          </cell>
          <cell r="KFP2" t="str">
            <v>-</v>
          </cell>
          <cell r="KFQ2" t="str">
            <v>-</v>
          </cell>
          <cell r="KFR2" t="str">
            <v>-</v>
          </cell>
          <cell r="KFS2" t="str">
            <v>-</v>
          </cell>
          <cell r="KFT2" t="str">
            <v>-</v>
          </cell>
          <cell r="KFU2" t="str">
            <v>-</v>
          </cell>
          <cell r="KFV2" t="str">
            <v>-</v>
          </cell>
          <cell r="KFW2" t="str">
            <v>-</v>
          </cell>
          <cell r="KFX2" t="str">
            <v>-</v>
          </cell>
          <cell r="KFY2" t="str">
            <v>-</v>
          </cell>
          <cell r="KFZ2" t="str">
            <v>-</v>
          </cell>
          <cell r="KGA2" t="str">
            <v>-</v>
          </cell>
          <cell r="KGB2" t="str">
            <v>-</v>
          </cell>
          <cell r="KGC2" t="str">
            <v>-</v>
          </cell>
          <cell r="KGD2" t="str">
            <v>-</v>
          </cell>
          <cell r="KGE2" t="str">
            <v>-</v>
          </cell>
          <cell r="KGF2" t="str">
            <v>-</v>
          </cell>
          <cell r="KGG2" t="str">
            <v>-</v>
          </cell>
          <cell r="KGH2" t="str">
            <v>-</v>
          </cell>
          <cell r="KGI2" t="str">
            <v>-</v>
          </cell>
          <cell r="KGJ2" t="str">
            <v>-</v>
          </cell>
          <cell r="KGK2" t="str">
            <v>-</v>
          </cell>
          <cell r="KGL2" t="str">
            <v>-</v>
          </cell>
          <cell r="KGM2" t="str">
            <v>-</v>
          </cell>
          <cell r="KGN2" t="str">
            <v>-</v>
          </cell>
          <cell r="KGO2" t="str">
            <v>-</v>
          </cell>
          <cell r="KGP2" t="str">
            <v>-</v>
          </cell>
          <cell r="KGQ2" t="str">
            <v>-</v>
          </cell>
          <cell r="KGR2" t="str">
            <v>-</v>
          </cell>
          <cell r="KGS2" t="str">
            <v>-</v>
          </cell>
          <cell r="KGT2" t="str">
            <v>-</v>
          </cell>
          <cell r="KGU2" t="str">
            <v>-</v>
          </cell>
          <cell r="KGV2" t="str">
            <v>-</v>
          </cell>
          <cell r="KGW2" t="str">
            <v>-</v>
          </cell>
          <cell r="KGX2" t="str">
            <v>-</v>
          </cell>
          <cell r="KGY2" t="str">
            <v>-</v>
          </cell>
          <cell r="KGZ2" t="str">
            <v>-</v>
          </cell>
          <cell r="KHA2" t="str">
            <v>-</v>
          </cell>
          <cell r="KHB2" t="str">
            <v>-</v>
          </cell>
          <cell r="KHC2" t="str">
            <v>-</v>
          </cell>
          <cell r="KHD2" t="str">
            <v>-</v>
          </cell>
          <cell r="KHE2" t="str">
            <v>-</v>
          </cell>
          <cell r="KHF2" t="str">
            <v>-</v>
          </cell>
          <cell r="KHG2" t="str">
            <v>-</v>
          </cell>
          <cell r="KHH2" t="str">
            <v>-</v>
          </cell>
          <cell r="KHI2" t="str">
            <v>-</v>
          </cell>
          <cell r="KHJ2" t="str">
            <v>-</v>
          </cell>
          <cell r="KHK2" t="str">
            <v>-</v>
          </cell>
          <cell r="KHL2" t="str">
            <v>-</v>
          </cell>
          <cell r="KHM2" t="str">
            <v>-</v>
          </cell>
          <cell r="KHN2" t="str">
            <v>-</v>
          </cell>
          <cell r="KHO2" t="str">
            <v>-</v>
          </cell>
          <cell r="KHP2" t="str">
            <v>-</v>
          </cell>
          <cell r="KHQ2" t="str">
            <v>-</v>
          </cell>
          <cell r="KHR2" t="str">
            <v>-</v>
          </cell>
          <cell r="KHS2" t="str">
            <v>-</v>
          </cell>
          <cell r="KHT2" t="str">
            <v>-</v>
          </cell>
          <cell r="KHU2" t="str">
            <v>-</v>
          </cell>
          <cell r="KHV2" t="str">
            <v>-</v>
          </cell>
          <cell r="KHW2" t="str">
            <v>-</v>
          </cell>
          <cell r="KHX2" t="str">
            <v>-</v>
          </cell>
          <cell r="KHY2" t="str">
            <v>-</v>
          </cell>
          <cell r="KHZ2" t="str">
            <v>-</v>
          </cell>
          <cell r="KIA2" t="str">
            <v>-</v>
          </cell>
          <cell r="KIB2" t="str">
            <v>-</v>
          </cell>
          <cell r="KIC2" t="str">
            <v>-</v>
          </cell>
          <cell r="KID2" t="str">
            <v>-</v>
          </cell>
          <cell r="KIE2" t="str">
            <v>-</v>
          </cell>
          <cell r="KIF2" t="str">
            <v>-</v>
          </cell>
          <cell r="KIG2" t="str">
            <v>-</v>
          </cell>
          <cell r="KIH2" t="str">
            <v>-</v>
          </cell>
          <cell r="KII2" t="str">
            <v>-</v>
          </cell>
          <cell r="KIJ2" t="str">
            <v>-</v>
          </cell>
          <cell r="KIK2" t="str">
            <v>-</v>
          </cell>
          <cell r="KIL2" t="str">
            <v>-</v>
          </cell>
          <cell r="KIM2" t="str">
            <v>-</v>
          </cell>
          <cell r="KIN2" t="str">
            <v>-</v>
          </cell>
          <cell r="KIO2" t="str">
            <v>-</v>
          </cell>
          <cell r="KIP2" t="str">
            <v>-</v>
          </cell>
          <cell r="KIQ2" t="str">
            <v>-</v>
          </cell>
          <cell r="KIR2" t="str">
            <v>-</v>
          </cell>
          <cell r="KIS2" t="str">
            <v>-</v>
          </cell>
          <cell r="KIT2" t="str">
            <v>-</v>
          </cell>
          <cell r="KIU2" t="str">
            <v>-</v>
          </cell>
          <cell r="KIV2" t="str">
            <v>-</v>
          </cell>
          <cell r="KIW2" t="str">
            <v>-</v>
          </cell>
          <cell r="KIX2" t="str">
            <v>-</v>
          </cell>
          <cell r="KIY2" t="str">
            <v>-</v>
          </cell>
          <cell r="KIZ2" t="str">
            <v>-</v>
          </cell>
          <cell r="KJA2" t="str">
            <v>-</v>
          </cell>
          <cell r="KJB2" t="str">
            <v>-</v>
          </cell>
          <cell r="KJC2" t="str">
            <v>-</v>
          </cell>
          <cell r="KJD2" t="str">
            <v>-</v>
          </cell>
          <cell r="KJE2" t="str">
            <v>-</v>
          </cell>
          <cell r="KJF2" t="str">
            <v>-</v>
          </cell>
          <cell r="KJG2" t="str">
            <v>-</v>
          </cell>
          <cell r="KJH2" t="str">
            <v>-</v>
          </cell>
          <cell r="KJI2" t="str">
            <v>-</v>
          </cell>
          <cell r="KJJ2" t="str">
            <v>-</v>
          </cell>
          <cell r="KJK2" t="str">
            <v>-</v>
          </cell>
          <cell r="KJL2" t="str">
            <v>-</v>
          </cell>
          <cell r="KJM2" t="str">
            <v>-</v>
          </cell>
          <cell r="KJN2" t="str">
            <v>-</v>
          </cell>
          <cell r="KJO2" t="str">
            <v>-</v>
          </cell>
          <cell r="KJP2" t="str">
            <v>-</v>
          </cell>
          <cell r="KJQ2" t="str">
            <v>-</v>
          </cell>
          <cell r="KJR2" t="str">
            <v>-</v>
          </cell>
          <cell r="KJS2" t="str">
            <v>-</v>
          </cell>
          <cell r="KJT2" t="str">
            <v>-</v>
          </cell>
          <cell r="KJU2" t="str">
            <v>-</v>
          </cell>
          <cell r="KJV2" t="str">
            <v>-</v>
          </cell>
          <cell r="KJW2" t="str">
            <v>-</v>
          </cell>
          <cell r="KJX2" t="str">
            <v>-</v>
          </cell>
          <cell r="KJY2" t="str">
            <v>-</v>
          </cell>
          <cell r="KJZ2" t="str">
            <v>-</v>
          </cell>
          <cell r="KKA2" t="str">
            <v>-</v>
          </cell>
          <cell r="KKB2" t="str">
            <v>-</v>
          </cell>
          <cell r="KKC2" t="str">
            <v>-</v>
          </cell>
          <cell r="KKD2" t="str">
            <v>-</v>
          </cell>
          <cell r="KKE2" t="str">
            <v>-</v>
          </cell>
          <cell r="KKF2" t="str">
            <v>-</v>
          </cell>
          <cell r="KKG2" t="str">
            <v>-</v>
          </cell>
          <cell r="KKH2" t="str">
            <v>-</v>
          </cell>
          <cell r="KKI2" t="str">
            <v>-</v>
          </cell>
          <cell r="KKJ2" t="str">
            <v>-</v>
          </cell>
          <cell r="KKK2" t="str">
            <v>-</v>
          </cell>
          <cell r="KKL2" t="str">
            <v>-</v>
          </cell>
          <cell r="KKM2" t="str">
            <v>-</v>
          </cell>
          <cell r="KKN2" t="str">
            <v>-</v>
          </cell>
          <cell r="KKO2" t="str">
            <v>-</v>
          </cell>
          <cell r="KKP2" t="str">
            <v>-</v>
          </cell>
          <cell r="KKQ2" t="str">
            <v>-</v>
          </cell>
          <cell r="KKR2" t="str">
            <v>-</v>
          </cell>
          <cell r="KKS2" t="str">
            <v>-</v>
          </cell>
          <cell r="KKT2" t="str">
            <v>-</v>
          </cell>
          <cell r="KKU2" t="str">
            <v>-</v>
          </cell>
          <cell r="KKV2" t="str">
            <v>-</v>
          </cell>
          <cell r="KKW2" t="str">
            <v>-</v>
          </cell>
          <cell r="KKX2" t="str">
            <v>-</v>
          </cell>
          <cell r="KKY2" t="str">
            <v>-</v>
          </cell>
          <cell r="KKZ2" t="str">
            <v>-</v>
          </cell>
          <cell r="KLA2" t="str">
            <v>-</v>
          </cell>
          <cell r="KLB2" t="str">
            <v>-</v>
          </cell>
          <cell r="KLC2" t="str">
            <v>-</v>
          </cell>
          <cell r="KLD2" t="str">
            <v>-</v>
          </cell>
          <cell r="KLE2" t="str">
            <v>-</v>
          </cell>
          <cell r="KLF2" t="str">
            <v>-</v>
          </cell>
          <cell r="KLG2" t="str">
            <v>-</v>
          </cell>
          <cell r="KLH2" t="str">
            <v>-</v>
          </cell>
          <cell r="KLI2" t="str">
            <v>-</v>
          </cell>
          <cell r="KLJ2" t="str">
            <v>-</v>
          </cell>
          <cell r="KLK2" t="str">
            <v>-</v>
          </cell>
          <cell r="KLL2" t="str">
            <v>-</v>
          </cell>
          <cell r="KLM2" t="str">
            <v>-</v>
          </cell>
          <cell r="KLN2" t="str">
            <v>-</v>
          </cell>
          <cell r="KLO2" t="str">
            <v>-</v>
          </cell>
          <cell r="KLP2" t="str">
            <v>-</v>
          </cell>
          <cell r="KLQ2" t="str">
            <v>-</v>
          </cell>
          <cell r="KLR2" t="str">
            <v>-</v>
          </cell>
          <cell r="KLS2" t="str">
            <v>-</v>
          </cell>
          <cell r="KLT2" t="str">
            <v>-</v>
          </cell>
          <cell r="KLU2" t="str">
            <v>-</v>
          </cell>
          <cell r="KLV2" t="str">
            <v>-</v>
          </cell>
          <cell r="KLW2" t="str">
            <v>-</v>
          </cell>
          <cell r="KLX2" t="str">
            <v>-</v>
          </cell>
          <cell r="KLY2" t="str">
            <v>-</v>
          </cell>
          <cell r="KLZ2" t="str">
            <v>-</v>
          </cell>
          <cell r="KMA2" t="str">
            <v>-</v>
          </cell>
          <cell r="KMB2" t="str">
            <v>-</v>
          </cell>
          <cell r="KMC2" t="str">
            <v>-</v>
          </cell>
          <cell r="KMD2" t="str">
            <v>-</v>
          </cell>
          <cell r="KME2" t="str">
            <v>-</v>
          </cell>
          <cell r="KMF2" t="str">
            <v>-</v>
          </cell>
          <cell r="KMG2" t="str">
            <v>-</v>
          </cell>
          <cell r="KMH2" t="str">
            <v>-</v>
          </cell>
          <cell r="KMI2" t="str">
            <v>-</v>
          </cell>
          <cell r="KMJ2" t="str">
            <v>-</v>
          </cell>
          <cell r="KMK2" t="str">
            <v>-</v>
          </cell>
          <cell r="KML2" t="str">
            <v>-</v>
          </cell>
          <cell r="KMM2" t="str">
            <v>-</v>
          </cell>
          <cell r="KMN2" t="str">
            <v>-</v>
          </cell>
          <cell r="KMO2" t="str">
            <v>-</v>
          </cell>
          <cell r="KMP2" t="str">
            <v>-</v>
          </cell>
          <cell r="KMQ2" t="str">
            <v>-</v>
          </cell>
          <cell r="KMR2" t="str">
            <v>-</v>
          </cell>
          <cell r="KMS2" t="str">
            <v>-</v>
          </cell>
          <cell r="KMT2" t="str">
            <v>-</v>
          </cell>
          <cell r="KMU2" t="str">
            <v>-</v>
          </cell>
          <cell r="KMV2" t="str">
            <v>-</v>
          </cell>
          <cell r="KMW2" t="str">
            <v>-</v>
          </cell>
          <cell r="KMX2" t="str">
            <v>-</v>
          </cell>
          <cell r="KMY2" t="str">
            <v>-</v>
          </cell>
          <cell r="KMZ2" t="str">
            <v>-</v>
          </cell>
          <cell r="KNA2" t="str">
            <v>-</v>
          </cell>
          <cell r="KNB2" t="str">
            <v>-</v>
          </cell>
          <cell r="KNC2" t="str">
            <v>-</v>
          </cell>
          <cell r="KND2" t="str">
            <v>-</v>
          </cell>
          <cell r="KNE2" t="str">
            <v>-</v>
          </cell>
          <cell r="KNF2" t="str">
            <v>-</v>
          </cell>
          <cell r="KNG2" t="str">
            <v>-</v>
          </cell>
          <cell r="KNH2" t="str">
            <v>-</v>
          </cell>
          <cell r="KNI2" t="str">
            <v>-</v>
          </cell>
          <cell r="KNJ2" t="str">
            <v>-</v>
          </cell>
          <cell r="KNK2" t="str">
            <v>-</v>
          </cell>
          <cell r="KNL2" t="str">
            <v>-</v>
          </cell>
          <cell r="KNM2" t="str">
            <v>-</v>
          </cell>
          <cell r="KNN2" t="str">
            <v>-</v>
          </cell>
          <cell r="KNO2" t="str">
            <v>-</v>
          </cell>
          <cell r="KNP2" t="str">
            <v>-</v>
          </cell>
          <cell r="KNQ2" t="str">
            <v>-</v>
          </cell>
          <cell r="KNR2" t="str">
            <v>-</v>
          </cell>
          <cell r="KNS2" t="str">
            <v>-</v>
          </cell>
          <cell r="KNT2" t="str">
            <v>-</v>
          </cell>
          <cell r="KNU2" t="str">
            <v>-</v>
          </cell>
          <cell r="KNV2" t="str">
            <v>-</v>
          </cell>
          <cell r="KNW2" t="str">
            <v>-</v>
          </cell>
          <cell r="KNX2" t="str">
            <v>-</v>
          </cell>
          <cell r="KNY2" t="str">
            <v>-</v>
          </cell>
          <cell r="KNZ2" t="str">
            <v>-</v>
          </cell>
          <cell r="KOA2" t="str">
            <v>-</v>
          </cell>
          <cell r="KOB2" t="str">
            <v>-</v>
          </cell>
          <cell r="KOC2" t="str">
            <v>-</v>
          </cell>
          <cell r="KOD2" t="str">
            <v>-</v>
          </cell>
          <cell r="KOE2" t="str">
            <v>-</v>
          </cell>
          <cell r="KOF2" t="str">
            <v>-</v>
          </cell>
          <cell r="KOG2" t="str">
            <v>-</v>
          </cell>
          <cell r="KOH2" t="str">
            <v>-</v>
          </cell>
          <cell r="KOI2" t="str">
            <v>-</v>
          </cell>
          <cell r="KOJ2" t="str">
            <v>-</v>
          </cell>
          <cell r="KOK2" t="str">
            <v>-</v>
          </cell>
          <cell r="KOL2" t="str">
            <v>-</v>
          </cell>
          <cell r="KOM2" t="str">
            <v>-</v>
          </cell>
          <cell r="KON2" t="str">
            <v>-</v>
          </cell>
          <cell r="KOO2" t="str">
            <v>-</v>
          </cell>
          <cell r="KOP2" t="str">
            <v>-</v>
          </cell>
          <cell r="KOQ2" t="str">
            <v>-</v>
          </cell>
          <cell r="KOR2" t="str">
            <v>-</v>
          </cell>
          <cell r="KOS2" t="str">
            <v>-</v>
          </cell>
          <cell r="KOT2" t="str">
            <v>-</v>
          </cell>
          <cell r="KOU2" t="str">
            <v>-</v>
          </cell>
          <cell r="KOV2" t="str">
            <v>-</v>
          </cell>
          <cell r="KOW2" t="str">
            <v>-</v>
          </cell>
          <cell r="KOX2" t="str">
            <v>-</v>
          </cell>
          <cell r="KOY2" t="str">
            <v>-</v>
          </cell>
          <cell r="KOZ2" t="str">
            <v>-</v>
          </cell>
          <cell r="KPA2" t="str">
            <v>-</v>
          </cell>
          <cell r="KPB2" t="str">
            <v>-</v>
          </cell>
          <cell r="KPC2" t="str">
            <v>-</v>
          </cell>
          <cell r="KPD2" t="str">
            <v>-</v>
          </cell>
          <cell r="KPE2" t="str">
            <v>-</v>
          </cell>
          <cell r="KPF2" t="str">
            <v>-</v>
          </cell>
          <cell r="KPG2" t="str">
            <v>-</v>
          </cell>
          <cell r="KPH2" t="str">
            <v>-</v>
          </cell>
          <cell r="KPI2" t="str">
            <v>-</v>
          </cell>
          <cell r="KPJ2" t="str">
            <v>-</v>
          </cell>
          <cell r="KPK2" t="str">
            <v>-</v>
          </cell>
          <cell r="KPL2" t="str">
            <v>-</v>
          </cell>
          <cell r="KPM2" t="str">
            <v>-</v>
          </cell>
          <cell r="KPN2" t="str">
            <v>-</v>
          </cell>
          <cell r="KPO2" t="str">
            <v>-</v>
          </cell>
          <cell r="KPP2" t="str">
            <v>-</v>
          </cell>
          <cell r="KPQ2" t="str">
            <v>-</v>
          </cell>
          <cell r="KPR2" t="str">
            <v>-</v>
          </cell>
          <cell r="KPS2" t="str">
            <v>-</v>
          </cell>
          <cell r="KPT2" t="str">
            <v>-</v>
          </cell>
          <cell r="KPU2" t="str">
            <v>-</v>
          </cell>
          <cell r="KPV2" t="str">
            <v>-</v>
          </cell>
          <cell r="KPW2" t="str">
            <v>-</v>
          </cell>
          <cell r="KPX2" t="str">
            <v>-</v>
          </cell>
          <cell r="KPY2" t="str">
            <v>-</v>
          </cell>
          <cell r="KPZ2" t="str">
            <v>-</v>
          </cell>
          <cell r="KQA2" t="str">
            <v>-</v>
          </cell>
          <cell r="KQB2" t="str">
            <v>-</v>
          </cell>
          <cell r="KQC2" t="str">
            <v>-</v>
          </cell>
          <cell r="KQD2" t="str">
            <v>-</v>
          </cell>
          <cell r="KQE2" t="str">
            <v>-</v>
          </cell>
          <cell r="KQF2" t="str">
            <v>-</v>
          </cell>
          <cell r="KQG2" t="str">
            <v>-</v>
          </cell>
          <cell r="KQH2" t="str">
            <v>-</v>
          </cell>
          <cell r="KQI2" t="str">
            <v>-</v>
          </cell>
          <cell r="KQJ2" t="str">
            <v>-</v>
          </cell>
          <cell r="KQK2" t="str">
            <v>-</v>
          </cell>
          <cell r="KQL2" t="str">
            <v>-</v>
          </cell>
          <cell r="KQM2" t="str">
            <v>-</v>
          </cell>
          <cell r="KQN2" t="str">
            <v>-</v>
          </cell>
          <cell r="KQO2" t="str">
            <v>-</v>
          </cell>
          <cell r="KQP2" t="str">
            <v>-</v>
          </cell>
          <cell r="KQQ2" t="str">
            <v>-</v>
          </cell>
          <cell r="KQR2" t="str">
            <v>-</v>
          </cell>
          <cell r="KQS2" t="str">
            <v>-</v>
          </cell>
          <cell r="KQT2" t="str">
            <v>-</v>
          </cell>
          <cell r="KQU2" t="str">
            <v>-</v>
          </cell>
          <cell r="KQV2" t="str">
            <v>-</v>
          </cell>
          <cell r="KQW2" t="str">
            <v>-</v>
          </cell>
          <cell r="KQX2" t="str">
            <v>-</v>
          </cell>
          <cell r="KQY2" t="str">
            <v>-</v>
          </cell>
          <cell r="KQZ2" t="str">
            <v>-</v>
          </cell>
          <cell r="KRA2" t="str">
            <v>-</v>
          </cell>
          <cell r="KRB2" t="str">
            <v>-</v>
          </cell>
          <cell r="KRC2" t="str">
            <v>-</v>
          </cell>
          <cell r="KRD2" t="str">
            <v>-</v>
          </cell>
          <cell r="KRE2" t="str">
            <v>-</v>
          </cell>
          <cell r="KRF2" t="str">
            <v>-</v>
          </cell>
          <cell r="KRG2" t="str">
            <v>-</v>
          </cell>
          <cell r="KRH2" t="str">
            <v>-</v>
          </cell>
          <cell r="KRI2" t="str">
            <v>-</v>
          </cell>
          <cell r="KRJ2" t="str">
            <v>-</v>
          </cell>
          <cell r="KRK2" t="str">
            <v>-</v>
          </cell>
          <cell r="KRL2" t="str">
            <v>-</v>
          </cell>
          <cell r="KRM2" t="str">
            <v>-</v>
          </cell>
          <cell r="KRN2" t="str">
            <v>-</v>
          </cell>
          <cell r="KRO2" t="str">
            <v>-</v>
          </cell>
          <cell r="KRP2" t="str">
            <v>-</v>
          </cell>
          <cell r="KRQ2" t="str">
            <v>-</v>
          </cell>
          <cell r="KRR2" t="str">
            <v>-</v>
          </cell>
          <cell r="KRS2" t="str">
            <v>-</v>
          </cell>
          <cell r="KRT2" t="str">
            <v>-</v>
          </cell>
          <cell r="KRU2" t="str">
            <v>-</v>
          </cell>
          <cell r="KRV2" t="str">
            <v>-</v>
          </cell>
          <cell r="KRW2" t="str">
            <v>-</v>
          </cell>
          <cell r="KRX2" t="str">
            <v>-</v>
          </cell>
          <cell r="KRY2" t="str">
            <v>-</v>
          </cell>
          <cell r="KRZ2" t="str">
            <v>-</v>
          </cell>
          <cell r="KSA2" t="str">
            <v>-</v>
          </cell>
          <cell r="KSB2" t="str">
            <v>-</v>
          </cell>
          <cell r="KSC2" t="str">
            <v>-</v>
          </cell>
          <cell r="KSD2" t="str">
            <v>-</v>
          </cell>
          <cell r="KSE2" t="str">
            <v>-</v>
          </cell>
          <cell r="KSF2" t="str">
            <v>-</v>
          </cell>
          <cell r="KSG2" t="str">
            <v>-</v>
          </cell>
          <cell r="KSH2" t="str">
            <v>-</v>
          </cell>
          <cell r="KSI2" t="str">
            <v>-</v>
          </cell>
          <cell r="KSJ2" t="str">
            <v>-</v>
          </cell>
          <cell r="KSK2" t="str">
            <v>-</v>
          </cell>
          <cell r="KSL2" t="str">
            <v>-</v>
          </cell>
          <cell r="KSM2" t="str">
            <v>-</v>
          </cell>
          <cell r="KSN2" t="str">
            <v>-</v>
          </cell>
          <cell r="KSO2" t="str">
            <v>-</v>
          </cell>
          <cell r="KSP2" t="str">
            <v>-</v>
          </cell>
          <cell r="KSQ2" t="str">
            <v>-</v>
          </cell>
          <cell r="KSR2" t="str">
            <v>-</v>
          </cell>
          <cell r="KSS2" t="str">
            <v>-</v>
          </cell>
          <cell r="KST2" t="str">
            <v>-</v>
          </cell>
          <cell r="KSU2" t="str">
            <v>-</v>
          </cell>
          <cell r="KSV2" t="str">
            <v>-</v>
          </cell>
          <cell r="KSW2" t="str">
            <v>-</v>
          </cell>
          <cell r="KSX2" t="str">
            <v>-</v>
          </cell>
          <cell r="KSY2" t="str">
            <v>-</v>
          </cell>
          <cell r="KSZ2" t="str">
            <v>-</v>
          </cell>
          <cell r="KTA2" t="str">
            <v>-</v>
          </cell>
          <cell r="KTB2" t="str">
            <v>-</v>
          </cell>
          <cell r="KTC2" t="str">
            <v>-</v>
          </cell>
          <cell r="KTD2" t="str">
            <v>-</v>
          </cell>
          <cell r="KTE2" t="str">
            <v>-</v>
          </cell>
          <cell r="KTF2" t="str">
            <v>-</v>
          </cell>
          <cell r="KTG2" t="str">
            <v>-</v>
          </cell>
          <cell r="KTH2" t="str">
            <v>-</v>
          </cell>
          <cell r="KTI2" t="str">
            <v>-</v>
          </cell>
          <cell r="KTJ2" t="str">
            <v>-</v>
          </cell>
          <cell r="KTK2" t="str">
            <v>-</v>
          </cell>
          <cell r="KTL2" t="str">
            <v>-</v>
          </cell>
          <cell r="KTM2" t="str">
            <v>-</v>
          </cell>
          <cell r="KTN2" t="str">
            <v>-</v>
          </cell>
          <cell r="KTO2" t="str">
            <v>-</v>
          </cell>
          <cell r="KTP2" t="str">
            <v>-</v>
          </cell>
          <cell r="KTQ2" t="str">
            <v>-</v>
          </cell>
          <cell r="KTR2" t="str">
            <v>-</v>
          </cell>
          <cell r="KTS2" t="str">
            <v>-</v>
          </cell>
          <cell r="KTT2" t="str">
            <v>-</v>
          </cell>
          <cell r="KTU2" t="str">
            <v>-</v>
          </cell>
          <cell r="KTV2" t="str">
            <v>-</v>
          </cell>
          <cell r="KTW2" t="str">
            <v>-</v>
          </cell>
          <cell r="KTX2" t="str">
            <v>-</v>
          </cell>
          <cell r="KTY2" t="str">
            <v>-</v>
          </cell>
          <cell r="KTZ2" t="str">
            <v>-</v>
          </cell>
          <cell r="KUA2" t="str">
            <v>-</v>
          </cell>
          <cell r="KUB2" t="str">
            <v>-</v>
          </cell>
          <cell r="KUC2" t="str">
            <v>-</v>
          </cell>
          <cell r="KUD2" t="str">
            <v>-</v>
          </cell>
          <cell r="KUE2" t="str">
            <v>-</v>
          </cell>
          <cell r="KUF2" t="str">
            <v>-</v>
          </cell>
          <cell r="KUG2" t="str">
            <v>-</v>
          </cell>
          <cell r="KUH2" t="str">
            <v>-</v>
          </cell>
          <cell r="KUI2" t="str">
            <v>-</v>
          </cell>
          <cell r="KUJ2" t="str">
            <v>-</v>
          </cell>
          <cell r="KUK2" t="str">
            <v>-</v>
          </cell>
          <cell r="KUL2" t="str">
            <v>-</v>
          </cell>
          <cell r="KUM2" t="str">
            <v>-</v>
          </cell>
          <cell r="KUN2" t="str">
            <v>-</v>
          </cell>
          <cell r="KUO2" t="str">
            <v>-</v>
          </cell>
          <cell r="KUP2" t="str">
            <v>-</v>
          </cell>
          <cell r="KUQ2" t="str">
            <v>-</v>
          </cell>
          <cell r="KUR2" t="str">
            <v>-</v>
          </cell>
          <cell r="KUS2" t="str">
            <v>-</v>
          </cell>
          <cell r="KUT2" t="str">
            <v>-</v>
          </cell>
          <cell r="KUU2" t="str">
            <v>-</v>
          </cell>
          <cell r="KUV2" t="str">
            <v>-</v>
          </cell>
          <cell r="KUW2" t="str">
            <v>-</v>
          </cell>
          <cell r="KUX2" t="str">
            <v>-</v>
          </cell>
          <cell r="KUY2" t="str">
            <v>-</v>
          </cell>
          <cell r="KUZ2" t="str">
            <v>-</v>
          </cell>
          <cell r="KVA2" t="str">
            <v>-</v>
          </cell>
          <cell r="KVB2" t="str">
            <v>-</v>
          </cell>
          <cell r="KVC2" t="str">
            <v>-</v>
          </cell>
          <cell r="KVD2" t="str">
            <v>-</v>
          </cell>
          <cell r="KVE2" t="str">
            <v>-</v>
          </cell>
          <cell r="KVF2" t="str">
            <v>-</v>
          </cell>
          <cell r="KVG2" t="str">
            <v>-</v>
          </cell>
          <cell r="KVH2" t="str">
            <v>-</v>
          </cell>
          <cell r="KVI2" t="str">
            <v>-</v>
          </cell>
          <cell r="KVJ2" t="str">
            <v>-</v>
          </cell>
          <cell r="KVK2" t="str">
            <v>-</v>
          </cell>
          <cell r="KVL2" t="str">
            <v>-</v>
          </cell>
          <cell r="KVM2" t="str">
            <v>-</v>
          </cell>
          <cell r="KVN2" t="str">
            <v>-</v>
          </cell>
          <cell r="KVO2" t="str">
            <v>-</v>
          </cell>
          <cell r="KVP2" t="str">
            <v>-</v>
          </cell>
          <cell r="KVQ2" t="str">
            <v>-</v>
          </cell>
          <cell r="KVR2" t="str">
            <v>-</v>
          </cell>
          <cell r="KVS2" t="str">
            <v>-</v>
          </cell>
          <cell r="KVT2" t="str">
            <v>-</v>
          </cell>
          <cell r="KVU2" t="str">
            <v>-</v>
          </cell>
          <cell r="KVV2" t="str">
            <v>-</v>
          </cell>
          <cell r="KVW2" t="str">
            <v>-</v>
          </cell>
          <cell r="KVX2" t="str">
            <v>-</v>
          </cell>
          <cell r="KVY2" t="str">
            <v>-</v>
          </cell>
          <cell r="KVZ2" t="str">
            <v>-</v>
          </cell>
          <cell r="KWA2" t="str">
            <v>-</v>
          </cell>
          <cell r="KWB2" t="str">
            <v>-</v>
          </cell>
          <cell r="KWC2" t="str">
            <v>-</v>
          </cell>
          <cell r="KWD2" t="str">
            <v>-</v>
          </cell>
          <cell r="KWE2" t="str">
            <v>-</v>
          </cell>
          <cell r="KWF2" t="str">
            <v>-</v>
          </cell>
          <cell r="KWG2" t="str">
            <v>-</v>
          </cell>
          <cell r="KWH2" t="str">
            <v>-</v>
          </cell>
          <cell r="KWI2" t="str">
            <v>-</v>
          </cell>
          <cell r="KWJ2" t="str">
            <v>-</v>
          </cell>
          <cell r="KWK2" t="str">
            <v>-</v>
          </cell>
          <cell r="KWL2" t="str">
            <v>-</v>
          </cell>
          <cell r="KWM2" t="str">
            <v>-</v>
          </cell>
          <cell r="KWN2" t="str">
            <v>-</v>
          </cell>
          <cell r="KWO2" t="str">
            <v>-</v>
          </cell>
          <cell r="KWP2" t="str">
            <v>-</v>
          </cell>
          <cell r="KWQ2" t="str">
            <v>-</v>
          </cell>
          <cell r="KWR2" t="str">
            <v>-</v>
          </cell>
          <cell r="KWS2" t="str">
            <v>-</v>
          </cell>
          <cell r="KWT2" t="str">
            <v>-</v>
          </cell>
          <cell r="KWU2" t="str">
            <v>-</v>
          </cell>
          <cell r="KWV2" t="str">
            <v>-</v>
          </cell>
          <cell r="KWW2" t="str">
            <v>-</v>
          </cell>
          <cell r="KWX2" t="str">
            <v>-</v>
          </cell>
          <cell r="KWY2" t="str">
            <v>-</v>
          </cell>
          <cell r="KWZ2" t="str">
            <v>-</v>
          </cell>
          <cell r="KXA2" t="str">
            <v>-</v>
          </cell>
          <cell r="KXB2" t="str">
            <v>-</v>
          </cell>
          <cell r="KXC2" t="str">
            <v>-</v>
          </cell>
          <cell r="KXD2" t="str">
            <v>-</v>
          </cell>
          <cell r="KXE2" t="str">
            <v>-</v>
          </cell>
          <cell r="KXF2" t="str">
            <v>-</v>
          </cell>
          <cell r="KXG2" t="str">
            <v>-</v>
          </cell>
          <cell r="KXH2" t="str">
            <v>-</v>
          </cell>
          <cell r="KXI2" t="str">
            <v>-</v>
          </cell>
          <cell r="KXJ2" t="str">
            <v>-</v>
          </cell>
          <cell r="KXK2" t="str">
            <v>-</v>
          </cell>
          <cell r="KXL2" t="str">
            <v>-</v>
          </cell>
          <cell r="KXM2" t="str">
            <v>-</v>
          </cell>
          <cell r="KXN2" t="str">
            <v>-</v>
          </cell>
          <cell r="KXO2" t="str">
            <v>-</v>
          </cell>
          <cell r="KXP2" t="str">
            <v>-</v>
          </cell>
          <cell r="KXQ2" t="str">
            <v>-</v>
          </cell>
          <cell r="KXR2" t="str">
            <v>-</v>
          </cell>
          <cell r="KXS2" t="str">
            <v>-</v>
          </cell>
          <cell r="KXT2" t="str">
            <v>-</v>
          </cell>
          <cell r="KXU2" t="str">
            <v>-</v>
          </cell>
          <cell r="KXV2" t="str">
            <v>-</v>
          </cell>
          <cell r="KXW2" t="str">
            <v>-</v>
          </cell>
          <cell r="KXX2" t="str">
            <v>-</v>
          </cell>
          <cell r="KXY2" t="str">
            <v>-</v>
          </cell>
          <cell r="KXZ2" t="str">
            <v>-</v>
          </cell>
          <cell r="KYA2" t="str">
            <v>-</v>
          </cell>
          <cell r="KYB2" t="str">
            <v>-</v>
          </cell>
          <cell r="KYC2" t="str">
            <v>-</v>
          </cell>
          <cell r="KYD2" t="str">
            <v>-</v>
          </cell>
          <cell r="KYE2" t="str">
            <v>-</v>
          </cell>
          <cell r="KYF2" t="str">
            <v>-</v>
          </cell>
          <cell r="KYG2" t="str">
            <v>-</v>
          </cell>
          <cell r="KYH2" t="str">
            <v>-</v>
          </cell>
          <cell r="KYI2" t="str">
            <v>-</v>
          </cell>
          <cell r="KYJ2" t="str">
            <v>-</v>
          </cell>
          <cell r="KYK2" t="str">
            <v>-</v>
          </cell>
          <cell r="KYL2" t="str">
            <v>-</v>
          </cell>
          <cell r="KYM2" t="str">
            <v>-</v>
          </cell>
          <cell r="KYN2" t="str">
            <v>-</v>
          </cell>
          <cell r="KYO2" t="str">
            <v>-</v>
          </cell>
          <cell r="KYP2" t="str">
            <v>-</v>
          </cell>
          <cell r="KYQ2" t="str">
            <v>-</v>
          </cell>
          <cell r="KYR2" t="str">
            <v>-</v>
          </cell>
          <cell r="KYS2" t="str">
            <v>-</v>
          </cell>
          <cell r="KYT2" t="str">
            <v>-</v>
          </cell>
          <cell r="KYU2" t="str">
            <v>-</v>
          </cell>
          <cell r="KYV2" t="str">
            <v>-</v>
          </cell>
          <cell r="KYW2" t="str">
            <v>-</v>
          </cell>
          <cell r="KYX2" t="str">
            <v>-</v>
          </cell>
          <cell r="KYY2" t="str">
            <v>-</v>
          </cell>
          <cell r="KYZ2" t="str">
            <v>-</v>
          </cell>
          <cell r="KZA2" t="str">
            <v>-</v>
          </cell>
          <cell r="KZB2" t="str">
            <v>-</v>
          </cell>
          <cell r="KZC2" t="str">
            <v>-</v>
          </cell>
          <cell r="KZD2" t="str">
            <v>-</v>
          </cell>
          <cell r="KZE2" t="str">
            <v>-</v>
          </cell>
          <cell r="KZF2" t="str">
            <v>-</v>
          </cell>
          <cell r="KZG2" t="str">
            <v>-</v>
          </cell>
          <cell r="KZH2" t="str">
            <v>-</v>
          </cell>
          <cell r="KZI2" t="str">
            <v>-</v>
          </cell>
          <cell r="KZJ2" t="str">
            <v>-</v>
          </cell>
          <cell r="KZK2" t="str">
            <v>-</v>
          </cell>
          <cell r="KZL2" t="str">
            <v>-</v>
          </cell>
          <cell r="KZM2" t="str">
            <v>-</v>
          </cell>
          <cell r="KZN2" t="str">
            <v>-</v>
          </cell>
          <cell r="KZO2" t="str">
            <v>-</v>
          </cell>
          <cell r="KZP2" t="str">
            <v>-</v>
          </cell>
          <cell r="KZQ2" t="str">
            <v>-</v>
          </cell>
          <cell r="KZR2" t="str">
            <v>-</v>
          </cell>
          <cell r="KZS2" t="str">
            <v>-</v>
          </cell>
          <cell r="KZT2" t="str">
            <v>-</v>
          </cell>
          <cell r="KZU2" t="str">
            <v>-</v>
          </cell>
          <cell r="KZV2" t="str">
            <v>-</v>
          </cell>
          <cell r="KZW2" t="str">
            <v>-</v>
          </cell>
          <cell r="KZX2" t="str">
            <v>-</v>
          </cell>
          <cell r="KZY2" t="str">
            <v>-</v>
          </cell>
          <cell r="KZZ2" t="str">
            <v>-</v>
          </cell>
          <cell r="LAA2" t="str">
            <v>-</v>
          </cell>
          <cell r="LAB2" t="str">
            <v>-</v>
          </cell>
          <cell r="LAC2" t="str">
            <v>-</v>
          </cell>
          <cell r="LAD2" t="str">
            <v>-</v>
          </cell>
          <cell r="LAE2" t="str">
            <v>-</v>
          </cell>
          <cell r="LAF2" t="str">
            <v>-</v>
          </cell>
          <cell r="LAG2" t="str">
            <v>-</v>
          </cell>
          <cell r="LAH2" t="str">
            <v>-</v>
          </cell>
          <cell r="LAI2" t="str">
            <v>-</v>
          </cell>
          <cell r="LAJ2" t="str">
            <v>-</v>
          </cell>
          <cell r="LAK2" t="str">
            <v>-</v>
          </cell>
          <cell r="LAL2" t="str">
            <v>-</v>
          </cell>
          <cell r="LAM2" t="str">
            <v>-</v>
          </cell>
          <cell r="LAN2" t="str">
            <v>-</v>
          </cell>
          <cell r="LAO2" t="str">
            <v>-</v>
          </cell>
          <cell r="LAP2" t="str">
            <v>-</v>
          </cell>
          <cell r="LAQ2" t="str">
            <v>-</v>
          </cell>
          <cell r="LAR2" t="str">
            <v>-</v>
          </cell>
          <cell r="LAS2" t="str">
            <v>-</v>
          </cell>
          <cell r="LAT2" t="str">
            <v>-</v>
          </cell>
          <cell r="LAU2" t="str">
            <v>-</v>
          </cell>
          <cell r="LAV2" t="str">
            <v>-</v>
          </cell>
          <cell r="LAW2" t="str">
            <v>-</v>
          </cell>
          <cell r="LAX2" t="str">
            <v>-</v>
          </cell>
          <cell r="LAY2" t="str">
            <v>-</v>
          </cell>
          <cell r="LAZ2" t="str">
            <v>-</v>
          </cell>
          <cell r="LBA2" t="str">
            <v>-</v>
          </cell>
          <cell r="LBB2" t="str">
            <v>-</v>
          </cell>
          <cell r="LBC2" t="str">
            <v>-</v>
          </cell>
          <cell r="LBD2" t="str">
            <v>-</v>
          </cell>
          <cell r="LBE2" t="str">
            <v>-</v>
          </cell>
          <cell r="LBF2" t="str">
            <v>-</v>
          </cell>
          <cell r="LBG2" t="str">
            <v>-</v>
          </cell>
          <cell r="LBH2" t="str">
            <v>-</v>
          </cell>
          <cell r="LBI2" t="str">
            <v>-</v>
          </cell>
          <cell r="LBJ2" t="str">
            <v>-</v>
          </cell>
          <cell r="LBK2" t="str">
            <v>-</v>
          </cell>
          <cell r="LBL2" t="str">
            <v>-</v>
          </cell>
          <cell r="LBM2" t="str">
            <v>-</v>
          </cell>
          <cell r="LBN2" t="str">
            <v>-</v>
          </cell>
          <cell r="LBO2" t="str">
            <v>-</v>
          </cell>
          <cell r="LBP2" t="str">
            <v>-</v>
          </cell>
          <cell r="LBQ2" t="str">
            <v>-</v>
          </cell>
          <cell r="LBR2" t="str">
            <v>-</v>
          </cell>
          <cell r="LBS2" t="str">
            <v>-</v>
          </cell>
          <cell r="LBT2" t="str">
            <v>-</v>
          </cell>
          <cell r="LBU2" t="str">
            <v>-</v>
          </cell>
          <cell r="LBV2" t="str">
            <v>-</v>
          </cell>
          <cell r="LBW2" t="str">
            <v>-</v>
          </cell>
          <cell r="LBX2" t="str">
            <v>-</v>
          </cell>
          <cell r="LBY2" t="str">
            <v>-</v>
          </cell>
          <cell r="LBZ2" t="str">
            <v>-</v>
          </cell>
          <cell r="LCA2" t="str">
            <v>-</v>
          </cell>
          <cell r="LCB2" t="str">
            <v>-</v>
          </cell>
          <cell r="LCC2" t="str">
            <v>-</v>
          </cell>
          <cell r="LCD2" t="str">
            <v>-</v>
          </cell>
          <cell r="LCE2" t="str">
            <v>-</v>
          </cell>
          <cell r="LCF2" t="str">
            <v>-</v>
          </cell>
          <cell r="LCG2" t="str">
            <v>-</v>
          </cell>
          <cell r="LCH2" t="str">
            <v>-</v>
          </cell>
          <cell r="LCI2" t="str">
            <v>-</v>
          </cell>
          <cell r="LCJ2" t="str">
            <v>-</v>
          </cell>
          <cell r="LCK2" t="str">
            <v>-</v>
          </cell>
          <cell r="LCL2" t="str">
            <v>-</v>
          </cell>
          <cell r="LCM2" t="str">
            <v>-</v>
          </cell>
          <cell r="LCN2" t="str">
            <v>-</v>
          </cell>
          <cell r="LCO2" t="str">
            <v>-</v>
          </cell>
          <cell r="LCP2" t="str">
            <v>-</v>
          </cell>
          <cell r="LCQ2" t="str">
            <v>-</v>
          </cell>
          <cell r="LCR2" t="str">
            <v>-</v>
          </cell>
          <cell r="LCS2" t="str">
            <v>-</v>
          </cell>
          <cell r="LCT2" t="str">
            <v>-</v>
          </cell>
          <cell r="LCU2" t="str">
            <v>-</v>
          </cell>
          <cell r="LCV2" t="str">
            <v>-</v>
          </cell>
          <cell r="LCW2" t="str">
            <v>-</v>
          </cell>
          <cell r="LCX2" t="str">
            <v>-</v>
          </cell>
          <cell r="LCY2" t="str">
            <v>-</v>
          </cell>
          <cell r="LCZ2" t="str">
            <v>-</v>
          </cell>
          <cell r="LDA2" t="str">
            <v>-</v>
          </cell>
          <cell r="LDB2" t="str">
            <v>-</v>
          </cell>
          <cell r="LDC2" t="str">
            <v>-</v>
          </cell>
          <cell r="LDD2" t="str">
            <v>-</v>
          </cell>
          <cell r="LDE2" t="str">
            <v>-</v>
          </cell>
          <cell r="LDF2" t="str">
            <v>-</v>
          </cell>
          <cell r="LDG2" t="str">
            <v>-</v>
          </cell>
          <cell r="LDH2" t="str">
            <v>-</v>
          </cell>
          <cell r="LDI2" t="str">
            <v>-</v>
          </cell>
          <cell r="LDJ2" t="str">
            <v>-</v>
          </cell>
          <cell r="LDK2" t="str">
            <v>-</v>
          </cell>
          <cell r="LDL2" t="str">
            <v>-</v>
          </cell>
          <cell r="LDM2" t="str">
            <v>-</v>
          </cell>
          <cell r="LDN2" t="str">
            <v>-</v>
          </cell>
          <cell r="LDO2" t="str">
            <v>-</v>
          </cell>
          <cell r="LDP2" t="str">
            <v>-</v>
          </cell>
          <cell r="LDQ2" t="str">
            <v>-</v>
          </cell>
          <cell r="LDR2" t="str">
            <v>-</v>
          </cell>
          <cell r="LDS2" t="str">
            <v>-</v>
          </cell>
          <cell r="LDT2" t="str">
            <v>-</v>
          </cell>
          <cell r="LDU2" t="str">
            <v>-</v>
          </cell>
          <cell r="LDV2" t="str">
            <v>-</v>
          </cell>
          <cell r="LDW2" t="str">
            <v>-</v>
          </cell>
          <cell r="LDX2" t="str">
            <v>-</v>
          </cell>
          <cell r="LDY2" t="str">
            <v>-</v>
          </cell>
          <cell r="LDZ2" t="str">
            <v>-</v>
          </cell>
          <cell r="LEA2" t="str">
            <v>-</v>
          </cell>
          <cell r="LEB2" t="str">
            <v>-</v>
          </cell>
          <cell r="LEC2" t="str">
            <v>-</v>
          </cell>
          <cell r="LED2" t="str">
            <v>-</v>
          </cell>
          <cell r="LEE2" t="str">
            <v>-</v>
          </cell>
          <cell r="LEF2" t="str">
            <v>-</v>
          </cell>
          <cell r="LEG2" t="str">
            <v>-</v>
          </cell>
          <cell r="LEH2" t="str">
            <v>-</v>
          </cell>
          <cell r="LEI2" t="str">
            <v>-</v>
          </cell>
          <cell r="LEJ2" t="str">
            <v>-</v>
          </cell>
          <cell r="LEK2" t="str">
            <v>-</v>
          </cell>
          <cell r="LEL2" t="str">
            <v>-</v>
          </cell>
          <cell r="LEM2" t="str">
            <v>-</v>
          </cell>
          <cell r="LEN2" t="str">
            <v>-</v>
          </cell>
          <cell r="LEO2" t="str">
            <v>-</v>
          </cell>
          <cell r="LEP2" t="str">
            <v>-</v>
          </cell>
          <cell r="LEQ2" t="str">
            <v>-</v>
          </cell>
          <cell r="LER2" t="str">
            <v>-</v>
          </cell>
          <cell r="LES2" t="str">
            <v>-</v>
          </cell>
          <cell r="LET2" t="str">
            <v>-</v>
          </cell>
          <cell r="LEU2" t="str">
            <v>-</v>
          </cell>
          <cell r="LEV2" t="str">
            <v>-</v>
          </cell>
          <cell r="LEW2" t="str">
            <v>-</v>
          </cell>
          <cell r="LEX2" t="str">
            <v>-</v>
          </cell>
          <cell r="LEY2" t="str">
            <v>-</v>
          </cell>
          <cell r="LEZ2" t="str">
            <v>-</v>
          </cell>
          <cell r="LFA2" t="str">
            <v>-</v>
          </cell>
          <cell r="LFB2" t="str">
            <v>-</v>
          </cell>
          <cell r="LFC2" t="str">
            <v>-</v>
          </cell>
          <cell r="LFD2" t="str">
            <v>-</v>
          </cell>
          <cell r="LFE2" t="str">
            <v>-</v>
          </cell>
          <cell r="LFF2" t="str">
            <v>-</v>
          </cell>
          <cell r="LFG2" t="str">
            <v>-</v>
          </cell>
          <cell r="LFH2" t="str">
            <v>-</v>
          </cell>
          <cell r="LFI2" t="str">
            <v>-</v>
          </cell>
          <cell r="LFJ2" t="str">
            <v>-</v>
          </cell>
          <cell r="LFK2" t="str">
            <v>-</v>
          </cell>
          <cell r="LFL2" t="str">
            <v>-</v>
          </cell>
          <cell r="LFM2" t="str">
            <v>-</v>
          </cell>
          <cell r="LFN2" t="str">
            <v>-</v>
          </cell>
          <cell r="LFO2" t="str">
            <v>-</v>
          </cell>
          <cell r="LFP2" t="str">
            <v>-</v>
          </cell>
          <cell r="LFQ2" t="str">
            <v>-</v>
          </cell>
          <cell r="LFR2" t="str">
            <v>-</v>
          </cell>
          <cell r="LFS2" t="str">
            <v>-</v>
          </cell>
          <cell r="LFT2" t="str">
            <v>-</v>
          </cell>
          <cell r="LFU2" t="str">
            <v>-</v>
          </cell>
          <cell r="LFV2" t="str">
            <v>-</v>
          </cell>
          <cell r="LFW2" t="str">
            <v>-</v>
          </cell>
          <cell r="LFX2" t="str">
            <v>-</v>
          </cell>
          <cell r="LFY2" t="str">
            <v>-</v>
          </cell>
          <cell r="LFZ2" t="str">
            <v>-</v>
          </cell>
          <cell r="LGA2" t="str">
            <v>-</v>
          </cell>
          <cell r="LGB2" t="str">
            <v>-</v>
          </cell>
          <cell r="LGC2" t="str">
            <v>-</v>
          </cell>
          <cell r="LGD2" t="str">
            <v>-</v>
          </cell>
          <cell r="LGE2" t="str">
            <v>-</v>
          </cell>
          <cell r="LGF2" t="str">
            <v>-</v>
          </cell>
          <cell r="LGG2" t="str">
            <v>-</v>
          </cell>
          <cell r="LGH2" t="str">
            <v>-</v>
          </cell>
          <cell r="LGI2" t="str">
            <v>-</v>
          </cell>
          <cell r="LGJ2" t="str">
            <v>-</v>
          </cell>
          <cell r="LGK2" t="str">
            <v>-</v>
          </cell>
          <cell r="LGL2" t="str">
            <v>-</v>
          </cell>
          <cell r="LGM2" t="str">
            <v>-</v>
          </cell>
          <cell r="LGN2" t="str">
            <v>-</v>
          </cell>
          <cell r="LGO2" t="str">
            <v>-</v>
          </cell>
          <cell r="LGP2" t="str">
            <v>-</v>
          </cell>
          <cell r="LGQ2" t="str">
            <v>-</v>
          </cell>
          <cell r="LGR2" t="str">
            <v>-</v>
          </cell>
          <cell r="LGS2" t="str">
            <v>-</v>
          </cell>
          <cell r="LGT2" t="str">
            <v>-</v>
          </cell>
          <cell r="LGU2" t="str">
            <v>-</v>
          </cell>
          <cell r="LGV2" t="str">
            <v>-</v>
          </cell>
          <cell r="LGW2" t="str">
            <v>-</v>
          </cell>
          <cell r="LGX2" t="str">
            <v>-</v>
          </cell>
          <cell r="LGY2" t="str">
            <v>-</v>
          </cell>
          <cell r="LGZ2" t="str">
            <v>-</v>
          </cell>
          <cell r="LHA2" t="str">
            <v>-</v>
          </cell>
          <cell r="LHB2" t="str">
            <v>-</v>
          </cell>
          <cell r="LHC2" t="str">
            <v>-</v>
          </cell>
          <cell r="LHD2" t="str">
            <v>-</v>
          </cell>
          <cell r="LHE2" t="str">
            <v>-</v>
          </cell>
          <cell r="LHF2" t="str">
            <v>-</v>
          </cell>
          <cell r="LHG2" t="str">
            <v>-</v>
          </cell>
          <cell r="LHH2" t="str">
            <v>-</v>
          </cell>
          <cell r="LHI2" t="str">
            <v>-</v>
          </cell>
          <cell r="LHJ2" t="str">
            <v>-</v>
          </cell>
          <cell r="LHK2" t="str">
            <v>-</v>
          </cell>
          <cell r="LHL2" t="str">
            <v>-</v>
          </cell>
          <cell r="LHM2" t="str">
            <v>-</v>
          </cell>
          <cell r="LHN2" t="str">
            <v>-</v>
          </cell>
          <cell r="LHO2" t="str">
            <v>-</v>
          </cell>
          <cell r="LHP2" t="str">
            <v>-</v>
          </cell>
          <cell r="LHQ2" t="str">
            <v>-</v>
          </cell>
          <cell r="LHR2" t="str">
            <v>-</v>
          </cell>
          <cell r="LHS2" t="str">
            <v>-</v>
          </cell>
          <cell r="LHT2" t="str">
            <v>-</v>
          </cell>
          <cell r="LHU2" t="str">
            <v>-</v>
          </cell>
          <cell r="LHV2" t="str">
            <v>-</v>
          </cell>
          <cell r="LHW2" t="str">
            <v>-</v>
          </cell>
          <cell r="LHX2" t="str">
            <v>-</v>
          </cell>
          <cell r="LHY2" t="str">
            <v>-</v>
          </cell>
          <cell r="LHZ2" t="str">
            <v>-</v>
          </cell>
          <cell r="LIA2" t="str">
            <v>-</v>
          </cell>
          <cell r="LIB2" t="str">
            <v>-</v>
          </cell>
          <cell r="LIC2" t="str">
            <v>-</v>
          </cell>
          <cell r="LID2" t="str">
            <v>-</v>
          </cell>
          <cell r="LIE2" t="str">
            <v>-</v>
          </cell>
          <cell r="LIF2" t="str">
            <v>-</v>
          </cell>
          <cell r="LIG2" t="str">
            <v>-</v>
          </cell>
          <cell r="LIH2" t="str">
            <v>-</v>
          </cell>
          <cell r="LII2" t="str">
            <v>-</v>
          </cell>
          <cell r="LIJ2" t="str">
            <v>-</v>
          </cell>
          <cell r="LIK2" t="str">
            <v>-</v>
          </cell>
          <cell r="LIL2" t="str">
            <v>-</v>
          </cell>
          <cell r="LIM2" t="str">
            <v>-</v>
          </cell>
          <cell r="LIN2" t="str">
            <v>-</v>
          </cell>
          <cell r="LIO2" t="str">
            <v>-</v>
          </cell>
          <cell r="LIP2" t="str">
            <v>-</v>
          </cell>
          <cell r="LIQ2" t="str">
            <v>-</v>
          </cell>
          <cell r="LIR2" t="str">
            <v>-</v>
          </cell>
          <cell r="LIS2" t="str">
            <v>-</v>
          </cell>
          <cell r="LIT2" t="str">
            <v>-</v>
          </cell>
          <cell r="LIU2" t="str">
            <v>-</v>
          </cell>
          <cell r="LIV2" t="str">
            <v>-</v>
          </cell>
          <cell r="LIW2" t="str">
            <v>-</v>
          </cell>
          <cell r="LIX2" t="str">
            <v>-</v>
          </cell>
          <cell r="LIY2" t="str">
            <v>-</v>
          </cell>
          <cell r="LIZ2" t="str">
            <v>-</v>
          </cell>
          <cell r="LJA2" t="str">
            <v>-</v>
          </cell>
          <cell r="LJB2" t="str">
            <v>-</v>
          </cell>
          <cell r="LJC2" t="str">
            <v>-</v>
          </cell>
          <cell r="LJD2" t="str">
            <v>-</v>
          </cell>
          <cell r="LJE2" t="str">
            <v>-</v>
          </cell>
          <cell r="LJF2" t="str">
            <v>-</v>
          </cell>
          <cell r="LJG2" t="str">
            <v>-</v>
          </cell>
          <cell r="LJH2" t="str">
            <v>-</v>
          </cell>
          <cell r="LJI2" t="str">
            <v>-</v>
          </cell>
          <cell r="LJJ2" t="str">
            <v>-</v>
          </cell>
          <cell r="LJK2" t="str">
            <v>-</v>
          </cell>
          <cell r="LJL2" t="str">
            <v>-</v>
          </cell>
          <cell r="LJM2" t="str">
            <v>-</v>
          </cell>
          <cell r="LJN2" t="str">
            <v>-</v>
          </cell>
          <cell r="LJO2" t="str">
            <v>-</v>
          </cell>
          <cell r="LJP2" t="str">
            <v>-</v>
          </cell>
          <cell r="LJQ2" t="str">
            <v>-</v>
          </cell>
          <cell r="LJR2" t="str">
            <v>-</v>
          </cell>
          <cell r="LJS2" t="str">
            <v>-</v>
          </cell>
          <cell r="LJT2" t="str">
            <v>-</v>
          </cell>
          <cell r="LJU2" t="str">
            <v>-</v>
          </cell>
          <cell r="LJV2" t="str">
            <v>-</v>
          </cell>
          <cell r="LJW2" t="str">
            <v>-</v>
          </cell>
          <cell r="LJX2" t="str">
            <v>-</v>
          </cell>
          <cell r="LJY2" t="str">
            <v>-</v>
          </cell>
          <cell r="LJZ2" t="str">
            <v>-</v>
          </cell>
          <cell r="LKA2" t="str">
            <v>-</v>
          </cell>
          <cell r="LKB2" t="str">
            <v>-</v>
          </cell>
          <cell r="LKC2" t="str">
            <v>-</v>
          </cell>
          <cell r="LKD2" t="str">
            <v>-</v>
          </cell>
          <cell r="LKE2" t="str">
            <v>-</v>
          </cell>
          <cell r="LKF2" t="str">
            <v>-</v>
          </cell>
          <cell r="LKG2" t="str">
            <v>-</v>
          </cell>
          <cell r="LKH2" t="str">
            <v>-</v>
          </cell>
          <cell r="LKI2" t="str">
            <v>-</v>
          </cell>
          <cell r="LKJ2" t="str">
            <v>-</v>
          </cell>
          <cell r="LKK2" t="str">
            <v>-</v>
          </cell>
          <cell r="LKL2" t="str">
            <v>-</v>
          </cell>
          <cell r="LKM2" t="str">
            <v>-</v>
          </cell>
          <cell r="LKN2" t="str">
            <v>-</v>
          </cell>
          <cell r="LKO2" t="str">
            <v>-</v>
          </cell>
          <cell r="LKP2" t="str">
            <v>-</v>
          </cell>
          <cell r="LKQ2" t="str">
            <v>-</v>
          </cell>
          <cell r="LKR2" t="str">
            <v>-</v>
          </cell>
          <cell r="LKS2" t="str">
            <v>-</v>
          </cell>
          <cell r="LKT2" t="str">
            <v>-</v>
          </cell>
          <cell r="LKU2" t="str">
            <v>-</v>
          </cell>
          <cell r="LKV2" t="str">
            <v>-</v>
          </cell>
          <cell r="LKW2" t="str">
            <v>-</v>
          </cell>
          <cell r="LKX2" t="str">
            <v>-</v>
          </cell>
          <cell r="LKY2" t="str">
            <v>-</v>
          </cell>
          <cell r="LKZ2" t="str">
            <v>-</v>
          </cell>
          <cell r="LLA2" t="str">
            <v>-</v>
          </cell>
          <cell r="LLB2" t="str">
            <v>-</v>
          </cell>
          <cell r="LLC2" t="str">
            <v>-</v>
          </cell>
          <cell r="LLD2" t="str">
            <v>-</v>
          </cell>
          <cell r="LLE2" t="str">
            <v>-</v>
          </cell>
          <cell r="LLF2" t="str">
            <v>-</v>
          </cell>
          <cell r="LLG2" t="str">
            <v>-</v>
          </cell>
          <cell r="LLH2" t="str">
            <v>-</v>
          </cell>
          <cell r="LLI2" t="str">
            <v>-</v>
          </cell>
          <cell r="LLJ2" t="str">
            <v>-</v>
          </cell>
          <cell r="LLK2" t="str">
            <v>-</v>
          </cell>
          <cell r="LLL2" t="str">
            <v>-</v>
          </cell>
          <cell r="LLM2" t="str">
            <v>-</v>
          </cell>
          <cell r="LLN2" t="str">
            <v>-</v>
          </cell>
          <cell r="LLO2" t="str">
            <v>-</v>
          </cell>
          <cell r="LLP2" t="str">
            <v>-</v>
          </cell>
          <cell r="LLQ2" t="str">
            <v>-</v>
          </cell>
          <cell r="LLR2" t="str">
            <v>-</v>
          </cell>
          <cell r="LLS2" t="str">
            <v>-</v>
          </cell>
          <cell r="LLT2" t="str">
            <v>-</v>
          </cell>
          <cell r="LLU2" t="str">
            <v>-</v>
          </cell>
          <cell r="LLV2" t="str">
            <v>-</v>
          </cell>
          <cell r="LLW2" t="str">
            <v>-</v>
          </cell>
          <cell r="LLX2" t="str">
            <v>-</v>
          </cell>
          <cell r="LLY2" t="str">
            <v>-</v>
          </cell>
          <cell r="LLZ2" t="str">
            <v>-</v>
          </cell>
          <cell r="LMA2" t="str">
            <v>-</v>
          </cell>
          <cell r="LMB2" t="str">
            <v>-</v>
          </cell>
          <cell r="LMC2" t="str">
            <v>-</v>
          </cell>
          <cell r="LMD2" t="str">
            <v>-</v>
          </cell>
          <cell r="LME2" t="str">
            <v>-</v>
          </cell>
          <cell r="LMF2" t="str">
            <v>-</v>
          </cell>
          <cell r="LMG2" t="str">
            <v>-</v>
          </cell>
          <cell r="LMH2" t="str">
            <v>-</v>
          </cell>
          <cell r="LMI2" t="str">
            <v>-</v>
          </cell>
          <cell r="LMJ2" t="str">
            <v>-</v>
          </cell>
          <cell r="LMK2" t="str">
            <v>-</v>
          </cell>
          <cell r="LML2" t="str">
            <v>-</v>
          </cell>
          <cell r="LMM2" t="str">
            <v>-</v>
          </cell>
          <cell r="LMN2" t="str">
            <v>-</v>
          </cell>
          <cell r="LMO2" t="str">
            <v>-</v>
          </cell>
          <cell r="LMP2" t="str">
            <v>-</v>
          </cell>
          <cell r="LMQ2" t="str">
            <v>-</v>
          </cell>
          <cell r="LMR2" t="str">
            <v>-</v>
          </cell>
          <cell r="LMS2" t="str">
            <v>-</v>
          </cell>
          <cell r="LMT2" t="str">
            <v>-</v>
          </cell>
          <cell r="LMU2" t="str">
            <v>-</v>
          </cell>
          <cell r="LMV2" t="str">
            <v>-</v>
          </cell>
          <cell r="LMW2" t="str">
            <v>-</v>
          </cell>
          <cell r="LMX2" t="str">
            <v>-</v>
          </cell>
          <cell r="LMY2" t="str">
            <v>-</v>
          </cell>
          <cell r="LMZ2" t="str">
            <v>-</v>
          </cell>
          <cell r="LNA2" t="str">
            <v>-</v>
          </cell>
          <cell r="LNB2" t="str">
            <v>-</v>
          </cell>
          <cell r="LNC2" t="str">
            <v>-</v>
          </cell>
          <cell r="LND2" t="str">
            <v>-</v>
          </cell>
          <cell r="LNE2" t="str">
            <v>-</v>
          </cell>
          <cell r="LNF2" t="str">
            <v>-</v>
          </cell>
          <cell r="LNG2" t="str">
            <v>-</v>
          </cell>
          <cell r="LNH2" t="str">
            <v>-</v>
          </cell>
          <cell r="LNI2" t="str">
            <v>-</v>
          </cell>
          <cell r="LNJ2" t="str">
            <v>-</v>
          </cell>
          <cell r="LNK2" t="str">
            <v>-</v>
          </cell>
          <cell r="LNL2" t="str">
            <v>-</v>
          </cell>
          <cell r="LNM2" t="str">
            <v>-</v>
          </cell>
          <cell r="LNN2" t="str">
            <v>-</v>
          </cell>
          <cell r="LNO2" t="str">
            <v>-</v>
          </cell>
          <cell r="LNP2" t="str">
            <v>-</v>
          </cell>
          <cell r="LNQ2" t="str">
            <v>-</v>
          </cell>
          <cell r="LNR2" t="str">
            <v>-</v>
          </cell>
          <cell r="LNS2" t="str">
            <v>-</v>
          </cell>
          <cell r="LNT2" t="str">
            <v>-</v>
          </cell>
          <cell r="LNU2" t="str">
            <v>-</v>
          </cell>
          <cell r="LNV2" t="str">
            <v>-</v>
          </cell>
          <cell r="LNW2" t="str">
            <v>-</v>
          </cell>
          <cell r="LNX2" t="str">
            <v>-</v>
          </cell>
          <cell r="LNY2" t="str">
            <v>-</v>
          </cell>
          <cell r="LNZ2" t="str">
            <v>-</v>
          </cell>
          <cell r="LOA2" t="str">
            <v>-</v>
          </cell>
          <cell r="LOB2" t="str">
            <v>-</v>
          </cell>
          <cell r="LOC2" t="str">
            <v>-</v>
          </cell>
          <cell r="LOD2" t="str">
            <v>-</v>
          </cell>
          <cell r="LOE2" t="str">
            <v>-</v>
          </cell>
          <cell r="LOF2" t="str">
            <v>-</v>
          </cell>
          <cell r="LOG2" t="str">
            <v>-</v>
          </cell>
          <cell r="LOH2" t="str">
            <v>-</v>
          </cell>
          <cell r="LOI2" t="str">
            <v>-</v>
          </cell>
          <cell r="LOJ2" t="str">
            <v>-</v>
          </cell>
          <cell r="LOK2" t="str">
            <v>-</v>
          </cell>
          <cell r="LOL2" t="str">
            <v>-</v>
          </cell>
          <cell r="LOM2" t="str">
            <v>-</v>
          </cell>
          <cell r="LON2" t="str">
            <v>-</v>
          </cell>
          <cell r="LOO2" t="str">
            <v>-</v>
          </cell>
          <cell r="LOP2" t="str">
            <v>-</v>
          </cell>
          <cell r="LOQ2" t="str">
            <v>-</v>
          </cell>
          <cell r="LOR2" t="str">
            <v>-</v>
          </cell>
          <cell r="LOS2" t="str">
            <v>-</v>
          </cell>
          <cell r="LOT2" t="str">
            <v>-</v>
          </cell>
          <cell r="LOU2" t="str">
            <v>-</v>
          </cell>
          <cell r="LOV2" t="str">
            <v>-</v>
          </cell>
          <cell r="LOW2" t="str">
            <v>-</v>
          </cell>
          <cell r="LOX2" t="str">
            <v>-</v>
          </cell>
          <cell r="LOY2" t="str">
            <v>-</v>
          </cell>
          <cell r="LOZ2" t="str">
            <v>-</v>
          </cell>
          <cell r="LPA2" t="str">
            <v>-</v>
          </cell>
          <cell r="LPB2" t="str">
            <v>-</v>
          </cell>
          <cell r="LPC2" t="str">
            <v>-</v>
          </cell>
          <cell r="LPD2" t="str">
            <v>-</v>
          </cell>
          <cell r="LPE2" t="str">
            <v>-</v>
          </cell>
          <cell r="LPF2" t="str">
            <v>-</v>
          </cell>
          <cell r="LPG2" t="str">
            <v>-</v>
          </cell>
          <cell r="LPH2" t="str">
            <v>-</v>
          </cell>
          <cell r="LPI2" t="str">
            <v>-</v>
          </cell>
          <cell r="LPJ2" t="str">
            <v>-</v>
          </cell>
          <cell r="LPK2" t="str">
            <v>-</v>
          </cell>
          <cell r="LPL2" t="str">
            <v>-</v>
          </cell>
          <cell r="LPM2" t="str">
            <v>-</v>
          </cell>
          <cell r="LPN2" t="str">
            <v>-</v>
          </cell>
          <cell r="LPO2" t="str">
            <v>-</v>
          </cell>
          <cell r="LPP2" t="str">
            <v>-</v>
          </cell>
          <cell r="LPQ2" t="str">
            <v>-</v>
          </cell>
          <cell r="LPR2" t="str">
            <v>-</v>
          </cell>
          <cell r="LPS2" t="str">
            <v>-</v>
          </cell>
          <cell r="LPT2" t="str">
            <v>-</v>
          </cell>
          <cell r="LPU2" t="str">
            <v>-</v>
          </cell>
          <cell r="LPV2" t="str">
            <v>-</v>
          </cell>
          <cell r="LPW2" t="str">
            <v>-</v>
          </cell>
          <cell r="LPX2" t="str">
            <v>-</v>
          </cell>
          <cell r="LPY2" t="str">
            <v>-</v>
          </cell>
          <cell r="LPZ2" t="str">
            <v>-</v>
          </cell>
          <cell r="LQA2" t="str">
            <v>-</v>
          </cell>
          <cell r="LQB2" t="str">
            <v>-</v>
          </cell>
          <cell r="LQC2" t="str">
            <v>-</v>
          </cell>
          <cell r="LQD2" t="str">
            <v>-</v>
          </cell>
          <cell r="LQE2" t="str">
            <v>-</v>
          </cell>
          <cell r="LQF2" t="str">
            <v>-</v>
          </cell>
          <cell r="LQG2" t="str">
            <v>-</v>
          </cell>
          <cell r="LQH2" t="str">
            <v>-</v>
          </cell>
          <cell r="LQI2" t="str">
            <v>-</v>
          </cell>
          <cell r="LQJ2" t="str">
            <v>-</v>
          </cell>
          <cell r="LQK2" t="str">
            <v>-</v>
          </cell>
          <cell r="LQL2" t="str">
            <v>-</v>
          </cell>
          <cell r="LQM2" t="str">
            <v>-</v>
          </cell>
          <cell r="LQN2" t="str">
            <v>-</v>
          </cell>
          <cell r="LQO2" t="str">
            <v>-</v>
          </cell>
          <cell r="LQP2" t="str">
            <v>-</v>
          </cell>
          <cell r="LQQ2" t="str">
            <v>-</v>
          </cell>
          <cell r="LQR2" t="str">
            <v>-</v>
          </cell>
          <cell r="LQS2" t="str">
            <v>-</v>
          </cell>
          <cell r="LQT2" t="str">
            <v>-</v>
          </cell>
          <cell r="LQU2" t="str">
            <v>-</v>
          </cell>
          <cell r="LQV2" t="str">
            <v>-</v>
          </cell>
          <cell r="LQW2" t="str">
            <v>-</v>
          </cell>
          <cell r="LQX2" t="str">
            <v>-</v>
          </cell>
          <cell r="LQY2" t="str">
            <v>-</v>
          </cell>
          <cell r="LQZ2" t="str">
            <v>-</v>
          </cell>
          <cell r="LRA2" t="str">
            <v>-</v>
          </cell>
          <cell r="LRB2" t="str">
            <v>-</v>
          </cell>
          <cell r="LRC2" t="str">
            <v>-</v>
          </cell>
          <cell r="LRD2" t="str">
            <v>-</v>
          </cell>
          <cell r="LRE2" t="str">
            <v>-</v>
          </cell>
          <cell r="LRF2" t="str">
            <v>-</v>
          </cell>
          <cell r="LRG2" t="str">
            <v>-</v>
          </cell>
          <cell r="LRH2" t="str">
            <v>-</v>
          </cell>
          <cell r="LRI2" t="str">
            <v>-</v>
          </cell>
          <cell r="LRJ2" t="str">
            <v>-</v>
          </cell>
          <cell r="LRK2" t="str">
            <v>-</v>
          </cell>
          <cell r="LRL2" t="str">
            <v>-</v>
          </cell>
          <cell r="LRM2" t="str">
            <v>-</v>
          </cell>
          <cell r="LRN2" t="str">
            <v>-</v>
          </cell>
          <cell r="LRO2" t="str">
            <v>-</v>
          </cell>
          <cell r="LRP2" t="str">
            <v>-</v>
          </cell>
          <cell r="LRQ2" t="str">
            <v>-</v>
          </cell>
          <cell r="LRR2" t="str">
            <v>-</v>
          </cell>
          <cell r="LRS2" t="str">
            <v>-</v>
          </cell>
          <cell r="LRT2" t="str">
            <v>-</v>
          </cell>
          <cell r="LRU2" t="str">
            <v>-</v>
          </cell>
          <cell r="LRV2" t="str">
            <v>-</v>
          </cell>
          <cell r="LRW2" t="str">
            <v>-</v>
          </cell>
          <cell r="LRX2" t="str">
            <v>-</v>
          </cell>
          <cell r="LRY2" t="str">
            <v>-</v>
          </cell>
          <cell r="LRZ2" t="str">
            <v>-</v>
          </cell>
          <cell r="LSA2" t="str">
            <v>-</v>
          </cell>
          <cell r="LSB2" t="str">
            <v>-</v>
          </cell>
          <cell r="LSC2" t="str">
            <v>-</v>
          </cell>
          <cell r="LSD2" t="str">
            <v>-</v>
          </cell>
          <cell r="LSE2" t="str">
            <v>-</v>
          </cell>
          <cell r="LSF2" t="str">
            <v>-</v>
          </cell>
          <cell r="LSG2" t="str">
            <v>-</v>
          </cell>
          <cell r="LSH2" t="str">
            <v>-</v>
          </cell>
          <cell r="LSI2" t="str">
            <v>-</v>
          </cell>
          <cell r="LSJ2" t="str">
            <v>-</v>
          </cell>
          <cell r="LSK2" t="str">
            <v>-</v>
          </cell>
          <cell r="LSL2" t="str">
            <v>-</v>
          </cell>
          <cell r="LSM2" t="str">
            <v>-</v>
          </cell>
          <cell r="LSN2" t="str">
            <v>-</v>
          </cell>
          <cell r="LSO2" t="str">
            <v>-</v>
          </cell>
          <cell r="LSP2" t="str">
            <v>-</v>
          </cell>
          <cell r="LSQ2" t="str">
            <v>-</v>
          </cell>
          <cell r="LSR2" t="str">
            <v>-</v>
          </cell>
          <cell r="LSS2" t="str">
            <v>-</v>
          </cell>
          <cell r="LST2" t="str">
            <v>-</v>
          </cell>
          <cell r="LSU2" t="str">
            <v>-</v>
          </cell>
          <cell r="LSV2" t="str">
            <v>-</v>
          </cell>
          <cell r="LSW2" t="str">
            <v>-</v>
          </cell>
          <cell r="LSX2" t="str">
            <v>-</v>
          </cell>
          <cell r="LSY2" t="str">
            <v>-</v>
          </cell>
          <cell r="LSZ2" t="str">
            <v>-</v>
          </cell>
          <cell r="LTA2" t="str">
            <v>-</v>
          </cell>
          <cell r="LTB2" t="str">
            <v>-</v>
          </cell>
          <cell r="LTC2" t="str">
            <v>-</v>
          </cell>
          <cell r="LTD2" t="str">
            <v>-</v>
          </cell>
          <cell r="LTE2" t="str">
            <v>-</v>
          </cell>
          <cell r="LTF2" t="str">
            <v>-</v>
          </cell>
          <cell r="LTG2" t="str">
            <v>-</v>
          </cell>
          <cell r="LTH2" t="str">
            <v>-</v>
          </cell>
          <cell r="LTI2" t="str">
            <v>-</v>
          </cell>
          <cell r="LTJ2" t="str">
            <v>-</v>
          </cell>
          <cell r="LTK2" t="str">
            <v>-</v>
          </cell>
          <cell r="LTL2" t="str">
            <v>-</v>
          </cell>
          <cell r="LTM2" t="str">
            <v>-</v>
          </cell>
          <cell r="LTN2" t="str">
            <v>-</v>
          </cell>
          <cell r="LTO2" t="str">
            <v>-</v>
          </cell>
          <cell r="LTP2" t="str">
            <v>-</v>
          </cell>
          <cell r="LTQ2" t="str">
            <v>-</v>
          </cell>
          <cell r="LTR2" t="str">
            <v>-</v>
          </cell>
          <cell r="LTS2" t="str">
            <v>-</v>
          </cell>
          <cell r="LTT2" t="str">
            <v>-</v>
          </cell>
          <cell r="LTU2" t="str">
            <v>-</v>
          </cell>
          <cell r="LTV2" t="str">
            <v>-</v>
          </cell>
          <cell r="LTW2" t="str">
            <v>-</v>
          </cell>
          <cell r="LTX2" t="str">
            <v>-</v>
          </cell>
          <cell r="LTY2" t="str">
            <v>-</v>
          </cell>
          <cell r="LTZ2" t="str">
            <v>-</v>
          </cell>
          <cell r="LUA2" t="str">
            <v>-</v>
          </cell>
          <cell r="LUB2" t="str">
            <v>-</v>
          </cell>
          <cell r="LUC2" t="str">
            <v>-</v>
          </cell>
          <cell r="LUD2" t="str">
            <v>-</v>
          </cell>
          <cell r="LUE2" t="str">
            <v>-</v>
          </cell>
          <cell r="LUF2" t="str">
            <v>-</v>
          </cell>
          <cell r="LUG2" t="str">
            <v>-</v>
          </cell>
          <cell r="LUH2" t="str">
            <v>-</v>
          </cell>
          <cell r="LUI2" t="str">
            <v>-</v>
          </cell>
          <cell r="LUJ2" t="str">
            <v>-</v>
          </cell>
          <cell r="LUK2" t="str">
            <v>-</v>
          </cell>
          <cell r="LUL2" t="str">
            <v>-</v>
          </cell>
          <cell r="LUM2" t="str">
            <v>-</v>
          </cell>
          <cell r="LUN2" t="str">
            <v>-</v>
          </cell>
          <cell r="LUO2" t="str">
            <v>-</v>
          </cell>
          <cell r="LUP2" t="str">
            <v>-</v>
          </cell>
          <cell r="LUQ2" t="str">
            <v>-</v>
          </cell>
          <cell r="LUR2" t="str">
            <v>-</v>
          </cell>
          <cell r="LUS2" t="str">
            <v>-</v>
          </cell>
          <cell r="LUT2" t="str">
            <v>-</v>
          </cell>
          <cell r="LUU2" t="str">
            <v>-</v>
          </cell>
          <cell r="LUV2" t="str">
            <v>-</v>
          </cell>
          <cell r="LUW2" t="str">
            <v>-</v>
          </cell>
          <cell r="LUX2" t="str">
            <v>-</v>
          </cell>
          <cell r="LUY2" t="str">
            <v>-</v>
          </cell>
          <cell r="LUZ2" t="str">
            <v>-</v>
          </cell>
          <cell r="LVA2" t="str">
            <v>-</v>
          </cell>
          <cell r="LVB2" t="str">
            <v>-</v>
          </cell>
          <cell r="LVC2" t="str">
            <v>-</v>
          </cell>
          <cell r="LVD2" t="str">
            <v>-</v>
          </cell>
          <cell r="LVE2" t="str">
            <v>-</v>
          </cell>
          <cell r="LVF2" t="str">
            <v>-</v>
          </cell>
          <cell r="LVG2" t="str">
            <v>-</v>
          </cell>
          <cell r="LVH2" t="str">
            <v>-</v>
          </cell>
          <cell r="LVI2" t="str">
            <v>-</v>
          </cell>
          <cell r="LVJ2" t="str">
            <v>-</v>
          </cell>
          <cell r="LVK2" t="str">
            <v>-</v>
          </cell>
          <cell r="LVL2" t="str">
            <v>-</v>
          </cell>
          <cell r="LVM2" t="str">
            <v>-</v>
          </cell>
          <cell r="LVN2" t="str">
            <v>-</v>
          </cell>
          <cell r="LVO2" t="str">
            <v>-</v>
          </cell>
          <cell r="LVP2" t="str">
            <v>-</v>
          </cell>
          <cell r="LVQ2" t="str">
            <v>-</v>
          </cell>
          <cell r="LVR2" t="str">
            <v>-</v>
          </cell>
          <cell r="LVS2" t="str">
            <v>-</v>
          </cell>
          <cell r="LVT2" t="str">
            <v>-</v>
          </cell>
          <cell r="LVU2" t="str">
            <v>-</v>
          </cell>
          <cell r="LVV2" t="str">
            <v>-</v>
          </cell>
          <cell r="LVW2" t="str">
            <v>-</v>
          </cell>
          <cell r="LVX2" t="str">
            <v>-</v>
          </cell>
          <cell r="LVY2" t="str">
            <v>-</v>
          </cell>
          <cell r="LVZ2" t="str">
            <v>-</v>
          </cell>
          <cell r="LWA2" t="str">
            <v>-</v>
          </cell>
          <cell r="LWB2" t="str">
            <v>-</v>
          </cell>
          <cell r="LWC2" t="str">
            <v>-</v>
          </cell>
          <cell r="LWD2" t="str">
            <v>-</v>
          </cell>
          <cell r="LWE2" t="str">
            <v>-</v>
          </cell>
          <cell r="LWF2" t="str">
            <v>-</v>
          </cell>
          <cell r="LWG2" t="str">
            <v>-</v>
          </cell>
          <cell r="LWH2" t="str">
            <v>-</v>
          </cell>
          <cell r="LWI2" t="str">
            <v>-</v>
          </cell>
          <cell r="LWJ2" t="str">
            <v>-</v>
          </cell>
          <cell r="LWK2" t="str">
            <v>-</v>
          </cell>
          <cell r="LWL2" t="str">
            <v>-</v>
          </cell>
          <cell r="LWM2" t="str">
            <v>-</v>
          </cell>
          <cell r="LWN2" t="str">
            <v>-</v>
          </cell>
          <cell r="LWO2" t="str">
            <v>-</v>
          </cell>
          <cell r="LWP2" t="str">
            <v>-</v>
          </cell>
          <cell r="LWQ2" t="str">
            <v>-</v>
          </cell>
          <cell r="LWR2" t="str">
            <v>-</v>
          </cell>
          <cell r="LWS2" t="str">
            <v>-</v>
          </cell>
          <cell r="LWT2" t="str">
            <v>-</v>
          </cell>
          <cell r="LWU2" t="str">
            <v>-</v>
          </cell>
          <cell r="LWV2" t="str">
            <v>-</v>
          </cell>
          <cell r="LWW2" t="str">
            <v>-</v>
          </cell>
          <cell r="LWX2" t="str">
            <v>-</v>
          </cell>
          <cell r="LWY2" t="str">
            <v>-</v>
          </cell>
          <cell r="LWZ2" t="str">
            <v>-</v>
          </cell>
          <cell r="LXA2" t="str">
            <v>-</v>
          </cell>
          <cell r="LXB2" t="str">
            <v>-</v>
          </cell>
          <cell r="LXC2" t="str">
            <v>-</v>
          </cell>
          <cell r="LXD2" t="str">
            <v>-</v>
          </cell>
          <cell r="LXE2" t="str">
            <v>-</v>
          </cell>
          <cell r="LXF2" t="str">
            <v>-</v>
          </cell>
          <cell r="LXG2" t="str">
            <v>-</v>
          </cell>
          <cell r="LXH2" t="str">
            <v>-</v>
          </cell>
          <cell r="LXI2" t="str">
            <v>-</v>
          </cell>
          <cell r="LXJ2" t="str">
            <v>-</v>
          </cell>
          <cell r="LXK2" t="str">
            <v>-</v>
          </cell>
          <cell r="LXL2" t="str">
            <v>-</v>
          </cell>
          <cell r="LXM2" t="str">
            <v>-</v>
          </cell>
          <cell r="LXN2" t="str">
            <v>-</v>
          </cell>
          <cell r="LXO2" t="str">
            <v>-</v>
          </cell>
          <cell r="LXP2" t="str">
            <v>-</v>
          </cell>
          <cell r="LXQ2" t="str">
            <v>-</v>
          </cell>
          <cell r="LXR2" t="str">
            <v>-</v>
          </cell>
          <cell r="LXS2" t="str">
            <v>-</v>
          </cell>
          <cell r="LXT2" t="str">
            <v>-</v>
          </cell>
          <cell r="LXU2" t="str">
            <v>-</v>
          </cell>
          <cell r="LXV2" t="str">
            <v>-</v>
          </cell>
          <cell r="LXW2" t="str">
            <v>-</v>
          </cell>
          <cell r="LXX2" t="str">
            <v>-</v>
          </cell>
          <cell r="LXY2" t="str">
            <v>-</v>
          </cell>
          <cell r="LXZ2" t="str">
            <v>-</v>
          </cell>
          <cell r="LYA2" t="str">
            <v>-</v>
          </cell>
          <cell r="LYB2" t="str">
            <v>-</v>
          </cell>
          <cell r="LYC2" t="str">
            <v>-</v>
          </cell>
          <cell r="LYD2" t="str">
            <v>-</v>
          </cell>
          <cell r="LYE2" t="str">
            <v>-</v>
          </cell>
          <cell r="LYF2" t="str">
            <v>-</v>
          </cell>
          <cell r="LYG2" t="str">
            <v>-</v>
          </cell>
          <cell r="LYH2" t="str">
            <v>-</v>
          </cell>
          <cell r="LYI2" t="str">
            <v>-</v>
          </cell>
          <cell r="LYJ2" t="str">
            <v>-</v>
          </cell>
          <cell r="LYK2" t="str">
            <v>-</v>
          </cell>
          <cell r="LYL2" t="str">
            <v>-</v>
          </cell>
          <cell r="LYM2" t="str">
            <v>-</v>
          </cell>
          <cell r="LYN2" t="str">
            <v>-</v>
          </cell>
          <cell r="LYO2" t="str">
            <v>-</v>
          </cell>
          <cell r="LYP2" t="str">
            <v>-</v>
          </cell>
          <cell r="LYQ2" t="str">
            <v>-</v>
          </cell>
          <cell r="LYR2" t="str">
            <v>-</v>
          </cell>
          <cell r="LYS2" t="str">
            <v>-</v>
          </cell>
          <cell r="LYT2" t="str">
            <v>-</v>
          </cell>
          <cell r="LYU2" t="str">
            <v>-</v>
          </cell>
          <cell r="LYV2" t="str">
            <v>-</v>
          </cell>
          <cell r="LYW2" t="str">
            <v>-</v>
          </cell>
          <cell r="LYX2" t="str">
            <v>-</v>
          </cell>
          <cell r="LYY2" t="str">
            <v>-</v>
          </cell>
          <cell r="LYZ2" t="str">
            <v>-</v>
          </cell>
          <cell r="LZA2" t="str">
            <v>-</v>
          </cell>
          <cell r="LZB2" t="str">
            <v>-</v>
          </cell>
          <cell r="LZC2" t="str">
            <v>-</v>
          </cell>
          <cell r="LZD2" t="str">
            <v>-</v>
          </cell>
          <cell r="LZE2" t="str">
            <v>-</v>
          </cell>
          <cell r="LZF2" t="str">
            <v>-</v>
          </cell>
          <cell r="LZG2" t="str">
            <v>-</v>
          </cell>
          <cell r="LZH2" t="str">
            <v>-</v>
          </cell>
          <cell r="LZI2" t="str">
            <v>-</v>
          </cell>
          <cell r="LZJ2" t="str">
            <v>-</v>
          </cell>
          <cell r="LZK2" t="str">
            <v>-</v>
          </cell>
          <cell r="LZL2" t="str">
            <v>-</v>
          </cell>
          <cell r="LZM2" t="str">
            <v>-</v>
          </cell>
          <cell r="LZN2" t="str">
            <v>-</v>
          </cell>
          <cell r="LZO2" t="str">
            <v>-</v>
          </cell>
          <cell r="LZP2" t="str">
            <v>-</v>
          </cell>
          <cell r="LZQ2" t="str">
            <v>-</v>
          </cell>
          <cell r="LZR2" t="str">
            <v>-</v>
          </cell>
          <cell r="LZS2" t="str">
            <v>-</v>
          </cell>
          <cell r="LZT2" t="str">
            <v>-</v>
          </cell>
          <cell r="LZU2" t="str">
            <v>-</v>
          </cell>
          <cell r="LZV2" t="str">
            <v>-</v>
          </cell>
          <cell r="LZW2" t="str">
            <v>-</v>
          </cell>
          <cell r="LZX2" t="str">
            <v>-</v>
          </cell>
          <cell r="LZY2" t="str">
            <v>-</v>
          </cell>
          <cell r="LZZ2" t="str">
            <v>-</v>
          </cell>
          <cell r="MAA2" t="str">
            <v>-</v>
          </cell>
          <cell r="MAB2" t="str">
            <v>-</v>
          </cell>
          <cell r="MAC2" t="str">
            <v>-</v>
          </cell>
          <cell r="MAD2" t="str">
            <v>-</v>
          </cell>
          <cell r="MAE2" t="str">
            <v>-</v>
          </cell>
          <cell r="MAF2" t="str">
            <v>-</v>
          </cell>
          <cell r="MAG2" t="str">
            <v>-</v>
          </cell>
          <cell r="MAH2" t="str">
            <v>-</v>
          </cell>
          <cell r="MAI2" t="str">
            <v>-</v>
          </cell>
          <cell r="MAJ2" t="str">
            <v>-</v>
          </cell>
          <cell r="MAK2" t="str">
            <v>-</v>
          </cell>
          <cell r="MAL2" t="str">
            <v>-</v>
          </cell>
          <cell r="MAM2" t="str">
            <v>-</v>
          </cell>
          <cell r="MAN2" t="str">
            <v>-</v>
          </cell>
          <cell r="MAO2" t="str">
            <v>-</v>
          </cell>
          <cell r="MAP2" t="str">
            <v>-</v>
          </cell>
          <cell r="MAQ2" t="str">
            <v>-</v>
          </cell>
          <cell r="MAR2" t="str">
            <v>-</v>
          </cell>
          <cell r="MAS2" t="str">
            <v>-</v>
          </cell>
          <cell r="MAT2" t="str">
            <v>-</v>
          </cell>
          <cell r="MAU2" t="str">
            <v>-</v>
          </cell>
          <cell r="MAV2" t="str">
            <v>-</v>
          </cell>
          <cell r="MAW2" t="str">
            <v>-</v>
          </cell>
          <cell r="MAX2" t="str">
            <v>-</v>
          </cell>
          <cell r="MAY2" t="str">
            <v>-</v>
          </cell>
          <cell r="MAZ2" t="str">
            <v>-</v>
          </cell>
          <cell r="MBA2" t="str">
            <v>-</v>
          </cell>
          <cell r="MBB2" t="str">
            <v>-</v>
          </cell>
          <cell r="MBC2" t="str">
            <v>-</v>
          </cell>
          <cell r="MBD2" t="str">
            <v>-</v>
          </cell>
          <cell r="MBE2" t="str">
            <v>-</v>
          </cell>
          <cell r="MBF2" t="str">
            <v>-</v>
          </cell>
          <cell r="MBG2" t="str">
            <v>-</v>
          </cell>
          <cell r="MBH2" t="str">
            <v>-</v>
          </cell>
          <cell r="MBI2" t="str">
            <v>-</v>
          </cell>
          <cell r="MBJ2" t="str">
            <v>-</v>
          </cell>
          <cell r="MBK2" t="str">
            <v>-</v>
          </cell>
          <cell r="MBL2" t="str">
            <v>-</v>
          </cell>
          <cell r="MBM2" t="str">
            <v>-</v>
          </cell>
          <cell r="MBN2" t="str">
            <v>-</v>
          </cell>
          <cell r="MBO2" t="str">
            <v>-</v>
          </cell>
          <cell r="MBP2" t="str">
            <v>-</v>
          </cell>
          <cell r="MBQ2" t="str">
            <v>-</v>
          </cell>
          <cell r="MBR2" t="str">
            <v>-</v>
          </cell>
          <cell r="MBS2" t="str">
            <v>-</v>
          </cell>
          <cell r="MBT2" t="str">
            <v>-</v>
          </cell>
          <cell r="MBU2" t="str">
            <v>-</v>
          </cell>
          <cell r="MBV2" t="str">
            <v>-</v>
          </cell>
          <cell r="MBW2" t="str">
            <v>-</v>
          </cell>
          <cell r="MBX2" t="str">
            <v>-</v>
          </cell>
          <cell r="MBY2" t="str">
            <v>-</v>
          </cell>
          <cell r="MBZ2" t="str">
            <v>-</v>
          </cell>
          <cell r="MCA2" t="str">
            <v>-</v>
          </cell>
          <cell r="MCB2" t="str">
            <v>-</v>
          </cell>
          <cell r="MCC2" t="str">
            <v>-</v>
          </cell>
          <cell r="MCD2" t="str">
            <v>-</v>
          </cell>
          <cell r="MCE2" t="str">
            <v>-</v>
          </cell>
          <cell r="MCF2" t="str">
            <v>-</v>
          </cell>
          <cell r="MCG2" t="str">
            <v>-</v>
          </cell>
          <cell r="MCH2" t="str">
            <v>-</v>
          </cell>
          <cell r="MCI2" t="str">
            <v>-</v>
          </cell>
          <cell r="MCJ2" t="str">
            <v>-</v>
          </cell>
          <cell r="MCK2" t="str">
            <v>-</v>
          </cell>
          <cell r="MCL2" t="str">
            <v>-</v>
          </cell>
          <cell r="MCM2" t="str">
            <v>-</v>
          </cell>
          <cell r="MCN2" t="str">
            <v>-</v>
          </cell>
          <cell r="MCO2" t="str">
            <v>-</v>
          </cell>
          <cell r="MCP2" t="str">
            <v>-</v>
          </cell>
          <cell r="MCQ2" t="str">
            <v>-</v>
          </cell>
          <cell r="MCR2" t="str">
            <v>-</v>
          </cell>
          <cell r="MCS2" t="str">
            <v>-</v>
          </cell>
          <cell r="MCT2" t="str">
            <v>-</v>
          </cell>
          <cell r="MCU2" t="str">
            <v>-</v>
          </cell>
          <cell r="MCV2" t="str">
            <v>-</v>
          </cell>
          <cell r="MCW2" t="str">
            <v>-</v>
          </cell>
          <cell r="MCX2" t="str">
            <v>-</v>
          </cell>
          <cell r="MCY2" t="str">
            <v>-</v>
          </cell>
          <cell r="MCZ2" t="str">
            <v>-</v>
          </cell>
          <cell r="MDA2" t="str">
            <v>-</v>
          </cell>
          <cell r="MDB2" t="str">
            <v>-</v>
          </cell>
          <cell r="MDC2" t="str">
            <v>-</v>
          </cell>
          <cell r="MDD2" t="str">
            <v>-</v>
          </cell>
          <cell r="MDE2" t="str">
            <v>-</v>
          </cell>
          <cell r="MDF2" t="str">
            <v>-</v>
          </cell>
          <cell r="MDG2" t="str">
            <v>-</v>
          </cell>
          <cell r="MDH2" t="str">
            <v>-</v>
          </cell>
          <cell r="MDI2" t="str">
            <v>-</v>
          </cell>
          <cell r="MDJ2" t="str">
            <v>-</v>
          </cell>
          <cell r="MDK2" t="str">
            <v>-</v>
          </cell>
          <cell r="MDL2" t="str">
            <v>-</v>
          </cell>
          <cell r="MDM2" t="str">
            <v>-</v>
          </cell>
          <cell r="MDN2" t="str">
            <v>-</v>
          </cell>
          <cell r="MDO2" t="str">
            <v>-</v>
          </cell>
          <cell r="MDP2" t="str">
            <v>-</v>
          </cell>
          <cell r="MDQ2" t="str">
            <v>-</v>
          </cell>
          <cell r="MDR2" t="str">
            <v>-</v>
          </cell>
          <cell r="MDS2" t="str">
            <v>-</v>
          </cell>
          <cell r="MDT2" t="str">
            <v>-</v>
          </cell>
          <cell r="MDU2" t="str">
            <v>-</v>
          </cell>
          <cell r="MDV2" t="str">
            <v>-</v>
          </cell>
          <cell r="MDW2" t="str">
            <v>-</v>
          </cell>
          <cell r="MDX2" t="str">
            <v>-</v>
          </cell>
          <cell r="MDY2" t="str">
            <v>-</v>
          </cell>
          <cell r="MDZ2" t="str">
            <v>-</v>
          </cell>
          <cell r="MEA2" t="str">
            <v>-</v>
          </cell>
          <cell r="MEB2" t="str">
            <v>-</v>
          </cell>
          <cell r="MEC2" t="str">
            <v>-</v>
          </cell>
          <cell r="MED2" t="str">
            <v>-</v>
          </cell>
          <cell r="MEE2" t="str">
            <v>-</v>
          </cell>
          <cell r="MEF2" t="str">
            <v>-</v>
          </cell>
          <cell r="MEG2" t="str">
            <v>-</v>
          </cell>
          <cell r="MEH2" t="str">
            <v>-</v>
          </cell>
          <cell r="MEI2" t="str">
            <v>-</v>
          </cell>
          <cell r="MEJ2" t="str">
            <v>-</v>
          </cell>
          <cell r="MEK2" t="str">
            <v>-</v>
          </cell>
          <cell r="MEL2" t="str">
            <v>-</v>
          </cell>
          <cell r="MEM2" t="str">
            <v>-</v>
          </cell>
          <cell r="MEN2" t="str">
            <v>-</v>
          </cell>
          <cell r="MEO2" t="str">
            <v>-</v>
          </cell>
          <cell r="MEP2" t="str">
            <v>-</v>
          </cell>
          <cell r="MEQ2" t="str">
            <v>-</v>
          </cell>
          <cell r="MER2" t="str">
            <v>-</v>
          </cell>
          <cell r="MES2" t="str">
            <v>-</v>
          </cell>
          <cell r="MET2" t="str">
            <v>-</v>
          </cell>
          <cell r="MEU2" t="str">
            <v>-</v>
          </cell>
          <cell r="MEV2" t="str">
            <v>-</v>
          </cell>
          <cell r="MEW2" t="str">
            <v>-</v>
          </cell>
          <cell r="MEX2" t="str">
            <v>-</v>
          </cell>
          <cell r="MEY2" t="str">
            <v>-</v>
          </cell>
          <cell r="MEZ2" t="str">
            <v>-</v>
          </cell>
          <cell r="MFA2" t="str">
            <v>-</v>
          </cell>
          <cell r="MFB2" t="str">
            <v>-</v>
          </cell>
          <cell r="MFC2" t="str">
            <v>-</v>
          </cell>
          <cell r="MFD2" t="str">
            <v>-</v>
          </cell>
          <cell r="MFE2" t="str">
            <v>-</v>
          </cell>
          <cell r="MFF2" t="str">
            <v>-</v>
          </cell>
          <cell r="MFG2" t="str">
            <v>-</v>
          </cell>
          <cell r="MFH2" t="str">
            <v>-</v>
          </cell>
          <cell r="MFI2" t="str">
            <v>-</v>
          </cell>
          <cell r="MFJ2" t="str">
            <v>-</v>
          </cell>
          <cell r="MFK2" t="str">
            <v>-</v>
          </cell>
          <cell r="MFL2" t="str">
            <v>-</v>
          </cell>
          <cell r="MFM2" t="str">
            <v>-</v>
          </cell>
          <cell r="MFN2" t="str">
            <v>-</v>
          </cell>
          <cell r="MFO2" t="str">
            <v>-</v>
          </cell>
          <cell r="MFP2" t="str">
            <v>-</v>
          </cell>
          <cell r="MFQ2" t="str">
            <v>-</v>
          </cell>
          <cell r="MFR2" t="str">
            <v>-</v>
          </cell>
          <cell r="MFS2" t="str">
            <v>-</v>
          </cell>
          <cell r="MFT2" t="str">
            <v>-</v>
          </cell>
          <cell r="MFU2" t="str">
            <v>-</v>
          </cell>
          <cell r="MFV2" t="str">
            <v>-</v>
          </cell>
          <cell r="MFW2" t="str">
            <v>-</v>
          </cell>
          <cell r="MFX2" t="str">
            <v>-</v>
          </cell>
          <cell r="MFY2" t="str">
            <v>-</v>
          </cell>
          <cell r="MFZ2" t="str">
            <v>-</v>
          </cell>
          <cell r="MGA2" t="str">
            <v>-</v>
          </cell>
          <cell r="MGB2" t="str">
            <v>-</v>
          </cell>
          <cell r="MGC2" t="str">
            <v>-</v>
          </cell>
          <cell r="MGD2" t="str">
            <v>-</v>
          </cell>
          <cell r="MGE2" t="str">
            <v>-</v>
          </cell>
          <cell r="MGF2" t="str">
            <v>-</v>
          </cell>
          <cell r="MGG2" t="str">
            <v>-</v>
          </cell>
          <cell r="MGH2" t="str">
            <v>-</v>
          </cell>
          <cell r="MGI2" t="str">
            <v>-</v>
          </cell>
          <cell r="MGJ2" t="str">
            <v>-</v>
          </cell>
          <cell r="MGK2" t="str">
            <v>-</v>
          </cell>
          <cell r="MGL2" t="str">
            <v>-</v>
          </cell>
          <cell r="MGM2" t="str">
            <v>-</v>
          </cell>
          <cell r="MGN2" t="str">
            <v>-</v>
          </cell>
          <cell r="MGO2" t="str">
            <v>-</v>
          </cell>
          <cell r="MGP2" t="str">
            <v>-</v>
          </cell>
          <cell r="MGQ2" t="str">
            <v>-</v>
          </cell>
          <cell r="MGR2" t="str">
            <v>-</v>
          </cell>
          <cell r="MGS2" t="str">
            <v>-</v>
          </cell>
          <cell r="MGT2" t="str">
            <v>-</v>
          </cell>
          <cell r="MGU2" t="str">
            <v>-</v>
          </cell>
          <cell r="MGV2" t="str">
            <v>-</v>
          </cell>
          <cell r="MGW2" t="str">
            <v>-</v>
          </cell>
          <cell r="MGX2" t="str">
            <v>-</v>
          </cell>
          <cell r="MGY2" t="str">
            <v>-</v>
          </cell>
          <cell r="MGZ2" t="str">
            <v>-</v>
          </cell>
          <cell r="MHA2" t="str">
            <v>-</v>
          </cell>
          <cell r="MHB2" t="str">
            <v>-</v>
          </cell>
          <cell r="MHC2" t="str">
            <v>-</v>
          </cell>
          <cell r="MHD2" t="str">
            <v>-</v>
          </cell>
          <cell r="MHE2" t="str">
            <v>-</v>
          </cell>
          <cell r="MHF2" t="str">
            <v>-</v>
          </cell>
          <cell r="MHG2" t="str">
            <v>-</v>
          </cell>
          <cell r="MHH2" t="str">
            <v>-</v>
          </cell>
          <cell r="MHI2" t="str">
            <v>-</v>
          </cell>
          <cell r="MHJ2" t="str">
            <v>-</v>
          </cell>
          <cell r="MHK2" t="str">
            <v>-</v>
          </cell>
          <cell r="MHL2" t="str">
            <v>-</v>
          </cell>
          <cell r="MHM2" t="str">
            <v>-</v>
          </cell>
          <cell r="MHN2" t="str">
            <v>-</v>
          </cell>
          <cell r="MHO2" t="str">
            <v>-</v>
          </cell>
          <cell r="MHP2" t="str">
            <v>-</v>
          </cell>
          <cell r="MHQ2" t="str">
            <v>-</v>
          </cell>
          <cell r="MHR2" t="str">
            <v>-</v>
          </cell>
          <cell r="MHS2" t="str">
            <v>-</v>
          </cell>
          <cell r="MHT2" t="str">
            <v>-</v>
          </cell>
          <cell r="MHU2" t="str">
            <v>-</v>
          </cell>
          <cell r="MHV2" t="str">
            <v>-</v>
          </cell>
          <cell r="MHW2" t="str">
            <v>-</v>
          </cell>
          <cell r="MHX2" t="str">
            <v>-</v>
          </cell>
          <cell r="MHY2" t="str">
            <v>-</v>
          </cell>
          <cell r="MHZ2" t="str">
            <v>-</v>
          </cell>
          <cell r="MIA2" t="str">
            <v>-</v>
          </cell>
          <cell r="MIB2" t="str">
            <v>-</v>
          </cell>
          <cell r="MIC2" t="str">
            <v>-</v>
          </cell>
          <cell r="MID2" t="str">
            <v>-</v>
          </cell>
          <cell r="MIE2" t="str">
            <v>-</v>
          </cell>
          <cell r="MIF2" t="str">
            <v>-</v>
          </cell>
          <cell r="MIG2" t="str">
            <v>-</v>
          </cell>
          <cell r="MIH2" t="str">
            <v>-</v>
          </cell>
          <cell r="MII2" t="str">
            <v>-</v>
          </cell>
          <cell r="MIJ2" t="str">
            <v>-</v>
          </cell>
          <cell r="MIK2" t="str">
            <v>-</v>
          </cell>
          <cell r="MIL2" t="str">
            <v>-</v>
          </cell>
          <cell r="MIM2" t="str">
            <v>-</v>
          </cell>
          <cell r="MIN2" t="str">
            <v>-</v>
          </cell>
          <cell r="MIO2" t="str">
            <v>-</v>
          </cell>
          <cell r="MIP2" t="str">
            <v>-</v>
          </cell>
          <cell r="MIQ2" t="str">
            <v>-</v>
          </cell>
          <cell r="MIR2" t="str">
            <v>-</v>
          </cell>
          <cell r="MIS2" t="str">
            <v>-</v>
          </cell>
          <cell r="MIT2" t="str">
            <v>-</v>
          </cell>
          <cell r="MIU2" t="str">
            <v>-</v>
          </cell>
          <cell r="MIV2" t="str">
            <v>-</v>
          </cell>
          <cell r="MIW2" t="str">
            <v>-</v>
          </cell>
          <cell r="MIX2" t="str">
            <v>-</v>
          </cell>
          <cell r="MIY2" t="str">
            <v>-</v>
          </cell>
          <cell r="MIZ2" t="str">
            <v>-</v>
          </cell>
          <cell r="MJA2" t="str">
            <v>-</v>
          </cell>
          <cell r="MJB2" t="str">
            <v>-</v>
          </cell>
          <cell r="MJC2" t="str">
            <v>-</v>
          </cell>
          <cell r="MJD2" t="str">
            <v>-</v>
          </cell>
          <cell r="MJE2" t="str">
            <v>-</v>
          </cell>
          <cell r="MJF2" t="str">
            <v>-</v>
          </cell>
          <cell r="MJG2" t="str">
            <v>-</v>
          </cell>
          <cell r="MJH2" t="str">
            <v>-</v>
          </cell>
          <cell r="MJI2" t="str">
            <v>-</v>
          </cell>
          <cell r="MJJ2" t="str">
            <v>-</v>
          </cell>
          <cell r="MJK2" t="str">
            <v>-</v>
          </cell>
          <cell r="MJL2" t="str">
            <v>-</v>
          </cell>
          <cell r="MJM2" t="str">
            <v>-</v>
          </cell>
          <cell r="MJN2" t="str">
            <v>-</v>
          </cell>
          <cell r="MJO2" t="str">
            <v>-</v>
          </cell>
          <cell r="MJP2" t="str">
            <v>-</v>
          </cell>
          <cell r="MJQ2" t="str">
            <v>-</v>
          </cell>
          <cell r="MJR2" t="str">
            <v>-</v>
          </cell>
          <cell r="MJS2" t="str">
            <v>-</v>
          </cell>
          <cell r="MJT2" t="str">
            <v>-</v>
          </cell>
          <cell r="MJU2" t="str">
            <v>-</v>
          </cell>
          <cell r="MJV2" t="str">
            <v>-</v>
          </cell>
          <cell r="MJW2" t="str">
            <v>-</v>
          </cell>
          <cell r="MJX2" t="str">
            <v>-</v>
          </cell>
          <cell r="MJY2" t="str">
            <v>-</v>
          </cell>
          <cell r="MJZ2" t="str">
            <v>-</v>
          </cell>
          <cell r="MKA2" t="str">
            <v>-</v>
          </cell>
          <cell r="MKB2" t="str">
            <v>-</v>
          </cell>
          <cell r="MKC2" t="str">
            <v>-</v>
          </cell>
          <cell r="MKD2" t="str">
            <v>-</v>
          </cell>
          <cell r="MKE2" t="str">
            <v>-</v>
          </cell>
          <cell r="MKF2" t="str">
            <v>-</v>
          </cell>
          <cell r="MKG2" t="str">
            <v>-</v>
          </cell>
          <cell r="MKH2" t="str">
            <v>-</v>
          </cell>
          <cell r="MKI2" t="str">
            <v>-</v>
          </cell>
          <cell r="MKJ2" t="str">
            <v>-</v>
          </cell>
          <cell r="MKK2" t="str">
            <v>-</v>
          </cell>
          <cell r="MKL2" t="str">
            <v>-</v>
          </cell>
          <cell r="MKM2" t="str">
            <v>-</v>
          </cell>
          <cell r="MKN2" t="str">
            <v>-</v>
          </cell>
          <cell r="MKO2" t="str">
            <v>-</v>
          </cell>
          <cell r="MKP2" t="str">
            <v>-</v>
          </cell>
          <cell r="MKQ2" t="str">
            <v>-</v>
          </cell>
          <cell r="MKR2" t="str">
            <v>-</v>
          </cell>
          <cell r="MKS2" t="str">
            <v>-</v>
          </cell>
          <cell r="MKT2" t="str">
            <v>-</v>
          </cell>
          <cell r="MKU2" t="str">
            <v>-</v>
          </cell>
          <cell r="MKV2" t="str">
            <v>-</v>
          </cell>
          <cell r="MKW2" t="str">
            <v>-</v>
          </cell>
          <cell r="MKX2" t="str">
            <v>-</v>
          </cell>
          <cell r="MKY2" t="str">
            <v>-</v>
          </cell>
          <cell r="MKZ2" t="str">
            <v>-</v>
          </cell>
          <cell r="MLA2" t="str">
            <v>-</v>
          </cell>
          <cell r="MLB2" t="str">
            <v>-</v>
          </cell>
          <cell r="MLC2" t="str">
            <v>-</v>
          </cell>
          <cell r="MLD2" t="str">
            <v>-</v>
          </cell>
          <cell r="MLE2" t="str">
            <v>-</v>
          </cell>
          <cell r="MLF2" t="str">
            <v>-</v>
          </cell>
          <cell r="MLG2" t="str">
            <v>-</v>
          </cell>
          <cell r="MLH2" t="str">
            <v>-</v>
          </cell>
          <cell r="MLI2" t="str">
            <v>-</v>
          </cell>
          <cell r="MLJ2" t="str">
            <v>-</v>
          </cell>
          <cell r="MLK2" t="str">
            <v>-</v>
          </cell>
          <cell r="MLL2" t="str">
            <v>-</v>
          </cell>
          <cell r="MLM2" t="str">
            <v>-</v>
          </cell>
          <cell r="MLN2" t="str">
            <v>-</v>
          </cell>
          <cell r="MLO2" t="str">
            <v>-</v>
          </cell>
          <cell r="MLP2" t="str">
            <v>-</v>
          </cell>
          <cell r="MLQ2" t="str">
            <v>-</v>
          </cell>
          <cell r="MLR2" t="str">
            <v>-</v>
          </cell>
          <cell r="MLS2" t="str">
            <v>-</v>
          </cell>
          <cell r="MLT2" t="str">
            <v>-</v>
          </cell>
          <cell r="MLU2" t="str">
            <v>-</v>
          </cell>
          <cell r="MLV2" t="str">
            <v>-</v>
          </cell>
          <cell r="MLW2" t="str">
            <v>-</v>
          </cell>
          <cell r="MLX2" t="str">
            <v>-</v>
          </cell>
          <cell r="MLY2" t="str">
            <v>-</v>
          </cell>
          <cell r="MLZ2" t="str">
            <v>-</v>
          </cell>
          <cell r="MMA2" t="str">
            <v>-</v>
          </cell>
          <cell r="MMB2" t="str">
            <v>-</v>
          </cell>
          <cell r="MMC2" t="str">
            <v>-</v>
          </cell>
          <cell r="MMD2" t="str">
            <v>-</v>
          </cell>
          <cell r="MME2" t="str">
            <v>-</v>
          </cell>
          <cell r="MMF2" t="str">
            <v>-</v>
          </cell>
          <cell r="MMG2" t="str">
            <v>-</v>
          </cell>
          <cell r="MMH2" t="str">
            <v>-</v>
          </cell>
          <cell r="MMI2" t="str">
            <v>-</v>
          </cell>
          <cell r="MMJ2" t="str">
            <v>-</v>
          </cell>
          <cell r="MMK2" t="str">
            <v>-</v>
          </cell>
          <cell r="MML2" t="str">
            <v>-</v>
          </cell>
          <cell r="MMM2" t="str">
            <v>-</v>
          </cell>
          <cell r="MMN2" t="str">
            <v>-</v>
          </cell>
          <cell r="MMO2" t="str">
            <v>-</v>
          </cell>
          <cell r="MMP2" t="str">
            <v>-</v>
          </cell>
          <cell r="MMQ2" t="str">
            <v>-</v>
          </cell>
          <cell r="MMR2" t="str">
            <v>-</v>
          </cell>
          <cell r="MMS2" t="str">
            <v>-</v>
          </cell>
          <cell r="MMT2" t="str">
            <v>-</v>
          </cell>
          <cell r="MMU2" t="str">
            <v>-</v>
          </cell>
          <cell r="MMV2" t="str">
            <v>-</v>
          </cell>
          <cell r="MMW2" t="str">
            <v>-</v>
          </cell>
          <cell r="MMX2" t="str">
            <v>-</v>
          </cell>
          <cell r="MMY2" t="str">
            <v>-</v>
          </cell>
          <cell r="MMZ2" t="str">
            <v>-</v>
          </cell>
          <cell r="MNA2" t="str">
            <v>-</v>
          </cell>
          <cell r="MNB2" t="str">
            <v>-</v>
          </cell>
          <cell r="MNC2" t="str">
            <v>-</v>
          </cell>
          <cell r="MND2" t="str">
            <v>-</v>
          </cell>
          <cell r="MNE2" t="str">
            <v>-</v>
          </cell>
          <cell r="MNF2" t="str">
            <v>-</v>
          </cell>
          <cell r="MNG2" t="str">
            <v>-</v>
          </cell>
          <cell r="MNH2" t="str">
            <v>-</v>
          </cell>
          <cell r="MNI2" t="str">
            <v>-</v>
          </cell>
          <cell r="MNJ2" t="str">
            <v>-</v>
          </cell>
          <cell r="MNK2" t="str">
            <v>-</v>
          </cell>
          <cell r="MNL2" t="str">
            <v>-</v>
          </cell>
          <cell r="MNM2" t="str">
            <v>-</v>
          </cell>
          <cell r="MNN2" t="str">
            <v>-</v>
          </cell>
          <cell r="MNO2" t="str">
            <v>-</v>
          </cell>
          <cell r="MNP2" t="str">
            <v>-</v>
          </cell>
          <cell r="MNQ2" t="str">
            <v>-</v>
          </cell>
          <cell r="MNR2" t="str">
            <v>-</v>
          </cell>
          <cell r="MNS2" t="str">
            <v>-</v>
          </cell>
          <cell r="MNT2" t="str">
            <v>-</v>
          </cell>
          <cell r="MNU2" t="str">
            <v>-</v>
          </cell>
          <cell r="MNV2" t="str">
            <v>-</v>
          </cell>
          <cell r="MNW2" t="str">
            <v>-</v>
          </cell>
          <cell r="MNX2" t="str">
            <v>-</v>
          </cell>
          <cell r="MNY2" t="str">
            <v>-</v>
          </cell>
          <cell r="MNZ2" t="str">
            <v>-</v>
          </cell>
          <cell r="MOA2" t="str">
            <v>-</v>
          </cell>
          <cell r="MOB2" t="str">
            <v>-</v>
          </cell>
          <cell r="MOC2" t="str">
            <v>-</v>
          </cell>
          <cell r="MOD2" t="str">
            <v>-</v>
          </cell>
          <cell r="MOE2" t="str">
            <v>-</v>
          </cell>
          <cell r="MOF2" t="str">
            <v>-</v>
          </cell>
          <cell r="MOG2" t="str">
            <v>-</v>
          </cell>
          <cell r="MOH2" t="str">
            <v>-</v>
          </cell>
          <cell r="MOI2" t="str">
            <v>-</v>
          </cell>
          <cell r="MOJ2" t="str">
            <v>-</v>
          </cell>
          <cell r="MOK2" t="str">
            <v>-</v>
          </cell>
          <cell r="MOL2" t="str">
            <v>-</v>
          </cell>
          <cell r="MOM2" t="str">
            <v>-</v>
          </cell>
          <cell r="MON2" t="str">
            <v>-</v>
          </cell>
          <cell r="MOO2" t="str">
            <v>-</v>
          </cell>
          <cell r="MOP2" t="str">
            <v>-</v>
          </cell>
          <cell r="MOQ2" t="str">
            <v>-</v>
          </cell>
          <cell r="MOR2" t="str">
            <v>-</v>
          </cell>
          <cell r="MOS2" t="str">
            <v>-</v>
          </cell>
          <cell r="MOT2" t="str">
            <v>-</v>
          </cell>
          <cell r="MOU2" t="str">
            <v>-</v>
          </cell>
          <cell r="MOV2" t="str">
            <v>-</v>
          </cell>
          <cell r="MOW2" t="str">
            <v>-</v>
          </cell>
          <cell r="MOX2" t="str">
            <v>-</v>
          </cell>
          <cell r="MOY2" t="str">
            <v>-</v>
          </cell>
          <cell r="MOZ2" t="str">
            <v>-</v>
          </cell>
          <cell r="MPA2" t="str">
            <v>-</v>
          </cell>
          <cell r="MPB2" t="str">
            <v>-</v>
          </cell>
          <cell r="MPC2" t="str">
            <v>-</v>
          </cell>
          <cell r="MPD2" t="str">
            <v>-</v>
          </cell>
          <cell r="MPE2" t="str">
            <v>-</v>
          </cell>
          <cell r="MPF2" t="str">
            <v>-</v>
          </cell>
          <cell r="MPG2" t="str">
            <v>-</v>
          </cell>
          <cell r="MPH2" t="str">
            <v>-</v>
          </cell>
          <cell r="MPI2" t="str">
            <v>-</v>
          </cell>
          <cell r="MPJ2" t="str">
            <v>-</v>
          </cell>
          <cell r="MPK2" t="str">
            <v>-</v>
          </cell>
          <cell r="MPL2" t="str">
            <v>-</v>
          </cell>
          <cell r="MPM2" t="str">
            <v>-</v>
          </cell>
          <cell r="MPN2" t="str">
            <v>-</v>
          </cell>
          <cell r="MPO2" t="str">
            <v>-</v>
          </cell>
          <cell r="MPP2" t="str">
            <v>-</v>
          </cell>
          <cell r="MPQ2" t="str">
            <v>-</v>
          </cell>
          <cell r="MPR2" t="str">
            <v>-</v>
          </cell>
          <cell r="MPS2" t="str">
            <v>-</v>
          </cell>
          <cell r="MPT2" t="str">
            <v>-</v>
          </cell>
          <cell r="MPU2" t="str">
            <v>-</v>
          </cell>
          <cell r="MPV2" t="str">
            <v>-</v>
          </cell>
          <cell r="MPW2" t="str">
            <v>-</v>
          </cell>
          <cell r="MPX2" t="str">
            <v>-</v>
          </cell>
          <cell r="MPY2" t="str">
            <v>-</v>
          </cell>
          <cell r="MPZ2" t="str">
            <v>-</v>
          </cell>
          <cell r="MQA2" t="str">
            <v>-</v>
          </cell>
          <cell r="MQB2" t="str">
            <v>-</v>
          </cell>
          <cell r="MQC2" t="str">
            <v>-</v>
          </cell>
          <cell r="MQD2" t="str">
            <v>-</v>
          </cell>
          <cell r="MQE2" t="str">
            <v>-</v>
          </cell>
          <cell r="MQF2" t="str">
            <v>-</v>
          </cell>
          <cell r="MQG2" t="str">
            <v>-</v>
          </cell>
          <cell r="MQH2" t="str">
            <v>-</v>
          </cell>
          <cell r="MQI2" t="str">
            <v>-</v>
          </cell>
          <cell r="MQJ2" t="str">
            <v>-</v>
          </cell>
          <cell r="MQK2" t="str">
            <v>-</v>
          </cell>
          <cell r="MQL2" t="str">
            <v>-</v>
          </cell>
          <cell r="MQM2" t="str">
            <v>-</v>
          </cell>
          <cell r="MQN2" t="str">
            <v>-</v>
          </cell>
          <cell r="MQO2" t="str">
            <v>-</v>
          </cell>
          <cell r="MQP2" t="str">
            <v>-</v>
          </cell>
          <cell r="MQQ2" t="str">
            <v>-</v>
          </cell>
          <cell r="MQR2" t="str">
            <v>-</v>
          </cell>
          <cell r="MQS2" t="str">
            <v>-</v>
          </cell>
          <cell r="MQT2" t="str">
            <v>-</v>
          </cell>
          <cell r="MQU2" t="str">
            <v>-</v>
          </cell>
          <cell r="MQV2" t="str">
            <v>-</v>
          </cell>
          <cell r="MQW2" t="str">
            <v>-</v>
          </cell>
          <cell r="MQX2" t="str">
            <v>-</v>
          </cell>
          <cell r="MQY2" t="str">
            <v>-</v>
          </cell>
          <cell r="MQZ2" t="str">
            <v>-</v>
          </cell>
          <cell r="MRA2" t="str">
            <v>-</v>
          </cell>
          <cell r="MRB2" t="str">
            <v>-</v>
          </cell>
          <cell r="MRC2" t="str">
            <v>-</v>
          </cell>
          <cell r="MRD2" t="str">
            <v>-</v>
          </cell>
          <cell r="MRE2" t="str">
            <v>-</v>
          </cell>
          <cell r="MRF2" t="str">
            <v>-</v>
          </cell>
          <cell r="MRG2" t="str">
            <v>-</v>
          </cell>
          <cell r="MRH2" t="str">
            <v>-</v>
          </cell>
          <cell r="MRI2" t="str">
            <v>-</v>
          </cell>
          <cell r="MRJ2" t="str">
            <v>-</v>
          </cell>
          <cell r="MRK2" t="str">
            <v>-</v>
          </cell>
          <cell r="MRL2" t="str">
            <v>-</v>
          </cell>
          <cell r="MRM2" t="str">
            <v>-</v>
          </cell>
          <cell r="MRN2" t="str">
            <v>-</v>
          </cell>
          <cell r="MRO2" t="str">
            <v>-</v>
          </cell>
          <cell r="MRP2" t="str">
            <v>-</v>
          </cell>
          <cell r="MRQ2" t="str">
            <v>-</v>
          </cell>
          <cell r="MRR2" t="str">
            <v>-</v>
          </cell>
          <cell r="MRS2" t="str">
            <v>-</v>
          </cell>
          <cell r="MRT2" t="str">
            <v>-</v>
          </cell>
          <cell r="MRU2" t="str">
            <v>-</v>
          </cell>
          <cell r="MRV2" t="str">
            <v>-</v>
          </cell>
          <cell r="MRW2" t="str">
            <v>-</v>
          </cell>
          <cell r="MRX2" t="str">
            <v>-</v>
          </cell>
          <cell r="MRY2" t="str">
            <v>-</v>
          </cell>
          <cell r="MRZ2" t="str">
            <v>-</v>
          </cell>
          <cell r="MSA2" t="str">
            <v>-</v>
          </cell>
          <cell r="MSB2" t="str">
            <v>-</v>
          </cell>
          <cell r="MSC2" t="str">
            <v>-</v>
          </cell>
          <cell r="MSD2" t="str">
            <v>-</v>
          </cell>
          <cell r="MSE2" t="str">
            <v>-</v>
          </cell>
          <cell r="MSF2" t="str">
            <v>-</v>
          </cell>
          <cell r="MSG2" t="str">
            <v>-</v>
          </cell>
          <cell r="MSH2" t="str">
            <v>-</v>
          </cell>
          <cell r="MSI2" t="str">
            <v>-</v>
          </cell>
          <cell r="MSJ2" t="str">
            <v>-</v>
          </cell>
          <cell r="MSK2" t="str">
            <v>-</v>
          </cell>
          <cell r="MSL2" t="str">
            <v>-</v>
          </cell>
          <cell r="MSM2" t="str">
            <v>-</v>
          </cell>
          <cell r="MSN2" t="str">
            <v>-</v>
          </cell>
          <cell r="MSO2" t="str">
            <v>-</v>
          </cell>
          <cell r="MSP2" t="str">
            <v>-</v>
          </cell>
          <cell r="MSQ2" t="str">
            <v>-</v>
          </cell>
          <cell r="MSR2" t="str">
            <v>-</v>
          </cell>
          <cell r="MSS2" t="str">
            <v>-</v>
          </cell>
          <cell r="MST2" t="str">
            <v>-</v>
          </cell>
          <cell r="MSU2" t="str">
            <v>-</v>
          </cell>
          <cell r="MSV2" t="str">
            <v>-</v>
          </cell>
          <cell r="MSW2" t="str">
            <v>-</v>
          </cell>
          <cell r="MSX2" t="str">
            <v>-</v>
          </cell>
          <cell r="MSY2" t="str">
            <v>-</v>
          </cell>
          <cell r="MSZ2" t="str">
            <v>-</v>
          </cell>
          <cell r="MTA2" t="str">
            <v>-</v>
          </cell>
          <cell r="MTB2" t="str">
            <v>-</v>
          </cell>
          <cell r="MTC2" t="str">
            <v>-</v>
          </cell>
          <cell r="MTD2" t="str">
            <v>-</v>
          </cell>
          <cell r="MTE2" t="str">
            <v>-</v>
          </cell>
          <cell r="MTF2" t="str">
            <v>-</v>
          </cell>
          <cell r="MTG2" t="str">
            <v>-</v>
          </cell>
          <cell r="MTH2" t="str">
            <v>-</v>
          </cell>
          <cell r="MTI2" t="str">
            <v>-</v>
          </cell>
          <cell r="MTJ2" t="str">
            <v>-</v>
          </cell>
          <cell r="MTK2" t="str">
            <v>-</v>
          </cell>
          <cell r="MTL2" t="str">
            <v>-</v>
          </cell>
          <cell r="MTM2" t="str">
            <v>-</v>
          </cell>
          <cell r="MTN2" t="str">
            <v>-</v>
          </cell>
          <cell r="MTO2" t="str">
            <v>-</v>
          </cell>
          <cell r="MTP2" t="str">
            <v>-</v>
          </cell>
          <cell r="MTQ2" t="str">
            <v>-</v>
          </cell>
          <cell r="MTR2" t="str">
            <v>-</v>
          </cell>
          <cell r="MTS2" t="str">
            <v>-</v>
          </cell>
          <cell r="MTT2" t="str">
            <v>-</v>
          </cell>
          <cell r="MTU2" t="str">
            <v>-</v>
          </cell>
          <cell r="MTV2" t="str">
            <v>-</v>
          </cell>
          <cell r="MTW2" t="str">
            <v>-</v>
          </cell>
          <cell r="MTX2" t="str">
            <v>-</v>
          </cell>
          <cell r="MTY2" t="str">
            <v>-</v>
          </cell>
          <cell r="MTZ2" t="str">
            <v>-</v>
          </cell>
          <cell r="MUA2" t="str">
            <v>-</v>
          </cell>
          <cell r="MUB2" t="str">
            <v>-</v>
          </cell>
          <cell r="MUC2" t="str">
            <v>-</v>
          </cell>
          <cell r="MUD2" t="str">
            <v>-</v>
          </cell>
          <cell r="MUE2" t="str">
            <v>-</v>
          </cell>
          <cell r="MUF2" t="str">
            <v>-</v>
          </cell>
          <cell r="MUG2" t="str">
            <v>-</v>
          </cell>
          <cell r="MUH2" t="str">
            <v>-</v>
          </cell>
          <cell r="MUI2" t="str">
            <v>-</v>
          </cell>
          <cell r="MUJ2" t="str">
            <v>-</v>
          </cell>
          <cell r="MUK2" t="str">
            <v>-</v>
          </cell>
          <cell r="MUL2" t="str">
            <v>-</v>
          </cell>
          <cell r="MUM2" t="str">
            <v>-</v>
          </cell>
          <cell r="MUN2" t="str">
            <v>-</v>
          </cell>
          <cell r="MUO2" t="str">
            <v>-</v>
          </cell>
          <cell r="MUP2" t="str">
            <v>-</v>
          </cell>
          <cell r="MUQ2" t="str">
            <v>-</v>
          </cell>
          <cell r="MUR2" t="str">
            <v>-</v>
          </cell>
          <cell r="MUS2" t="str">
            <v>-</v>
          </cell>
          <cell r="MUT2" t="str">
            <v>-</v>
          </cell>
          <cell r="MUU2" t="str">
            <v>-</v>
          </cell>
          <cell r="MUV2" t="str">
            <v>-</v>
          </cell>
          <cell r="MUW2" t="str">
            <v>-</v>
          </cell>
          <cell r="MUX2" t="str">
            <v>-</v>
          </cell>
          <cell r="MUY2" t="str">
            <v>-</v>
          </cell>
          <cell r="MUZ2" t="str">
            <v>-</v>
          </cell>
          <cell r="MVA2" t="str">
            <v>-</v>
          </cell>
          <cell r="MVB2" t="str">
            <v>-</v>
          </cell>
          <cell r="MVC2" t="str">
            <v>-</v>
          </cell>
          <cell r="MVD2" t="str">
            <v>-</v>
          </cell>
          <cell r="MVE2" t="str">
            <v>-</v>
          </cell>
          <cell r="MVF2" t="str">
            <v>-</v>
          </cell>
          <cell r="MVG2" t="str">
            <v>-</v>
          </cell>
          <cell r="MVH2" t="str">
            <v>-</v>
          </cell>
          <cell r="MVI2" t="str">
            <v>-</v>
          </cell>
          <cell r="MVJ2" t="str">
            <v>-</v>
          </cell>
          <cell r="MVK2" t="str">
            <v>-</v>
          </cell>
          <cell r="MVL2" t="str">
            <v>-</v>
          </cell>
          <cell r="MVM2" t="str">
            <v>-</v>
          </cell>
          <cell r="MVN2" t="str">
            <v>-</v>
          </cell>
          <cell r="MVO2" t="str">
            <v>-</v>
          </cell>
          <cell r="MVP2" t="str">
            <v>-</v>
          </cell>
          <cell r="MVQ2" t="str">
            <v>-</v>
          </cell>
          <cell r="MVR2" t="str">
            <v>-</v>
          </cell>
          <cell r="MVS2" t="str">
            <v>-</v>
          </cell>
          <cell r="MVT2" t="str">
            <v>-</v>
          </cell>
          <cell r="MVU2" t="str">
            <v>-</v>
          </cell>
          <cell r="MVV2" t="str">
            <v>-</v>
          </cell>
          <cell r="MVW2" t="str">
            <v>-</v>
          </cell>
          <cell r="MVX2" t="str">
            <v>-</v>
          </cell>
          <cell r="MVY2" t="str">
            <v>-</v>
          </cell>
          <cell r="MVZ2" t="str">
            <v>-</v>
          </cell>
          <cell r="MWA2" t="str">
            <v>-</v>
          </cell>
          <cell r="MWB2" t="str">
            <v>-</v>
          </cell>
          <cell r="MWC2" t="str">
            <v>-</v>
          </cell>
          <cell r="MWD2" t="str">
            <v>-</v>
          </cell>
          <cell r="MWE2" t="str">
            <v>-</v>
          </cell>
          <cell r="MWF2" t="str">
            <v>-</v>
          </cell>
          <cell r="MWG2" t="str">
            <v>-</v>
          </cell>
          <cell r="MWH2" t="str">
            <v>-</v>
          </cell>
          <cell r="MWI2" t="str">
            <v>-</v>
          </cell>
          <cell r="MWJ2" t="str">
            <v>-</v>
          </cell>
          <cell r="MWK2" t="str">
            <v>-</v>
          </cell>
          <cell r="MWL2" t="str">
            <v>-</v>
          </cell>
          <cell r="MWM2" t="str">
            <v>-</v>
          </cell>
          <cell r="MWN2" t="str">
            <v>-</v>
          </cell>
          <cell r="MWO2" t="str">
            <v>-</v>
          </cell>
          <cell r="MWP2" t="str">
            <v>-</v>
          </cell>
          <cell r="MWQ2" t="str">
            <v>-</v>
          </cell>
          <cell r="MWR2" t="str">
            <v>-</v>
          </cell>
          <cell r="MWS2" t="str">
            <v>-</v>
          </cell>
          <cell r="MWT2" t="str">
            <v>-</v>
          </cell>
          <cell r="MWU2" t="str">
            <v>-</v>
          </cell>
          <cell r="MWV2" t="str">
            <v>-</v>
          </cell>
          <cell r="MWW2" t="str">
            <v>-</v>
          </cell>
          <cell r="MWX2" t="str">
            <v>-</v>
          </cell>
          <cell r="MWY2" t="str">
            <v>-</v>
          </cell>
          <cell r="MWZ2" t="str">
            <v>-</v>
          </cell>
          <cell r="MXA2" t="str">
            <v>-</v>
          </cell>
          <cell r="MXB2" t="str">
            <v>-</v>
          </cell>
          <cell r="MXC2" t="str">
            <v>-</v>
          </cell>
          <cell r="MXD2" t="str">
            <v>-</v>
          </cell>
          <cell r="MXE2" t="str">
            <v>-</v>
          </cell>
          <cell r="MXF2" t="str">
            <v>-</v>
          </cell>
          <cell r="MXG2" t="str">
            <v>-</v>
          </cell>
          <cell r="MXH2" t="str">
            <v>-</v>
          </cell>
          <cell r="MXI2" t="str">
            <v>-</v>
          </cell>
          <cell r="MXJ2" t="str">
            <v>-</v>
          </cell>
          <cell r="MXK2" t="str">
            <v>-</v>
          </cell>
          <cell r="MXL2" t="str">
            <v>-</v>
          </cell>
          <cell r="MXM2" t="str">
            <v>-</v>
          </cell>
          <cell r="MXN2" t="str">
            <v>-</v>
          </cell>
          <cell r="MXO2" t="str">
            <v>-</v>
          </cell>
          <cell r="MXP2" t="str">
            <v>-</v>
          </cell>
          <cell r="MXQ2" t="str">
            <v>-</v>
          </cell>
          <cell r="MXR2" t="str">
            <v>-</v>
          </cell>
          <cell r="MXS2" t="str">
            <v>-</v>
          </cell>
          <cell r="MXT2" t="str">
            <v>-</v>
          </cell>
          <cell r="MXU2" t="str">
            <v>-</v>
          </cell>
          <cell r="MXV2" t="str">
            <v>-</v>
          </cell>
          <cell r="MXW2" t="str">
            <v>-</v>
          </cell>
          <cell r="MXX2" t="str">
            <v>-</v>
          </cell>
          <cell r="MXY2" t="str">
            <v>-</v>
          </cell>
          <cell r="MXZ2" t="str">
            <v>-</v>
          </cell>
          <cell r="MYA2" t="str">
            <v>-</v>
          </cell>
          <cell r="MYB2" t="str">
            <v>-</v>
          </cell>
          <cell r="MYC2" t="str">
            <v>-</v>
          </cell>
          <cell r="MYD2" t="str">
            <v>-</v>
          </cell>
          <cell r="MYE2" t="str">
            <v>-</v>
          </cell>
          <cell r="MYF2" t="str">
            <v>-</v>
          </cell>
          <cell r="MYG2" t="str">
            <v>-</v>
          </cell>
          <cell r="MYH2" t="str">
            <v>-</v>
          </cell>
          <cell r="MYI2" t="str">
            <v>-</v>
          </cell>
          <cell r="MYJ2" t="str">
            <v>-</v>
          </cell>
          <cell r="MYK2" t="str">
            <v>-</v>
          </cell>
          <cell r="MYL2" t="str">
            <v>-</v>
          </cell>
          <cell r="MYM2" t="str">
            <v>-</v>
          </cell>
          <cell r="MYN2" t="str">
            <v>-</v>
          </cell>
          <cell r="MYO2" t="str">
            <v>-</v>
          </cell>
          <cell r="MYP2" t="str">
            <v>-</v>
          </cell>
          <cell r="MYQ2" t="str">
            <v>-</v>
          </cell>
          <cell r="MYR2" t="str">
            <v>-</v>
          </cell>
          <cell r="MYS2" t="str">
            <v>-</v>
          </cell>
          <cell r="MYT2" t="str">
            <v>-</v>
          </cell>
          <cell r="MYU2" t="str">
            <v>-</v>
          </cell>
          <cell r="MYV2" t="str">
            <v>-</v>
          </cell>
          <cell r="MYW2" t="str">
            <v>-</v>
          </cell>
          <cell r="MYX2" t="str">
            <v>-</v>
          </cell>
          <cell r="MYY2" t="str">
            <v>-</v>
          </cell>
          <cell r="MYZ2" t="str">
            <v>-</v>
          </cell>
          <cell r="MZA2" t="str">
            <v>-</v>
          </cell>
          <cell r="MZB2" t="str">
            <v>-</v>
          </cell>
          <cell r="MZC2" t="str">
            <v>-</v>
          </cell>
          <cell r="MZD2" t="str">
            <v>-</v>
          </cell>
          <cell r="MZE2" t="str">
            <v>-</v>
          </cell>
          <cell r="MZF2" t="str">
            <v>-</v>
          </cell>
          <cell r="MZG2" t="str">
            <v>-</v>
          </cell>
          <cell r="MZH2" t="str">
            <v>-</v>
          </cell>
          <cell r="MZI2" t="str">
            <v>-</v>
          </cell>
          <cell r="MZJ2" t="str">
            <v>-</v>
          </cell>
          <cell r="MZK2" t="str">
            <v>-</v>
          </cell>
          <cell r="MZL2" t="str">
            <v>-</v>
          </cell>
          <cell r="MZM2" t="str">
            <v>-</v>
          </cell>
          <cell r="MZN2" t="str">
            <v>-</v>
          </cell>
          <cell r="MZO2" t="str">
            <v>-</v>
          </cell>
          <cell r="MZP2" t="str">
            <v>-</v>
          </cell>
          <cell r="MZQ2" t="str">
            <v>-</v>
          </cell>
          <cell r="MZR2" t="str">
            <v>-</v>
          </cell>
          <cell r="MZS2" t="str">
            <v>-</v>
          </cell>
          <cell r="MZT2" t="str">
            <v>-</v>
          </cell>
          <cell r="MZU2" t="str">
            <v>-</v>
          </cell>
          <cell r="MZV2" t="str">
            <v>-</v>
          </cell>
          <cell r="MZW2" t="str">
            <v>-</v>
          </cell>
          <cell r="MZX2" t="str">
            <v>-</v>
          </cell>
          <cell r="MZY2" t="str">
            <v>-</v>
          </cell>
          <cell r="MZZ2" t="str">
            <v>-</v>
          </cell>
          <cell r="NAA2" t="str">
            <v>-</v>
          </cell>
          <cell r="NAB2" t="str">
            <v>-</v>
          </cell>
          <cell r="NAC2" t="str">
            <v>-</v>
          </cell>
          <cell r="NAD2" t="str">
            <v>-</v>
          </cell>
          <cell r="NAE2" t="str">
            <v>-</v>
          </cell>
          <cell r="NAF2" t="str">
            <v>-</v>
          </cell>
          <cell r="NAG2" t="str">
            <v>-</v>
          </cell>
          <cell r="NAH2" t="str">
            <v>-</v>
          </cell>
          <cell r="NAI2" t="str">
            <v>-</v>
          </cell>
          <cell r="NAJ2" t="str">
            <v>-</v>
          </cell>
          <cell r="NAK2" t="str">
            <v>-</v>
          </cell>
          <cell r="NAL2" t="str">
            <v>-</v>
          </cell>
          <cell r="NAM2" t="str">
            <v>-</v>
          </cell>
          <cell r="NAN2" t="str">
            <v>-</v>
          </cell>
          <cell r="NAO2" t="str">
            <v>-</v>
          </cell>
          <cell r="NAP2" t="str">
            <v>-</v>
          </cell>
          <cell r="NAQ2" t="str">
            <v>-</v>
          </cell>
          <cell r="NAR2" t="str">
            <v>-</v>
          </cell>
          <cell r="NAS2" t="str">
            <v>-</v>
          </cell>
          <cell r="NAT2" t="str">
            <v>-</v>
          </cell>
          <cell r="NAU2" t="str">
            <v>-</v>
          </cell>
          <cell r="NAV2" t="str">
            <v>-</v>
          </cell>
          <cell r="NAW2" t="str">
            <v>-</v>
          </cell>
          <cell r="NAX2" t="str">
            <v>-</v>
          </cell>
          <cell r="NAY2" t="str">
            <v>-</v>
          </cell>
          <cell r="NAZ2" t="str">
            <v>-</v>
          </cell>
          <cell r="NBA2" t="str">
            <v>-</v>
          </cell>
          <cell r="NBB2" t="str">
            <v>-</v>
          </cell>
          <cell r="NBC2" t="str">
            <v>-</v>
          </cell>
          <cell r="NBD2" t="str">
            <v>-</v>
          </cell>
          <cell r="NBE2" t="str">
            <v>-</v>
          </cell>
          <cell r="NBF2" t="str">
            <v>-</v>
          </cell>
          <cell r="NBG2" t="str">
            <v>-</v>
          </cell>
          <cell r="NBH2" t="str">
            <v>-</v>
          </cell>
          <cell r="NBI2" t="str">
            <v>-</v>
          </cell>
          <cell r="NBJ2" t="str">
            <v>-</v>
          </cell>
          <cell r="NBK2" t="str">
            <v>-</v>
          </cell>
          <cell r="NBL2" t="str">
            <v>-</v>
          </cell>
          <cell r="NBM2" t="str">
            <v>-</v>
          </cell>
          <cell r="NBN2" t="str">
            <v>-</v>
          </cell>
          <cell r="NBO2" t="str">
            <v>-</v>
          </cell>
          <cell r="NBP2" t="str">
            <v>-</v>
          </cell>
          <cell r="NBQ2" t="str">
            <v>-</v>
          </cell>
          <cell r="NBR2" t="str">
            <v>-</v>
          </cell>
          <cell r="NBS2" t="str">
            <v>-</v>
          </cell>
          <cell r="NBT2" t="str">
            <v>-</v>
          </cell>
          <cell r="NBU2" t="str">
            <v>-</v>
          </cell>
          <cell r="NBV2" t="str">
            <v>-</v>
          </cell>
          <cell r="NBW2" t="str">
            <v>-</v>
          </cell>
          <cell r="NBX2" t="str">
            <v>-</v>
          </cell>
          <cell r="NBY2" t="str">
            <v>-</v>
          </cell>
          <cell r="NBZ2" t="str">
            <v>-</v>
          </cell>
          <cell r="NCA2" t="str">
            <v>-</v>
          </cell>
          <cell r="NCB2" t="str">
            <v>-</v>
          </cell>
          <cell r="NCC2" t="str">
            <v>-</v>
          </cell>
          <cell r="NCD2" t="str">
            <v>-</v>
          </cell>
          <cell r="NCE2" t="str">
            <v>-</v>
          </cell>
          <cell r="NCF2" t="str">
            <v>-</v>
          </cell>
          <cell r="NCG2" t="str">
            <v>-</v>
          </cell>
          <cell r="NCH2" t="str">
            <v>-</v>
          </cell>
          <cell r="NCI2" t="str">
            <v>-</v>
          </cell>
          <cell r="NCJ2" t="str">
            <v>-</v>
          </cell>
          <cell r="NCK2" t="str">
            <v>-</v>
          </cell>
          <cell r="NCL2" t="str">
            <v>-</v>
          </cell>
          <cell r="NCM2" t="str">
            <v>-</v>
          </cell>
          <cell r="NCN2" t="str">
            <v>-</v>
          </cell>
          <cell r="NCO2" t="str">
            <v>-</v>
          </cell>
          <cell r="NCP2" t="str">
            <v>-</v>
          </cell>
          <cell r="NCQ2" t="str">
            <v>-</v>
          </cell>
          <cell r="NCR2" t="str">
            <v>-</v>
          </cell>
          <cell r="NCS2" t="str">
            <v>-</v>
          </cell>
          <cell r="NCT2" t="str">
            <v>-</v>
          </cell>
          <cell r="NCU2" t="str">
            <v>-</v>
          </cell>
          <cell r="NCV2" t="str">
            <v>-</v>
          </cell>
          <cell r="NCW2" t="str">
            <v>-</v>
          </cell>
          <cell r="NCX2" t="str">
            <v>-</v>
          </cell>
          <cell r="NCY2" t="str">
            <v>-</v>
          </cell>
          <cell r="NCZ2" t="str">
            <v>-</v>
          </cell>
          <cell r="NDA2" t="str">
            <v>-</v>
          </cell>
          <cell r="NDB2" t="str">
            <v>-</v>
          </cell>
          <cell r="NDC2" t="str">
            <v>-</v>
          </cell>
          <cell r="NDD2" t="str">
            <v>-</v>
          </cell>
          <cell r="NDE2" t="str">
            <v>-</v>
          </cell>
          <cell r="NDF2" t="str">
            <v>-</v>
          </cell>
          <cell r="NDG2" t="str">
            <v>-</v>
          </cell>
          <cell r="NDH2" t="str">
            <v>-</v>
          </cell>
          <cell r="NDI2" t="str">
            <v>-</v>
          </cell>
          <cell r="NDJ2" t="str">
            <v>-</v>
          </cell>
          <cell r="NDK2" t="str">
            <v>-</v>
          </cell>
          <cell r="NDL2" t="str">
            <v>-</v>
          </cell>
          <cell r="NDM2" t="str">
            <v>-</v>
          </cell>
          <cell r="NDN2" t="str">
            <v>-</v>
          </cell>
          <cell r="NDO2" t="str">
            <v>-</v>
          </cell>
          <cell r="NDP2" t="str">
            <v>-</v>
          </cell>
          <cell r="NDQ2" t="str">
            <v>-</v>
          </cell>
          <cell r="NDR2" t="str">
            <v>-</v>
          </cell>
          <cell r="NDS2" t="str">
            <v>-</v>
          </cell>
          <cell r="NDT2" t="str">
            <v>-</v>
          </cell>
          <cell r="NDU2" t="str">
            <v>-</v>
          </cell>
          <cell r="NDV2" t="str">
            <v>-</v>
          </cell>
          <cell r="NDW2" t="str">
            <v>-</v>
          </cell>
          <cell r="NDX2" t="str">
            <v>-</v>
          </cell>
          <cell r="NDY2" t="str">
            <v>-</v>
          </cell>
          <cell r="NDZ2" t="str">
            <v>-</v>
          </cell>
          <cell r="NEA2" t="str">
            <v>-</v>
          </cell>
          <cell r="NEB2" t="str">
            <v>-</v>
          </cell>
          <cell r="NEC2" t="str">
            <v>-</v>
          </cell>
          <cell r="NED2" t="str">
            <v>-</v>
          </cell>
          <cell r="NEE2" t="str">
            <v>-</v>
          </cell>
          <cell r="NEF2" t="str">
            <v>-</v>
          </cell>
          <cell r="NEG2" t="str">
            <v>-</v>
          </cell>
          <cell r="NEH2" t="str">
            <v>-</v>
          </cell>
          <cell r="NEI2" t="str">
            <v>-</v>
          </cell>
          <cell r="NEJ2" t="str">
            <v>-</v>
          </cell>
          <cell r="NEK2" t="str">
            <v>-</v>
          </cell>
          <cell r="NEL2" t="str">
            <v>-</v>
          </cell>
          <cell r="NEM2" t="str">
            <v>-</v>
          </cell>
          <cell r="NEN2" t="str">
            <v>-</v>
          </cell>
          <cell r="NEO2" t="str">
            <v>-</v>
          </cell>
          <cell r="NEP2" t="str">
            <v>-</v>
          </cell>
          <cell r="NEQ2" t="str">
            <v>-</v>
          </cell>
          <cell r="NER2" t="str">
            <v>-</v>
          </cell>
          <cell r="NES2" t="str">
            <v>-</v>
          </cell>
          <cell r="NET2" t="str">
            <v>-</v>
          </cell>
          <cell r="NEU2" t="str">
            <v>-</v>
          </cell>
          <cell r="NEV2" t="str">
            <v>-</v>
          </cell>
          <cell r="NEW2" t="str">
            <v>-</v>
          </cell>
          <cell r="NEX2" t="str">
            <v>-</v>
          </cell>
          <cell r="NEY2" t="str">
            <v>-</v>
          </cell>
          <cell r="NEZ2" t="str">
            <v>-</v>
          </cell>
          <cell r="NFA2" t="str">
            <v>-</v>
          </cell>
          <cell r="NFB2" t="str">
            <v>-</v>
          </cell>
          <cell r="NFC2" t="str">
            <v>-</v>
          </cell>
          <cell r="NFD2" t="str">
            <v>-</v>
          </cell>
          <cell r="NFE2" t="str">
            <v>-</v>
          </cell>
          <cell r="NFF2" t="str">
            <v>-</v>
          </cell>
          <cell r="NFG2" t="str">
            <v>-</v>
          </cell>
          <cell r="NFH2" t="str">
            <v>-</v>
          </cell>
          <cell r="NFI2" t="str">
            <v>-</v>
          </cell>
          <cell r="NFJ2" t="str">
            <v>-</v>
          </cell>
          <cell r="NFK2" t="str">
            <v>-</v>
          </cell>
          <cell r="NFL2" t="str">
            <v>-</v>
          </cell>
          <cell r="NFM2" t="str">
            <v>-</v>
          </cell>
          <cell r="NFN2" t="str">
            <v>-</v>
          </cell>
          <cell r="NFO2" t="str">
            <v>-</v>
          </cell>
          <cell r="NFP2" t="str">
            <v>-</v>
          </cell>
          <cell r="NFQ2" t="str">
            <v>-</v>
          </cell>
          <cell r="NFR2" t="str">
            <v>-</v>
          </cell>
          <cell r="NFS2" t="str">
            <v>-</v>
          </cell>
          <cell r="NFT2" t="str">
            <v>-</v>
          </cell>
          <cell r="NFU2" t="str">
            <v>-</v>
          </cell>
          <cell r="NFV2" t="str">
            <v>-</v>
          </cell>
          <cell r="NFW2" t="str">
            <v>-</v>
          </cell>
          <cell r="NFX2" t="str">
            <v>-</v>
          </cell>
          <cell r="NFY2" t="str">
            <v>-</v>
          </cell>
          <cell r="NFZ2" t="str">
            <v>-</v>
          </cell>
          <cell r="NGA2" t="str">
            <v>-</v>
          </cell>
          <cell r="NGB2" t="str">
            <v>-</v>
          </cell>
          <cell r="NGC2" t="str">
            <v>-</v>
          </cell>
          <cell r="NGD2" t="str">
            <v>-</v>
          </cell>
          <cell r="NGE2" t="str">
            <v>-</v>
          </cell>
          <cell r="NGF2" t="str">
            <v>-</v>
          </cell>
          <cell r="NGG2" t="str">
            <v>-</v>
          </cell>
          <cell r="NGH2" t="str">
            <v>-</v>
          </cell>
          <cell r="NGI2" t="str">
            <v>-</v>
          </cell>
          <cell r="NGJ2" t="str">
            <v>-</v>
          </cell>
          <cell r="NGK2" t="str">
            <v>-</v>
          </cell>
          <cell r="NGL2" t="str">
            <v>-</v>
          </cell>
          <cell r="NGM2" t="str">
            <v>-</v>
          </cell>
          <cell r="NGN2" t="str">
            <v>-</v>
          </cell>
          <cell r="NGO2" t="str">
            <v>-</v>
          </cell>
          <cell r="NGP2" t="str">
            <v>-</v>
          </cell>
          <cell r="NGQ2" t="str">
            <v>-</v>
          </cell>
          <cell r="NGR2" t="str">
            <v>-</v>
          </cell>
          <cell r="NGS2" t="str">
            <v>-</v>
          </cell>
          <cell r="NGT2" t="str">
            <v>-</v>
          </cell>
          <cell r="NGU2" t="str">
            <v>-</v>
          </cell>
          <cell r="NGV2" t="str">
            <v>-</v>
          </cell>
          <cell r="NGW2" t="str">
            <v>-</v>
          </cell>
          <cell r="NGX2" t="str">
            <v>-</v>
          </cell>
          <cell r="NGY2" t="str">
            <v>-</v>
          </cell>
          <cell r="NGZ2" t="str">
            <v>-</v>
          </cell>
          <cell r="NHA2" t="str">
            <v>-</v>
          </cell>
          <cell r="NHB2" t="str">
            <v>-</v>
          </cell>
          <cell r="NHC2" t="str">
            <v>-</v>
          </cell>
          <cell r="NHD2" t="str">
            <v>-</v>
          </cell>
          <cell r="NHE2" t="str">
            <v>-</v>
          </cell>
          <cell r="NHF2" t="str">
            <v>-</v>
          </cell>
          <cell r="NHG2" t="str">
            <v>-</v>
          </cell>
          <cell r="NHH2" t="str">
            <v>-</v>
          </cell>
          <cell r="NHI2" t="str">
            <v>-</v>
          </cell>
          <cell r="NHJ2" t="str">
            <v>-</v>
          </cell>
          <cell r="NHK2" t="str">
            <v>-</v>
          </cell>
          <cell r="NHL2" t="str">
            <v>-</v>
          </cell>
          <cell r="NHM2" t="str">
            <v>-</v>
          </cell>
          <cell r="NHN2" t="str">
            <v>-</v>
          </cell>
          <cell r="NHO2" t="str">
            <v>-</v>
          </cell>
          <cell r="NHP2" t="str">
            <v>-</v>
          </cell>
          <cell r="NHQ2" t="str">
            <v>-</v>
          </cell>
          <cell r="NHR2" t="str">
            <v>-</v>
          </cell>
          <cell r="NHS2" t="str">
            <v>-</v>
          </cell>
          <cell r="NHT2" t="str">
            <v>-</v>
          </cell>
          <cell r="NHU2" t="str">
            <v>-</v>
          </cell>
          <cell r="NHV2" t="str">
            <v>-</v>
          </cell>
          <cell r="NHW2" t="str">
            <v>-</v>
          </cell>
          <cell r="NHX2" t="str">
            <v>-</v>
          </cell>
          <cell r="NHY2" t="str">
            <v>-</v>
          </cell>
          <cell r="NHZ2" t="str">
            <v>-</v>
          </cell>
          <cell r="NIA2" t="str">
            <v>-</v>
          </cell>
          <cell r="NIB2" t="str">
            <v>-</v>
          </cell>
          <cell r="NIC2" t="str">
            <v>-</v>
          </cell>
          <cell r="NID2" t="str">
            <v>-</v>
          </cell>
          <cell r="NIE2" t="str">
            <v>-</v>
          </cell>
          <cell r="NIF2" t="str">
            <v>-</v>
          </cell>
          <cell r="NIG2" t="str">
            <v>-</v>
          </cell>
          <cell r="NIH2" t="str">
            <v>-</v>
          </cell>
          <cell r="NII2" t="str">
            <v>-</v>
          </cell>
          <cell r="NIJ2" t="str">
            <v>-</v>
          </cell>
          <cell r="NIK2" t="str">
            <v>-</v>
          </cell>
          <cell r="NIL2" t="str">
            <v>-</v>
          </cell>
          <cell r="NIM2" t="str">
            <v>-</v>
          </cell>
          <cell r="NIN2" t="str">
            <v>-</v>
          </cell>
          <cell r="NIO2" t="str">
            <v>-</v>
          </cell>
          <cell r="NIP2" t="str">
            <v>-</v>
          </cell>
          <cell r="NIQ2" t="str">
            <v>-</v>
          </cell>
          <cell r="NIR2" t="str">
            <v>-</v>
          </cell>
          <cell r="NIS2" t="str">
            <v>-</v>
          </cell>
          <cell r="NIT2" t="str">
            <v>-</v>
          </cell>
          <cell r="NIU2" t="str">
            <v>-</v>
          </cell>
          <cell r="NIV2" t="str">
            <v>-</v>
          </cell>
          <cell r="NIW2" t="str">
            <v>-</v>
          </cell>
          <cell r="NIX2" t="str">
            <v>-</v>
          </cell>
          <cell r="NIY2" t="str">
            <v>-</v>
          </cell>
          <cell r="NIZ2" t="str">
            <v>-</v>
          </cell>
          <cell r="NJA2" t="str">
            <v>-</v>
          </cell>
          <cell r="NJB2" t="str">
            <v>-</v>
          </cell>
          <cell r="NJC2" t="str">
            <v>-</v>
          </cell>
          <cell r="NJD2" t="str">
            <v>-</v>
          </cell>
          <cell r="NJE2" t="str">
            <v>-</v>
          </cell>
          <cell r="NJF2" t="str">
            <v>-</v>
          </cell>
          <cell r="NJG2" t="str">
            <v>-</v>
          </cell>
          <cell r="NJH2" t="str">
            <v>-</v>
          </cell>
          <cell r="NJI2" t="str">
            <v>-</v>
          </cell>
          <cell r="NJJ2" t="str">
            <v>-</v>
          </cell>
          <cell r="NJK2" t="str">
            <v>-</v>
          </cell>
          <cell r="NJL2" t="str">
            <v>-</v>
          </cell>
          <cell r="NJM2" t="str">
            <v>-</v>
          </cell>
          <cell r="NJN2" t="str">
            <v>-</v>
          </cell>
          <cell r="NJO2" t="str">
            <v>-</v>
          </cell>
          <cell r="NJP2" t="str">
            <v>-</v>
          </cell>
          <cell r="NJQ2" t="str">
            <v>-</v>
          </cell>
          <cell r="NJR2" t="str">
            <v>-</v>
          </cell>
          <cell r="NJS2" t="str">
            <v>-</v>
          </cell>
          <cell r="NJT2" t="str">
            <v>-</v>
          </cell>
          <cell r="NJU2" t="str">
            <v>-</v>
          </cell>
          <cell r="NJV2" t="str">
            <v>-</v>
          </cell>
          <cell r="NJW2" t="str">
            <v>-</v>
          </cell>
          <cell r="NJX2" t="str">
            <v>-</v>
          </cell>
          <cell r="NJY2" t="str">
            <v>-</v>
          </cell>
          <cell r="NJZ2" t="str">
            <v>-</v>
          </cell>
          <cell r="NKA2" t="str">
            <v>-</v>
          </cell>
          <cell r="NKB2" t="str">
            <v>-</v>
          </cell>
          <cell r="NKC2" t="str">
            <v>-</v>
          </cell>
          <cell r="NKD2" t="str">
            <v>-</v>
          </cell>
          <cell r="NKE2" t="str">
            <v>-</v>
          </cell>
          <cell r="NKF2" t="str">
            <v>-</v>
          </cell>
          <cell r="NKG2" t="str">
            <v>-</v>
          </cell>
          <cell r="NKH2" t="str">
            <v>-</v>
          </cell>
          <cell r="NKI2" t="str">
            <v>-</v>
          </cell>
          <cell r="NKJ2" t="str">
            <v>-</v>
          </cell>
          <cell r="NKK2" t="str">
            <v>-</v>
          </cell>
          <cell r="NKL2" t="str">
            <v>-</v>
          </cell>
          <cell r="NKM2" t="str">
            <v>-</v>
          </cell>
          <cell r="NKN2" t="str">
            <v>-</v>
          </cell>
          <cell r="NKO2" t="str">
            <v>-</v>
          </cell>
          <cell r="NKP2" t="str">
            <v>-</v>
          </cell>
          <cell r="NKQ2" t="str">
            <v>-</v>
          </cell>
          <cell r="NKR2" t="str">
            <v>-</v>
          </cell>
          <cell r="NKS2" t="str">
            <v>-</v>
          </cell>
          <cell r="NKT2" t="str">
            <v>-</v>
          </cell>
          <cell r="NKU2" t="str">
            <v>-</v>
          </cell>
          <cell r="NKV2" t="str">
            <v>-</v>
          </cell>
          <cell r="NKW2" t="str">
            <v>-</v>
          </cell>
          <cell r="NKX2" t="str">
            <v>-</v>
          </cell>
          <cell r="NKY2" t="str">
            <v>-</v>
          </cell>
          <cell r="NKZ2" t="str">
            <v>-</v>
          </cell>
          <cell r="NLA2" t="str">
            <v>-</v>
          </cell>
          <cell r="NLB2" t="str">
            <v>-</v>
          </cell>
          <cell r="NLC2" t="str">
            <v>-</v>
          </cell>
          <cell r="NLD2" t="str">
            <v>-</v>
          </cell>
          <cell r="NLE2" t="str">
            <v>-</v>
          </cell>
          <cell r="NLF2" t="str">
            <v>-</v>
          </cell>
          <cell r="NLG2" t="str">
            <v>-</v>
          </cell>
          <cell r="NLH2" t="str">
            <v>-</v>
          </cell>
          <cell r="NLI2" t="str">
            <v>-</v>
          </cell>
          <cell r="NLJ2" t="str">
            <v>-</v>
          </cell>
          <cell r="NLK2" t="str">
            <v>-</v>
          </cell>
          <cell r="NLL2" t="str">
            <v>-</v>
          </cell>
          <cell r="NLM2" t="str">
            <v>-</v>
          </cell>
          <cell r="NLN2" t="str">
            <v>-</v>
          </cell>
          <cell r="NLO2" t="str">
            <v>-</v>
          </cell>
          <cell r="NLP2" t="str">
            <v>-</v>
          </cell>
          <cell r="NLQ2" t="str">
            <v>-</v>
          </cell>
          <cell r="NLR2" t="str">
            <v>-</v>
          </cell>
          <cell r="NLS2" t="str">
            <v>-</v>
          </cell>
          <cell r="NLT2" t="str">
            <v>-</v>
          </cell>
          <cell r="NLU2" t="str">
            <v>-</v>
          </cell>
          <cell r="NLV2" t="str">
            <v>-</v>
          </cell>
          <cell r="NLW2" t="str">
            <v>-</v>
          </cell>
          <cell r="NLX2" t="str">
            <v>-</v>
          </cell>
          <cell r="NLY2" t="str">
            <v>-</v>
          </cell>
          <cell r="NLZ2" t="str">
            <v>-</v>
          </cell>
          <cell r="NMA2" t="str">
            <v>-</v>
          </cell>
          <cell r="NMB2" t="str">
            <v>-</v>
          </cell>
          <cell r="NMC2" t="str">
            <v>-</v>
          </cell>
          <cell r="NMD2" t="str">
            <v>-</v>
          </cell>
          <cell r="NME2" t="str">
            <v>-</v>
          </cell>
          <cell r="NMF2" t="str">
            <v>-</v>
          </cell>
          <cell r="NMG2" t="str">
            <v>-</v>
          </cell>
          <cell r="NMH2" t="str">
            <v>-</v>
          </cell>
          <cell r="NMI2" t="str">
            <v>-</v>
          </cell>
          <cell r="NMJ2" t="str">
            <v>-</v>
          </cell>
          <cell r="NMK2" t="str">
            <v>-</v>
          </cell>
          <cell r="NML2" t="str">
            <v>-</v>
          </cell>
          <cell r="NMM2" t="str">
            <v>-</v>
          </cell>
          <cell r="NMN2" t="str">
            <v>-</v>
          </cell>
          <cell r="NMO2" t="str">
            <v>-</v>
          </cell>
          <cell r="NMP2" t="str">
            <v>-</v>
          </cell>
          <cell r="NMQ2" t="str">
            <v>-</v>
          </cell>
          <cell r="NMR2" t="str">
            <v>-</v>
          </cell>
          <cell r="NMS2" t="str">
            <v>-</v>
          </cell>
          <cell r="NMT2" t="str">
            <v>-</v>
          </cell>
          <cell r="NMU2" t="str">
            <v>-</v>
          </cell>
          <cell r="NMV2" t="str">
            <v>-</v>
          </cell>
          <cell r="NMW2" t="str">
            <v>-</v>
          </cell>
          <cell r="NMX2" t="str">
            <v>-</v>
          </cell>
          <cell r="NMY2" t="str">
            <v>-</v>
          </cell>
          <cell r="NMZ2" t="str">
            <v>-</v>
          </cell>
          <cell r="NNA2" t="str">
            <v>-</v>
          </cell>
          <cell r="NNB2" t="str">
            <v>-</v>
          </cell>
          <cell r="NNC2" t="str">
            <v>-</v>
          </cell>
          <cell r="NND2" t="str">
            <v>-</v>
          </cell>
          <cell r="NNE2" t="str">
            <v>-</v>
          </cell>
          <cell r="NNF2" t="str">
            <v>-</v>
          </cell>
          <cell r="NNG2" t="str">
            <v>-</v>
          </cell>
          <cell r="NNH2" t="str">
            <v>-</v>
          </cell>
          <cell r="NNI2" t="str">
            <v>-</v>
          </cell>
          <cell r="NNJ2" t="str">
            <v>-</v>
          </cell>
          <cell r="NNK2" t="str">
            <v>-</v>
          </cell>
          <cell r="NNL2" t="str">
            <v>-</v>
          </cell>
          <cell r="NNM2" t="str">
            <v>-</v>
          </cell>
          <cell r="NNN2" t="str">
            <v>-</v>
          </cell>
          <cell r="NNO2" t="str">
            <v>-</v>
          </cell>
          <cell r="NNP2" t="str">
            <v>-</v>
          </cell>
          <cell r="NNQ2" t="str">
            <v>-</v>
          </cell>
          <cell r="NNR2" t="str">
            <v>-</v>
          </cell>
          <cell r="NNS2" t="str">
            <v>-</v>
          </cell>
          <cell r="NNT2" t="str">
            <v>-</v>
          </cell>
          <cell r="NNU2" t="str">
            <v>-</v>
          </cell>
          <cell r="NNV2" t="str">
            <v>-</v>
          </cell>
          <cell r="NNW2" t="str">
            <v>-</v>
          </cell>
          <cell r="NNX2" t="str">
            <v>-</v>
          </cell>
          <cell r="NNY2" t="str">
            <v>-</v>
          </cell>
          <cell r="NNZ2" t="str">
            <v>-</v>
          </cell>
          <cell r="NOA2" t="str">
            <v>-</v>
          </cell>
          <cell r="NOB2" t="str">
            <v>-</v>
          </cell>
          <cell r="NOC2" t="str">
            <v>-</v>
          </cell>
          <cell r="NOD2" t="str">
            <v>-</v>
          </cell>
          <cell r="NOE2" t="str">
            <v>-</v>
          </cell>
          <cell r="NOF2" t="str">
            <v>-</v>
          </cell>
          <cell r="NOG2" t="str">
            <v>-</v>
          </cell>
          <cell r="NOH2" t="str">
            <v>-</v>
          </cell>
          <cell r="NOI2" t="str">
            <v>-</v>
          </cell>
          <cell r="NOJ2" t="str">
            <v>-</v>
          </cell>
          <cell r="NOK2" t="str">
            <v>-</v>
          </cell>
          <cell r="NOL2" t="str">
            <v>-</v>
          </cell>
          <cell r="NOM2" t="str">
            <v>-</v>
          </cell>
          <cell r="NON2" t="str">
            <v>-</v>
          </cell>
          <cell r="NOO2" t="str">
            <v>-</v>
          </cell>
          <cell r="NOP2" t="str">
            <v>-</v>
          </cell>
          <cell r="NOQ2" t="str">
            <v>-</v>
          </cell>
          <cell r="NOR2" t="str">
            <v>-</v>
          </cell>
          <cell r="NOS2" t="str">
            <v>-</v>
          </cell>
          <cell r="NOT2" t="str">
            <v>-</v>
          </cell>
          <cell r="NOU2" t="str">
            <v>-</v>
          </cell>
          <cell r="NOV2" t="str">
            <v>-</v>
          </cell>
          <cell r="NOW2" t="str">
            <v>-</v>
          </cell>
          <cell r="NOX2" t="str">
            <v>-</v>
          </cell>
          <cell r="NOY2" t="str">
            <v>-</v>
          </cell>
          <cell r="NOZ2" t="str">
            <v>-</v>
          </cell>
          <cell r="NPA2" t="str">
            <v>-</v>
          </cell>
          <cell r="NPB2" t="str">
            <v>-</v>
          </cell>
          <cell r="NPC2" t="str">
            <v>-</v>
          </cell>
          <cell r="NPD2" t="str">
            <v>-</v>
          </cell>
          <cell r="NPE2" t="str">
            <v>-</v>
          </cell>
          <cell r="NPF2" t="str">
            <v>-</v>
          </cell>
          <cell r="NPG2" t="str">
            <v>-</v>
          </cell>
          <cell r="NPH2" t="str">
            <v>-</v>
          </cell>
          <cell r="NPI2" t="str">
            <v>-</v>
          </cell>
          <cell r="NPJ2" t="str">
            <v>-</v>
          </cell>
          <cell r="NPK2" t="str">
            <v>-</v>
          </cell>
          <cell r="NPL2" t="str">
            <v>-</v>
          </cell>
          <cell r="NPM2" t="str">
            <v>-</v>
          </cell>
          <cell r="NPN2" t="str">
            <v>-</v>
          </cell>
          <cell r="NPO2" t="str">
            <v>-</v>
          </cell>
          <cell r="NPP2" t="str">
            <v>-</v>
          </cell>
          <cell r="NPQ2" t="str">
            <v>-</v>
          </cell>
          <cell r="NPR2" t="str">
            <v>-</v>
          </cell>
          <cell r="NPS2" t="str">
            <v>-</v>
          </cell>
          <cell r="NPT2" t="str">
            <v>-</v>
          </cell>
          <cell r="NPU2" t="str">
            <v>-</v>
          </cell>
          <cell r="NPV2" t="str">
            <v>-</v>
          </cell>
          <cell r="NPW2" t="str">
            <v>-</v>
          </cell>
          <cell r="NPX2" t="str">
            <v>-</v>
          </cell>
          <cell r="NPY2" t="str">
            <v>-</v>
          </cell>
          <cell r="NPZ2" t="str">
            <v>-</v>
          </cell>
          <cell r="NQA2" t="str">
            <v>-</v>
          </cell>
          <cell r="NQB2" t="str">
            <v>-</v>
          </cell>
          <cell r="NQC2" t="str">
            <v>-</v>
          </cell>
          <cell r="NQD2" t="str">
            <v>-</v>
          </cell>
          <cell r="NQE2" t="str">
            <v>-</v>
          </cell>
          <cell r="NQF2" t="str">
            <v>-</v>
          </cell>
          <cell r="NQG2" t="str">
            <v>-</v>
          </cell>
          <cell r="NQH2" t="str">
            <v>-</v>
          </cell>
          <cell r="NQI2" t="str">
            <v>-</v>
          </cell>
          <cell r="NQJ2" t="str">
            <v>-</v>
          </cell>
          <cell r="NQK2" t="str">
            <v>-</v>
          </cell>
          <cell r="NQL2" t="str">
            <v>-</v>
          </cell>
          <cell r="NQM2" t="str">
            <v>-</v>
          </cell>
          <cell r="NQN2" t="str">
            <v>-</v>
          </cell>
          <cell r="NQO2" t="str">
            <v>-</v>
          </cell>
          <cell r="NQP2" t="str">
            <v>-</v>
          </cell>
          <cell r="NQQ2" t="str">
            <v>-</v>
          </cell>
          <cell r="NQR2" t="str">
            <v>-</v>
          </cell>
          <cell r="NQS2" t="str">
            <v>-</v>
          </cell>
          <cell r="NQT2" t="str">
            <v>-</v>
          </cell>
          <cell r="NQU2" t="str">
            <v>-</v>
          </cell>
          <cell r="NQV2" t="str">
            <v>-</v>
          </cell>
          <cell r="NQW2" t="str">
            <v>-</v>
          </cell>
          <cell r="NQX2" t="str">
            <v>-</v>
          </cell>
          <cell r="NQY2" t="str">
            <v>-</v>
          </cell>
          <cell r="NQZ2" t="str">
            <v>-</v>
          </cell>
          <cell r="NRA2" t="str">
            <v>-</v>
          </cell>
          <cell r="NRB2" t="str">
            <v>-</v>
          </cell>
          <cell r="NRC2" t="str">
            <v>-</v>
          </cell>
          <cell r="NRD2" t="str">
            <v>-</v>
          </cell>
          <cell r="NRE2" t="str">
            <v>-</v>
          </cell>
          <cell r="NRF2" t="str">
            <v>-</v>
          </cell>
          <cell r="NRG2" t="str">
            <v>-</v>
          </cell>
          <cell r="NRH2" t="str">
            <v>-</v>
          </cell>
          <cell r="NRI2" t="str">
            <v>-</v>
          </cell>
          <cell r="NRJ2" t="str">
            <v>-</v>
          </cell>
          <cell r="NRK2" t="str">
            <v>-</v>
          </cell>
          <cell r="NRL2" t="str">
            <v>-</v>
          </cell>
          <cell r="NRM2" t="str">
            <v>-</v>
          </cell>
          <cell r="NRN2" t="str">
            <v>-</v>
          </cell>
          <cell r="NRO2" t="str">
            <v>-</v>
          </cell>
          <cell r="NRP2" t="str">
            <v>-</v>
          </cell>
          <cell r="NRQ2" t="str">
            <v>-</v>
          </cell>
          <cell r="NRR2" t="str">
            <v>-</v>
          </cell>
          <cell r="NRS2" t="str">
            <v>-</v>
          </cell>
          <cell r="NRT2" t="str">
            <v>-</v>
          </cell>
          <cell r="NRU2" t="str">
            <v>-</v>
          </cell>
          <cell r="NRV2" t="str">
            <v>-</v>
          </cell>
          <cell r="NRW2" t="str">
            <v>-</v>
          </cell>
          <cell r="NRX2" t="str">
            <v>-</v>
          </cell>
          <cell r="NRY2" t="str">
            <v>-</v>
          </cell>
          <cell r="NRZ2" t="str">
            <v>-</v>
          </cell>
          <cell r="NSA2" t="str">
            <v>-</v>
          </cell>
          <cell r="NSB2" t="str">
            <v>-</v>
          </cell>
          <cell r="NSC2" t="str">
            <v>-</v>
          </cell>
          <cell r="NSD2" t="str">
            <v>-</v>
          </cell>
          <cell r="NSE2" t="str">
            <v>-</v>
          </cell>
          <cell r="NSF2" t="str">
            <v>-</v>
          </cell>
          <cell r="NSG2" t="str">
            <v>-</v>
          </cell>
          <cell r="NSH2" t="str">
            <v>-</v>
          </cell>
          <cell r="NSI2" t="str">
            <v>-</v>
          </cell>
          <cell r="NSJ2" t="str">
            <v>-</v>
          </cell>
          <cell r="NSK2" t="str">
            <v>-</v>
          </cell>
          <cell r="NSL2" t="str">
            <v>-</v>
          </cell>
          <cell r="NSM2" t="str">
            <v>-</v>
          </cell>
          <cell r="NSN2" t="str">
            <v>-</v>
          </cell>
          <cell r="NSO2" t="str">
            <v>-</v>
          </cell>
          <cell r="NSP2" t="str">
            <v>-</v>
          </cell>
          <cell r="NSQ2" t="str">
            <v>-</v>
          </cell>
          <cell r="NSR2" t="str">
            <v>-</v>
          </cell>
          <cell r="NSS2" t="str">
            <v>-</v>
          </cell>
          <cell r="NST2" t="str">
            <v>-</v>
          </cell>
          <cell r="NSU2" t="str">
            <v>-</v>
          </cell>
          <cell r="NSV2" t="str">
            <v>-</v>
          </cell>
          <cell r="NSW2" t="str">
            <v>-</v>
          </cell>
          <cell r="NSX2" t="str">
            <v>-</v>
          </cell>
          <cell r="NSY2" t="str">
            <v>-</v>
          </cell>
          <cell r="NSZ2" t="str">
            <v>-</v>
          </cell>
          <cell r="NTA2" t="str">
            <v>-</v>
          </cell>
          <cell r="NTB2" t="str">
            <v>-</v>
          </cell>
          <cell r="NTC2" t="str">
            <v>-</v>
          </cell>
          <cell r="NTD2" t="str">
            <v>-</v>
          </cell>
          <cell r="NTE2" t="str">
            <v>-</v>
          </cell>
          <cell r="NTF2" t="str">
            <v>-</v>
          </cell>
          <cell r="NTG2" t="str">
            <v>-</v>
          </cell>
          <cell r="NTH2" t="str">
            <v>-</v>
          </cell>
          <cell r="NTI2" t="str">
            <v>-</v>
          </cell>
          <cell r="NTJ2" t="str">
            <v>-</v>
          </cell>
          <cell r="NTK2" t="str">
            <v>-</v>
          </cell>
          <cell r="NTL2" t="str">
            <v>-</v>
          </cell>
          <cell r="NTM2" t="str">
            <v>-</v>
          </cell>
          <cell r="NTN2" t="str">
            <v>-</v>
          </cell>
          <cell r="NTO2" t="str">
            <v>-</v>
          </cell>
          <cell r="NTP2" t="str">
            <v>-</v>
          </cell>
          <cell r="NTQ2" t="str">
            <v>-</v>
          </cell>
          <cell r="NTR2" t="str">
            <v>-</v>
          </cell>
          <cell r="NTS2" t="str">
            <v>-</v>
          </cell>
          <cell r="NTT2" t="str">
            <v>-</v>
          </cell>
          <cell r="NTU2" t="str">
            <v>-</v>
          </cell>
          <cell r="NTV2" t="str">
            <v>-</v>
          </cell>
          <cell r="NTW2" t="str">
            <v>-</v>
          </cell>
          <cell r="NTX2" t="str">
            <v>-</v>
          </cell>
          <cell r="NTY2" t="str">
            <v>-</v>
          </cell>
          <cell r="NTZ2" t="str">
            <v>-</v>
          </cell>
          <cell r="NUA2" t="str">
            <v>-</v>
          </cell>
          <cell r="NUB2" t="str">
            <v>-</v>
          </cell>
          <cell r="NUC2" t="str">
            <v>-</v>
          </cell>
          <cell r="NUD2" t="str">
            <v>-</v>
          </cell>
          <cell r="NUE2" t="str">
            <v>-</v>
          </cell>
          <cell r="NUF2" t="str">
            <v>-</v>
          </cell>
          <cell r="NUG2" t="str">
            <v>-</v>
          </cell>
          <cell r="NUH2" t="str">
            <v>-</v>
          </cell>
          <cell r="NUI2" t="str">
            <v>-</v>
          </cell>
          <cell r="NUJ2" t="str">
            <v>-</v>
          </cell>
          <cell r="NUK2" t="str">
            <v>-</v>
          </cell>
          <cell r="NUL2" t="str">
            <v>-</v>
          </cell>
          <cell r="NUM2" t="str">
            <v>-</v>
          </cell>
          <cell r="NUN2" t="str">
            <v>-</v>
          </cell>
          <cell r="NUO2" t="str">
            <v>-</v>
          </cell>
          <cell r="NUP2" t="str">
            <v>-</v>
          </cell>
          <cell r="NUQ2" t="str">
            <v>-</v>
          </cell>
          <cell r="NUR2" t="str">
            <v>-</v>
          </cell>
          <cell r="NUS2" t="str">
            <v>-</v>
          </cell>
          <cell r="NUT2" t="str">
            <v>-</v>
          </cell>
          <cell r="NUU2" t="str">
            <v>-</v>
          </cell>
          <cell r="NUV2" t="str">
            <v>-</v>
          </cell>
          <cell r="NUW2" t="str">
            <v>-</v>
          </cell>
          <cell r="NUX2" t="str">
            <v>-</v>
          </cell>
          <cell r="NUY2" t="str">
            <v>-</v>
          </cell>
          <cell r="NUZ2" t="str">
            <v>-</v>
          </cell>
          <cell r="NVA2" t="str">
            <v>-</v>
          </cell>
          <cell r="NVB2" t="str">
            <v>-</v>
          </cell>
          <cell r="NVC2" t="str">
            <v>-</v>
          </cell>
          <cell r="NVD2" t="str">
            <v>-</v>
          </cell>
          <cell r="NVE2" t="str">
            <v>-</v>
          </cell>
          <cell r="NVF2" t="str">
            <v>-</v>
          </cell>
          <cell r="NVG2" t="str">
            <v>-</v>
          </cell>
          <cell r="NVH2" t="str">
            <v>-</v>
          </cell>
          <cell r="NVI2" t="str">
            <v>-</v>
          </cell>
          <cell r="NVJ2" t="str">
            <v>-</v>
          </cell>
          <cell r="NVK2" t="str">
            <v>-</v>
          </cell>
          <cell r="NVL2" t="str">
            <v>-</v>
          </cell>
          <cell r="NVM2" t="str">
            <v>-</v>
          </cell>
          <cell r="NVN2" t="str">
            <v>-</v>
          </cell>
          <cell r="NVO2" t="str">
            <v>-</v>
          </cell>
          <cell r="NVP2" t="str">
            <v>-</v>
          </cell>
          <cell r="NVQ2" t="str">
            <v>-</v>
          </cell>
          <cell r="NVR2" t="str">
            <v>-</v>
          </cell>
          <cell r="NVS2" t="str">
            <v>-</v>
          </cell>
          <cell r="NVT2" t="str">
            <v>-</v>
          </cell>
          <cell r="NVU2" t="str">
            <v>-</v>
          </cell>
          <cell r="NVV2" t="str">
            <v>-</v>
          </cell>
          <cell r="NVW2" t="str">
            <v>-</v>
          </cell>
          <cell r="NVX2" t="str">
            <v>-</v>
          </cell>
          <cell r="NVY2" t="str">
            <v>-</v>
          </cell>
          <cell r="NVZ2" t="str">
            <v>-</v>
          </cell>
          <cell r="NWA2" t="str">
            <v>-</v>
          </cell>
          <cell r="NWB2" t="str">
            <v>-</v>
          </cell>
          <cell r="NWC2" t="str">
            <v>-</v>
          </cell>
          <cell r="NWD2" t="str">
            <v>-</v>
          </cell>
          <cell r="NWE2" t="str">
            <v>-</v>
          </cell>
          <cell r="NWF2" t="str">
            <v>-</v>
          </cell>
          <cell r="NWG2" t="str">
            <v>-</v>
          </cell>
          <cell r="NWH2" t="str">
            <v>-</v>
          </cell>
          <cell r="NWI2" t="str">
            <v>-</v>
          </cell>
          <cell r="NWJ2" t="str">
            <v>-</v>
          </cell>
          <cell r="NWK2" t="str">
            <v>-</v>
          </cell>
          <cell r="NWL2" t="str">
            <v>-</v>
          </cell>
          <cell r="NWM2" t="str">
            <v>-</v>
          </cell>
          <cell r="NWN2" t="str">
            <v>-</v>
          </cell>
          <cell r="NWO2" t="str">
            <v>-</v>
          </cell>
          <cell r="NWP2" t="str">
            <v>-</v>
          </cell>
          <cell r="NWQ2" t="str">
            <v>-</v>
          </cell>
          <cell r="NWR2" t="str">
            <v>-</v>
          </cell>
          <cell r="NWS2" t="str">
            <v>-</v>
          </cell>
          <cell r="NWT2" t="str">
            <v>-</v>
          </cell>
          <cell r="NWU2" t="str">
            <v>-</v>
          </cell>
          <cell r="NWV2" t="str">
            <v>-</v>
          </cell>
          <cell r="NWW2" t="str">
            <v>-</v>
          </cell>
          <cell r="NWX2" t="str">
            <v>-</v>
          </cell>
          <cell r="NWY2" t="str">
            <v>-</v>
          </cell>
          <cell r="NWZ2" t="str">
            <v>-</v>
          </cell>
          <cell r="NXA2" t="str">
            <v>-</v>
          </cell>
          <cell r="NXB2" t="str">
            <v>-</v>
          </cell>
          <cell r="NXC2" t="str">
            <v>-</v>
          </cell>
          <cell r="NXD2" t="str">
            <v>-</v>
          </cell>
          <cell r="NXE2" t="str">
            <v>-</v>
          </cell>
          <cell r="NXF2" t="str">
            <v>-</v>
          </cell>
          <cell r="NXG2" t="str">
            <v>-</v>
          </cell>
          <cell r="NXH2" t="str">
            <v>-</v>
          </cell>
          <cell r="NXI2" t="str">
            <v>-</v>
          </cell>
          <cell r="NXJ2" t="str">
            <v>-</v>
          </cell>
          <cell r="NXK2" t="str">
            <v>-</v>
          </cell>
          <cell r="NXL2" t="str">
            <v>-</v>
          </cell>
          <cell r="NXM2" t="str">
            <v>-</v>
          </cell>
          <cell r="NXN2" t="str">
            <v>-</v>
          </cell>
          <cell r="NXO2" t="str">
            <v>-</v>
          </cell>
          <cell r="NXP2" t="str">
            <v>-</v>
          </cell>
          <cell r="NXQ2" t="str">
            <v>-</v>
          </cell>
          <cell r="NXR2" t="str">
            <v>-</v>
          </cell>
          <cell r="NXS2" t="str">
            <v>-</v>
          </cell>
          <cell r="NXT2" t="str">
            <v>-</v>
          </cell>
          <cell r="NXU2" t="str">
            <v>-</v>
          </cell>
          <cell r="NXV2" t="str">
            <v>-</v>
          </cell>
          <cell r="NXW2" t="str">
            <v>-</v>
          </cell>
          <cell r="NXX2" t="str">
            <v>-</v>
          </cell>
          <cell r="NXY2" t="str">
            <v>-</v>
          </cell>
          <cell r="NXZ2" t="str">
            <v>-</v>
          </cell>
          <cell r="NYA2" t="str">
            <v>-</v>
          </cell>
          <cell r="NYB2" t="str">
            <v>-</v>
          </cell>
          <cell r="NYC2" t="str">
            <v>-</v>
          </cell>
          <cell r="NYD2" t="str">
            <v>-</v>
          </cell>
          <cell r="NYE2" t="str">
            <v>-</v>
          </cell>
          <cell r="NYF2" t="str">
            <v>-</v>
          </cell>
          <cell r="NYG2" t="str">
            <v>-</v>
          </cell>
          <cell r="NYH2" t="str">
            <v>-</v>
          </cell>
          <cell r="NYI2" t="str">
            <v>-</v>
          </cell>
          <cell r="NYJ2" t="str">
            <v>-</v>
          </cell>
          <cell r="NYK2" t="str">
            <v>-</v>
          </cell>
          <cell r="NYL2" t="str">
            <v>-</v>
          </cell>
          <cell r="NYM2" t="str">
            <v>-</v>
          </cell>
          <cell r="NYN2" t="str">
            <v>-</v>
          </cell>
          <cell r="NYO2" t="str">
            <v>-</v>
          </cell>
          <cell r="NYP2" t="str">
            <v>-</v>
          </cell>
          <cell r="NYQ2" t="str">
            <v>-</v>
          </cell>
          <cell r="NYR2" t="str">
            <v>-</v>
          </cell>
          <cell r="NYS2" t="str">
            <v>-</v>
          </cell>
          <cell r="NYT2" t="str">
            <v>-</v>
          </cell>
          <cell r="NYU2" t="str">
            <v>-</v>
          </cell>
          <cell r="NYV2" t="str">
            <v>-</v>
          </cell>
          <cell r="NYW2" t="str">
            <v>-</v>
          </cell>
          <cell r="NYX2" t="str">
            <v>-</v>
          </cell>
          <cell r="NYY2" t="str">
            <v>-</v>
          </cell>
          <cell r="NYZ2" t="str">
            <v>-</v>
          </cell>
          <cell r="NZA2" t="str">
            <v>-</v>
          </cell>
          <cell r="NZB2" t="str">
            <v>-</v>
          </cell>
          <cell r="NZC2" t="str">
            <v>-</v>
          </cell>
          <cell r="NZD2" t="str">
            <v>-</v>
          </cell>
          <cell r="NZE2" t="str">
            <v>-</v>
          </cell>
          <cell r="NZF2" t="str">
            <v>-</v>
          </cell>
          <cell r="NZG2" t="str">
            <v>-</v>
          </cell>
          <cell r="NZH2" t="str">
            <v>-</v>
          </cell>
          <cell r="NZI2" t="str">
            <v>-</v>
          </cell>
          <cell r="NZJ2" t="str">
            <v>-</v>
          </cell>
          <cell r="NZK2" t="str">
            <v>-</v>
          </cell>
          <cell r="NZL2" t="str">
            <v>-</v>
          </cell>
          <cell r="NZM2" t="str">
            <v>-</v>
          </cell>
          <cell r="NZN2" t="str">
            <v>-</v>
          </cell>
          <cell r="NZO2" t="str">
            <v>-</v>
          </cell>
          <cell r="NZP2" t="str">
            <v>-</v>
          </cell>
          <cell r="NZQ2" t="str">
            <v>-</v>
          </cell>
          <cell r="NZR2" t="str">
            <v>-</v>
          </cell>
          <cell r="NZS2" t="str">
            <v>-</v>
          </cell>
          <cell r="NZT2" t="str">
            <v>-</v>
          </cell>
          <cell r="NZU2" t="str">
            <v>-</v>
          </cell>
          <cell r="NZV2" t="str">
            <v>-</v>
          </cell>
          <cell r="NZW2" t="str">
            <v>-</v>
          </cell>
          <cell r="NZX2" t="str">
            <v>-</v>
          </cell>
          <cell r="NZY2" t="str">
            <v>-</v>
          </cell>
          <cell r="NZZ2" t="str">
            <v>-</v>
          </cell>
          <cell r="OAA2" t="str">
            <v>-</v>
          </cell>
          <cell r="OAB2" t="str">
            <v>-</v>
          </cell>
          <cell r="OAC2" t="str">
            <v>-</v>
          </cell>
          <cell r="OAD2" t="str">
            <v>-</v>
          </cell>
          <cell r="OAE2" t="str">
            <v>-</v>
          </cell>
          <cell r="OAF2" t="str">
            <v>-</v>
          </cell>
          <cell r="OAG2" t="str">
            <v>-</v>
          </cell>
          <cell r="OAH2" t="str">
            <v>-</v>
          </cell>
          <cell r="OAI2" t="str">
            <v>-</v>
          </cell>
          <cell r="OAJ2" t="str">
            <v>-</v>
          </cell>
          <cell r="OAK2" t="str">
            <v>-</v>
          </cell>
          <cell r="OAL2" t="str">
            <v>-</v>
          </cell>
          <cell r="OAM2" t="str">
            <v>-</v>
          </cell>
          <cell r="OAN2" t="str">
            <v>-</v>
          </cell>
          <cell r="OAO2" t="str">
            <v>-</v>
          </cell>
          <cell r="OAP2" t="str">
            <v>-</v>
          </cell>
          <cell r="OAQ2" t="str">
            <v>-</v>
          </cell>
          <cell r="OAR2" t="str">
            <v>-</v>
          </cell>
          <cell r="OAS2" t="str">
            <v>-</v>
          </cell>
          <cell r="OAT2" t="str">
            <v>-</v>
          </cell>
          <cell r="OAU2" t="str">
            <v>-</v>
          </cell>
          <cell r="OAV2" t="str">
            <v>-</v>
          </cell>
          <cell r="OAW2" t="str">
            <v>-</v>
          </cell>
          <cell r="OAX2" t="str">
            <v>-</v>
          </cell>
          <cell r="OAY2" t="str">
            <v>-</v>
          </cell>
          <cell r="OAZ2" t="str">
            <v>-</v>
          </cell>
          <cell r="OBA2" t="str">
            <v>-</v>
          </cell>
          <cell r="OBB2" t="str">
            <v>-</v>
          </cell>
          <cell r="OBC2" t="str">
            <v>-</v>
          </cell>
          <cell r="OBD2" t="str">
            <v>-</v>
          </cell>
          <cell r="OBE2" t="str">
            <v>-</v>
          </cell>
          <cell r="OBF2" t="str">
            <v>-</v>
          </cell>
          <cell r="OBG2" t="str">
            <v>-</v>
          </cell>
          <cell r="OBH2" t="str">
            <v>-</v>
          </cell>
          <cell r="OBI2" t="str">
            <v>-</v>
          </cell>
          <cell r="OBJ2" t="str">
            <v>-</v>
          </cell>
          <cell r="OBK2" t="str">
            <v>-</v>
          </cell>
          <cell r="OBL2" t="str">
            <v>-</v>
          </cell>
          <cell r="OBM2" t="str">
            <v>-</v>
          </cell>
          <cell r="OBN2" t="str">
            <v>-</v>
          </cell>
          <cell r="OBO2" t="str">
            <v>-</v>
          </cell>
          <cell r="OBP2" t="str">
            <v>-</v>
          </cell>
          <cell r="OBQ2" t="str">
            <v>-</v>
          </cell>
          <cell r="OBR2" t="str">
            <v>-</v>
          </cell>
          <cell r="OBS2" t="str">
            <v>-</v>
          </cell>
          <cell r="OBT2" t="str">
            <v>-</v>
          </cell>
          <cell r="OBU2" t="str">
            <v>-</v>
          </cell>
          <cell r="OBV2" t="str">
            <v>-</v>
          </cell>
          <cell r="OBW2" t="str">
            <v>-</v>
          </cell>
          <cell r="OBX2" t="str">
            <v>-</v>
          </cell>
          <cell r="OBY2" t="str">
            <v>-</v>
          </cell>
          <cell r="OBZ2" t="str">
            <v>-</v>
          </cell>
          <cell r="OCA2" t="str">
            <v>-</v>
          </cell>
          <cell r="OCB2" t="str">
            <v>-</v>
          </cell>
          <cell r="OCC2" t="str">
            <v>-</v>
          </cell>
          <cell r="OCD2" t="str">
            <v>-</v>
          </cell>
          <cell r="OCE2" t="str">
            <v>-</v>
          </cell>
          <cell r="OCF2" t="str">
            <v>-</v>
          </cell>
          <cell r="OCG2" t="str">
            <v>-</v>
          </cell>
          <cell r="OCH2" t="str">
            <v>-</v>
          </cell>
          <cell r="OCI2" t="str">
            <v>-</v>
          </cell>
          <cell r="OCJ2" t="str">
            <v>-</v>
          </cell>
          <cell r="OCK2" t="str">
            <v>-</v>
          </cell>
          <cell r="OCL2" t="str">
            <v>-</v>
          </cell>
          <cell r="OCM2" t="str">
            <v>-</v>
          </cell>
          <cell r="OCN2" t="str">
            <v>-</v>
          </cell>
          <cell r="OCO2" t="str">
            <v>-</v>
          </cell>
          <cell r="OCP2" t="str">
            <v>-</v>
          </cell>
          <cell r="OCQ2" t="str">
            <v>-</v>
          </cell>
          <cell r="OCR2" t="str">
            <v>-</v>
          </cell>
          <cell r="OCS2" t="str">
            <v>-</v>
          </cell>
          <cell r="OCT2" t="str">
            <v>-</v>
          </cell>
          <cell r="OCU2" t="str">
            <v>-</v>
          </cell>
          <cell r="OCV2" t="str">
            <v>-</v>
          </cell>
          <cell r="OCW2" t="str">
            <v>-</v>
          </cell>
          <cell r="OCX2" t="str">
            <v>-</v>
          </cell>
          <cell r="OCY2" t="str">
            <v>-</v>
          </cell>
          <cell r="OCZ2" t="str">
            <v>-</v>
          </cell>
          <cell r="ODA2" t="str">
            <v>-</v>
          </cell>
          <cell r="ODB2" t="str">
            <v>-</v>
          </cell>
          <cell r="ODC2" t="str">
            <v>-</v>
          </cell>
          <cell r="ODD2" t="str">
            <v>-</v>
          </cell>
          <cell r="ODE2" t="str">
            <v>-</v>
          </cell>
          <cell r="ODF2" t="str">
            <v>-</v>
          </cell>
          <cell r="ODG2" t="str">
            <v>-</v>
          </cell>
          <cell r="ODH2" t="str">
            <v>-</v>
          </cell>
          <cell r="ODI2" t="str">
            <v>-</v>
          </cell>
          <cell r="ODJ2" t="str">
            <v>-</v>
          </cell>
          <cell r="ODK2" t="str">
            <v>-</v>
          </cell>
          <cell r="ODL2" t="str">
            <v>-</v>
          </cell>
          <cell r="ODM2" t="str">
            <v>-</v>
          </cell>
          <cell r="ODN2" t="str">
            <v>-</v>
          </cell>
          <cell r="ODO2" t="str">
            <v>-</v>
          </cell>
          <cell r="ODP2" t="str">
            <v>-</v>
          </cell>
          <cell r="ODQ2" t="str">
            <v>-</v>
          </cell>
          <cell r="ODR2" t="str">
            <v>-</v>
          </cell>
          <cell r="ODS2" t="str">
            <v>-</v>
          </cell>
          <cell r="ODT2" t="str">
            <v>-</v>
          </cell>
          <cell r="ODU2" t="str">
            <v>-</v>
          </cell>
          <cell r="ODV2" t="str">
            <v>-</v>
          </cell>
          <cell r="ODW2" t="str">
            <v>-</v>
          </cell>
          <cell r="ODX2" t="str">
            <v>-</v>
          </cell>
          <cell r="ODY2" t="str">
            <v>-</v>
          </cell>
          <cell r="ODZ2" t="str">
            <v>-</v>
          </cell>
          <cell r="OEA2" t="str">
            <v>-</v>
          </cell>
          <cell r="OEB2" t="str">
            <v>-</v>
          </cell>
          <cell r="OEC2" t="str">
            <v>-</v>
          </cell>
          <cell r="OED2" t="str">
            <v>-</v>
          </cell>
          <cell r="OEE2" t="str">
            <v>-</v>
          </cell>
          <cell r="OEF2" t="str">
            <v>-</v>
          </cell>
          <cell r="OEG2" t="str">
            <v>-</v>
          </cell>
          <cell r="OEH2" t="str">
            <v>-</v>
          </cell>
          <cell r="OEI2" t="str">
            <v>-</v>
          </cell>
          <cell r="OEJ2" t="str">
            <v>-</v>
          </cell>
          <cell r="OEK2" t="str">
            <v>-</v>
          </cell>
          <cell r="OEL2" t="str">
            <v>-</v>
          </cell>
          <cell r="OEM2" t="str">
            <v>-</v>
          </cell>
          <cell r="OEN2" t="str">
            <v>-</v>
          </cell>
          <cell r="OEO2" t="str">
            <v>-</v>
          </cell>
          <cell r="OEP2" t="str">
            <v>-</v>
          </cell>
          <cell r="OEQ2" t="str">
            <v>-</v>
          </cell>
          <cell r="OER2" t="str">
            <v>-</v>
          </cell>
          <cell r="OES2" t="str">
            <v>-</v>
          </cell>
          <cell r="OET2" t="str">
            <v>-</v>
          </cell>
          <cell r="OEU2" t="str">
            <v>-</v>
          </cell>
          <cell r="OEV2" t="str">
            <v>-</v>
          </cell>
          <cell r="OEW2" t="str">
            <v>-</v>
          </cell>
          <cell r="OEX2" t="str">
            <v>-</v>
          </cell>
          <cell r="OEY2" t="str">
            <v>-</v>
          </cell>
          <cell r="OEZ2" t="str">
            <v>-</v>
          </cell>
          <cell r="OFA2" t="str">
            <v>-</v>
          </cell>
          <cell r="OFB2" t="str">
            <v>-</v>
          </cell>
          <cell r="OFC2" t="str">
            <v>-</v>
          </cell>
          <cell r="OFD2" t="str">
            <v>-</v>
          </cell>
          <cell r="OFE2" t="str">
            <v>-</v>
          </cell>
          <cell r="OFF2" t="str">
            <v>-</v>
          </cell>
          <cell r="OFG2" t="str">
            <v>-</v>
          </cell>
          <cell r="OFH2" t="str">
            <v>-</v>
          </cell>
          <cell r="OFI2" t="str">
            <v>-</v>
          </cell>
          <cell r="OFJ2" t="str">
            <v>-</v>
          </cell>
          <cell r="OFK2" t="str">
            <v>-</v>
          </cell>
          <cell r="OFL2" t="str">
            <v>-</v>
          </cell>
          <cell r="OFM2" t="str">
            <v>-</v>
          </cell>
          <cell r="OFN2" t="str">
            <v>-</v>
          </cell>
          <cell r="OFO2" t="str">
            <v>-</v>
          </cell>
          <cell r="OFP2" t="str">
            <v>-</v>
          </cell>
          <cell r="OFQ2" t="str">
            <v>-</v>
          </cell>
          <cell r="OFR2" t="str">
            <v>-</v>
          </cell>
          <cell r="OFS2" t="str">
            <v>-</v>
          </cell>
          <cell r="OFT2" t="str">
            <v>-</v>
          </cell>
          <cell r="OFU2" t="str">
            <v>-</v>
          </cell>
          <cell r="OFV2" t="str">
            <v>-</v>
          </cell>
          <cell r="OFW2" t="str">
            <v>-</v>
          </cell>
          <cell r="OFX2" t="str">
            <v>-</v>
          </cell>
          <cell r="OFY2" t="str">
            <v>-</v>
          </cell>
          <cell r="OFZ2" t="str">
            <v>-</v>
          </cell>
          <cell r="OGA2" t="str">
            <v>-</v>
          </cell>
          <cell r="OGB2" t="str">
            <v>-</v>
          </cell>
          <cell r="OGC2" t="str">
            <v>-</v>
          </cell>
          <cell r="OGD2" t="str">
            <v>-</v>
          </cell>
          <cell r="OGE2" t="str">
            <v>-</v>
          </cell>
          <cell r="OGF2" t="str">
            <v>-</v>
          </cell>
          <cell r="OGG2" t="str">
            <v>-</v>
          </cell>
          <cell r="OGH2" t="str">
            <v>-</v>
          </cell>
          <cell r="OGI2" t="str">
            <v>-</v>
          </cell>
          <cell r="OGJ2" t="str">
            <v>-</v>
          </cell>
          <cell r="OGK2" t="str">
            <v>-</v>
          </cell>
          <cell r="OGL2" t="str">
            <v>-</v>
          </cell>
          <cell r="OGM2" t="str">
            <v>-</v>
          </cell>
          <cell r="OGN2" t="str">
            <v>-</v>
          </cell>
          <cell r="OGO2" t="str">
            <v>-</v>
          </cell>
          <cell r="OGP2" t="str">
            <v>-</v>
          </cell>
          <cell r="OGQ2" t="str">
            <v>-</v>
          </cell>
          <cell r="OGR2" t="str">
            <v>-</v>
          </cell>
          <cell r="OGS2" t="str">
            <v>-</v>
          </cell>
          <cell r="OGT2" t="str">
            <v>-</v>
          </cell>
          <cell r="OGU2" t="str">
            <v>-</v>
          </cell>
          <cell r="OGV2" t="str">
            <v>-</v>
          </cell>
          <cell r="OGW2" t="str">
            <v>-</v>
          </cell>
          <cell r="OGX2" t="str">
            <v>-</v>
          </cell>
          <cell r="OGY2" t="str">
            <v>-</v>
          </cell>
          <cell r="OGZ2" t="str">
            <v>-</v>
          </cell>
          <cell r="OHA2" t="str">
            <v>-</v>
          </cell>
          <cell r="OHB2" t="str">
            <v>-</v>
          </cell>
          <cell r="OHC2" t="str">
            <v>-</v>
          </cell>
          <cell r="OHD2" t="str">
            <v>-</v>
          </cell>
          <cell r="OHE2" t="str">
            <v>-</v>
          </cell>
          <cell r="OHF2" t="str">
            <v>-</v>
          </cell>
          <cell r="OHG2" t="str">
            <v>-</v>
          </cell>
          <cell r="OHH2" t="str">
            <v>-</v>
          </cell>
          <cell r="OHI2" t="str">
            <v>-</v>
          </cell>
          <cell r="OHJ2" t="str">
            <v>-</v>
          </cell>
          <cell r="OHK2" t="str">
            <v>-</v>
          </cell>
          <cell r="OHL2" t="str">
            <v>-</v>
          </cell>
          <cell r="OHM2" t="str">
            <v>-</v>
          </cell>
          <cell r="OHN2" t="str">
            <v>-</v>
          </cell>
          <cell r="OHO2" t="str">
            <v>-</v>
          </cell>
          <cell r="OHP2" t="str">
            <v>-</v>
          </cell>
          <cell r="OHQ2" t="str">
            <v>-</v>
          </cell>
          <cell r="OHR2" t="str">
            <v>-</v>
          </cell>
          <cell r="OHS2" t="str">
            <v>-</v>
          </cell>
          <cell r="OHT2" t="str">
            <v>-</v>
          </cell>
          <cell r="OHU2" t="str">
            <v>-</v>
          </cell>
          <cell r="OHV2" t="str">
            <v>-</v>
          </cell>
          <cell r="OHW2" t="str">
            <v>-</v>
          </cell>
          <cell r="OHX2" t="str">
            <v>-</v>
          </cell>
          <cell r="OHY2" t="str">
            <v>-</v>
          </cell>
          <cell r="OHZ2" t="str">
            <v>-</v>
          </cell>
          <cell r="OIA2" t="str">
            <v>-</v>
          </cell>
          <cell r="OIB2" t="str">
            <v>-</v>
          </cell>
          <cell r="OIC2" t="str">
            <v>-</v>
          </cell>
          <cell r="OID2" t="str">
            <v>-</v>
          </cell>
          <cell r="OIE2" t="str">
            <v>-</v>
          </cell>
          <cell r="OIF2" t="str">
            <v>-</v>
          </cell>
          <cell r="OIG2" t="str">
            <v>-</v>
          </cell>
          <cell r="OIH2" t="str">
            <v>-</v>
          </cell>
          <cell r="OII2" t="str">
            <v>-</v>
          </cell>
          <cell r="OIJ2" t="str">
            <v>-</v>
          </cell>
          <cell r="OIK2" t="str">
            <v>-</v>
          </cell>
          <cell r="OIL2" t="str">
            <v>-</v>
          </cell>
          <cell r="OIM2" t="str">
            <v>-</v>
          </cell>
          <cell r="OIN2" t="str">
            <v>-</v>
          </cell>
          <cell r="OIO2" t="str">
            <v>-</v>
          </cell>
          <cell r="OIP2" t="str">
            <v>-</v>
          </cell>
          <cell r="OIQ2" t="str">
            <v>-</v>
          </cell>
          <cell r="OIR2" t="str">
            <v>-</v>
          </cell>
          <cell r="OIS2" t="str">
            <v>-</v>
          </cell>
          <cell r="OIT2" t="str">
            <v>-</v>
          </cell>
          <cell r="OIU2" t="str">
            <v>-</v>
          </cell>
          <cell r="OIV2" t="str">
            <v>-</v>
          </cell>
          <cell r="OIW2" t="str">
            <v>-</v>
          </cell>
          <cell r="OIX2" t="str">
            <v>-</v>
          </cell>
          <cell r="OIY2" t="str">
            <v>-</v>
          </cell>
          <cell r="OIZ2" t="str">
            <v>-</v>
          </cell>
          <cell r="OJA2" t="str">
            <v>-</v>
          </cell>
          <cell r="OJB2" t="str">
            <v>-</v>
          </cell>
          <cell r="OJC2" t="str">
            <v>-</v>
          </cell>
          <cell r="OJD2" t="str">
            <v>-</v>
          </cell>
          <cell r="OJE2" t="str">
            <v>-</v>
          </cell>
          <cell r="OJF2" t="str">
            <v>-</v>
          </cell>
          <cell r="OJG2" t="str">
            <v>-</v>
          </cell>
          <cell r="OJH2" t="str">
            <v>-</v>
          </cell>
          <cell r="OJI2" t="str">
            <v>-</v>
          </cell>
          <cell r="OJJ2" t="str">
            <v>-</v>
          </cell>
          <cell r="OJK2" t="str">
            <v>-</v>
          </cell>
          <cell r="OJL2" t="str">
            <v>-</v>
          </cell>
          <cell r="OJM2" t="str">
            <v>-</v>
          </cell>
          <cell r="OJN2" t="str">
            <v>-</v>
          </cell>
          <cell r="OJO2" t="str">
            <v>-</v>
          </cell>
          <cell r="OJP2" t="str">
            <v>-</v>
          </cell>
          <cell r="OJQ2" t="str">
            <v>-</v>
          </cell>
          <cell r="OJR2" t="str">
            <v>-</v>
          </cell>
          <cell r="OJS2" t="str">
            <v>-</v>
          </cell>
          <cell r="OJT2" t="str">
            <v>-</v>
          </cell>
          <cell r="OJU2" t="str">
            <v>-</v>
          </cell>
          <cell r="OJV2" t="str">
            <v>-</v>
          </cell>
          <cell r="OJW2" t="str">
            <v>-</v>
          </cell>
          <cell r="OJX2" t="str">
            <v>-</v>
          </cell>
          <cell r="OJY2" t="str">
            <v>-</v>
          </cell>
          <cell r="OJZ2" t="str">
            <v>-</v>
          </cell>
          <cell r="OKA2" t="str">
            <v>-</v>
          </cell>
          <cell r="OKB2" t="str">
            <v>-</v>
          </cell>
          <cell r="OKC2" t="str">
            <v>-</v>
          </cell>
          <cell r="OKD2" t="str">
            <v>-</v>
          </cell>
          <cell r="OKE2" t="str">
            <v>-</v>
          </cell>
          <cell r="OKF2" t="str">
            <v>-</v>
          </cell>
          <cell r="OKG2" t="str">
            <v>-</v>
          </cell>
          <cell r="OKH2" t="str">
            <v>-</v>
          </cell>
          <cell r="OKI2" t="str">
            <v>-</v>
          </cell>
          <cell r="OKJ2" t="str">
            <v>-</v>
          </cell>
          <cell r="OKK2" t="str">
            <v>-</v>
          </cell>
          <cell r="OKL2" t="str">
            <v>-</v>
          </cell>
          <cell r="OKM2" t="str">
            <v>-</v>
          </cell>
          <cell r="OKN2" t="str">
            <v>-</v>
          </cell>
          <cell r="OKO2" t="str">
            <v>-</v>
          </cell>
          <cell r="OKP2" t="str">
            <v>-</v>
          </cell>
          <cell r="OKQ2" t="str">
            <v>-</v>
          </cell>
          <cell r="OKR2" t="str">
            <v>-</v>
          </cell>
          <cell r="OKS2" t="str">
            <v>-</v>
          </cell>
          <cell r="OKT2" t="str">
            <v>-</v>
          </cell>
          <cell r="OKU2" t="str">
            <v>-</v>
          </cell>
          <cell r="OKV2" t="str">
            <v>-</v>
          </cell>
          <cell r="OKW2" t="str">
            <v>-</v>
          </cell>
          <cell r="OKX2" t="str">
            <v>-</v>
          </cell>
          <cell r="OKY2" t="str">
            <v>-</v>
          </cell>
          <cell r="OKZ2" t="str">
            <v>-</v>
          </cell>
          <cell r="OLA2" t="str">
            <v>-</v>
          </cell>
          <cell r="OLB2" t="str">
            <v>-</v>
          </cell>
          <cell r="OLC2" t="str">
            <v>-</v>
          </cell>
          <cell r="OLD2" t="str">
            <v>-</v>
          </cell>
          <cell r="OLE2" t="str">
            <v>-</v>
          </cell>
          <cell r="OLF2" t="str">
            <v>-</v>
          </cell>
          <cell r="OLG2" t="str">
            <v>-</v>
          </cell>
          <cell r="OLH2" t="str">
            <v>-</v>
          </cell>
          <cell r="OLI2" t="str">
            <v>-</v>
          </cell>
          <cell r="OLJ2" t="str">
            <v>-</v>
          </cell>
          <cell r="OLK2" t="str">
            <v>-</v>
          </cell>
          <cell r="OLL2" t="str">
            <v>-</v>
          </cell>
          <cell r="OLM2" t="str">
            <v>-</v>
          </cell>
          <cell r="OLN2" t="str">
            <v>-</v>
          </cell>
          <cell r="OLO2" t="str">
            <v>-</v>
          </cell>
          <cell r="OLP2" t="str">
            <v>-</v>
          </cell>
          <cell r="OLQ2" t="str">
            <v>-</v>
          </cell>
          <cell r="OLR2" t="str">
            <v>-</v>
          </cell>
          <cell r="OLS2" t="str">
            <v>-</v>
          </cell>
          <cell r="OLT2" t="str">
            <v>-</v>
          </cell>
          <cell r="OLU2" t="str">
            <v>-</v>
          </cell>
          <cell r="OLV2" t="str">
            <v>-</v>
          </cell>
          <cell r="OLW2" t="str">
            <v>-</v>
          </cell>
          <cell r="OLX2" t="str">
            <v>-</v>
          </cell>
          <cell r="OLY2" t="str">
            <v>-</v>
          </cell>
          <cell r="OLZ2" t="str">
            <v>-</v>
          </cell>
          <cell r="OMA2" t="str">
            <v>-</v>
          </cell>
          <cell r="OMB2" t="str">
            <v>-</v>
          </cell>
          <cell r="OMC2" t="str">
            <v>-</v>
          </cell>
          <cell r="OMD2" t="str">
            <v>-</v>
          </cell>
          <cell r="OME2" t="str">
            <v>-</v>
          </cell>
          <cell r="OMF2" t="str">
            <v>-</v>
          </cell>
          <cell r="OMG2" t="str">
            <v>-</v>
          </cell>
          <cell r="OMH2" t="str">
            <v>-</v>
          </cell>
          <cell r="OMI2" t="str">
            <v>-</v>
          </cell>
          <cell r="OMJ2" t="str">
            <v>-</v>
          </cell>
          <cell r="OMK2" t="str">
            <v>-</v>
          </cell>
          <cell r="OML2" t="str">
            <v>-</v>
          </cell>
          <cell r="OMM2" t="str">
            <v>-</v>
          </cell>
          <cell r="OMN2" t="str">
            <v>-</v>
          </cell>
          <cell r="OMO2" t="str">
            <v>-</v>
          </cell>
          <cell r="OMP2" t="str">
            <v>-</v>
          </cell>
          <cell r="OMQ2" t="str">
            <v>-</v>
          </cell>
          <cell r="OMR2" t="str">
            <v>-</v>
          </cell>
          <cell r="OMS2" t="str">
            <v>-</v>
          </cell>
          <cell r="OMT2" t="str">
            <v>-</v>
          </cell>
          <cell r="OMU2" t="str">
            <v>-</v>
          </cell>
          <cell r="OMV2" t="str">
            <v>-</v>
          </cell>
          <cell r="OMW2" t="str">
            <v>-</v>
          </cell>
          <cell r="OMX2" t="str">
            <v>-</v>
          </cell>
          <cell r="OMY2" t="str">
            <v>-</v>
          </cell>
          <cell r="OMZ2" t="str">
            <v>-</v>
          </cell>
          <cell r="ONA2" t="str">
            <v>-</v>
          </cell>
          <cell r="ONB2" t="str">
            <v>-</v>
          </cell>
          <cell r="ONC2" t="str">
            <v>-</v>
          </cell>
          <cell r="OND2" t="str">
            <v>-</v>
          </cell>
          <cell r="ONE2" t="str">
            <v>-</v>
          </cell>
          <cell r="ONF2" t="str">
            <v>-</v>
          </cell>
          <cell r="ONG2" t="str">
            <v>-</v>
          </cell>
          <cell r="ONH2" t="str">
            <v>-</v>
          </cell>
          <cell r="ONI2" t="str">
            <v>-</v>
          </cell>
          <cell r="ONJ2" t="str">
            <v>-</v>
          </cell>
          <cell r="ONK2" t="str">
            <v>-</v>
          </cell>
          <cell r="ONL2" t="str">
            <v>-</v>
          </cell>
          <cell r="ONM2" t="str">
            <v>-</v>
          </cell>
          <cell r="ONN2" t="str">
            <v>-</v>
          </cell>
          <cell r="ONO2" t="str">
            <v>-</v>
          </cell>
          <cell r="ONP2" t="str">
            <v>-</v>
          </cell>
          <cell r="ONQ2" t="str">
            <v>-</v>
          </cell>
          <cell r="ONR2" t="str">
            <v>-</v>
          </cell>
          <cell r="ONS2" t="str">
            <v>-</v>
          </cell>
          <cell r="ONT2" t="str">
            <v>-</v>
          </cell>
          <cell r="ONU2" t="str">
            <v>-</v>
          </cell>
          <cell r="ONV2" t="str">
            <v>-</v>
          </cell>
          <cell r="ONW2" t="str">
            <v>-</v>
          </cell>
          <cell r="ONX2" t="str">
            <v>-</v>
          </cell>
          <cell r="ONY2" t="str">
            <v>-</v>
          </cell>
          <cell r="ONZ2" t="str">
            <v>-</v>
          </cell>
          <cell r="OOA2" t="str">
            <v>-</v>
          </cell>
          <cell r="OOB2" t="str">
            <v>-</v>
          </cell>
          <cell r="OOC2" t="str">
            <v>-</v>
          </cell>
          <cell r="OOD2" t="str">
            <v>-</v>
          </cell>
          <cell r="OOE2" t="str">
            <v>-</v>
          </cell>
          <cell r="OOF2" t="str">
            <v>-</v>
          </cell>
          <cell r="OOG2" t="str">
            <v>-</v>
          </cell>
          <cell r="OOH2" t="str">
            <v>-</v>
          </cell>
          <cell r="OOI2" t="str">
            <v>-</v>
          </cell>
          <cell r="OOJ2" t="str">
            <v>-</v>
          </cell>
          <cell r="OOK2" t="str">
            <v>-</v>
          </cell>
          <cell r="OOL2" t="str">
            <v>-</v>
          </cell>
          <cell r="OOM2" t="str">
            <v>-</v>
          </cell>
          <cell r="OON2" t="str">
            <v>-</v>
          </cell>
          <cell r="OOO2" t="str">
            <v>-</v>
          </cell>
          <cell r="OOP2" t="str">
            <v>-</v>
          </cell>
          <cell r="OOQ2" t="str">
            <v>-</v>
          </cell>
          <cell r="OOR2" t="str">
            <v>-</v>
          </cell>
          <cell r="OOS2" t="str">
            <v>-</v>
          </cell>
          <cell r="OOT2" t="str">
            <v>-</v>
          </cell>
          <cell r="OOU2" t="str">
            <v>-</v>
          </cell>
          <cell r="OOV2" t="str">
            <v>-</v>
          </cell>
          <cell r="OOW2" t="str">
            <v>-</v>
          </cell>
          <cell r="OOX2" t="str">
            <v>-</v>
          </cell>
          <cell r="OOY2" t="str">
            <v>-</v>
          </cell>
          <cell r="OOZ2" t="str">
            <v>-</v>
          </cell>
          <cell r="OPA2" t="str">
            <v>-</v>
          </cell>
          <cell r="OPB2" t="str">
            <v>-</v>
          </cell>
          <cell r="OPC2" t="str">
            <v>-</v>
          </cell>
          <cell r="OPD2" t="str">
            <v>-</v>
          </cell>
          <cell r="OPE2" t="str">
            <v>-</v>
          </cell>
          <cell r="OPF2" t="str">
            <v>-</v>
          </cell>
          <cell r="OPG2" t="str">
            <v>-</v>
          </cell>
          <cell r="OPH2" t="str">
            <v>-</v>
          </cell>
          <cell r="OPI2" t="str">
            <v>-</v>
          </cell>
          <cell r="OPJ2" t="str">
            <v>-</v>
          </cell>
          <cell r="OPK2" t="str">
            <v>-</v>
          </cell>
          <cell r="OPL2" t="str">
            <v>-</v>
          </cell>
          <cell r="OPM2" t="str">
            <v>-</v>
          </cell>
          <cell r="OPN2" t="str">
            <v>-</v>
          </cell>
          <cell r="OPO2" t="str">
            <v>-</v>
          </cell>
          <cell r="OPP2" t="str">
            <v>-</v>
          </cell>
          <cell r="OPQ2" t="str">
            <v>-</v>
          </cell>
          <cell r="OPR2" t="str">
            <v>-</v>
          </cell>
          <cell r="OPS2" t="str">
            <v>-</v>
          </cell>
          <cell r="OPT2" t="str">
            <v>-</v>
          </cell>
          <cell r="OPU2" t="str">
            <v>-</v>
          </cell>
          <cell r="OPV2" t="str">
            <v>-</v>
          </cell>
          <cell r="OPW2" t="str">
            <v>-</v>
          </cell>
          <cell r="OPX2" t="str">
            <v>-</v>
          </cell>
          <cell r="OPY2" t="str">
            <v>-</v>
          </cell>
          <cell r="OPZ2" t="str">
            <v>-</v>
          </cell>
          <cell r="OQA2" t="str">
            <v>-</v>
          </cell>
          <cell r="OQB2" t="str">
            <v>-</v>
          </cell>
          <cell r="OQC2" t="str">
            <v>-</v>
          </cell>
          <cell r="OQD2" t="str">
            <v>-</v>
          </cell>
          <cell r="OQE2" t="str">
            <v>-</v>
          </cell>
          <cell r="OQF2" t="str">
            <v>-</v>
          </cell>
          <cell r="OQG2" t="str">
            <v>-</v>
          </cell>
          <cell r="OQH2" t="str">
            <v>-</v>
          </cell>
          <cell r="OQI2" t="str">
            <v>-</v>
          </cell>
          <cell r="OQJ2" t="str">
            <v>-</v>
          </cell>
          <cell r="OQK2" t="str">
            <v>-</v>
          </cell>
          <cell r="OQL2" t="str">
            <v>-</v>
          </cell>
          <cell r="OQM2" t="str">
            <v>-</v>
          </cell>
          <cell r="OQN2" t="str">
            <v>-</v>
          </cell>
          <cell r="OQO2" t="str">
            <v>-</v>
          </cell>
          <cell r="OQP2" t="str">
            <v>-</v>
          </cell>
          <cell r="OQQ2" t="str">
            <v>-</v>
          </cell>
          <cell r="OQR2" t="str">
            <v>-</v>
          </cell>
          <cell r="OQS2" t="str">
            <v>-</v>
          </cell>
          <cell r="OQT2" t="str">
            <v>-</v>
          </cell>
          <cell r="OQU2" t="str">
            <v>-</v>
          </cell>
          <cell r="OQV2" t="str">
            <v>-</v>
          </cell>
          <cell r="OQW2" t="str">
            <v>-</v>
          </cell>
          <cell r="OQX2" t="str">
            <v>-</v>
          </cell>
          <cell r="OQY2" t="str">
            <v>-</v>
          </cell>
          <cell r="OQZ2" t="str">
            <v>-</v>
          </cell>
          <cell r="ORA2" t="str">
            <v>-</v>
          </cell>
          <cell r="ORB2" t="str">
            <v>-</v>
          </cell>
          <cell r="ORC2" t="str">
            <v>-</v>
          </cell>
          <cell r="ORD2" t="str">
            <v>-</v>
          </cell>
          <cell r="ORE2" t="str">
            <v>-</v>
          </cell>
          <cell r="ORF2" t="str">
            <v>-</v>
          </cell>
          <cell r="ORG2" t="str">
            <v>-</v>
          </cell>
          <cell r="ORH2" t="str">
            <v>-</v>
          </cell>
          <cell r="ORI2" t="str">
            <v>-</v>
          </cell>
          <cell r="ORJ2" t="str">
            <v>-</v>
          </cell>
          <cell r="ORK2" t="str">
            <v>-</v>
          </cell>
          <cell r="ORL2" t="str">
            <v>-</v>
          </cell>
          <cell r="ORM2" t="str">
            <v>-</v>
          </cell>
          <cell r="ORN2" t="str">
            <v>-</v>
          </cell>
          <cell r="ORO2" t="str">
            <v>-</v>
          </cell>
          <cell r="ORP2" t="str">
            <v>-</v>
          </cell>
          <cell r="ORQ2" t="str">
            <v>-</v>
          </cell>
          <cell r="ORR2" t="str">
            <v>-</v>
          </cell>
          <cell r="ORS2" t="str">
            <v>-</v>
          </cell>
          <cell r="ORT2" t="str">
            <v>-</v>
          </cell>
          <cell r="ORU2" t="str">
            <v>-</v>
          </cell>
          <cell r="ORV2" t="str">
            <v>-</v>
          </cell>
          <cell r="ORW2" t="str">
            <v>-</v>
          </cell>
          <cell r="ORX2" t="str">
            <v>-</v>
          </cell>
          <cell r="ORY2" t="str">
            <v>-</v>
          </cell>
          <cell r="ORZ2" t="str">
            <v>-</v>
          </cell>
          <cell r="OSA2" t="str">
            <v>-</v>
          </cell>
          <cell r="OSB2" t="str">
            <v>-</v>
          </cell>
          <cell r="OSC2" t="str">
            <v>-</v>
          </cell>
          <cell r="OSD2" t="str">
            <v>-</v>
          </cell>
          <cell r="OSE2" t="str">
            <v>-</v>
          </cell>
          <cell r="OSF2" t="str">
            <v>-</v>
          </cell>
          <cell r="OSG2" t="str">
            <v>-</v>
          </cell>
          <cell r="OSH2" t="str">
            <v>-</v>
          </cell>
          <cell r="OSI2" t="str">
            <v>-</v>
          </cell>
          <cell r="OSJ2" t="str">
            <v>-</v>
          </cell>
          <cell r="OSK2" t="str">
            <v>-</v>
          </cell>
          <cell r="OSL2" t="str">
            <v>-</v>
          </cell>
          <cell r="OSM2" t="str">
            <v>-</v>
          </cell>
          <cell r="OSN2" t="str">
            <v>-</v>
          </cell>
          <cell r="OSO2" t="str">
            <v>-</v>
          </cell>
          <cell r="OSP2" t="str">
            <v>-</v>
          </cell>
          <cell r="OSQ2" t="str">
            <v>-</v>
          </cell>
          <cell r="OSR2" t="str">
            <v>-</v>
          </cell>
          <cell r="OSS2" t="str">
            <v>-</v>
          </cell>
          <cell r="OST2" t="str">
            <v>-</v>
          </cell>
          <cell r="OSU2" t="str">
            <v>-</v>
          </cell>
          <cell r="OSV2" t="str">
            <v>-</v>
          </cell>
          <cell r="OSW2" t="str">
            <v>-</v>
          </cell>
          <cell r="OSX2" t="str">
            <v>-</v>
          </cell>
          <cell r="OSY2" t="str">
            <v>-</v>
          </cell>
          <cell r="OSZ2" t="str">
            <v>-</v>
          </cell>
          <cell r="OTA2" t="str">
            <v>-</v>
          </cell>
          <cell r="OTB2" t="str">
            <v>-</v>
          </cell>
          <cell r="OTC2" t="str">
            <v>-</v>
          </cell>
          <cell r="OTD2" t="str">
            <v>-</v>
          </cell>
          <cell r="OTE2" t="str">
            <v>-</v>
          </cell>
          <cell r="OTF2" t="str">
            <v>-</v>
          </cell>
          <cell r="OTG2" t="str">
            <v>-</v>
          </cell>
          <cell r="OTH2" t="str">
            <v>-</v>
          </cell>
          <cell r="OTI2" t="str">
            <v>-</v>
          </cell>
          <cell r="OTJ2" t="str">
            <v>-</v>
          </cell>
          <cell r="OTK2" t="str">
            <v>-</v>
          </cell>
          <cell r="OTL2" t="str">
            <v>-</v>
          </cell>
          <cell r="OTM2" t="str">
            <v>-</v>
          </cell>
          <cell r="OTN2" t="str">
            <v>-</v>
          </cell>
          <cell r="OTO2" t="str">
            <v>-</v>
          </cell>
          <cell r="OTP2" t="str">
            <v>-</v>
          </cell>
          <cell r="OTQ2" t="str">
            <v>-</v>
          </cell>
          <cell r="OTR2" t="str">
            <v>-</v>
          </cell>
          <cell r="OTS2" t="str">
            <v>-</v>
          </cell>
          <cell r="OTT2" t="str">
            <v>-</v>
          </cell>
          <cell r="OTU2" t="str">
            <v>-</v>
          </cell>
          <cell r="OTV2" t="str">
            <v>-</v>
          </cell>
          <cell r="OTW2" t="str">
            <v>-</v>
          </cell>
          <cell r="OTX2" t="str">
            <v>-</v>
          </cell>
          <cell r="OTY2" t="str">
            <v>-</v>
          </cell>
          <cell r="OTZ2" t="str">
            <v>-</v>
          </cell>
          <cell r="OUA2" t="str">
            <v>-</v>
          </cell>
          <cell r="OUB2" t="str">
            <v>-</v>
          </cell>
          <cell r="OUC2" t="str">
            <v>-</v>
          </cell>
          <cell r="OUD2" t="str">
            <v>-</v>
          </cell>
          <cell r="OUE2" t="str">
            <v>-</v>
          </cell>
          <cell r="OUF2" t="str">
            <v>-</v>
          </cell>
          <cell r="OUG2" t="str">
            <v>-</v>
          </cell>
          <cell r="OUH2" t="str">
            <v>-</v>
          </cell>
          <cell r="OUI2" t="str">
            <v>-</v>
          </cell>
          <cell r="OUJ2" t="str">
            <v>-</v>
          </cell>
          <cell r="OUK2" t="str">
            <v>-</v>
          </cell>
          <cell r="OUL2" t="str">
            <v>-</v>
          </cell>
          <cell r="OUM2" t="str">
            <v>-</v>
          </cell>
          <cell r="OUN2" t="str">
            <v>-</v>
          </cell>
          <cell r="OUO2" t="str">
            <v>-</v>
          </cell>
          <cell r="OUP2" t="str">
            <v>-</v>
          </cell>
          <cell r="OUQ2" t="str">
            <v>-</v>
          </cell>
          <cell r="OUR2" t="str">
            <v>-</v>
          </cell>
          <cell r="OUS2" t="str">
            <v>-</v>
          </cell>
          <cell r="OUT2" t="str">
            <v>-</v>
          </cell>
          <cell r="OUU2" t="str">
            <v>-</v>
          </cell>
          <cell r="OUV2" t="str">
            <v>-</v>
          </cell>
          <cell r="OUW2" t="str">
            <v>-</v>
          </cell>
          <cell r="OUX2" t="str">
            <v>-</v>
          </cell>
          <cell r="OUY2" t="str">
            <v>-</v>
          </cell>
          <cell r="OUZ2" t="str">
            <v>-</v>
          </cell>
          <cell r="OVA2" t="str">
            <v>-</v>
          </cell>
          <cell r="OVB2" t="str">
            <v>-</v>
          </cell>
          <cell r="OVC2" t="str">
            <v>-</v>
          </cell>
          <cell r="OVD2" t="str">
            <v>-</v>
          </cell>
          <cell r="OVE2" t="str">
            <v>-</v>
          </cell>
          <cell r="OVF2" t="str">
            <v>-</v>
          </cell>
          <cell r="OVG2" t="str">
            <v>-</v>
          </cell>
          <cell r="OVH2" t="str">
            <v>-</v>
          </cell>
          <cell r="OVI2" t="str">
            <v>-</v>
          </cell>
          <cell r="OVJ2" t="str">
            <v>-</v>
          </cell>
          <cell r="OVK2" t="str">
            <v>-</v>
          </cell>
          <cell r="OVL2" t="str">
            <v>-</v>
          </cell>
          <cell r="OVM2" t="str">
            <v>-</v>
          </cell>
          <cell r="OVN2" t="str">
            <v>-</v>
          </cell>
          <cell r="OVO2" t="str">
            <v>-</v>
          </cell>
          <cell r="OVP2" t="str">
            <v>-</v>
          </cell>
          <cell r="OVQ2" t="str">
            <v>-</v>
          </cell>
          <cell r="OVR2" t="str">
            <v>-</v>
          </cell>
          <cell r="OVS2" t="str">
            <v>-</v>
          </cell>
          <cell r="OVT2" t="str">
            <v>-</v>
          </cell>
          <cell r="OVU2" t="str">
            <v>-</v>
          </cell>
          <cell r="OVV2" t="str">
            <v>-</v>
          </cell>
          <cell r="OVW2" t="str">
            <v>-</v>
          </cell>
          <cell r="OVX2" t="str">
            <v>-</v>
          </cell>
          <cell r="OVY2" t="str">
            <v>-</v>
          </cell>
          <cell r="OVZ2" t="str">
            <v>-</v>
          </cell>
          <cell r="OWA2" t="str">
            <v>-</v>
          </cell>
          <cell r="OWB2" t="str">
            <v>-</v>
          </cell>
          <cell r="OWC2" t="str">
            <v>-</v>
          </cell>
          <cell r="OWD2" t="str">
            <v>-</v>
          </cell>
          <cell r="OWE2" t="str">
            <v>-</v>
          </cell>
          <cell r="OWF2" t="str">
            <v>-</v>
          </cell>
          <cell r="OWG2" t="str">
            <v>-</v>
          </cell>
          <cell r="OWH2" t="str">
            <v>-</v>
          </cell>
          <cell r="OWI2" t="str">
            <v>-</v>
          </cell>
          <cell r="OWJ2" t="str">
            <v>-</v>
          </cell>
          <cell r="OWK2" t="str">
            <v>-</v>
          </cell>
          <cell r="OWL2" t="str">
            <v>-</v>
          </cell>
          <cell r="OWM2" t="str">
            <v>-</v>
          </cell>
          <cell r="OWN2" t="str">
            <v>-</v>
          </cell>
          <cell r="OWO2" t="str">
            <v>-</v>
          </cell>
          <cell r="OWP2" t="str">
            <v>-</v>
          </cell>
          <cell r="OWQ2" t="str">
            <v>-</v>
          </cell>
          <cell r="OWR2" t="str">
            <v>-</v>
          </cell>
          <cell r="OWS2" t="str">
            <v>-</v>
          </cell>
          <cell r="OWT2" t="str">
            <v>-</v>
          </cell>
          <cell r="OWU2" t="str">
            <v>-</v>
          </cell>
          <cell r="OWV2" t="str">
            <v>-</v>
          </cell>
          <cell r="OWW2" t="str">
            <v>-</v>
          </cell>
          <cell r="OWX2" t="str">
            <v>-</v>
          </cell>
          <cell r="OWY2" t="str">
            <v>-</v>
          </cell>
          <cell r="OWZ2" t="str">
            <v>-</v>
          </cell>
          <cell r="OXA2" t="str">
            <v>-</v>
          </cell>
          <cell r="OXB2" t="str">
            <v>-</v>
          </cell>
          <cell r="OXC2" t="str">
            <v>-</v>
          </cell>
          <cell r="OXD2" t="str">
            <v>-</v>
          </cell>
          <cell r="OXE2" t="str">
            <v>-</v>
          </cell>
          <cell r="OXF2" t="str">
            <v>-</v>
          </cell>
          <cell r="OXG2" t="str">
            <v>-</v>
          </cell>
          <cell r="OXH2" t="str">
            <v>-</v>
          </cell>
          <cell r="OXI2" t="str">
            <v>-</v>
          </cell>
          <cell r="OXJ2" t="str">
            <v>-</v>
          </cell>
          <cell r="OXK2" t="str">
            <v>-</v>
          </cell>
          <cell r="OXL2" t="str">
            <v>-</v>
          </cell>
          <cell r="OXM2" t="str">
            <v>-</v>
          </cell>
          <cell r="OXN2" t="str">
            <v>-</v>
          </cell>
          <cell r="OXO2" t="str">
            <v>-</v>
          </cell>
          <cell r="OXP2" t="str">
            <v>-</v>
          </cell>
          <cell r="OXQ2" t="str">
            <v>-</v>
          </cell>
          <cell r="OXR2" t="str">
            <v>-</v>
          </cell>
          <cell r="OXS2" t="str">
            <v>-</v>
          </cell>
          <cell r="OXT2" t="str">
            <v>-</v>
          </cell>
          <cell r="OXU2" t="str">
            <v>-</v>
          </cell>
          <cell r="OXV2" t="str">
            <v>-</v>
          </cell>
          <cell r="OXW2" t="str">
            <v>-</v>
          </cell>
          <cell r="OXX2" t="str">
            <v>-</v>
          </cell>
          <cell r="OXY2" t="str">
            <v>-</v>
          </cell>
          <cell r="OXZ2" t="str">
            <v>-</v>
          </cell>
          <cell r="OYA2" t="str">
            <v>-</v>
          </cell>
          <cell r="OYB2" t="str">
            <v>-</v>
          </cell>
          <cell r="OYC2" t="str">
            <v>-</v>
          </cell>
          <cell r="OYD2" t="str">
            <v>-</v>
          </cell>
          <cell r="OYE2" t="str">
            <v>-</v>
          </cell>
          <cell r="OYF2" t="str">
            <v>-</v>
          </cell>
          <cell r="OYG2" t="str">
            <v>-</v>
          </cell>
          <cell r="OYH2" t="str">
            <v>-</v>
          </cell>
          <cell r="OYI2" t="str">
            <v>-</v>
          </cell>
          <cell r="OYJ2" t="str">
            <v>-</v>
          </cell>
          <cell r="OYK2" t="str">
            <v>-</v>
          </cell>
          <cell r="OYL2" t="str">
            <v>-</v>
          </cell>
          <cell r="OYM2" t="str">
            <v>-</v>
          </cell>
          <cell r="OYN2" t="str">
            <v>-</v>
          </cell>
          <cell r="OYO2" t="str">
            <v>-</v>
          </cell>
          <cell r="OYP2" t="str">
            <v>-</v>
          </cell>
          <cell r="OYQ2" t="str">
            <v>-</v>
          </cell>
          <cell r="OYR2" t="str">
            <v>-</v>
          </cell>
          <cell r="OYS2" t="str">
            <v>-</v>
          </cell>
          <cell r="OYT2" t="str">
            <v>-</v>
          </cell>
          <cell r="OYU2" t="str">
            <v>-</v>
          </cell>
          <cell r="OYV2" t="str">
            <v>-</v>
          </cell>
          <cell r="OYW2" t="str">
            <v>-</v>
          </cell>
          <cell r="OYX2" t="str">
            <v>-</v>
          </cell>
          <cell r="OYY2" t="str">
            <v>-</v>
          </cell>
          <cell r="OYZ2" t="str">
            <v>-</v>
          </cell>
          <cell r="OZA2" t="str">
            <v>-</v>
          </cell>
          <cell r="OZB2" t="str">
            <v>-</v>
          </cell>
          <cell r="OZC2" t="str">
            <v>-</v>
          </cell>
          <cell r="OZD2" t="str">
            <v>-</v>
          </cell>
          <cell r="OZE2" t="str">
            <v>-</v>
          </cell>
          <cell r="OZF2" t="str">
            <v>-</v>
          </cell>
          <cell r="OZG2" t="str">
            <v>-</v>
          </cell>
          <cell r="OZH2" t="str">
            <v>-</v>
          </cell>
          <cell r="OZI2" t="str">
            <v>-</v>
          </cell>
          <cell r="OZJ2" t="str">
            <v>-</v>
          </cell>
          <cell r="OZK2" t="str">
            <v>-</v>
          </cell>
          <cell r="OZL2" t="str">
            <v>-</v>
          </cell>
          <cell r="OZM2" t="str">
            <v>-</v>
          </cell>
          <cell r="OZN2" t="str">
            <v>-</v>
          </cell>
          <cell r="OZO2" t="str">
            <v>-</v>
          </cell>
          <cell r="OZP2" t="str">
            <v>-</v>
          </cell>
          <cell r="OZQ2" t="str">
            <v>-</v>
          </cell>
          <cell r="OZR2" t="str">
            <v>-</v>
          </cell>
          <cell r="OZS2" t="str">
            <v>-</v>
          </cell>
          <cell r="OZT2" t="str">
            <v>-</v>
          </cell>
          <cell r="OZU2" t="str">
            <v>-</v>
          </cell>
          <cell r="OZV2" t="str">
            <v>-</v>
          </cell>
          <cell r="OZW2" t="str">
            <v>-</v>
          </cell>
          <cell r="OZX2" t="str">
            <v>-</v>
          </cell>
          <cell r="OZY2" t="str">
            <v>-</v>
          </cell>
          <cell r="OZZ2" t="str">
            <v>-</v>
          </cell>
          <cell r="PAA2" t="str">
            <v>-</v>
          </cell>
          <cell r="PAB2" t="str">
            <v>-</v>
          </cell>
          <cell r="PAC2" t="str">
            <v>-</v>
          </cell>
          <cell r="PAD2" t="str">
            <v>-</v>
          </cell>
          <cell r="PAE2" t="str">
            <v>-</v>
          </cell>
          <cell r="PAF2" t="str">
            <v>-</v>
          </cell>
          <cell r="PAG2" t="str">
            <v>-</v>
          </cell>
          <cell r="PAH2" t="str">
            <v>-</v>
          </cell>
          <cell r="PAI2" t="str">
            <v>-</v>
          </cell>
          <cell r="PAJ2" t="str">
            <v>-</v>
          </cell>
          <cell r="PAK2" t="str">
            <v>-</v>
          </cell>
          <cell r="PAL2" t="str">
            <v>-</v>
          </cell>
          <cell r="PAM2" t="str">
            <v>-</v>
          </cell>
          <cell r="PAN2" t="str">
            <v>-</v>
          </cell>
          <cell r="PAO2" t="str">
            <v>-</v>
          </cell>
          <cell r="PAP2" t="str">
            <v>-</v>
          </cell>
          <cell r="PAQ2" t="str">
            <v>-</v>
          </cell>
          <cell r="PAR2" t="str">
            <v>-</v>
          </cell>
          <cell r="PAS2" t="str">
            <v>-</v>
          </cell>
          <cell r="PAT2" t="str">
            <v>-</v>
          </cell>
          <cell r="PAU2" t="str">
            <v>-</v>
          </cell>
          <cell r="PAV2" t="str">
            <v>-</v>
          </cell>
          <cell r="PAW2" t="str">
            <v>-</v>
          </cell>
          <cell r="PAX2" t="str">
            <v>-</v>
          </cell>
          <cell r="PAY2" t="str">
            <v>-</v>
          </cell>
          <cell r="PAZ2" t="str">
            <v>-</v>
          </cell>
          <cell r="PBA2" t="str">
            <v>-</v>
          </cell>
          <cell r="PBB2" t="str">
            <v>-</v>
          </cell>
          <cell r="PBC2" t="str">
            <v>-</v>
          </cell>
          <cell r="PBD2" t="str">
            <v>-</v>
          </cell>
          <cell r="PBE2" t="str">
            <v>-</v>
          </cell>
          <cell r="PBF2" t="str">
            <v>-</v>
          </cell>
          <cell r="PBG2" t="str">
            <v>-</v>
          </cell>
          <cell r="PBH2" t="str">
            <v>-</v>
          </cell>
          <cell r="PBI2" t="str">
            <v>-</v>
          </cell>
          <cell r="PBJ2" t="str">
            <v>-</v>
          </cell>
          <cell r="PBK2" t="str">
            <v>-</v>
          </cell>
          <cell r="PBL2" t="str">
            <v>-</v>
          </cell>
          <cell r="PBM2" t="str">
            <v>-</v>
          </cell>
          <cell r="PBN2" t="str">
            <v>-</v>
          </cell>
          <cell r="PBO2" t="str">
            <v>-</v>
          </cell>
          <cell r="PBP2" t="str">
            <v>-</v>
          </cell>
          <cell r="PBQ2" t="str">
            <v>-</v>
          </cell>
          <cell r="PBR2" t="str">
            <v>-</v>
          </cell>
          <cell r="PBS2" t="str">
            <v>-</v>
          </cell>
          <cell r="PBT2" t="str">
            <v>-</v>
          </cell>
          <cell r="PBU2" t="str">
            <v>-</v>
          </cell>
          <cell r="PBV2" t="str">
            <v>-</v>
          </cell>
          <cell r="PBW2" t="str">
            <v>-</v>
          </cell>
          <cell r="PBX2" t="str">
            <v>-</v>
          </cell>
          <cell r="PBY2" t="str">
            <v>-</v>
          </cell>
          <cell r="PBZ2" t="str">
            <v>-</v>
          </cell>
          <cell r="PCA2" t="str">
            <v>-</v>
          </cell>
          <cell r="PCB2" t="str">
            <v>-</v>
          </cell>
          <cell r="PCC2" t="str">
            <v>-</v>
          </cell>
          <cell r="PCD2" t="str">
            <v>-</v>
          </cell>
          <cell r="PCE2" t="str">
            <v>-</v>
          </cell>
          <cell r="PCF2" t="str">
            <v>-</v>
          </cell>
          <cell r="PCG2" t="str">
            <v>-</v>
          </cell>
          <cell r="PCH2" t="str">
            <v>-</v>
          </cell>
          <cell r="PCI2" t="str">
            <v>-</v>
          </cell>
          <cell r="PCJ2" t="str">
            <v>-</v>
          </cell>
          <cell r="PCK2" t="str">
            <v>-</v>
          </cell>
          <cell r="PCL2" t="str">
            <v>-</v>
          </cell>
          <cell r="PCM2" t="str">
            <v>-</v>
          </cell>
          <cell r="PCN2" t="str">
            <v>-</v>
          </cell>
          <cell r="PCO2" t="str">
            <v>-</v>
          </cell>
          <cell r="PCP2" t="str">
            <v>-</v>
          </cell>
          <cell r="PCQ2" t="str">
            <v>-</v>
          </cell>
          <cell r="PCR2" t="str">
            <v>-</v>
          </cell>
          <cell r="PCS2" t="str">
            <v>-</v>
          </cell>
          <cell r="PCT2" t="str">
            <v>-</v>
          </cell>
          <cell r="PCU2" t="str">
            <v>-</v>
          </cell>
          <cell r="PCV2" t="str">
            <v>-</v>
          </cell>
          <cell r="PCW2" t="str">
            <v>-</v>
          </cell>
          <cell r="PCX2" t="str">
            <v>-</v>
          </cell>
          <cell r="PCY2" t="str">
            <v>-</v>
          </cell>
          <cell r="PCZ2" t="str">
            <v>-</v>
          </cell>
          <cell r="PDA2" t="str">
            <v>-</v>
          </cell>
          <cell r="PDB2" t="str">
            <v>-</v>
          </cell>
          <cell r="PDC2" t="str">
            <v>-</v>
          </cell>
          <cell r="PDD2" t="str">
            <v>-</v>
          </cell>
          <cell r="PDE2" t="str">
            <v>-</v>
          </cell>
          <cell r="PDF2" t="str">
            <v>-</v>
          </cell>
          <cell r="PDG2" t="str">
            <v>-</v>
          </cell>
          <cell r="PDH2" t="str">
            <v>-</v>
          </cell>
          <cell r="PDI2" t="str">
            <v>-</v>
          </cell>
          <cell r="PDJ2" t="str">
            <v>-</v>
          </cell>
          <cell r="PDK2" t="str">
            <v>-</v>
          </cell>
          <cell r="PDL2" t="str">
            <v>-</v>
          </cell>
          <cell r="PDM2" t="str">
            <v>-</v>
          </cell>
          <cell r="PDN2" t="str">
            <v>-</v>
          </cell>
          <cell r="PDO2" t="str">
            <v>-</v>
          </cell>
          <cell r="PDP2" t="str">
            <v>-</v>
          </cell>
          <cell r="PDQ2" t="str">
            <v>-</v>
          </cell>
          <cell r="PDR2" t="str">
            <v>-</v>
          </cell>
          <cell r="PDS2" t="str">
            <v>-</v>
          </cell>
          <cell r="PDT2" t="str">
            <v>-</v>
          </cell>
          <cell r="PDU2" t="str">
            <v>-</v>
          </cell>
          <cell r="PDV2" t="str">
            <v>-</v>
          </cell>
          <cell r="PDW2" t="str">
            <v>-</v>
          </cell>
          <cell r="PDX2" t="str">
            <v>-</v>
          </cell>
          <cell r="PDY2" t="str">
            <v>-</v>
          </cell>
          <cell r="PDZ2" t="str">
            <v>-</v>
          </cell>
          <cell r="PEA2" t="str">
            <v>-</v>
          </cell>
          <cell r="PEB2" t="str">
            <v>-</v>
          </cell>
          <cell r="PEC2" t="str">
            <v>-</v>
          </cell>
          <cell r="PED2" t="str">
            <v>-</v>
          </cell>
          <cell r="PEE2" t="str">
            <v>-</v>
          </cell>
          <cell r="PEF2" t="str">
            <v>-</v>
          </cell>
          <cell r="PEG2" t="str">
            <v>-</v>
          </cell>
          <cell r="PEH2" t="str">
            <v>-</v>
          </cell>
          <cell r="PEI2" t="str">
            <v>-</v>
          </cell>
          <cell r="PEJ2" t="str">
            <v>-</v>
          </cell>
          <cell r="PEK2" t="str">
            <v>-</v>
          </cell>
          <cell r="PEL2" t="str">
            <v>-</v>
          </cell>
          <cell r="PEM2" t="str">
            <v>-</v>
          </cell>
          <cell r="PEN2" t="str">
            <v>-</v>
          </cell>
          <cell r="PEO2" t="str">
            <v>-</v>
          </cell>
          <cell r="PEP2" t="str">
            <v>-</v>
          </cell>
          <cell r="PEQ2" t="str">
            <v>-</v>
          </cell>
          <cell r="PER2" t="str">
            <v>-</v>
          </cell>
          <cell r="PES2" t="str">
            <v>-</v>
          </cell>
          <cell r="PET2" t="str">
            <v>-</v>
          </cell>
          <cell r="PEU2" t="str">
            <v>-</v>
          </cell>
          <cell r="PEV2" t="str">
            <v>-</v>
          </cell>
          <cell r="PEW2" t="str">
            <v>-</v>
          </cell>
          <cell r="PEX2" t="str">
            <v>-</v>
          </cell>
          <cell r="PEY2" t="str">
            <v>-</v>
          </cell>
          <cell r="PEZ2" t="str">
            <v>-</v>
          </cell>
          <cell r="PFA2" t="str">
            <v>-</v>
          </cell>
          <cell r="PFB2" t="str">
            <v>-</v>
          </cell>
          <cell r="PFC2" t="str">
            <v>-</v>
          </cell>
          <cell r="PFD2" t="str">
            <v>-</v>
          </cell>
          <cell r="PFE2" t="str">
            <v>-</v>
          </cell>
          <cell r="PFF2" t="str">
            <v>-</v>
          </cell>
          <cell r="PFG2" t="str">
            <v>-</v>
          </cell>
          <cell r="PFH2" t="str">
            <v>-</v>
          </cell>
          <cell r="PFI2" t="str">
            <v>-</v>
          </cell>
          <cell r="PFJ2" t="str">
            <v>-</v>
          </cell>
          <cell r="PFK2" t="str">
            <v>-</v>
          </cell>
          <cell r="PFL2" t="str">
            <v>-</v>
          </cell>
          <cell r="PFM2" t="str">
            <v>-</v>
          </cell>
          <cell r="PFN2" t="str">
            <v>-</v>
          </cell>
          <cell r="PFO2" t="str">
            <v>-</v>
          </cell>
          <cell r="PFP2" t="str">
            <v>-</v>
          </cell>
          <cell r="PFQ2" t="str">
            <v>-</v>
          </cell>
          <cell r="PFR2" t="str">
            <v>-</v>
          </cell>
          <cell r="PFS2" t="str">
            <v>-</v>
          </cell>
          <cell r="PFT2" t="str">
            <v>-</v>
          </cell>
          <cell r="PFU2" t="str">
            <v>-</v>
          </cell>
          <cell r="PFV2" t="str">
            <v>-</v>
          </cell>
          <cell r="PFW2" t="str">
            <v>-</v>
          </cell>
          <cell r="PFX2" t="str">
            <v>-</v>
          </cell>
          <cell r="PFY2" t="str">
            <v>-</v>
          </cell>
          <cell r="PFZ2" t="str">
            <v>-</v>
          </cell>
          <cell r="PGA2" t="str">
            <v>-</v>
          </cell>
          <cell r="PGB2" t="str">
            <v>-</v>
          </cell>
          <cell r="PGC2" t="str">
            <v>-</v>
          </cell>
          <cell r="PGD2" t="str">
            <v>-</v>
          </cell>
          <cell r="PGE2" t="str">
            <v>-</v>
          </cell>
          <cell r="PGF2" t="str">
            <v>-</v>
          </cell>
          <cell r="PGG2" t="str">
            <v>-</v>
          </cell>
          <cell r="PGH2" t="str">
            <v>-</v>
          </cell>
          <cell r="PGI2" t="str">
            <v>-</v>
          </cell>
          <cell r="PGJ2" t="str">
            <v>-</v>
          </cell>
          <cell r="PGK2" t="str">
            <v>-</v>
          </cell>
          <cell r="PGL2" t="str">
            <v>-</v>
          </cell>
          <cell r="PGM2" t="str">
            <v>-</v>
          </cell>
          <cell r="PGN2" t="str">
            <v>-</v>
          </cell>
          <cell r="PGO2" t="str">
            <v>-</v>
          </cell>
          <cell r="PGP2" t="str">
            <v>-</v>
          </cell>
          <cell r="PGQ2" t="str">
            <v>-</v>
          </cell>
          <cell r="PGR2" t="str">
            <v>-</v>
          </cell>
          <cell r="PGS2" t="str">
            <v>-</v>
          </cell>
          <cell r="PGT2" t="str">
            <v>-</v>
          </cell>
          <cell r="PGU2" t="str">
            <v>-</v>
          </cell>
          <cell r="PGV2" t="str">
            <v>-</v>
          </cell>
          <cell r="PGW2" t="str">
            <v>-</v>
          </cell>
          <cell r="PGX2" t="str">
            <v>-</v>
          </cell>
          <cell r="PGY2" t="str">
            <v>-</v>
          </cell>
          <cell r="PGZ2" t="str">
            <v>-</v>
          </cell>
          <cell r="PHA2" t="str">
            <v>-</v>
          </cell>
          <cell r="PHB2" t="str">
            <v>-</v>
          </cell>
          <cell r="PHC2" t="str">
            <v>-</v>
          </cell>
          <cell r="PHD2" t="str">
            <v>-</v>
          </cell>
          <cell r="PHE2" t="str">
            <v>-</v>
          </cell>
          <cell r="PHF2" t="str">
            <v>-</v>
          </cell>
          <cell r="PHG2" t="str">
            <v>-</v>
          </cell>
          <cell r="PHH2" t="str">
            <v>-</v>
          </cell>
          <cell r="PHI2" t="str">
            <v>-</v>
          </cell>
          <cell r="PHJ2" t="str">
            <v>-</v>
          </cell>
          <cell r="PHK2" t="str">
            <v>-</v>
          </cell>
          <cell r="PHL2" t="str">
            <v>-</v>
          </cell>
          <cell r="PHM2" t="str">
            <v>-</v>
          </cell>
          <cell r="PHN2" t="str">
            <v>-</v>
          </cell>
          <cell r="PHO2" t="str">
            <v>-</v>
          </cell>
          <cell r="PHP2" t="str">
            <v>-</v>
          </cell>
          <cell r="PHQ2" t="str">
            <v>-</v>
          </cell>
          <cell r="PHR2" t="str">
            <v>-</v>
          </cell>
          <cell r="PHS2" t="str">
            <v>-</v>
          </cell>
          <cell r="PHT2" t="str">
            <v>-</v>
          </cell>
          <cell r="PHU2" t="str">
            <v>-</v>
          </cell>
          <cell r="PHV2" t="str">
            <v>-</v>
          </cell>
          <cell r="PHW2" t="str">
            <v>-</v>
          </cell>
          <cell r="PHX2" t="str">
            <v>-</v>
          </cell>
          <cell r="PHY2" t="str">
            <v>-</v>
          </cell>
          <cell r="PHZ2" t="str">
            <v>-</v>
          </cell>
          <cell r="PIA2" t="str">
            <v>-</v>
          </cell>
          <cell r="PIB2" t="str">
            <v>-</v>
          </cell>
          <cell r="PIC2" t="str">
            <v>-</v>
          </cell>
          <cell r="PID2" t="str">
            <v>-</v>
          </cell>
          <cell r="PIE2" t="str">
            <v>-</v>
          </cell>
          <cell r="PIF2" t="str">
            <v>-</v>
          </cell>
          <cell r="PIG2" t="str">
            <v>-</v>
          </cell>
          <cell r="PIH2" t="str">
            <v>-</v>
          </cell>
          <cell r="PII2" t="str">
            <v>-</v>
          </cell>
          <cell r="PIJ2" t="str">
            <v>-</v>
          </cell>
          <cell r="PIK2" t="str">
            <v>-</v>
          </cell>
          <cell r="PIL2" t="str">
            <v>-</v>
          </cell>
          <cell r="PIM2" t="str">
            <v>-</v>
          </cell>
          <cell r="PIN2" t="str">
            <v>-</v>
          </cell>
          <cell r="PIO2" t="str">
            <v>-</v>
          </cell>
          <cell r="PIP2" t="str">
            <v>-</v>
          </cell>
          <cell r="PIQ2" t="str">
            <v>-</v>
          </cell>
          <cell r="PIR2" t="str">
            <v>-</v>
          </cell>
          <cell r="PIS2" t="str">
            <v>-</v>
          </cell>
          <cell r="PIT2" t="str">
            <v>-</v>
          </cell>
          <cell r="PIU2" t="str">
            <v>-</v>
          </cell>
          <cell r="PIV2" t="str">
            <v>-</v>
          </cell>
          <cell r="PIW2" t="str">
            <v>-</v>
          </cell>
          <cell r="PIX2" t="str">
            <v>-</v>
          </cell>
          <cell r="PIY2" t="str">
            <v>-</v>
          </cell>
          <cell r="PIZ2" t="str">
            <v>-</v>
          </cell>
          <cell r="PJA2" t="str">
            <v>-</v>
          </cell>
          <cell r="PJB2" t="str">
            <v>-</v>
          </cell>
          <cell r="PJC2" t="str">
            <v>-</v>
          </cell>
          <cell r="PJD2" t="str">
            <v>-</v>
          </cell>
          <cell r="PJE2" t="str">
            <v>-</v>
          </cell>
          <cell r="PJF2" t="str">
            <v>-</v>
          </cell>
          <cell r="PJG2" t="str">
            <v>-</v>
          </cell>
          <cell r="PJH2" t="str">
            <v>-</v>
          </cell>
          <cell r="PJI2" t="str">
            <v>-</v>
          </cell>
          <cell r="PJJ2" t="str">
            <v>-</v>
          </cell>
          <cell r="PJK2" t="str">
            <v>-</v>
          </cell>
          <cell r="PJL2" t="str">
            <v>-</v>
          </cell>
          <cell r="PJM2" t="str">
            <v>-</v>
          </cell>
          <cell r="PJN2" t="str">
            <v>-</v>
          </cell>
          <cell r="PJO2" t="str">
            <v>-</v>
          </cell>
          <cell r="PJP2" t="str">
            <v>-</v>
          </cell>
          <cell r="PJQ2" t="str">
            <v>-</v>
          </cell>
          <cell r="PJR2" t="str">
            <v>-</v>
          </cell>
          <cell r="PJS2" t="str">
            <v>-</v>
          </cell>
          <cell r="PJT2" t="str">
            <v>-</v>
          </cell>
          <cell r="PJU2" t="str">
            <v>-</v>
          </cell>
          <cell r="PJV2" t="str">
            <v>-</v>
          </cell>
          <cell r="PJW2" t="str">
            <v>-</v>
          </cell>
          <cell r="PJX2" t="str">
            <v>-</v>
          </cell>
          <cell r="PJY2" t="str">
            <v>-</v>
          </cell>
          <cell r="PJZ2" t="str">
            <v>-</v>
          </cell>
          <cell r="PKA2" t="str">
            <v>-</v>
          </cell>
          <cell r="PKB2" t="str">
            <v>-</v>
          </cell>
          <cell r="PKC2" t="str">
            <v>-</v>
          </cell>
          <cell r="PKD2" t="str">
            <v>-</v>
          </cell>
          <cell r="PKE2" t="str">
            <v>-</v>
          </cell>
          <cell r="PKF2" t="str">
            <v>-</v>
          </cell>
          <cell r="PKG2" t="str">
            <v>-</v>
          </cell>
          <cell r="PKH2" t="str">
            <v>-</v>
          </cell>
          <cell r="PKI2" t="str">
            <v>-</v>
          </cell>
          <cell r="PKJ2" t="str">
            <v>-</v>
          </cell>
          <cell r="PKK2" t="str">
            <v>-</v>
          </cell>
          <cell r="PKL2" t="str">
            <v>-</v>
          </cell>
          <cell r="PKM2" t="str">
            <v>-</v>
          </cell>
          <cell r="PKN2" t="str">
            <v>-</v>
          </cell>
          <cell r="PKO2" t="str">
            <v>-</v>
          </cell>
          <cell r="PKP2" t="str">
            <v>-</v>
          </cell>
          <cell r="PKQ2" t="str">
            <v>-</v>
          </cell>
          <cell r="PKR2" t="str">
            <v>-</v>
          </cell>
          <cell r="PKS2" t="str">
            <v>-</v>
          </cell>
          <cell r="PKT2" t="str">
            <v>-</v>
          </cell>
          <cell r="PKU2" t="str">
            <v>-</v>
          </cell>
          <cell r="PKV2" t="str">
            <v>-</v>
          </cell>
          <cell r="PKW2" t="str">
            <v>-</v>
          </cell>
          <cell r="PKX2" t="str">
            <v>-</v>
          </cell>
          <cell r="PKY2" t="str">
            <v>-</v>
          </cell>
          <cell r="PKZ2" t="str">
            <v>-</v>
          </cell>
          <cell r="PLA2" t="str">
            <v>-</v>
          </cell>
          <cell r="PLB2" t="str">
            <v>-</v>
          </cell>
          <cell r="PLC2" t="str">
            <v>-</v>
          </cell>
          <cell r="PLD2" t="str">
            <v>-</v>
          </cell>
          <cell r="PLE2" t="str">
            <v>-</v>
          </cell>
          <cell r="PLF2" t="str">
            <v>-</v>
          </cell>
          <cell r="PLG2" t="str">
            <v>-</v>
          </cell>
          <cell r="PLH2" t="str">
            <v>-</v>
          </cell>
          <cell r="PLI2" t="str">
            <v>-</v>
          </cell>
          <cell r="PLJ2" t="str">
            <v>-</v>
          </cell>
          <cell r="PLK2" t="str">
            <v>-</v>
          </cell>
          <cell r="PLL2" t="str">
            <v>-</v>
          </cell>
          <cell r="PLM2" t="str">
            <v>-</v>
          </cell>
          <cell r="PLN2" t="str">
            <v>-</v>
          </cell>
          <cell r="PLO2" t="str">
            <v>-</v>
          </cell>
          <cell r="PLP2" t="str">
            <v>-</v>
          </cell>
          <cell r="PLQ2" t="str">
            <v>-</v>
          </cell>
          <cell r="PLR2" t="str">
            <v>-</v>
          </cell>
          <cell r="PLS2" t="str">
            <v>-</v>
          </cell>
          <cell r="PLT2" t="str">
            <v>-</v>
          </cell>
          <cell r="PLU2" t="str">
            <v>-</v>
          </cell>
          <cell r="PLV2" t="str">
            <v>-</v>
          </cell>
          <cell r="PLW2" t="str">
            <v>-</v>
          </cell>
          <cell r="PLX2" t="str">
            <v>-</v>
          </cell>
          <cell r="PLY2" t="str">
            <v>-</v>
          </cell>
          <cell r="PLZ2" t="str">
            <v>-</v>
          </cell>
          <cell r="PMA2" t="str">
            <v>-</v>
          </cell>
          <cell r="PMB2" t="str">
            <v>-</v>
          </cell>
          <cell r="PMC2" t="str">
            <v>-</v>
          </cell>
          <cell r="PMD2" t="str">
            <v>-</v>
          </cell>
          <cell r="PME2" t="str">
            <v>-</v>
          </cell>
          <cell r="PMF2" t="str">
            <v>-</v>
          </cell>
          <cell r="PMG2" t="str">
            <v>-</v>
          </cell>
          <cell r="PMH2" t="str">
            <v>-</v>
          </cell>
          <cell r="PMI2" t="str">
            <v>-</v>
          </cell>
          <cell r="PMJ2" t="str">
            <v>-</v>
          </cell>
          <cell r="PMK2" t="str">
            <v>-</v>
          </cell>
          <cell r="PML2" t="str">
            <v>-</v>
          </cell>
          <cell r="PMM2" t="str">
            <v>-</v>
          </cell>
          <cell r="PMN2" t="str">
            <v>-</v>
          </cell>
          <cell r="PMO2" t="str">
            <v>-</v>
          </cell>
          <cell r="PMP2" t="str">
            <v>-</v>
          </cell>
          <cell r="PMQ2" t="str">
            <v>-</v>
          </cell>
          <cell r="PMR2" t="str">
            <v>-</v>
          </cell>
          <cell r="PMS2" t="str">
            <v>-</v>
          </cell>
          <cell r="PMT2" t="str">
            <v>-</v>
          </cell>
          <cell r="PMU2" t="str">
            <v>-</v>
          </cell>
          <cell r="PMV2" t="str">
            <v>-</v>
          </cell>
          <cell r="PMW2" t="str">
            <v>-</v>
          </cell>
          <cell r="PMX2" t="str">
            <v>-</v>
          </cell>
          <cell r="PMY2" t="str">
            <v>-</v>
          </cell>
          <cell r="PMZ2" t="str">
            <v>-</v>
          </cell>
          <cell r="PNA2" t="str">
            <v>-</v>
          </cell>
          <cell r="PNB2" t="str">
            <v>-</v>
          </cell>
          <cell r="PNC2" t="str">
            <v>-</v>
          </cell>
          <cell r="PND2" t="str">
            <v>-</v>
          </cell>
          <cell r="PNE2" t="str">
            <v>-</v>
          </cell>
          <cell r="PNF2" t="str">
            <v>-</v>
          </cell>
          <cell r="PNG2" t="str">
            <v>-</v>
          </cell>
          <cell r="PNH2" t="str">
            <v>-</v>
          </cell>
          <cell r="PNI2" t="str">
            <v>-</v>
          </cell>
          <cell r="PNJ2" t="str">
            <v>-</v>
          </cell>
          <cell r="PNK2" t="str">
            <v>-</v>
          </cell>
          <cell r="PNL2" t="str">
            <v>-</v>
          </cell>
          <cell r="PNM2" t="str">
            <v>-</v>
          </cell>
          <cell r="PNN2" t="str">
            <v>-</v>
          </cell>
          <cell r="PNO2" t="str">
            <v>-</v>
          </cell>
          <cell r="PNP2" t="str">
            <v>-</v>
          </cell>
          <cell r="PNQ2" t="str">
            <v>-</v>
          </cell>
          <cell r="PNR2" t="str">
            <v>-</v>
          </cell>
          <cell r="PNS2" t="str">
            <v>-</v>
          </cell>
          <cell r="PNT2" t="str">
            <v>-</v>
          </cell>
          <cell r="PNU2" t="str">
            <v>-</v>
          </cell>
          <cell r="PNV2" t="str">
            <v>-</v>
          </cell>
          <cell r="PNW2" t="str">
            <v>-</v>
          </cell>
          <cell r="PNX2" t="str">
            <v>-</v>
          </cell>
          <cell r="PNY2" t="str">
            <v>-</v>
          </cell>
          <cell r="PNZ2" t="str">
            <v>-</v>
          </cell>
          <cell r="POA2" t="str">
            <v>-</v>
          </cell>
          <cell r="POB2" t="str">
            <v>-</v>
          </cell>
          <cell r="POC2" t="str">
            <v>-</v>
          </cell>
          <cell r="POD2" t="str">
            <v>-</v>
          </cell>
          <cell r="POE2" t="str">
            <v>-</v>
          </cell>
          <cell r="POF2" t="str">
            <v>-</v>
          </cell>
          <cell r="POG2" t="str">
            <v>-</v>
          </cell>
          <cell r="POH2" t="str">
            <v>-</v>
          </cell>
          <cell r="POI2" t="str">
            <v>-</v>
          </cell>
          <cell r="POJ2" t="str">
            <v>-</v>
          </cell>
          <cell r="POK2" t="str">
            <v>-</v>
          </cell>
          <cell r="POL2" t="str">
            <v>-</v>
          </cell>
          <cell r="POM2" t="str">
            <v>-</v>
          </cell>
          <cell r="PON2" t="str">
            <v>-</v>
          </cell>
          <cell r="POO2" t="str">
            <v>-</v>
          </cell>
          <cell r="POP2" t="str">
            <v>-</v>
          </cell>
          <cell r="POQ2" t="str">
            <v>-</v>
          </cell>
          <cell r="POR2" t="str">
            <v>-</v>
          </cell>
          <cell r="POS2" t="str">
            <v>-</v>
          </cell>
          <cell r="POT2" t="str">
            <v>-</v>
          </cell>
          <cell r="POU2" t="str">
            <v>-</v>
          </cell>
          <cell r="POV2" t="str">
            <v>-</v>
          </cell>
          <cell r="POW2" t="str">
            <v>-</v>
          </cell>
          <cell r="POX2" t="str">
            <v>-</v>
          </cell>
          <cell r="POY2" t="str">
            <v>-</v>
          </cell>
          <cell r="POZ2" t="str">
            <v>-</v>
          </cell>
          <cell r="PPA2" t="str">
            <v>-</v>
          </cell>
          <cell r="PPB2" t="str">
            <v>-</v>
          </cell>
          <cell r="PPC2" t="str">
            <v>-</v>
          </cell>
          <cell r="PPD2" t="str">
            <v>-</v>
          </cell>
          <cell r="PPE2" t="str">
            <v>-</v>
          </cell>
          <cell r="PPF2" t="str">
            <v>-</v>
          </cell>
          <cell r="PPG2" t="str">
            <v>-</v>
          </cell>
          <cell r="PPH2" t="str">
            <v>-</v>
          </cell>
          <cell r="PPI2" t="str">
            <v>-</v>
          </cell>
          <cell r="PPJ2" t="str">
            <v>-</v>
          </cell>
          <cell r="PPK2" t="str">
            <v>-</v>
          </cell>
          <cell r="PPL2" t="str">
            <v>-</v>
          </cell>
          <cell r="PPM2" t="str">
            <v>-</v>
          </cell>
          <cell r="PPN2" t="str">
            <v>-</v>
          </cell>
          <cell r="PPO2" t="str">
            <v>-</v>
          </cell>
          <cell r="PPP2" t="str">
            <v>-</v>
          </cell>
          <cell r="PPQ2" t="str">
            <v>-</v>
          </cell>
          <cell r="PPR2" t="str">
            <v>-</v>
          </cell>
          <cell r="PPS2" t="str">
            <v>-</v>
          </cell>
          <cell r="PPT2" t="str">
            <v>-</v>
          </cell>
          <cell r="PPU2" t="str">
            <v>-</v>
          </cell>
          <cell r="PPV2" t="str">
            <v>-</v>
          </cell>
          <cell r="PPW2" t="str">
            <v>-</v>
          </cell>
          <cell r="PPX2" t="str">
            <v>-</v>
          </cell>
          <cell r="PPY2" t="str">
            <v>-</v>
          </cell>
          <cell r="PPZ2" t="str">
            <v>-</v>
          </cell>
          <cell r="PQA2" t="str">
            <v>-</v>
          </cell>
          <cell r="PQB2" t="str">
            <v>-</v>
          </cell>
          <cell r="PQC2" t="str">
            <v>-</v>
          </cell>
          <cell r="PQD2" t="str">
            <v>-</v>
          </cell>
          <cell r="PQE2" t="str">
            <v>-</v>
          </cell>
          <cell r="PQF2" t="str">
            <v>-</v>
          </cell>
          <cell r="PQG2" t="str">
            <v>-</v>
          </cell>
          <cell r="PQH2" t="str">
            <v>-</v>
          </cell>
          <cell r="PQI2" t="str">
            <v>-</v>
          </cell>
          <cell r="PQJ2" t="str">
            <v>-</v>
          </cell>
          <cell r="PQK2" t="str">
            <v>-</v>
          </cell>
          <cell r="PQL2" t="str">
            <v>-</v>
          </cell>
          <cell r="PQM2" t="str">
            <v>-</v>
          </cell>
          <cell r="PQN2" t="str">
            <v>-</v>
          </cell>
          <cell r="PQO2" t="str">
            <v>-</v>
          </cell>
          <cell r="PQP2" t="str">
            <v>-</v>
          </cell>
          <cell r="PQQ2" t="str">
            <v>-</v>
          </cell>
          <cell r="PQR2" t="str">
            <v>-</v>
          </cell>
          <cell r="PQS2" t="str">
            <v>-</v>
          </cell>
          <cell r="PQT2" t="str">
            <v>-</v>
          </cell>
          <cell r="PQU2" t="str">
            <v>-</v>
          </cell>
          <cell r="PQV2" t="str">
            <v>-</v>
          </cell>
          <cell r="PQW2" t="str">
            <v>-</v>
          </cell>
          <cell r="PQX2" t="str">
            <v>-</v>
          </cell>
          <cell r="PQY2" t="str">
            <v>-</v>
          </cell>
          <cell r="PQZ2" t="str">
            <v>-</v>
          </cell>
          <cell r="PRA2" t="str">
            <v>-</v>
          </cell>
          <cell r="PRB2" t="str">
            <v>-</v>
          </cell>
          <cell r="PRC2" t="str">
            <v>-</v>
          </cell>
          <cell r="PRD2" t="str">
            <v>-</v>
          </cell>
          <cell r="PRE2" t="str">
            <v>-</v>
          </cell>
          <cell r="PRF2" t="str">
            <v>-</v>
          </cell>
          <cell r="PRG2" t="str">
            <v>-</v>
          </cell>
          <cell r="PRH2" t="str">
            <v>-</v>
          </cell>
          <cell r="PRI2" t="str">
            <v>-</v>
          </cell>
          <cell r="PRJ2" t="str">
            <v>-</v>
          </cell>
          <cell r="PRK2" t="str">
            <v>-</v>
          </cell>
          <cell r="PRL2" t="str">
            <v>-</v>
          </cell>
          <cell r="PRM2" t="str">
            <v>-</v>
          </cell>
          <cell r="PRN2" t="str">
            <v>-</v>
          </cell>
          <cell r="PRO2" t="str">
            <v>-</v>
          </cell>
          <cell r="PRP2" t="str">
            <v>-</v>
          </cell>
          <cell r="PRQ2" t="str">
            <v>-</v>
          </cell>
          <cell r="PRR2" t="str">
            <v>-</v>
          </cell>
          <cell r="PRS2" t="str">
            <v>-</v>
          </cell>
          <cell r="PRT2" t="str">
            <v>-</v>
          </cell>
          <cell r="PRU2" t="str">
            <v>-</v>
          </cell>
          <cell r="PRV2" t="str">
            <v>-</v>
          </cell>
          <cell r="PRW2" t="str">
            <v>-</v>
          </cell>
          <cell r="PRX2" t="str">
            <v>-</v>
          </cell>
          <cell r="PRY2" t="str">
            <v>-</v>
          </cell>
          <cell r="PRZ2" t="str">
            <v>-</v>
          </cell>
          <cell r="PSA2" t="str">
            <v>-</v>
          </cell>
          <cell r="PSB2" t="str">
            <v>-</v>
          </cell>
          <cell r="PSC2" t="str">
            <v>-</v>
          </cell>
          <cell r="PSD2" t="str">
            <v>-</v>
          </cell>
          <cell r="PSE2" t="str">
            <v>-</v>
          </cell>
          <cell r="PSF2" t="str">
            <v>-</v>
          </cell>
          <cell r="PSG2" t="str">
            <v>-</v>
          </cell>
          <cell r="PSH2" t="str">
            <v>-</v>
          </cell>
          <cell r="PSI2" t="str">
            <v>-</v>
          </cell>
          <cell r="PSJ2" t="str">
            <v>-</v>
          </cell>
          <cell r="PSK2" t="str">
            <v>-</v>
          </cell>
          <cell r="PSL2" t="str">
            <v>-</v>
          </cell>
          <cell r="PSM2" t="str">
            <v>-</v>
          </cell>
          <cell r="PSN2" t="str">
            <v>-</v>
          </cell>
          <cell r="PSO2" t="str">
            <v>-</v>
          </cell>
          <cell r="PSP2" t="str">
            <v>-</v>
          </cell>
          <cell r="PSQ2" t="str">
            <v>-</v>
          </cell>
          <cell r="PSR2" t="str">
            <v>-</v>
          </cell>
          <cell r="PSS2" t="str">
            <v>-</v>
          </cell>
          <cell r="PST2" t="str">
            <v>-</v>
          </cell>
          <cell r="PSU2" t="str">
            <v>-</v>
          </cell>
          <cell r="PSV2" t="str">
            <v>-</v>
          </cell>
          <cell r="PSW2" t="str">
            <v>-</v>
          </cell>
          <cell r="PSX2" t="str">
            <v>-</v>
          </cell>
          <cell r="PSY2" t="str">
            <v>-</v>
          </cell>
          <cell r="PSZ2" t="str">
            <v>-</v>
          </cell>
          <cell r="PTA2" t="str">
            <v>-</v>
          </cell>
          <cell r="PTB2" t="str">
            <v>-</v>
          </cell>
          <cell r="PTC2" t="str">
            <v>-</v>
          </cell>
          <cell r="PTD2" t="str">
            <v>-</v>
          </cell>
          <cell r="PTE2" t="str">
            <v>-</v>
          </cell>
          <cell r="PTF2" t="str">
            <v>-</v>
          </cell>
          <cell r="PTG2" t="str">
            <v>-</v>
          </cell>
          <cell r="PTH2" t="str">
            <v>-</v>
          </cell>
          <cell r="PTI2" t="str">
            <v>-</v>
          </cell>
          <cell r="PTJ2" t="str">
            <v>-</v>
          </cell>
          <cell r="PTK2" t="str">
            <v>-</v>
          </cell>
          <cell r="PTL2" t="str">
            <v>-</v>
          </cell>
          <cell r="PTM2" t="str">
            <v>-</v>
          </cell>
          <cell r="PTN2" t="str">
            <v>-</v>
          </cell>
          <cell r="PTO2" t="str">
            <v>-</v>
          </cell>
          <cell r="PTP2" t="str">
            <v>-</v>
          </cell>
          <cell r="PTQ2" t="str">
            <v>-</v>
          </cell>
          <cell r="PTR2" t="str">
            <v>-</v>
          </cell>
          <cell r="PTS2" t="str">
            <v>-</v>
          </cell>
          <cell r="PTT2" t="str">
            <v>-</v>
          </cell>
          <cell r="PTU2" t="str">
            <v>-</v>
          </cell>
          <cell r="PTV2" t="str">
            <v>-</v>
          </cell>
          <cell r="PTW2" t="str">
            <v>-</v>
          </cell>
          <cell r="PTX2" t="str">
            <v>-</v>
          </cell>
          <cell r="PTY2" t="str">
            <v>-</v>
          </cell>
          <cell r="PTZ2" t="str">
            <v>-</v>
          </cell>
          <cell r="PUA2" t="str">
            <v>-</v>
          </cell>
          <cell r="PUB2" t="str">
            <v>-</v>
          </cell>
          <cell r="PUC2" t="str">
            <v>-</v>
          </cell>
          <cell r="PUD2" t="str">
            <v>-</v>
          </cell>
          <cell r="PUE2" t="str">
            <v>-</v>
          </cell>
          <cell r="PUF2" t="str">
            <v>-</v>
          </cell>
          <cell r="PUG2" t="str">
            <v>-</v>
          </cell>
          <cell r="PUH2" t="str">
            <v>-</v>
          </cell>
          <cell r="PUI2" t="str">
            <v>-</v>
          </cell>
          <cell r="PUJ2" t="str">
            <v>-</v>
          </cell>
          <cell r="PUK2" t="str">
            <v>-</v>
          </cell>
          <cell r="PUL2" t="str">
            <v>-</v>
          </cell>
          <cell r="PUM2" t="str">
            <v>-</v>
          </cell>
          <cell r="PUN2" t="str">
            <v>-</v>
          </cell>
          <cell r="PUO2" t="str">
            <v>-</v>
          </cell>
          <cell r="PUP2" t="str">
            <v>-</v>
          </cell>
          <cell r="PUQ2" t="str">
            <v>-</v>
          </cell>
          <cell r="PUR2" t="str">
            <v>-</v>
          </cell>
          <cell r="PUS2" t="str">
            <v>-</v>
          </cell>
          <cell r="PUT2" t="str">
            <v>-</v>
          </cell>
          <cell r="PUU2" t="str">
            <v>-</v>
          </cell>
          <cell r="PUV2" t="str">
            <v>-</v>
          </cell>
          <cell r="PUW2" t="str">
            <v>-</v>
          </cell>
          <cell r="PUX2" t="str">
            <v>-</v>
          </cell>
          <cell r="PUY2" t="str">
            <v>-</v>
          </cell>
          <cell r="PUZ2" t="str">
            <v>-</v>
          </cell>
          <cell r="PVA2" t="str">
            <v>-</v>
          </cell>
          <cell r="PVB2" t="str">
            <v>-</v>
          </cell>
          <cell r="PVC2" t="str">
            <v>-</v>
          </cell>
          <cell r="PVD2" t="str">
            <v>-</v>
          </cell>
          <cell r="PVE2" t="str">
            <v>-</v>
          </cell>
          <cell r="PVF2" t="str">
            <v>-</v>
          </cell>
          <cell r="PVG2" t="str">
            <v>-</v>
          </cell>
          <cell r="PVH2" t="str">
            <v>-</v>
          </cell>
          <cell r="PVI2" t="str">
            <v>-</v>
          </cell>
          <cell r="PVJ2" t="str">
            <v>-</v>
          </cell>
          <cell r="PVK2" t="str">
            <v>-</v>
          </cell>
          <cell r="PVL2" t="str">
            <v>-</v>
          </cell>
          <cell r="PVM2" t="str">
            <v>-</v>
          </cell>
          <cell r="PVN2" t="str">
            <v>-</v>
          </cell>
          <cell r="PVO2" t="str">
            <v>-</v>
          </cell>
          <cell r="PVP2" t="str">
            <v>-</v>
          </cell>
          <cell r="PVQ2" t="str">
            <v>-</v>
          </cell>
          <cell r="PVR2" t="str">
            <v>-</v>
          </cell>
          <cell r="PVS2" t="str">
            <v>-</v>
          </cell>
          <cell r="PVT2" t="str">
            <v>-</v>
          </cell>
          <cell r="PVU2" t="str">
            <v>-</v>
          </cell>
          <cell r="PVV2" t="str">
            <v>-</v>
          </cell>
          <cell r="PVW2" t="str">
            <v>-</v>
          </cell>
          <cell r="PVX2" t="str">
            <v>-</v>
          </cell>
          <cell r="PVY2" t="str">
            <v>-</v>
          </cell>
          <cell r="PVZ2" t="str">
            <v>-</v>
          </cell>
          <cell r="PWA2" t="str">
            <v>-</v>
          </cell>
          <cell r="PWB2" t="str">
            <v>-</v>
          </cell>
          <cell r="PWC2" t="str">
            <v>-</v>
          </cell>
          <cell r="PWD2" t="str">
            <v>-</v>
          </cell>
          <cell r="PWE2" t="str">
            <v>-</v>
          </cell>
          <cell r="PWF2" t="str">
            <v>-</v>
          </cell>
          <cell r="PWG2" t="str">
            <v>-</v>
          </cell>
          <cell r="PWH2" t="str">
            <v>-</v>
          </cell>
          <cell r="PWI2" t="str">
            <v>-</v>
          </cell>
          <cell r="PWJ2" t="str">
            <v>-</v>
          </cell>
          <cell r="PWK2" t="str">
            <v>-</v>
          </cell>
          <cell r="PWL2" t="str">
            <v>-</v>
          </cell>
          <cell r="PWM2" t="str">
            <v>-</v>
          </cell>
          <cell r="PWN2" t="str">
            <v>-</v>
          </cell>
          <cell r="PWO2" t="str">
            <v>-</v>
          </cell>
          <cell r="PWP2" t="str">
            <v>-</v>
          </cell>
          <cell r="PWQ2" t="str">
            <v>-</v>
          </cell>
          <cell r="PWR2" t="str">
            <v>-</v>
          </cell>
          <cell r="PWS2" t="str">
            <v>-</v>
          </cell>
          <cell r="PWT2" t="str">
            <v>-</v>
          </cell>
          <cell r="PWU2" t="str">
            <v>-</v>
          </cell>
          <cell r="PWV2" t="str">
            <v>-</v>
          </cell>
          <cell r="PWW2" t="str">
            <v>-</v>
          </cell>
          <cell r="PWX2" t="str">
            <v>-</v>
          </cell>
          <cell r="PWY2" t="str">
            <v>-</v>
          </cell>
          <cell r="PWZ2" t="str">
            <v>-</v>
          </cell>
          <cell r="PXA2" t="str">
            <v>-</v>
          </cell>
          <cell r="PXB2" t="str">
            <v>-</v>
          </cell>
          <cell r="PXC2" t="str">
            <v>-</v>
          </cell>
          <cell r="PXD2" t="str">
            <v>-</v>
          </cell>
          <cell r="PXE2" t="str">
            <v>-</v>
          </cell>
          <cell r="PXF2" t="str">
            <v>-</v>
          </cell>
          <cell r="PXG2" t="str">
            <v>-</v>
          </cell>
          <cell r="PXH2" t="str">
            <v>-</v>
          </cell>
          <cell r="PXI2" t="str">
            <v>-</v>
          </cell>
          <cell r="PXJ2" t="str">
            <v>-</v>
          </cell>
          <cell r="PXK2" t="str">
            <v>-</v>
          </cell>
          <cell r="PXL2" t="str">
            <v>-</v>
          </cell>
          <cell r="PXM2" t="str">
            <v>-</v>
          </cell>
          <cell r="PXN2" t="str">
            <v>-</v>
          </cell>
          <cell r="PXO2" t="str">
            <v>-</v>
          </cell>
          <cell r="PXP2" t="str">
            <v>-</v>
          </cell>
          <cell r="PXQ2" t="str">
            <v>-</v>
          </cell>
          <cell r="PXR2" t="str">
            <v>-</v>
          </cell>
          <cell r="PXS2" t="str">
            <v>-</v>
          </cell>
          <cell r="PXT2" t="str">
            <v>-</v>
          </cell>
          <cell r="PXU2" t="str">
            <v>-</v>
          </cell>
          <cell r="PXV2" t="str">
            <v>-</v>
          </cell>
          <cell r="PXW2" t="str">
            <v>-</v>
          </cell>
          <cell r="PXX2" t="str">
            <v>-</v>
          </cell>
          <cell r="PXY2" t="str">
            <v>-</v>
          </cell>
          <cell r="PXZ2" t="str">
            <v>-</v>
          </cell>
          <cell r="PYA2" t="str">
            <v>-</v>
          </cell>
          <cell r="PYB2" t="str">
            <v>-</v>
          </cell>
          <cell r="PYC2" t="str">
            <v>-</v>
          </cell>
          <cell r="PYD2" t="str">
            <v>-</v>
          </cell>
          <cell r="PYE2" t="str">
            <v>-</v>
          </cell>
          <cell r="PYF2" t="str">
            <v>-</v>
          </cell>
          <cell r="PYG2" t="str">
            <v>-</v>
          </cell>
          <cell r="PYH2" t="str">
            <v>-</v>
          </cell>
          <cell r="PYI2" t="str">
            <v>-</v>
          </cell>
          <cell r="PYJ2" t="str">
            <v>-</v>
          </cell>
          <cell r="PYK2" t="str">
            <v>-</v>
          </cell>
          <cell r="PYL2" t="str">
            <v>-</v>
          </cell>
          <cell r="PYM2" t="str">
            <v>-</v>
          </cell>
          <cell r="PYN2" t="str">
            <v>-</v>
          </cell>
          <cell r="PYO2" t="str">
            <v>-</v>
          </cell>
          <cell r="PYP2" t="str">
            <v>-</v>
          </cell>
          <cell r="PYQ2" t="str">
            <v>-</v>
          </cell>
          <cell r="PYR2" t="str">
            <v>-</v>
          </cell>
          <cell r="PYS2" t="str">
            <v>-</v>
          </cell>
          <cell r="PYT2" t="str">
            <v>-</v>
          </cell>
          <cell r="PYU2" t="str">
            <v>-</v>
          </cell>
          <cell r="PYV2" t="str">
            <v>-</v>
          </cell>
          <cell r="PYW2" t="str">
            <v>-</v>
          </cell>
          <cell r="PYX2" t="str">
            <v>-</v>
          </cell>
          <cell r="PYY2" t="str">
            <v>-</v>
          </cell>
          <cell r="PYZ2" t="str">
            <v>-</v>
          </cell>
          <cell r="PZA2" t="str">
            <v>-</v>
          </cell>
          <cell r="PZB2" t="str">
            <v>-</v>
          </cell>
          <cell r="PZC2" t="str">
            <v>-</v>
          </cell>
          <cell r="PZD2" t="str">
            <v>-</v>
          </cell>
          <cell r="PZE2" t="str">
            <v>-</v>
          </cell>
          <cell r="PZF2" t="str">
            <v>-</v>
          </cell>
          <cell r="PZG2" t="str">
            <v>-</v>
          </cell>
          <cell r="PZH2" t="str">
            <v>-</v>
          </cell>
          <cell r="PZI2" t="str">
            <v>-</v>
          </cell>
          <cell r="PZJ2" t="str">
            <v>-</v>
          </cell>
          <cell r="PZK2" t="str">
            <v>-</v>
          </cell>
          <cell r="PZL2" t="str">
            <v>-</v>
          </cell>
          <cell r="PZM2" t="str">
            <v>-</v>
          </cell>
          <cell r="PZN2" t="str">
            <v>-</v>
          </cell>
          <cell r="PZO2" t="str">
            <v>-</v>
          </cell>
          <cell r="PZP2" t="str">
            <v>-</v>
          </cell>
          <cell r="PZQ2" t="str">
            <v>-</v>
          </cell>
          <cell r="PZR2" t="str">
            <v>-</v>
          </cell>
          <cell r="PZS2" t="str">
            <v>-</v>
          </cell>
          <cell r="PZT2" t="str">
            <v>-</v>
          </cell>
          <cell r="PZU2" t="str">
            <v>-</v>
          </cell>
          <cell r="PZV2" t="str">
            <v>-</v>
          </cell>
          <cell r="PZW2" t="str">
            <v>-</v>
          </cell>
          <cell r="PZX2" t="str">
            <v>-</v>
          </cell>
          <cell r="PZY2" t="str">
            <v>-</v>
          </cell>
          <cell r="PZZ2" t="str">
            <v>-</v>
          </cell>
          <cell r="QAA2" t="str">
            <v>-</v>
          </cell>
          <cell r="QAB2" t="str">
            <v>-</v>
          </cell>
          <cell r="QAC2" t="str">
            <v>-</v>
          </cell>
          <cell r="QAD2" t="str">
            <v>-</v>
          </cell>
          <cell r="QAE2" t="str">
            <v>-</v>
          </cell>
          <cell r="QAF2" t="str">
            <v>-</v>
          </cell>
          <cell r="QAG2" t="str">
            <v>-</v>
          </cell>
          <cell r="QAH2" t="str">
            <v>-</v>
          </cell>
          <cell r="QAI2" t="str">
            <v>-</v>
          </cell>
          <cell r="QAJ2" t="str">
            <v>-</v>
          </cell>
          <cell r="QAK2" t="str">
            <v>-</v>
          </cell>
          <cell r="QAL2" t="str">
            <v>-</v>
          </cell>
          <cell r="QAM2" t="str">
            <v>-</v>
          </cell>
          <cell r="QAN2" t="str">
            <v>-</v>
          </cell>
          <cell r="QAO2" t="str">
            <v>-</v>
          </cell>
          <cell r="QAP2" t="str">
            <v>-</v>
          </cell>
          <cell r="QAQ2" t="str">
            <v>-</v>
          </cell>
          <cell r="QAR2" t="str">
            <v>-</v>
          </cell>
          <cell r="QAS2" t="str">
            <v>-</v>
          </cell>
          <cell r="QAT2" t="str">
            <v>-</v>
          </cell>
          <cell r="QAU2" t="str">
            <v>-</v>
          </cell>
          <cell r="QAV2" t="str">
            <v>-</v>
          </cell>
          <cell r="QAW2" t="str">
            <v>-</v>
          </cell>
          <cell r="QAX2" t="str">
            <v>-</v>
          </cell>
          <cell r="QAY2" t="str">
            <v>-</v>
          </cell>
          <cell r="QAZ2" t="str">
            <v>-</v>
          </cell>
          <cell r="QBA2" t="str">
            <v>-</v>
          </cell>
          <cell r="QBB2" t="str">
            <v>-</v>
          </cell>
          <cell r="QBC2" t="str">
            <v>-</v>
          </cell>
          <cell r="QBD2" t="str">
            <v>-</v>
          </cell>
          <cell r="QBE2" t="str">
            <v>-</v>
          </cell>
          <cell r="QBF2" t="str">
            <v>-</v>
          </cell>
          <cell r="QBG2" t="str">
            <v>-</v>
          </cell>
          <cell r="QBH2" t="str">
            <v>-</v>
          </cell>
          <cell r="QBI2" t="str">
            <v>-</v>
          </cell>
          <cell r="QBJ2" t="str">
            <v>-</v>
          </cell>
          <cell r="QBK2" t="str">
            <v>-</v>
          </cell>
          <cell r="QBL2" t="str">
            <v>-</v>
          </cell>
          <cell r="QBM2" t="str">
            <v>-</v>
          </cell>
          <cell r="QBN2" t="str">
            <v>-</v>
          </cell>
          <cell r="QBO2" t="str">
            <v>-</v>
          </cell>
          <cell r="QBP2" t="str">
            <v>-</v>
          </cell>
          <cell r="QBQ2" t="str">
            <v>-</v>
          </cell>
          <cell r="QBR2" t="str">
            <v>-</v>
          </cell>
          <cell r="QBS2" t="str">
            <v>-</v>
          </cell>
          <cell r="QBT2" t="str">
            <v>-</v>
          </cell>
          <cell r="QBU2" t="str">
            <v>-</v>
          </cell>
          <cell r="QBV2" t="str">
            <v>-</v>
          </cell>
          <cell r="QBW2" t="str">
            <v>-</v>
          </cell>
          <cell r="QBX2" t="str">
            <v>-</v>
          </cell>
          <cell r="QBY2" t="str">
            <v>-</v>
          </cell>
          <cell r="QBZ2" t="str">
            <v>-</v>
          </cell>
          <cell r="QCA2" t="str">
            <v>-</v>
          </cell>
          <cell r="QCB2" t="str">
            <v>-</v>
          </cell>
          <cell r="QCC2" t="str">
            <v>-</v>
          </cell>
          <cell r="QCD2" t="str">
            <v>-</v>
          </cell>
          <cell r="QCE2" t="str">
            <v>-</v>
          </cell>
          <cell r="QCF2" t="str">
            <v>-</v>
          </cell>
          <cell r="QCG2" t="str">
            <v>-</v>
          </cell>
          <cell r="QCH2" t="str">
            <v>-</v>
          </cell>
          <cell r="QCI2" t="str">
            <v>-</v>
          </cell>
          <cell r="QCJ2" t="str">
            <v>-</v>
          </cell>
          <cell r="QCK2" t="str">
            <v>-</v>
          </cell>
          <cell r="QCL2" t="str">
            <v>-</v>
          </cell>
          <cell r="QCM2" t="str">
            <v>-</v>
          </cell>
          <cell r="QCN2" t="str">
            <v>-</v>
          </cell>
          <cell r="QCO2" t="str">
            <v>-</v>
          </cell>
          <cell r="QCP2" t="str">
            <v>-</v>
          </cell>
          <cell r="QCQ2" t="str">
            <v>-</v>
          </cell>
          <cell r="QCR2" t="str">
            <v>-</v>
          </cell>
          <cell r="QCS2" t="str">
            <v>-</v>
          </cell>
          <cell r="QCT2" t="str">
            <v>-</v>
          </cell>
          <cell r="QCU2" t="str">
            <v>-</v>
          </cell>
          <cell r="QCV2" t="str">
            <v>-</v>
          </cell>
          <cell r="QCW2" t="str">
            <v>-</v>
          </cell>
          <cell r="QCX2" t="str">
            <v>-</v>
          </cell>
          <cell r="QCY2" t="str">
            <v>-</v>
          </cell>
          <cell r="QCZ2" t="str">
            <v>-</v>
          </cell>
          <cell r="QDA2" t="str">
            <v>-</v>
          </cell>
          <cell r="QDB2" t="str">
            <v>-</v>
          </cell>
          <cell r="QDC2" t="str">
            <v>-</v>
          </cell>
          <cell r="QDD2" t="str">
            <v>-</v>
          </cell>
          <cell r="QDE2" t="str">
            <v>-</v>
          </cell>
          <cell r="QDF2" t="str">
            <v>-</v>
          </cell>
          <cell r="QDG2" t="str">
            <v>-</v>
          </cell>
          <cell r="QDH2" t="str">
            <v>-</v>
          </cell>
          <cell r="QDI2" t="str">
            <v>-</v>
          </cell>
          <cell r="QDJ2" t="str">
            <v>-</v>
          </cell>
          <cell r="QDK2" t="str">
            <v>-</v>
          </cell>
          <cell r="QDL2" t="str">
            <v>-</v>
          </cell>
          <cell r="QDM2" t="str">
            <v>-</v>
          </cell>
          <cell r="QDN2" t="str">
            <v>-</v>
          </cell>
          <cell r="QDO2" t="str">
            <v>-</v>
          </cell>
          <cell r="QDP2" t="str">
            <v>-</v>
          </cell>
          <cell r="QDQ2" t="str">
            <v>-</v>
          </cell>
          <cell r="QDR2" t="str">
            <v>-</v>
          </cell>
          <cell r="QDS2" t="str">
            <v>-</v>
          </cell>
          <cell r="QDT2" t="str">
            <v>-</v>
          </cell>
          <cell r="QDU2" t="str">
            <v>-</v>
          </cell>
          <cell r="QDV2" t="str">
            <v>-</v>
          </cell>
          <cell r="QDW2" t="str">
            <v>-</v>
          </cell>
          <cell r="QDX2" t="str">
            <v>-</v>
          </cell>
          <cell r="QDY2" t="str">
            <v>-</v>
          </cell>
          <cell r="QDZ2" t="str">
            <v>-</v>
          </cell>
          <cell r="QEA2" t="str">
            <v>-</v>
          </cell>
          <cell r="QEB2" t="str">
            <v>-</v>
          </cell>
          <cell r="QEC2" t="str">
            <v>-</v>
          </cell>
          <cell r="QED2" t="str">
            <v>-</v>
          </cell>
          <cell r="QEE2" t="str">
            <v>-</v>
          </cell>
          <cell r="QEF2" t="str">
            <v>-</v>
          </cell>
          <cell r="QEG2" t="str">
            <v>-</v>
          </cell>
          <cell r="QEH2" t="str">
            <v>-</v>
          </cell>
          <cell r="QEI2" t="str">
            <v>-</v>
          </cell>
          <cell r="QEJ2" t="str">
            <v>-</v>
          </cell>
          <cell r="QEK2" t="str">
            <v>-</v>
          </cell>
          <cell r="QEL2" t="str">
            <v>-</v>
          </cell>
          <cell r="QEM2" t="str">
            <v>-</v>
          </cell>
          <cell r="QEN2" t="str">
            <v>-</v>
          </cell>
          <cell r="QEO2" t="str">
            <v>-</v>
          </cell>
          <cell r="QEP2" t="str">
            <v>-</v>
          </cell>
          <cell r="QEQ2" t="str">
            <v>-</v>
          </cell>
          <cell r="QER2" t="str">
            <v>-</v>
          </cell>
          <cell r="QES2" t="str">
            <v>-</v>
          </cell>
          <cell r="QET2" t="str">
            <v>-</v>
          </cell>
          <cell r="QEU2" t="str">
            <v>-</v>
          </cell>
          <cell r="QEV2" t="str">
            <v>-</v>
          </cell>
          <cell r="QEW2" t="str">
            <v>-</v>
          </cell>
          <cell r="QEX2" t="str">
            <v>-</v>
          </cell>
          <cell r="QEY2" t="str">
            <v>-</v>
          </cell>
          <cell r="QEZ2" t="str">
            <v>-</v>
          </cell>
          <cell r="QFA2" t="str">
            <v>-</v>
          </cell>
          <cell r="QFB2" t="str">
            <v>-</v>
          </cell>
          <cell r="QFC2" t="str">
            <v>-</v>
          </cell>
          <cell r="QFD2" t="str">
            <v>-</v>
          </cell>
          <cell r="QFE2" t="str">
            <v>-</v>
          </cell>
          <cell r="QFF2" t="str">
            <v>-</v>
          </cell>
          <cell r="QFG2" t="str">
            <v>-</v>
          </cell>
          <cell r="QFH2" t="str">
            <v>-</v>
          </cell>
          <cell r="QFI2" t="str">
            <v>-</v>
          </cell>
          <cell r="QFJ2" t="str">
            <v>-</v>
          </cell>
          <cell r="QFK2" t="str">
            <v>-</v>
          </cell>
          <cell r="QFL2" t="str">
            <v>-</v>
          </cell>
          <cell r="QFM2" t="str">
            <v>-</v>
          </cell>
          <cell r="QFN2" t="str">
            <v>-</v>
          </cell>
          <cell r="QFO2" t="str">
            <v>-</v>
          </cell>
          <cell r="QFP2" t="str">
            <v>-</v>
          </cell>
          <cell r="QFQ2" t="str">
            <v>-</v>
          </cell>
          <cell r="QFR2" t="str">
            <v>-</v>
          </cell>
          <cell r="QFS2" t="str">
            <v>-</v>
          </cell>
          <cell r="QFT2" t="str">
            <v>-</v>
          </cell>
          <cell r="QFU2" t="str">
            <v>-</v>
          </cell>
          <cell r="QFV2" t="str">
            <v>-</v>
          </cell>
          <cell r="QFW2" t="str">
            <v>-</v>
          </cell>
          <cell r="QFX2" t="str">
            <v>-</v>
          </cell>
          <cell r="QFY2" t="str">
            <v>-</v>
          </cell>
          <cell r="QFZ2" t="str">
            <v>-</v>
          </cell>
          <cell r="QGA2" t="str">
            <v>-</v>
          </cell>
          <cell r="QGB2" t="str">
            <v>-</v>
          </cell>
          <cell r="QGC2" t="str">
            <v>-</v>
          </cell>
          <cell r="QGD2" t="str">
            <v>-</v>
          </cell>
          <cell r="QGE2" t="str">
            <v>-</v>
          </cell>
          <cell r="QGF2" t="str">
            <v>-</v>
          </cell>
          <cell r="QGG2" t="str">
            <v>-</v>
          </cell>
          <cell r="QGH2" t="str">
            <v>-</v>
          </cell>
          <cell r="QGI2" t="str">
            <v>-</v>
          </cell>
          <cell r="QGJ2" t="str">
            <v>-</v>
          </cell>
          <cell r="QGK2" t="str">
            <v>-</v>
          </cell>
          <cell r="QGL2" t="str">
            <v>-</v>
          </cell>
          <cell r="QGM2" t="str">
            <v>-</v>
          </cell>
          <cell r="QGN2" t="str">
            <v>-</v>
          </cell>
          <cell r="QGO2" t="str">
            <v>-</v>
          </cell>
          <cell r="QGP2" t="str">
            <v>-</v>
          </cell>
          <cell r="QGQ2" t="str">
            <v>-</v>
          </cell>
          <cell r="QGR2" t="str">
            <v>-</v>
          </cell>
          <cell r="QGS2" t="str">
            <v>-</v>
          </cell>
          <cell r="QGT2" t="str">
            <v>-</v>
          </cell>
          <cell r="QGU2" t="str">
            <v>-</v>
          </cell>
          <cell r="QGV2" t="str">
            <v>-</v>
          </cell>
          <cell r="QGW2" t="str">
            <v>-</v>
          </cell>
          <cell r="QGX2" t="str">
            <v>-</v>
          </cell>
          <cell r="QGY2" t="str">
            <v>-</v>
          </cell>
          <cell r="QGZ2" t="str">
            <v>-</v>
          </cell>
          <cell r="QHA2" t="str">
            <v>-</v>
          </cell>
          <cell r="QHB2" t="str">
            <v>-</v>
          </cell>
          <cell r="QHC2" t="str">
            <v>-</v>
          </cell>
          <cell r="QHD2" t="str">
            <v>-</v>
          </cell>
          <cell r="QHE2" t="str">
            <v>-</v>
          </cell>
          <cell r="QHF2" t="str">
            <v>-</v>
          </cell>
          <cell r="QHG2" t="str">
            <v>-</v>
          </cell>
          <cell r="QHH2" t="str">
            <v>-</v>
          </cell>
          <cell r="QHI2" t="str">
            <v>-</v>
          </cell>
          <cell r="QHJ2" t="str">
            <v>-</v>
          </cell>
          <cell r="QHK2" t="str">
            <v>-</v>
          </cell>
          <cell r="QHL2" t="str">
            <v>-</v>
          </cell>
          <cell r="QHM2" t="str">
            <v>-</v>
          </cell>
          <cell r="QHN2" t="str">
            <v>-</v>
          </cell>
          <cell r="QHO2" t="str">
            <v>-</v>
          </cell>
          <cell r="QHP2" t="str">
            <v>-</v>
          </cell>
          <cell r="QHQ2" t="str">
            <v>-</v>
          </cell>
          <cell r="QHR2" t="str">
            <v>-</v>
          </cell>
          <cell r="QHS2" t="str">
            <v>-</v>
          </cell>
          <cell r="QHT2" t="str">
            <v>-</v>
          </cell>
          <cell r="QHU2" t="str">
            <v>-</v>
          </cell>
          <cell r="QHV2" t="str">
            <v>-</v>
          </cell>
          <cell r="QHW2" t="str">
            <v>-</v>
          </cell>
          <cell r="QHX2" t="str">
            <v>-</v>
          </cell>
          <cell r="QHY2" t="str">
            <v>-</v>
          </cell>
          <cell r="QHZ2" t="str">
            <v>-</v>
          </cell>
          <cell r="QIA2" t="str">
            <v>-</v>
          </cell>
          <cell r="QIB2" t="str">
            <v>-</v>
          </cell>
          <cell r="QIC2" t="str">
            <v>-</v>
          </cell>
          <cell r="QID2" t="str">
            <v>-</v>
          </cell>
          <cell r="QIE2" t="str">
            <v>-</v>
          </cell>
          <cell r="QIF2" t="str">
            <v>-</v>
          </cell>
          <cell r="QIG2" t="str">
            <v>-</v>
          </cell>
          <cell r="QIH2" t="str">
            <v>-</v>
          </cell>
          <cell r="QII2" t="str">
            <v>-</v>
          </cell>
          <cell r="QIJ2" t="str">
            <v>-</v>
          </cell>
          <cell r="QIK2" t="str">
            <v>-</v>
          </cell>
          <cell r="QIL2" t="str">
            <v>-</v>
          </cell>
          <cell r="QIM2" t="str">
            <v>-</v>
          </cell>
          <cell r="QIN2" t="str">
            <v>-</v>
          </cell>
          <cell r="QIO2" t="str">
            <v>-</v>
          </cell>
          <cell r="QIP2" t="str">
            <v>-</v>
          </cell>
          <cell r="QIQ2" t="str">
            <v>-</v>
          </cell>
          <cell r="QIR2" t="str">
            <v>-</v>
          </cell>
          <cell r="QIS2" t="str">
            <v>-</v>
          </cell>
          <cell r="QIT2" t="str">
            <v>-</v>
          </cell>
          <cell r="QIU2" t="str">
            <v>-</v>
          </cell>
          <cell r="QIV2" t="str">
            <v>-</v>
          </cell>
          <cell r="QIW2" t="str">
            <v>-</v>
          </cell>
          <cell r="QIX2" t="str">
            <v>-</v>
          </cell>
          <cell r="QIY2" t="str">
            <v>-</v>
          </cell>
          <cell r="QIZ2" t="str">
            <v>-</v>
          </cell>
          <cell r="QJA2" t="str">
            <v>-</v>
          </cell>
          <cell r="QJB2" t="str">
            <v>-</v>
          </cell>
          <cell r="QJC2" t="str">
            <v>-</v>
          </cell>
          <cell r="QJD2" t="str">
            <v>-</v>
          </cell>
          <cell r="QJE2" t="str">
            <v>-</v>
          </cell>
          <cell r="QJF2" t="str">
            <v>-</v>
          </cell>
          <cell r="QJG2" t="str">
            <v>-</v>
          </cell>
          <cell r="QJH2" t="str">
            <v>-</v>
          </cell>
          <cell r="QJI2" t="str">
            <v>-</v>
          </cell>
          <cell r="QJJ2" t="str">
            <v>-</v>
          </cell>
          <cell r="QJK2" t="str">
            <v>-</v>
          </cell>
          <cell r="QJL2" t="str">
            <v>-</v>
          </cell>
          <cell r="QJM2" t="str">
            <v>-</v>
          </cell>
          <cell r="QJN2" t="str">
            <v>-</v>
          </cell>
          <cell r="QJO2" t="str">
            <v>-</v>
          </cell>
          <cell r="QJP2" t="str">
            <v>-</v>
          </cell>
          <cell r="QJQ2" t="str">
            <v>-</v>
          </cell>
          <cell r="QJR2" t="str">
            <v>-</v>
          </cell>
          <cell r="QJS2" t="str">
            <v>-</v>
          </cell>
          <cell r="QJT2" t="str">
            <v>-</v>
          </cell>
          <cell r="QJU2" t="str">
            <v>-</v>
          </cell>
          <cell r="QJV2" t="str">
            <v>-</v>
          </cell>
          <cell r="QJW2" t="str">
            <v>-</v>
          </cell>
          <cell r="QJX2" t="str">
            <v>-</v>
          </cell>
          <cell r="QJY2" t="str">
            <v>-</v>
          </cell>
          <cell r="QJZ2" t="str">
            <v>-</v>
          </cell>
          <cell r="QKA2" t="str">
            <v>-</v>
          </cell>
          <cell r="QKB2" t="str">
            <v>-</v>
          </cell>
          <cell r="QKC2" t="str">
            <v>-</v>
          </cell>
          <cell r="QKD2" t="str">
            <v>-</v>
          </cell>
          <cell r="QKE2" t="str">
            <v>-</v>
          </cell>
          <cell r="QKF2" t="str">
            <v>-</v>
          </cell>
          <cell r="QKG2" t="str">
            <v>-</v>
          </cell>
          <cell r="QKH2" t="str">
            <v>-</v>
          </cell>
          <cell r="QKI2" t="str">
            <v>-</v>
          </cell>
          <cell r="QKJ2" t="str">
            <v>-</v>
          </cell>
          <cell r="QKK2" t="str">
            <v>-</v>
          </cell>
          <cell r="QKL2" t="str">
            <v>-</v>
          </cell>
          <cell r="QKM2" t="str">
            <v>-</v>
          </cell>
          <cell r="QKN2" t="str">
            <v>-</v>
          </cell>
          <cell r="QKO2" t="str">
            <v>-</v>
          </cell>
          <cell r="QKP2" t="str">
            <v>-</v>
          </cell>
          <cell r="QKQ2" t="str">
            <v>-</v>
          </cell>
          <cell r="QKR2" t="str">
            <v>-</v>
          </cell>
          <cell r="QKS2" t="str">
            <v>-</v>
          </cell>
          <cell r="QKT2" t="str">
            <v>-</v>
          </cell>
          <cell r="QKU2" t="str">
            <v>-</v>
          </cell>
          <cell r="QKV2" t="str">
            <v>-</v>
          </cell>
          <cell r="QKW2" t="str">
            <v>-</v>
          </cell>
          <cell r="QKX2" t="str">
            <v>-</v>
          </cell>
          <cell r="QKY2" t="str">
            <v>-</v>
          </cell>
          <cell r="QKZ2" t="str">
            <v>-</v>
          </cell>
          <cell r="QLA2" t="str">
            <v>-</v>
          </cell>
          <cell r="QLB2" t="str">
            <v>-</v>
          </cell>
          <cell r="QLC2" t="str">
            <v>-</v>
          </cell>
          <cell r="QLD2" t="str">
            <v>-</v>
          </cell>
          <cell r="QLE2" t="str">
            <v>-</v>
          </cell>
          <cell r="QLF2" t="str">
            <v>-</v>
          </cell>
          <cell r="QLG2" t="str">
            <v>-</v>
          </cell>
          <cell r="QLH2" t="str">
            <v>-</v>
          </cell>
          <cell r="QLI2" t="str">
            <v>-</v>
          </cell>
          <cell r="QLJ2" t="str">
            <v>-</v>
          </cell>
          <cell r="QLK2" t="str">
            <v>-</v>
          </cell>
          <cell r="QLL2" t="str">
            <v>-</v>
          </cell>
          <cell r="QLM2" t="str">
            <v>-</v>
          </cell>
          <cell r="QLN2" t="str">
            <v>-</v>
          </cell>
          <cell r="QLO2" t="str">
            <v>-</v>
          </cell>
          <cell r="QLP2" t="str">
            <v>-</v>
          </cell>
          <cell r="QLQ2" t="str">
            <v>-</v>
          </cell>
          <cell r="QLR2" t="str">
            <v>-</v>
          </cell>
          <cell r="QLS2" t="str">
            <v>-</v>
          </cell>
          <cell r="QLT2" t="str">
            <v>-</v>
          </cell>
          <cell r="QLU2" t="str">
            <v>-</v>
          </cell>
          <cell r="QLV2" t="str">
            <v>-</v>
          </cell>
          <cell r="QLW2" t="str">
            <v>-</v>
          </cell>
          <cell r="QLX2" t="str">
            <v>-</v>
          </cell>
          <cell r="QLY2" t="str">
            <v>-</v>
          </cell>
          <cell r="QLZ2" t="str">
            <v>-</v>
          </cell>
          <cell r="QMA2" t="str">
            <v>-</v>
          </cell>
          <cell r="QMB2" t="str">
            <v>-</v>
          </cell>
          <cell r="QMC2" t="str">
            <v>-</v>
          </cell>
          <cell r="QMD2" t="str">
            <v>-</v>
          </cell>
          <cell r="QME2" t="str">
            <v>-</v>
          </cell>
          <cell r="QMF2" t="str">
            <v>-</v>
          </cell>
          <cell r="QMG2" t="str">
            <v>-</v>
          </cell>
          <cell r="QMH2" t="str">
            <v>-</v>
          </cell>
          <cell r="QMI2" t="str">
            <v>-</v>
          </cell>
          <cell r="QMJ2" t="str">
            <v>-</v>
          </cell>
          <cell r="QMK2" t="str">
            <v>-</v>
          </cell>
          <cell r="QML2" t="str">
            <v>-</v>
          </cell>
          <cell r="QMM2" t="str">
            <v>-</v>
          </cell>
          <cell r="QMN2" t="str">
            <v>-</v>
          </cell>
          <cell r="QMO2" t="str">
            <v>-</v>
          </cell>
          <cell r="QMP2" t="str">
            <v>-</v>
          </cell>
          <cell r="QMQ2" t="str">
            <v>-</v>
          </cell>
          <cell r="QMR2" t="str">
            <v>-</v>
          </cell>
          <cell r="QMS2" t="str">
            <v>-</v>
          </cell>
          <cell r="QMT2" t="str">
            <v>-</v>
          </cell>
          <cell r="QMU2" t="str">
            <v>-</v>
          </cell>
          <cell r="QMV2" t="str">
            <v>-</v>
          </cell>
          <cell r="QMW2" t="str">
            <v>-</v>
          </cell>
          <cell r="QMX2" t="str">
            <v>-</v>
          </cell>
          <cell r="QMY2" t="str">
            <v>-</v>
          </cell>
          <cell r="QMZ2" t="str">
            <v>-</v>
          </cell>
          <cell r="QNA2" t="str">
            <v>-</v>
          </cell>
          <cell r="QNB2" t="str">
            <v>-</v>
          </cell>
          <cell r="QNC2" t="str">
            <v>-</v>
          </cell>
          <cell r="QND2" t="str">
            <v>-</v>
          </cell>
          <cell r="QNE2" t="str">
            <v>-</v>
          </cell>
          <cell r="QNF2" t="str">
            <v>-</v>
          </cell>
          <cell r="QNG2" t="str">
            <v>-</v>
          </cell>
          <cell r="QNH2" t="str">
            <v>-</v>
          </cell>
          <cell r="QNI2" t="str">
            <v>-</v>
          </cell>
          <cell r="QNJ2" t="str">
            <v>-</v>
          </cell>
          <cell r="QNK2" t="str">
            <v>-</v>
          </cell>
          <cell r="QNL2" t="str">
            <v>-</v>
          </cell>
          <cell r="QNM2" t="str">
            <v>-</v>
          </cell>
          <cell r="QNN2" t="str">
            <v>-</v>
          </cell>
          <cell r="QNO2" t="str">
            <v>-</v>
          </cell>
          <cell r="QNP2" t="str">
            <v>-</v>
          </cell>
          <cell r="QNQ2" t="str">
            <v>-</v>
          </cell>
          <cell r="QNR2" t="str">
            <v>-</v>
          </cell>
          <cell r="QNS2" t="str">
            <v>-</v>
          </cell>
          <cell r="QNT2" t="str">
            <v>-</v>
          </cell>
          <cell r="QNU2" t="str">
            <v>-</v>
          </cell>
          <cell r="QNV2" t="str">
            <v>-</v>
          </cell>
          <cell r="QNW2" t="str">
            <v>-</v>
          </cell>
          <cell r="QNX2" t="str">
            <v>-</v>
          </cell>
          <cell r="QNY2" t="str">
            <v>-</v>
          </cell>
          <cell r="QNZ2" t="str">
            <v>-</v>
          </cell>
          <cell r="QOA2" t="str">
            <v>-</v>
          </cell>
          <cell r="QOB2" t="str">
            <v>-</v>
          </cell>
          <cell r="QOC2" t="str">
            <v>-</v>
          </cell>
          <cell r="QOD2" t="str">
            <v>-</v>
          </cell>
          <cell r="QOE2" t="str">
            <v>-</v>
          </cell>
          <cell r="QOF2" t="str">
            <v>-</v>
          </cell>
          <cell r="QOG2" t="str">
            <v>-</v>
          </cell>
          <cell r="QOH2" t="str">
            <v>-</v>
          </cell>
          <cell r="QOI2" t="str">
            <v>-</v>
          </cell>
          <cell r="QOJ2" t="str">
            <v>-</v>
          </cell>
          <cell r="QOK2" t="str">
            <v>-</v>
          </cell>
          <cell r="QOL2" t="str">
            <v>-</v>
          </cell>
          <cell r="QOM2" t="str">
            <v>-</v>
          </cell>
          <cell r="QON2" t="str">
            <v>-</v>
          </cell>
          <cell r="QOO2" t="str">
            <v>-</v>
          </cell>
          <cell r="QOP2" t="str">
            <v>-</v>
          </cell>
          <cell r="QOQ2" t="str">
            <v>-</v>
          </cell>
          <cell r="QOR2" t="str">
            <v>-</v>
          </cell>
          <cell r="QOS2" t="str">
            <v>-</v>
          </cell>
          <cell r="QOT2" t="str">
            <v>-</v>
          </cell>
          <cell r="QOU2" t="str">
            <v>-</v>
          </cell>
          <cell r="QOV2" t="str">
            <v>-</v>
          </cell>
          <cell r="QOW2" t="str">
            <v>-</v>
          </cell>
          <cell r="QOX2" t="str">
            <v>-</v>
          </cell>
          <cell r="QOY2" t="str">
            <v>-</v>
          </cell>
          <cell r="QOZ2" t="str">
            <v>-</v>
          </cell>
          <cell r="QPA2" t="str">
            <v>-</v>
          </cell>
          <cell r="QPB2" t="str">
            <v>-</v>
          </cell>
          <cell r="QPC2" t="str">
            <v>-</v>
          </cell>
          <cell r="QPD2" t="str">
            <v>-</v>
          </cell>
          <cell r="QPE2" t="str">
            <v>-</v>
          </cell>
          <cell r="QPF2" t="str">
            <v>-</v>
          </cell>
          <cell r="QPG2" t="str">
            <v>-</v>
          </cell>
          <cell r="QPH2" t="str">
            <v>-</v>
          </cell>
          <cell r="QPI2" t="str">
            <v>-</v>
          </cell>
          <cell r="QPJ2" t="str">
            <v>-</v>
          </cell>
          <cell r="QPK2" t="str">
            <v>-</v>
          </cell>
          <cell r="QPL2" t="str">
            <v>-</v>
          </cell>
          <cell r="QPM2" t="str">
            <v>-</v>
          </cell>
          <cell r="QPN2" t="str">
            <v>-</v>
          </cell>
          <cell r="QPO2" t="str">
            <v>-</v>
          </cell>
          <cell r="QPP2" t="str">
            <v>-</v>
          </cell>
          <cell r="QPQ2" t="str">
            <v>-</v>
          </cell>
          <cell r="QPR2" t="str">
            <v>-</v>
          </cell>
          <cell r="QPS2" t="str">
            <v>-</v>
          </cell>
          <cell r="QPT2" t="str">
            <v>-</v>
          </cell>
          <cell r="QPU2" t="str">
            <v>-</v>
          </cell>
          <cell r="QPV2" t="str">
            <v>-</v>
          </cell>
          <cell r="QPW2" t="str">
            <v>-</v>
          </cell>
          <cell r="QPX2" t="str">
            <v>-</v>
          </cell>
          <cell r="QPY2" t="str">
            <v>-</v>
          </cell>
          <cell r="QPZ2" t="str">
            <v>-</v>
          </cell>
          <cell r="QQA2" t="str">
            <v>-</v>
          </cell>
          <cell r="QQB2" t="str">
            <v>-</v>
          </cell>
          <cell r="QQC2" t="str">
            <v>-</v>
          </cell>
          <cell r="QQD2" t="str">
            <v>-</v>
          </cell>
          <cell r="QQE2" t="str">
            <v>-</v>
          </cell>
          <cell r="QQF2" t="str">
            <v>-</v>
          </cell>
          <cell r="QQG2" t="str">
            <v>-</v>
          </cell>
          <cell r="QQH2" t="str">
            <v>-</v>
          </cell>
          <cell r="QQI2" t="str">
            <v>-</v>
          </cell>
          <cell r="QQJ2" t="str">
            <v>-</v>
          </cell>
          <cell r="QQK2" t="str">
            <v>-</v>
          </cell>
          <cell r="QQL2" t="str">
            <v>-</v>
          </cell>
          <cell r="QQM2" t="str">
            <v>-</v>
          </cell>
          <cell r="QQN2" t="str">
            <v>-</v>
          </cell>
          <cell r="QQO2" t="str">
            <v>-</v>
          </cell>
          <cell r="QQP2" t="str">
            <v>-</v>
          </cell>
          <cell r="QQQ2" t="str">
            <v>-</v>
          </cell>
          <cell r="QQR2" t="str">
            <v>-</v>
          </cell>
          <cell r="QQS2" t="str">
            <v>-</v>
          </cell>
          <cell r="QQT2" t="str">
            <v>-</v>
          </cell>
          <cell r="QQU2" t="str">
            <v>-</v>
          </cell>
          <cell r="QQV2" t="str">
            <v>-</v>
          </cell>
          <cell r="QQW2" t="str">
            <v>-</v>
          </cell>
          <cell r="QQX2" t="str">
            <v>-</v>
          </cell>
          <cell r="QQY2" t="str">
            <v>-</v>
          </cell>
          <cell r="QQZ2" t="str">
            <v>-</v>
          </cell>
          <cell r="QRA2" t="str">
            <v>-</v>
          </cell>
          <cell r="QRB2" t="str">
            <v>-</v>
          </cell>
          <cell r="QRC2" t="str">
            <v>-</v>
          </cell>
          <cell r="QRD2" t="str">
            <v>-</v>
          </cell>
          <cell r="QRE2" t="str">
            <v>-</v>
          </cell>
          <cell r="QRF2" t="str">
            <v>-</v>
          </cell>
          <cell r="QRG2" t="str">
            <v>-</v>
          </cell>
          <cell r="QRH2" t="str">
            <v>-</v>
          </cell>
          <cell r="QRI2" t="str">
            <v>-</v>
          </cell>
          <cell r="QRJ2" t="str">
            <v>-</v>
          </cell>
          <cell r="QRK2" t="str">
            <v>-</v>
          </cell>
          <cell r="QRL2" t="str">
            <v>-</v>
          </cell>
          <cell r="QRM2" t="str">
            <v>-</v>
          </cell>
          <cell r="QRN2" t="str">
            <v>-</v>
          </cell>
          <cell r="QRO2" t="str">
            <v>-</v>
          </cell>
          <cell r="QRP2" t="str">
            <v>-</v>
          </cell>
          <cell r="QRQ2" t="str">
            <v>-</v>
          </cell>
          <cell r="QRR2" t="str">
            <v>-</v>
          </cell>
          <cell r="QRS2" t="str">
            <v>-</v>
          </cell>
          <cell r="QRT2" t="str">
            <v>-</v>
          </cell>
          <cell r="QRU2" t="str">
            <v>-</v>
          </cell>
          <cell r="QRV2" t="str">
            <v>-</v>
          </cell>
          <cell r="QRW2" t="str">
            <v>-</v>
          </cell>
          <cell r="QRX2" t="str">
            <v>-</v>
          </cell>
          <cell r="QRY2" t="str">
            <v>-</v>
          </cell>
          <cell r="QRZ2" t="str">
            <v>-</v>
          </cell>
          <cell r="QSA2" t="str">
            <v>-</v>
          </cell>
          <cell r="QSB2" t="str">
            <v>-</v>
          </cell>
          <cell r="QSC2" t="str">
            <v>-</v>
          </cell>
          <cell r="QSD2" t="str">
            <v>-</v>
          </cell>
          <cell r="QSE2" t="str">
            <v>-</v>
          </cell>
          <cell r="QSF2" t="str">
            <v>-</v>
          </cell>
          <cell r="QSG2" t="str">
            <v>-</v>
          </cell>
          <cell r="QSH2" t="str">
            <v>-</v>
          </cell>
          <cell r="QSI2" t="str">
            <v>-</v>
          </cell>
          <cell r="QSJ2" t="str">
            <v>-</v>
          </cell>
          <cell r="QSK2" t="str">
            <v>-</v>
          </cell>
          <cell r="QSL2" t="str">
            <v>-</v>
          </cell>
          <cell r="QSM2" t="str">
            <v>-</v>
          </cell>
          <cell r="QSN2" t="str">
            <v>-</v>
          </cell>
          <cell r="QSO2" t="str">
            <v>-</v>
          </cell>
          <cell r="QSP2" t="str">
            <v>-</v>
          </cell>
          <cell r="QSQ2" t="str">
            <v>-</v>
          </cell>
          <cell r="QSR2" t="str">
            <v>-</v>
          </cell>
          <cell r="QSS2" t="str">
            <v>-</v>
          </cell>
          <cell r="QST2" t="str">
            <v>-</v>
          </cell>
          <cell r="QSU2" t="str">
            <v>-</v>
          </cell>
          <cell r="QSV2" t="str">
            <v>-</v>
          </cell>
          <cell r="QSW2" t="str">
            <v>-</v>
          </cell>
          <cell r="QSX2" t="str">
            <v>-</v>
          </cell>
          <cell r="QSY2" t="str">
            <v>-</v>
          </cell>
          <cell r="QSZ2" t="str">
            <v>-</v>
          </cell>
          <cell r="QTA2" t="str">
            <v>-</v>
          </cell>
          <cell r="QTB2" t="str">
            <v>-</v>
          </cell>
          <cell r="QTC2" t="str">
            <v>-</v>
          </cell>
          <cell r="QTD2" t="str">
            <v>-</v>
          </cell>
          <cell r="QTE2" t="str">
            <v>-</v>
          </cell>
          <cell r="QTF2" t="str">
            <v>-</v>
          </cell>
          <cell r="QTG2" t="str">
            <v>-</v>
          </cell>
          <cell r="QTH2" t="str">
            <v>-</v>
          </cell>
          <cell r="QTI2" t="str">
            <v>-</v>
          </cell>
          <cell r="QTJ2" t="str">
            <v>-</v>
          </cell>
          <cell r="QTK2" t="str">
            <v>-</v>
          </cell>
          <cell r="QTL2" t="str">
            <v>-</v>
          </cell>
          <cell r="QTM2" t="str">
            <v>-</v>
          </cell>
          <cell r="QTN2" t="str">
            <v>-</v>
          </cell>
          <cell r="QTO2" t="str">
            <v>-</v>
          </cell>
          <cell r="QTP2" t="str">
            <v>-</v>
          </cell>
          <cell r="QTQ2" t="str">
            <v>-</v>
          </cell>
          <cell r="QTR2" t="str">
            <v>-</v>
          </cell>
          <cell r="QTS2" t="str">
            <v>-</v>
          </cell>
          <cell r="QTT2" t="str">
            <v>-</v>
          </cell>
          <cell r="QTU2" t="str">
            <v>-</v>
          </cell>
          <cell r="QTV2" t="str">
            <v>-</v>
          </cell>
          <cell r="QTW2" t="str">
            <v>-</v>
          </cell>
          <cell r="QTX2" t="str">
            <v>-</v>
          </cell>
          <cell r="QTY2" t="str">
            <v>-</v>
          </cell>
          <cell r="QTZ2" t="str">
            <v>-</v>
          </cell>
          <cell r="QUA2" t="str">
            <v>-</v>
          </cell>
          <cell r="QUB2" t="str">
            <v>-</v>
          </cell>
          <cell r="QUC2" t="str">
            <v>-</v>
          </cell>
          <cell r="QUD2" t="str">
            <v>-</v>
          </cell>
          <cell r="QUE2" t="str">
            <v>-</v>
          </cell>
          <cell r="QUF2" t="str">
            <v>-</v>
          </cell>
          <cell r="QUG2" t="str">
            <v>-</v>
          </cell>
          <cell r="QUH2" t="str">
            <v>-</v>
          </cell>
          <cell r="QUI2" t="str">
            <v>-</v>
          </cell>
          <cell r="QUJ2" t="str">
            <v>-</v>
          </cell>
          <cell r="QUK2" t="str">
            <v>-</v>
          </cell>
          <cell r="QUL2" t="str">
            <v>-</v>
          </cell>
          <cell r="QUM2" t="str">
            <v>-</v>
          </cell>
          <cell r="QUN2" t="str">
            <v>-</v>
          </cell>
          <cell r="QUO2" t="str">
            <v>-</v>
          </cell>
          <cell r="QUP2" t="str">
            <v>-</v>
          </cell>
          <cell r="QUQ2" t="str">
            <v>-</v>
          </cell>
          <cell r="QUR2" t="str">
            <v>-</v>
          </cell>
          <cell r="QUS2" t="str">
            <v>-</v>
          </cell>
          <cell r="QUT2" t="str">
            <v>-</v>
          </cell>
          <cell r="QUU2" t="str">
            <v>-</v>
          </cell>
          <cell r="QUV2" t="str">
            <v>-</v>
          </cell>
          <cell r="QUW2" t="str">
            <v>-</v>
          </cell>
          <cell r="QUX2" t="str">
            <v>-</v>
          </cell>
          <cell r="QUY2" t="str">
            <v>-</v>
          </cell>
          <cell r="QUZ2" t="str">
            <v>-</v>
          </cell>
          <cell r="QVA2" t="str">
            <v>-</v>
          </cell>
          <cell r="QVB2" t="str">
            <v>-</v>
          </cell>
          <cell r="QVC2" t="str">
            <v>-</v>
          </cell>
          <cell r="QVD2" t="str">
            <v>-</v>
          </cell>
          <cell r="QVE2" t="str">
            <v>-</v>
          </cell>
          <cell r="QVF2" t="str">
            <v>-</v>
          </cell>
          <cell r="QVG2" t="str">
            <v>-</v>
          </cell>
          <cell r="QVH2" t="str">
            <v>-</v>
          </cell>
          <cell r="QVI2" t="str">
            <v>-</v>
          </cell>
          <cell r="QVJ2" t="str">
            <v>-</v>
          </cell>
          <cell r="QVK2" t="str">
            <v>-</v>
          </cell>
          <cell r="QVL2" t="str">
            <v>-</v>
          </cell>
          <cell r="QVM2" t="str">
            <v>-</v>
          </cell>
          <cell r="QVN2" t="str">
            <v>-</v>
          </cell>
          <cell r="QVO2" t="str">
            <v>-</v>
          </cell>
          <cell r="QVP2" t="str">
            <v>-</v>
          </cell>
          <cell r="QVQ2" t="str">
            <v>-</v>
          </cell>
          <cell r="QVR2" t="str">
            <v>-</v>
          </cell>
          <cell r="QVS2" t="str">
            <v>-</v>
          </cell>
          <cell r="QVT2" t="str">
            <v>-</v>
          </cell>
          <cell r="QVU2" t="str">
            <v>-</v>
          </cell>
          <cell r="QVV2" t="str">
            <v>-</v>
          </cell>
          <cell r="QVW2" t="str">
            <v>-</v>
          </cell>
          <cell r="QVX2" t="str">
            <v>-</v>
          </cell>
          <cell r="QVY2" t="str">
            <v>-</v>
          </cell>
          <cell r="QVZ2" t="str">
            <v>-</v>
          </cell>
          <cell r="QWA2" t="str">
            <v>-</v>
          </cell>
          <cell r="QWB2" t="str">
            <v>-</v>
          </cell>
          <cell r="QWC2" t="str">
            <v>-</v>
          </cell>
          <cell r="QWD2" t="str">
            <v>-</v>
          </cell>
          <cell r="QWE2" t="str">
            <v>-</v>
          </cell>
          <cell r="QWF2" t="str">
            <v>-</v>
          </cell>
          <cell r="QWG2" t="str">
            <v>-</v>
          </cell>
          <cell r="QWH2" t="str">
            <v>-</v>
          </cell>
          <cell r="QWI2" t="str">
            <v>-</v>
          </cell>
          <cell r="QWJ2" t="str">
            <v>-</v>
          </cell>
          <cell r="QWK2" t="str">
            <v>-</v>
          </cell>
          <cell r="QWL2" t="str">
            <v>-</v>
          </cell>
          <cell r="QWM2" t="str">
            <v>-</v>
          </cell>
          <cell r="QWN2" t="str">
            <v>-</v>
          </cell>
          <cell r="QWO2" t="str">
            <v>-</v>
          </cell>
          <cell r="QWP2" t="str">
            <v>-</v>
          </cell>
          <cell r="QWQ2" t="str">
            <v>-</v>
          </cell>
          <cell r="QWR2" t="str">
            <v>-</v>
          </cell>
          <cell r="QWS2" t="str">
            <v>-</v>
          </cell>
          <cell r="QWT2" t="str">
            <v>-</v>
          </cell>
          <cell r="QWU2" t="str">
            <v>-</v>
          </cell>
          <cell r="QWV2" t="str">
            <v>-</v>
          </cell>
          <cell r="QWW2" t="str">
            <v>-</v>
          </cell>
          <cell r="QWX2" t="str">
            <v>-</v>
          </cell>
          <cell r="QWY2" t="str">
            <v>-</v>
          </cell>
          <cell r="QWZ2" t="str">
            <v>-</v>
          </cell>
          <cell r="QXA2" t="str">
            <v>-</v>
          </cell>
          <cell r="QXB2" t="str">
            <v>-</v>
          </cell>
          <cell r="QXC2" t="str">
            <v>-</v>
          </cell>
          <cell r="QXD2" t="str">
            <v>-</v>
          </cell>
          <cell r="QXE2" t="str">
            <v>-</v>
          </cell>
          <cell r="QXF2" t="str">
            <v>-</v>
          </cell>
          <cell r="QXG2" t="str">
            <v>-</v>
          </cell>
          <cell r="QXH2" t="str">
            <v>-</v>
          </cell>
          <cell r="QXI2" t="str">
            <v>-</v>
          </cell>
          <cell r="QXJ2" t="str">
            <v>-</v>
          </cell>
          <cell r="QXK2" t="str">
            <v>-</v>
          </cell>
          <cell r="QXL2" t="str">
            <v>-</v>
          </cell>
          <cell r="QXM2" t="str">
            <v>-</v>
          </cell>
          <cell r="QXN2" t="str">
            <v>-</v>
          </cell>
          <cell r="QXO2" t="str">
            <v>-</v>
          </cell>
          <cell r="QXP2" t="str">
            <v>-</v>
          </cell>
          <cell r="QXQ2" t="str">
            <v>-</v>
          </cell>
          <cell r="QXR2" t="str">
            <v>-</v>
          </cell>
          <cell r="QXS2" t="str">
            <v>-</v>
          </cell>
          <cell r="QXT2" t="str">
            <v>-</v>
          </cell>
          <cell r="QXU2" t="str">
            <v>-</v>
          </cell>
          <cell r="QXV2" t="str">
            <v>-</v>
          </cell>
          <cell r="QXW2" t="str">
            <v>-</v>
          </cell>
          <cell r="QXX2" t="str">
            <v>-</v>
          </cell>
          <cell r="QXY2" t="str">
            <v>-</v>
          </cell>
          <cell r="QXZ2" t="str">
            <v>-</v>
          </cell>
          <cell r="QYA2" t="str">
            <v>-</v>
          </cell>
          <cell r="QYB2" t="str">
            <v>-</v>
          </cell>
          <cell r="QYC2" t="str">
            <v>-</v>
          </cell>
          <cell r="QYD2" t="str">
            <v>-</v>
          </cell>
          <cell r="QYE2" t="str">
            <v>-</v>
          </cell>
          <cell r="QYF2" t="str">
            <v>-</v>
          </cell>
          <cell r="QYG2" t="str">
            <v>-</v>
          </cell>
          <cell r="QYH2" t="str">
            <v>-</v>
          </cell>
          <cell r="QYI2" t="str">
            <v>-</v>
          </cell>
          <cell r="QYJ2" t="str">
            <v>-</v>
          </cell>
          <cell r="QYK2" t="str">
            <v>-</v>
          </cell>
          <cell r="QYL2" t="str">
            <v>-</v>
          </cell>
          <cell r="QYM2" t="str">
            <v>-</v>
          </cell>
          <cell r="QYN2" t="str">
            <v>-</v>
          </cell>
          <cell r="QYO2" t="str">
            <v>-</v>
          </cell>
          <cell r="QYP2" t="str">
            <v>-</v>
          </cell>
          <cell r="QYQ2" t="str">
            <v>-</v>
          </cell>
          <cell r="QYR2" t="str">
            <v>-</v>
          </cell>
          <cell r="QYS2" t="str">
            <v>-</v>
          </cell>
          <cell r="QYT2" t="str">
            <v>-</v>
          </cell>
          <cell r="QYU2" t="str">
            <v>-</v>
          </cell>
          <cell r="QYV2" t="str">
            <v>-</v>
          </cell>
          <cell r="QYW2" t="str">
            <v>-</v>
          </cell>
          <cell r="QYX2" t="str">
            <v>-</v>
          </cell>
          <cell r="QYY2" t="str">
            <v>-</v>
          </cell>
          <cell r="QYZ2" t="str">
            <v>-</v>
          </cell>
          <cell r="QZA2" t="str">
            <v>-</v>
          </cell>
          <cell r="QZB2" t="str">
            <v>-</v>
          </cell>
          <cell r="QZC2" t="str">
            <v>-</v>
          </cell>
          <cell r="QZD2" t="str">
            <v>-</v>
          </cell>
          <cell r="QZE2" t="str">
            <v>-</v>
          </cell>
          <cell r="QZF2" t="str">
            <v>-</v>
          </cell>
          <cell r="QZG2" t="str">
            <v>-</v>
          </cell>
          <cell r="QZH2" t="str">
            <v>-</v>
          </cell>
          <cell r="QZI2" t="str">
            <v>-</v>
          </cell>
          <cell r="QZJ2" t="str">
            <v>-</v>
          </cell>
          <cell r="QZK2" t="str">
            <v>-</v>
          </cell>
          <cell r="QZL2" t="str">
            <v>-</v>
          </cell>
          <cell r="QZM2" t="str">
            <v>-</v>
          </cell>
          <cell r="QZN2" t="str">
            <v>-</v>
          </cell>
          <cell r="QZO2" t="str">
            <v>-</v>
          </cell>
          <cell r="QZP2" t="str">
            <v>-</v>
          </cell>
          <cell r="QZQ2" t="str">
            <v>-</v>
          </cell>
          <cell r="QZR2" t="str">
            <v>-</v>
          </cell>
          <cell r="QZS2" t="str">
            <v>-</v>
          </cell>
          <cell r="QZT2" t="str">
            <v>-</v>
          </cell>
          <cell r="QZU2" t="str">
            <v>-</v>
          </cell>
          <cell r="QZV2" t="str">
            <v>-</v>
          </cell>
          <cell r="QZW2" t="str">
            <v>-</v>
          </cell>
          <cell r="QZX2" t="str">
            <v>-</v>
          </cell>
          <cell r="QZY2" t="str">
            <v>-</v>
          </cell>
          <cell r="QZZ2" t="str">
            <v>-</v>
          </cell>
          <cell r="RAA2" t="str">
            <v>-</v>
          </cell>
          <cell r="RAB2" t="str">
            <v>-</v>
          </cell>
          <cell r="RAC2" t="str">
            <v>-</v>
          </cell>
          <cell r="RAD2" t="str">
            <v>-</v>
          </cell>
          <cell r="RAE2" t="str">
            <v>-</v>
          </cell>
          <cell r="RAF2" t="str">
            <v>-</v>
          </cell>
          <cell r="RAG2" t="str">
            <v>-</v>
          </cell>
          <cell r="RAH2" t="str">
            <v>-</v>
          </cell>
          <cell r="RAI2" t="str">
            <v>-</v>
          </cell>
          <cell r="RAJ2" t="str">
            <v>-</v>
          </cell>
          <cell r="RAK2" t="str">
            <v>-</v>
          </cell>
          <cell r="RAL2" t="str">
            <v>-</v>
          </cell>
          <cell r="RAM2" t="str">
            <v>-</v>
          </cell>
          <cell r="RAN2" t="str">
            <v>-</v>
          </cell>
          <cell r="RAO2" t="str">
            <v>-</v>
          </cell>
          <cell r="RAP2" t="str">
            <v>-</v>
          </cell>
          <cell r="RAQ2" t="str">
            <v>-</v>
          </cell>
          <cell r="RAR2" t="str">
            <v>-</v>
          </cell>
          <cell r="RAS2" t="str">
            <v>-</v>
          </cell>
          <cell r="RAT2" t="str">
            <v>-</v>
          </cell>
          <cell r="RAU2" t="str">
            <v>-</v>
          </cell>
          <cell r="RAV2" t="str">
            <v>-</v>
          </cell>
          <cell r="RAW2" t="str">
            <v>-</v>
          </cell>
          <cell r="RAX2" t="str">
            <v>-</v>
          </cell>
          <cell r="RAY2" t="str">
            <v>-</v>
          </cell>
          <cell r="RAZ2" t="str">
            <v>-</v>
          </cell>
          <cell r="RBA2" t="str">
            <v>-</v>
          </cell>
          <cell r="RBB2" t="str">
            <v>-</v>
          </cell>
          <cell r="RBC2" t="str">
            <v>-</v>
          </cell>
          <cell r="RBD2" t="str">
            <v>-</v>
          </cell>
          <cell r="RBE2" t="str">
            <v>-</v>
          </cell>
          <cell r="RBF2" t="str">
            <v>-</v>
          </cell>
          <cell r="RBG2" t="str">
            <v>-</v>
          </cell>
          <cell r="RBH2" t="str">
            <v>-</v>
          </cell>
          <cell r="RBI2" t="str">
            <v>-</v>
          </cell>
          <cell r="RBJ2" t="str">
            <v>-</v>
          </cell>
          <cell r="RBK2" t="str">
            <v>-</v>
          </cell>
          <cell r="RBL2" t="str">
            <v>-</v>
          </cell>
          <cell r="RBM2" t="str">
            <v>-</v>
          </cell>
          <cell r="RBN2" t="str">
            <v>-</v>
          </cell>
          <cell r="RBO2" t="str">
            <v>-</v>
          </cell>
          <cell r="RBP2" t="str">
            <v>-</v>
          </cell>
          <cell r="RBQ2" t="str">
            <v>-</v>
          </cell>
          <cell r="RBR2" t="str">
            <v>-</v>
          </cell>
          <cell r="RBS2" t="str">
            <v>-</v>
          </cell>
          <cell r="RBT2" t="str">
            <v>-</v>
          </cell>
          <cell r="RBU2" t="str">
            <v>-</v>
          </cell>
          <cell r="RBV2" t="str">
            <v>-</v>
          </cell>
          <cell r="RBW2" t="str">
            <v>-</v>
          </cell>
          <cell r="RBX2" t="str">
            <v>-</v>
          </cell>
          <cell r="RBY2" t="str">
            <v>-</v>
          </cell>
          <cell r="RBZ2" t="str">
            <v>-</v>
          </cell>
          <cell r="RCA2" t="str">
            <v>-</v>
          </cell>
          <cell r="RCB2" t="str">
            <v>-</v>
          </cell>
          <cell r="RCC2" t="str">
            <v>-</v>
          </cell>
          <cell r="RCD2" t="str">
            <v>-</v>
          </cell>
          <cell r="RCE2" t="str">
            <v>-</v>
          </cell>
          <cell r="RCF2" t="str">
            <v>-</v>
          </cell>
          <cell r="RCG2" t="str">
            <v>-</v>
          </cell>
          <cell r="RCH2" t="str">
            <v>-</v>
          </cell>
          <cell r="RCI2" t="str">
            <v>-</v>
          </cell>
          <cell r="RCJ2" t="str">
            <v>-</v>
          </cell>
          <cell r="RCK2" t="str">
            <v>-</v>
          </cell>
          <cell r="RCL2" t="str">
            <v>-</v>
          </cell>
          <cell r="RCM2" t="str">
            <v>-</v>
          </cell>
          <cell r="RCN2" t="str">
            <v>-</v>
          </cell>
          <cell r="RCO2" t="str">
            <v>-</v>
          </cell>
          <cell r="RCP2" t="str">
            <v>-</v>
          </cell>
          <cell r="RCQ2" t="str">
            <v>-</v>
          </cell>
          <cell r="RCR2" t="str">
            <v>-</v>
          </cell>
          <cell r="RCS2" t="str">
            <v>-</v>
          </cell>
          <cell r="RCT2" t="str">
            <v>-</v>
          </cell>
          <cell r="RCU2" t="str">
            <v>-</v>
          </cell>
          <cell r="RCV2" t="str">
            <v>-</v>
          </cell>
          <cell r="RCW2" t="str">
            <v>-</v>
          </cell>
          <cell r="RCX2" t="str">
            <v>-</v>
          </cell>
          <cell r="RCY2" t="str">
            <v>-</v>
          </cell>
          <cell r="RCZ2" t="str">
            <v>-</v>
          </cell>
          <cell r="RDA2" t="str">
            <v>-</v>
          </cell>
          <cell r="RDB2" t="str">
            <v>-</v>
          </cell>
          <cell r="RDC2" t="str">
            <v>-</v>
          </cell>
          <cell r="RDD2" t="str">
            <v>-</v>
          </cell>
          <cell r="RDE2" t="str">
            <v>-</v>
          </cell>
          <cell r="RDF2" t="str">
            <v>-</v>
          </cell>
          <cell r="RDG2" t="str">
            <v>-</v>
          </cell>
          <cell r="RDH2" t="str">
            <v>-</v>
          </cell>
          <cell r="RDI2" t="str">
            <v>-</v>
          </cell>
          <cell r="RDJ2" t="str">
            <v>-</v>
          </cell>
          <cell r="RDK2" t="str">
            <v>-</v>
          </cell>
          <cell r="RDL2" t="str">
            <v>-</v>
          </cell>
          <cell r="RDM2" t="str">
            <v>-</v>
          </cell>
          <cell r="RDN2" t="str">
            <v>-</v>
          </cell>
          <cell r="RDO2" t="str">
            <v>-</v>
          </cell>
          <cell r="RDP2" t="str">
            <v>-</v>
          </cell>
          <cell r="RDQ2" t="str">
            <v>-</v>
          </cell>
          <cell r="RDR2" t="str">
            <v>-</v>
          </cell>
          <cell r="RDS2" t="str">
            <v>-</v>
          </cell>
          <cell r="RDT2" t="str">
            <v>-</v>
          </cell>
          <cell r="RDU2" t="str">
            <v>-</v>
          </cell>
          <cell r="RDV2" t="str">
            <v>-</v>
          </cell>
          <cell r="RDW2" t="str">
            <v>-</v>
          </cell>
          <cell r="RDX2" t="str">
            <v>-</v>
          </cell>
          <cell r="RDY2" t="str">
            <v>-</v>
          </cell>
          <cell r="RDZ2" t="str">
            <v>-</v>
          </cell>
          <cell r="REA2" t="str">
            <v>-</v>
          </cell>
          <cell r="REB2" t="str">
            <v>-</v>
          </cell>
          <cell r="REC2" t="str">
            <v>-</v>
          </cell>
          <cell r="RED2" t="str">
            <v>-</v>
          </cell>
          <cell r="REE2" t="str">
            <v>-</v>
          </cell>
          <cell r="REF2" t="str">
            <v>-</v>
          </cell>
          <cell r="REG2" t="str">
            <v>-</v>
          </cell>
          <cell r="REH2" t="str">
            <v>-</v>
          </cell>
          <cell r="REI2" t="str">
            <v>-</v>
          </cell>
          <cell r="REJ2" t="str">
            <v>-</v>
          </cell>
          <cell r="REK2" t="str">
            <v>-</v>
          </cell>
          <cell r="REL2" t="str">
            <v>-</v>
          </cell>
          <cell r="REM2" t="str">
            <v>-</v>
          </cell>
          <cell r="REN2" t="str">
            <v>-</v>
          </cell>
          <cell r="REO2" t="str">
            <v>-</v>
          </cell>
          <cell r="REP2" t="str">
            <v>-</v>
          </cell>
          <cell r="REQ2" t="str">
            <v>-</v>
          </cell>
          <cell r="RER2" t="str">
            <v>-</v>
          </cell>
          <cell r="RES2" t="str">
            <v>-</v>
          </cell>
          <cell r="RET2" t="str">
            <v>-</v>
          </cell>
          <cell r="REU2" t="str">
            <v>-</v>
          </cell>
          <cell r="REV2" t="str">
            <v>-</v>
          </cell>
          <cell r="REW2" t="str">
            <v>-</v>
          </cell>
          <cell r="REX2" t="str">
            <v>-</v>
          </cell>
          <cell r="REY2" t="str">
            <v>-</v>
          </cell>
          <cell r="REZ2" t="str">
            <v>-</v>
          </cell>
          <cell r="RFA2" t="str">
            <v>-</v>
          </cell>
          <cell r="RFB2" t="str">
            <v>-</v>
          </cell>
          <cell r="RFC2" t="str">
            <v>-</v>
          </cell>
          <cell r="RFD2" t="str">
            <v>-</v>
          </cell>
          <cell r="RFE2" t="str">
            <v>-</v>
          </cell>
          <cell r="RFF2" t="str">
            <v>-</v>
          </cell>
          <cell r="RFG2" t="str">
            <v>-</v>
          </cell>
          <cell r="RFH2" t="str">
            <v>-</v>
          </cell>
          <cell r="RFI2" t="str">
            <v>-</v>
          </cell>
          <cell r="RFJ2" t="str">
            <v>-</v>
          </cell>
          <cell r="RFK2" t="str">
            <v>-</v>
          </cell>
          <cell r="RFL2" t="str">
            <v>-</v>
          </cell>
          <cell r="RFM2" t="str">
            <v>-</v>
          </cell>
          <cell r="RFN2" t="str">
            <v>-</v>
          </cell>
          <cell r="RFO2" t="str">
            <v>-</v>
          </cell>
          <cell r="RFP2" t="str">
            <v>-</v>
          </cell>
          <cell r="RFQ2" t="str">
            <v>-</v>
          </cell>
          <cell r="RFR2" t="str">
            <v>-</v>
          </cell>
          <cell r="RFS2" t="str">
            <v>-</v>
          </cell>
          <cell r="RFT2" t="str">
            <v>-</v>
          </cell>
          <cell r="RFU2" t="str">
            <v>-</v>
          </cell>
          <cell r="RFV2" t="str">
            <v>-</v>
          </cell>
          <cell r="RFW2" t="str">
            <v>-</v>
          </cell>
          <cell r="RFX2" t="str">
            <v>-</v>
          </cell>
          <cell r="RFY2" t="str">
            <v>-</v>
          </cell>
          <cell r="RFZ2" t="str">
            <v>-</v>
          </cell>
          <cell r="RGA2" t="str">
            <v>-</v>
          </cell>
          <cell r="RGB2" t="str">
            <v>-</v>
          </cell>
          <cell r="RGC2" t="str">
            <v>-</v>
          </cell>
          <cell r="RGD2" t="str">
            <v>-</v>
          </cell>
          <cell r="RGE2" t="str">
            <v>-</v>
          </cell>
          <cell r="RGF2" t="str">
            <v>-</v>
          </cell>
          <cell r="RGG2" t="str">
            <v>-</v>
          </cell>
          <cell r="RGH2" t="str">
            <v>-</v>
          </cell>
          <cell r="RGI2" t="str">
            <v>-</v>
          </cell>
          <cell r="RGJ2" t="str">
            <v>-</v>
          </cell>
          <cell r="RGK2" t="str">
            <v>-</v>
          </cell>
          <cell r="RGL2" t="str">
            <v>-</v>
          </cell>
          <cell r="RGM2" t="str">
            <v>-</v>
          </cell>
          <cell r="RGN2" t="str">
            <v>-</v>
          </cell>
          <cell r="RGO2" t="str">
            <v>-</v>
          </cell>
          <cell r="RGP2" t="str">
            <v>-</v>
          </cell>
          <cell r="RGQ2" t="str">
            <v>-</v>
          </cell>
          <cell r="RGR2" t="str">
            <v>-</v>
          </cell>
          <cell r="RGS2" t="str">
            <v>-</v>
          </cell>
          <cell r="RGT2" t="str">
            <v>-</v>
          </cell>
          <cell r="RGU2" t="str">
            <v>-</v>
          </cell>
          <cell r="RGV2" t="str">
            <v>-</v>
          </cell>
          <cell r="RGW2" t="str">
            <v>-</v>
          </cell>
          <cell r="RGX2" t="str">
            <v>-</v>
          </cell>
          <cell r="RGY2" t="str">
            <v>-</v>
          </cell>
          <cell r="RGZ2" t="str">
            <v>-</v>
          </cell>
          <cell r="RHA2" t="str">
            <v>-</v>
          </cell>
          <cell r="RHB2" t="str">
            <v>-</v>
          </cell>
          <cell r="RHC2" t="str">
            <v>-</v>
          </cell>
          <cell r="RHD2" t="str">
            <v>-</v>
          </cell>
          <cell r="RHE2" t="str">
            <v>-</v>
          </cell>
          <cell r="RHF2" t="str">
            <v>-</v>
          </cell>
          <cell r="RHG2" t="str">
            <v>-</v>
          </cell>
          <cell r="RHH2" t="str">
            <v>-</v>
          </cell>
          <cell r="RHI2" t="str">
            <v>-</v>
          </cell>
          <cell r="RHJ2" t="str">
            <v>-</v>
          </cell>
          <cell r="RHK2" t="str">
            <v>-</v>
          </cell>
          <cell r="RHL2" t="str">
            <v>-</v>
          </cell>
          <cell r="RHM2" t="str">
            <v>-</v>
          </cell>
          <cell r="RHN2" t="str">
            <v>-</v>
          </cell>
          <cell r="RHO2" t="str">
            <v>-</v>
          </cell>
          <cell r="RHP2" t="str">
            <v>-</v>
          </cell>
          <cell r="RHQ2" t="str">
            <v>-</v>
          </cell>
          <cell r="RHR2" t="str">
            <v>-</v>
          </cell>
          <cell r="RHS2" t="str">
            <v>-</v>
          </cell>
          <cell r="RHT2" t="str">
            <v>-</v>
          </cell>
          <cell r="RHU2" t="str">
            <v>-</v>
          </cell>
          <cell r="RHV2" t="str">
            <v>-</v>
          </cell>
          <cell r="RHW2" t="str">
            <v>-</v>
          </cell>
          <cell r="RHX2" t="str">
            <v>-</v>
          </cell>
          <cell r="RHY2" t="str">
            <v>-</v>
          </cell>
          <cell r="RHZ2" t="str">
            <v>-</v>
          </cell>
          <cell r="RIA2" t="str">
            <v>-</v>
          </cell>
          <cell r="RIB2" t="str">
            <v>-</v>
          </cell>
          <cell r="RIC2" t="str">
            <v>-</v>
          </cell>
          <cell r="RID2" t="str">
            <v>-</v>
          </cell>
          <cell r="RIE2" t="str">
            <v>-</v>
          </cell>
          <cell r="RIF2" t="str">
            <v>-</v>
          </cell>
          <cell r="RIG2" t="str">
            <v>-</v>
          </cell>
          <cell r="RIH2" t="str">
            <v>-</v>
          </cell>
          <cell r="RII2" t="str">
            <v>-</v>
          </cell>
          <cell r="RIJ2" t="str">
            <v>-</v>
          </cell>
          <cell r="RIK2" t="str">
            <v>-</v>
          </cell>
          <cell r="RIL2" t="str">
            <v>-</v>
          </cell>
          <cell r="RIM2" t="str">
            <v>-</v>
          </cell>
          <cell r="RIN2" t="str">
            <v>-</v>
          </cell>
          <cell r="RIO2" t="str">
            <v>-</v>
          </cell>
          <cell r="RIP2" t="str">
            <v>-</v>
          </cell>
          <cell r="RIQ2" t="str">
            <v>-</v>
          </cell>
          <cell r="RIR2" t="str">
            <v>-</v>
          </cell>
          <cell r="RIS2" t="str">
            <v>-</v>
          </cell>
          <cell r="RIT2" t="str">
            <v>-</v>
          </cell>
          <cell r="RIU2" t="str">
            <v>-</v>
          </cell>
          <cell r="RIV2" t="str">
            <v>-</v>
          </cell>
          <cell r="RIW2" t="str">
            <v>-</v>
          </cell>
          <cell r="RIX2" t="str">
            <v>-</v>
          </cell>
          <cell r="RIY2" t="str">
            <v>-</v>
          </cell>
          <cell r="RIZ2" t="str">
            <v>-</v>
          </cell>
          <cell r="RJA2" t="str">
            <v>-</v>
          </cell>
          <cell r="RJB2" t="str">
            <v>-</v>
          </cell>
          <cell r="RJC2" t="str">
            <v>-</v>
          </cell>
          <cell r="RJD2" t="str">
            <v>-</v>
          </cell>
          <cell r="RJE2" t="str">
            <v>-</v>
          </cell>
          <cell r="RJF2" t="str">
            <v>-</v>
          </cell>
          <cell r="RJG2" t="str">
            <v>-</v>
          </cell>
          <cell r="RJH2" t="str">
            <v>-</v>
          </cell>
          <cell r="RJI2" t="str">
            <v>-</v>
          </cell>
          <cell r="RJJ2" t="str">
            <v>-</v>
          </cell>
          <cell r="RJK2" t="str">
            <v>-</v>
          </cell>
          <cell r="RJL2" t="str">
            <v>-</v>
          </cell>
          <cell r="RJM2" t="str">
            <v>-</v>
          </cell>
          <cell r="RJN2" t="str">
            <v>-</v>
          </cell>
          <cell r="RJO2" t="str">
            <v>-</v>
          </cell>
          <cell r="RJP2" t="str">
            <v>-</v>
          </cell>
          <cell r="RJQ2" t="str">
            <v>-</v>
          </cell>
          <cell r="RJR2" t="str">
            <v>-</v>
          </cell>
          <cell r="RJS2" t="str">
            <v>-</v>
          </cell>
          <cell r="RJT2" t="str">
            <v>-</v>
          </cell>
          <cell r="RJU2" t="str">
            <v>-</v>
          </cell>
          <cell r="RJV2" t="str">
            <v>-</v>
          </cell>
          <cell r="RJW2" t="str">
            <v>-</v>
          </cell>
          <cell r="RJX2" t="str">
            <v>-</v>
          </cell>
          <cell r="RJY2" t="str">
            <v>-</v>
          </cell>
          <cell r="RJZ2" t="str">
            <v>-</v>
          </cell>
          <cell r="RKA2" t="str">
            <v>-</v>
          </cell>
          <cell r="RKB2" t="str">
            <v>-</v>
          </cell>
          <cell r="RKC2" t="str">
            <v>-</v>
          </cell>
          <cell r="RKD2" t="str">
            <v>-</v>
          </cell>
          <cell r="RKE2" t="str">
            <v>-</v>
          </cell>
          <cell r="RKF2" t="str">
            <v>-</v>
          </cell>
          <cell r="RKG2" t="str">
            <v>-</v>
          </cell>
          <cell r="RKH2" t="str">
            <v>-</v>
          </cell>
          <cell r="RKI2" t="str">
            <v>-</v>
          </cell>
          <cell r="RKJ2" t="str">
            <v>-</v>
          </cell>
          <cell r="RKK2" t="str">
            <v>-</v>
          </cell>
          <cell r="RKL2" t="str">
            <v>-</v>
          </cell>
          <cell r="RKM2" t="str">
            <v>-</v>
          </cell>
          <cell r="RKN2" t="str">
            <v>-</v>
          </cell>
          <cell r="RKO2" t="str">
            <v>-</v>
          </cell>
          <cell r="RKP2" t="str">
            <v>-</v>
          </cell>
          <cell r="RKQ2" t="str">
            <v>-</v>
          </cell>
          <cell r="RKR2" t="str">
            <v>-</v>
          </cell>
          <cell r="RKS2" t="str">
            <v>-</v>
          </cell>
          <cell r="RKT2" t="str">
            <v>-</v>
          </cell>
          <cell r="RKU2" t="str">
            <v>-</v>
          </cell>
          <cell r="RKV2" t="str">
            <v>-</v>
          </cell>
          <cell r="RKW2" t="str">
            <v>-</v>
          </cell>
          <cell r="RKX2" t="str">
            <v>-</v>
          </cell>
          <cell r="RKY2" t="str">
            <v>-</v>
          </cell>
          <cell r="RKZ2" t="str">
            <v>-</v>
          </cell>
          <cell r="RLA2" t="str">
            <v>-</v>
          </cell>
          <cell r="RLB2" t="str">
            <v>-</v>
          </cell>
          <cell r="RLC2" t="str">
            <v>-</v>
          </cell>
          <cell r="RLD2" t="str">
            <v>-</v>
          </cell>
          <cell r="RLE2" t="str">
            <v>-</v>
          </cell>
          <cell r="RLF2" t="str">
            <v>-</v>
          </cell>
          <cell r="RLG2" t="str">
            <v>-</v>
          </cell>
          <cell r="RLH2" t="str">
            <v>-</v>
          </cell>
          <cell r="RLI2" t="str">
            <v>-</v>
          </cell>
          <cell r="RLJ2" t="str">
            <v>-</v>
          </cell>
          <cell r="RLK2" t="str">
            <v>-</v>
          </cell>
          <cell r="RLL2" t="str">
            <v>-</v>
          </cell>
          <cell r="RLM2" t="str">
            <v>-</v>
          </cell>
          <cell r="RLN2" t="str">
            <v>-</v>
          </cell>
          <cell r="RLO2" t="str">
            <v>-</v>
          </cell>
          <cell r="RLP2" t="str">
            <v>-</v>
          </cell>
          <cell r="RLQ2" t="str">
            <v>-</v>
          </cell>
          <cell r="RLR2" t="str">
            <v>-</v>
          </cell>
          <cell r="RLS2" t="str">
            <v>-</v>
          </cell>
          <cell r="RLT2" t="str">
            <v>-</v>
          </cell>
          <cell r="RLU2" t="str">
            <v>-</v>
          </cell>
          <cell r="RLV2" t="str">
            <v>-</v>
          </cell>
          <cell r="RLW2" t="str">
            <v>-</v>
          </cell>
          <cell r="RLX2" t="str">
            <v>-</v>
          </cell>
          <cell r="RLY2" t="str">
            <v>-</v>
          </cell>
          <cell r="RLZ2" t="str">
            <v>-</v>
          </cell>
          <cell r="RMA2" t="str">
            <v>-</v>
          </cell>
          <cell r="RMB2" t="str">
            <v>-</v>
          </cell>
          <cell r="RMC2" t="str">
            <v>-</v>
          </cell>
          <cell r="RMD2" t="str">
            <v>-</v>
          </cell>
          <cell r="RME2" t="str">
            <v>-</v>
          </cell>
          <cell r="RMF2" t="str">
            <v>-</v>
          </cell>
          <cell r="RMG2" t="str">
            <v>-</v>
          </cell>
          <cell r="RMH2" t="str">
            <v>-</v>
          </cell>
          <cell r="RMI2" t="str">
            <v>-</v>
          </cell>
          <cell r="RMJ2" t="str">
            <v>-</v>
          </cell>
          <cell r="RMK2" t="str">
            <v>-</v>
          </cell>
          <cell r="RML2" t="str">
            <v>-</v>
          </cell>
          <cell r="RMM2" t="str">
            <v>-</v>
          </cell>
          <cell r="RMN2" t="str">
            <v>-</v>
          </cell>
          <cell r="RMO2" t="str">
            <v>-</v>
          </cell>
          <cell r="RMP2" t="str">
            <v>-</v>
          </cell>
          <cell r="RMQ2" t="str">
            <v>-</v>
          </cell>
          <cell r="RMR2" t="str">
            <v>-</v>
          </cell>
          <cell r="RMS2" t="str">
            <v>-</v>
          </cell>
          <cell r="RMT2" t="str">
            <v>-</v>
          </cell>
          <cell r="RMU2" t="str">
            <v>-</v>
          </cell>
          <cell r="RMV2" t="str">
            <v>-</v>
          </cell>
          <cell r="RMW2" t="str">
            <v>-</v>
          </cell>
          <cell r="RMX2" t="str">
            <v>-</v>
          </cell>
          <cell r="RMY2" t="str">
            <v>-</v>
          </cell>
          <cell r="RMZ2" t="str">
            <v>-</v>
          </cell>
          <cell r="RNA2" t="str">
            <v>-</v>
          </cell>
          <cell r="RNB2" t="str">
            <v>-</v>
          </cell>
          <cell r="RNC2" t="str">
            <v>-</v>
          </cell>
          <cell r="RND2" t="str">
            <v>-</v>
          </cell>
          <cell r="RNE2" t="str">
            <v>-</v>
          </cell>
          <cell r="RNF2" t="str">
            <v>-</v>
          </cell>
          <cell r="RNG2" t="str">
            <v>-</v>
          </cell>
          <cell r="RNH2" t="str">
            <v>-</v>
          </cell>
          <cell r="RNI2" t="str">
            <v>-</v>
          </cell>
          <cell r="RNJ2" t="str">
            <v>-</v>
          </cell>
          <cell r="RNK2" t="str">
            <v>-</v>
          </cell>
          <cell r="RNL2" t="str">
            <v>-</v>
          </cell>
          <cell r="RNM2" t="str">
            <v>-</v>
          </cell>
          <cell r="RNN2" t="str">
            <v>-</v>
          </cell>
          <cell r="RNO2" t="str">
            <v>-</v>
          </cell>
          <cell r="RNP2" t="str">
            <v>-</v>
          </cell>
          <cell r="RNQ2" t="str">
            <v>-</v>
          </cell>
          <cell r="RNR2" t="str">
            <v>-</v>
          </cell>
          <cell r="RNS2" t="str">
            <v>-</v>
          </cell>
          <cell r="RNT2" t="str">
            <v>-</v>
          </cell>
          <cell r="RNU2" t="str">
            <v>-</v>
          </cell>
          <cell r="RNV2" t="str">
            <v>-</v>
          </cell>
          <cell r="RNW2" t="str">
            <v>-</v>
          </cell>
          <cell r="RNX2" t="str">
            <v>-</v>
          </cell>
          <cell r="RNY2" t="str">
            <v>-</v>
          </cell>
          <cell r="RNZ2" t="str">
            <v>-</v>
          </cell>
          <cell r="ROA2" t="str">
            <v>-</v>
          </cell>
          <cell r="ROB2" t="str">
            <v>-</v>
          </cell>
          <cell r="ROC2" t="str">
            <v>-</v>
          </cell>
          <cell r="ROD2" t="str">
            <v>-</v>
          </cell>
          <cell r="ROE2" t="str">
            <v>-</v>
          </cell>
          <cell r="ROF2" t="str">
            <v>-</v>
          </cell>
          <cell r="ROG2" t="str">
            <v>-</v>
          </cell>
          <cell r="ROH2" t="str">
            <v>-</v>
          </cell>
          <cell r="ROI2" t="str">
            <v>-</v>
          </cell>
          <cell r="ROJ2" t="str">
            <v>-</v>
          </cell>
          <cell r="ROK2" t="str">
            <v>-</v>
          </cell>
          <cell r="ROL2" t="str">
            <v>-</v>
          </cell>
          <cell r="ROM2" t="str">
            <v>-</v>
          </cell>
          <cell r="RON2" t="str">
            <v>-</v>
          </cell>
          <cell r="ROO2" t="str">
            <v>-</v>
          </cell>
          <cell r="ROP2" t="str">
            <v>-</v>
          </cell>
          <cell r="ROQ2" t="str">
            <v>-</v>
          </cell>
          <cell r="ROR2" t="str">
            <v>-</v>
          </cell>
          <cell r="ROS2" t="str">
            <v>-</v>
          </cell>
          <cell r="ROT2" t="str">
            <v>-</v>
          </cell>
          <cell r="ROU2" t="str">
            <v>-</v>
          </cell>
          <cell r="ROV2" t="str">
            <v>-</v>
          </cell>
          <cell r="ROW2" t="str">
            <v>-</v>
          </cell>
          <cell r="ROX2" t="str">
            <v>-</v>
          </cell>
          <cell r="ROY2" t="str">
            <v>-</v>
          </cell>
          <cell r="ROZ2" t="str">
            <v>-</v>
          </cell>
          <cell r="RPA2" t="str">
            <v>-</v>
          </cell>
          <cell r="RPB2" t="str">
            <v>-</v>
          </cell>
          <cell r="RPC2" t="str">
            <v>-</v>
          </cell>
          <cell r="RPD2" t="str">
            <v>-</v>
          </cell>
          <cell r="RPE2" t="str">
            <v>-</v>
          </cell>
          <cell r="RPF2" t="str">
            <v>-</v>
          </cell>
          <cell r="RPG2" t="str">
            <v>-</v>
          </cell>
          <cell r="RPH2" t="str">
            <v>-</v>
          </cell>
          <cell r="RPI2" t="str">
            <v>-</v>
          </cell>
          <cell r="RPJ2" t="str">
            <v>-</v>
          </cell>
          <cell r="RPK2" t="str">
            <v>-</v>
          </cell>
          <cell r="RPL2" t="str">
            <v>-</v>
          </cell>
          <cell r="RPM2" t="str">
            <v>-</v>
          </cell>
          <cell r="RPN2" t="str">
            <v>-</v>
          </cell>
          <cell r="RPO2" t="str">
            <v>-</v>
          </cell>
          <cell r="RPP2" t="str">
            <v>-</v>
          </cell>
          <cell r="RPQ2" t="str">
            <v>-</v>
          </cell>
          <cell r="RPR2" t="str">
            <v>-</v>
          </cell>
          <cell r="RPS2" t="str">
            <v>-</v>
          </cell>
          <cell r="RPT2" t="str">
            <v>-</v>
          </cell>
          <cell r="RPU2" t="str">
            <v>-</v>
          </cell>
          <cell r="RPV2" t="str">
            <v>-</v>
          </cell>
          <cell r="RPW2" t="str">
            <v>-</v>
          </cell>
          <cell r="RPX2" t="str">
            <v>-</v>
          </cell>
          <cell r="RPY2" t="str">
            <v>-</v>
          </cell>
          <cell r="RPZ2" t="str">
            <v>-</v>
          </cell>
          <cell r="RQA2" t="str">
            <v>-</v>
          </cell>
          <cell r="RQB2" t="str">
            <v>-</v>
          </cell>
          <cell r="RQC2" t="str">
            <v>-</v>
          </cell>
          <cell r="RQD2" t="str">
            <v>-</v>
          </cell>
          <cell r="RQE2" t="str">
            <v>-</v>
          </cell>
          <cell r="RQF2" t="str">
            <v>-</v>
          </cell>
          <cell r="RQG2" t="str">
            <v>-</v>
          </cell>
          <cell r="RQH2" t="str">
            <v>-</v>
          </cell>
          <cell r="RQI2" t="str">
            <v>-</v>
          </cell>
          <cell r="RQJ2" t="str">
            <v>-</v>
          </cell>
          <cell r="RQK2" t="str">
            <v>-</v>
          </cell>
          <cell r="RQL2" t="str">
            <v>-</v>
          </cell>
          <cell r="RQM2" t="str">
            <v>-</v>
          </cell>
          <cell r="RQN2" t="str">
            <v>-</v>
          </cell>
          <cell r="RQO2" t="str">
            <v>-</v>
          </cell>
          <cell r="RQP2" t="str">
            <v>-</v>
          </cell>
          <cell r="RQQ2" t="str">
            <v>-</v>
          </cell>
          <cell r="RQR2" t="str">
            <v>-</v>
          </cell>
          <cell r="RQS2" t="str">
            <v>-</v>
          </cell>
          <cell r="RQT2" t="str">
            <v>-</v>
          </cell>
          <cell r="RQU2" t="str">
            <v>-</v>
          </cell>
          <cell r="RQV2" t="str">
            <v>-</v>
          </cell>
          <cell r="RQW2" t="str">
            <v>-</v>
          </cell>
          <cell r="RQX2" t="str">
            <v>-</v>
          </cell>
          <cell r="RQY2" t="str">
            <v>-</v>
          </cell>
          <cell r="RQZ2" t="str">
            <v>-</v>
          </cell>
          <cell r="RRA2" t="str">
            <v>-</v>
          </cell>
          <cell r="RRB2" t="str">
            <v>-</v>
          </cell>
          <cell r="RRC2" t="str">
            <v>-</v>
          </cell>
          <cell r="RRD2" t="str">
            <v>-</v>
          </cell>
          <cell r="RRE2" t="str">
            <v>-</v>
          </cell>
          <cell r="RRF2" t="str">
            <v>-</v>
          </cell>
          <cell r="RRG2" t="str">
            <v>-</v>
          </cell>
          <cell r="RRH2" t="str">
            <v>-</v>
          </cell>
          <cell r="RRI2" t="str">
            <v>-</v>
          </cell>
          <cell r="RRJ2" t="str">
            <v>-</v>
          </cell>
          <cell r="RRK2" t="str">
            <v>-</v>
          </cell>
          <cell r="RRL2" t="str">
            <v>-</v>
          </cell>
          <cell r="RRM2" t="str">
            <v>-</v>
          </cell>
          <cell r="RRN2" t="str">
            <v>-</v>
          </cell>
          <cell r="RRO2" t="str">
            <v>-</v>
          </cell>
          <cell r="RRP2" t="str">
            <v>-</v>
          </cell>
          <cell r="RRQ2" t="str">
            <v>-</v>
          </cell>
          <cell r="RRR2" t="str">
            <v>-</v>
          </cell>
          <cell r="RRS2" t="str">
            <v>-</v>
          </cell>
          <cell r="RRT2" t="str">
            <v>-</v>
          </cell>
          <cell r="RRU2" t="str">
            <v>-</v>
          </cell>
          <cell r="RRV2" t="str">
            <v>-</v>
          </cell>
          <cell r="RRW2" t="str">
            <v>-</v>
          </cell>
          <cell r="RRX2" t="str">
            <v>-</v>
          </cell>
          <cell r="RRY2" t="str">
            <v>-</v>
          </cell>
          <cell r="RRZ2" t="str">
            <v>-</v>
          </cell>
          <cell r="RSA2" t="str">
            <v>-</v>
          </cell>
          <cell r="RSB2" t="str">
            <v>-</v>
          </cell>
          <cell r="RSC2" t="str">
            <v>-</v>
          </cell>
          <cell r="RSD2" t="str">
            <v>-</v>
          </cell>
          <cell r="RSE2" t="str">
            <v>-</v>
          </cell>
          <cell r="RSF2" t="str">
            <v>-</v>
          </cell>
          <cell r="RSG2" t="str">
            <v>-</v>
          </cell>
          <cell r="RSH2" t="str">
            <v>-</v>
          </cell>
          <cell r="RSI2" t="str">
            <v>-</v>
          </cell>
          <cell r="RSJ2" t="str">
            <v>-</v>
          </cell>
          <cell r="RSK2" t="str">
            <v>-</v>
          </cell>
          <cell r="RSL2" t="str">
            <v>-</v>
          </cell>
          <cell r="RSM2" t="str">
            <v>-</v>
          </cell>
          <cell r="RSN2" t="str">
            <v>-</v>
          </cell>
          <cell r="RSO2" t="str">
            <v>-</v>
          </cell>
          <cell r="RSP2" t="str">
            <v>-</v>
          </cell>
          <cell r="RSQ2" t="str">
            <v>-</v>
          </cell>
          <cell r="RSR2" t="str">
            <v>-</v>
          </cell>
          <cell r="RSS2" t="str">
            <v>-</v>
          </cell>
          <cell r="RST2" t="str">
            <v>-</v>
          </cell>
          <cell r="RSU2" t="str">
            <v>-</v>
          </cell>
          <cell r="RSV2" t="str">
            <v>-</v>
          </cell>
          <cell r="RSW2" t="str">
            <v>-</v>
          </cell>
          <cell r="RSX2" t="str">
            <v>-</v>
          </cell>
          <cell r="RSY2" t="str">
            <v>-</v>
          </cell>
          <cell r="RSZ2" t="str">
            <v>-</v>
          </cell>
          <cell r="RTA2" t="str">
            <v>-</v>
          </cell>
          <cell r="RTB2" t="str">
            <v>-</v>
          </cell>
          <cell r="RTC2" t="str">
            <v>-</v>
          </cell>
          <cell r="RTD2" t="str">
            <v>-</v>
          </cell>
          <cell r="RTE2" t="str">
            <v>-</v>
          </cell>
          <cell r="RTF2" t="str">
            <v>-</v>
          </cell>
          <cell r="RTG2" t="str">
            <v>-</v>
          </cell>
          <cell r="RTH2" t="str">
            <v>-</v>
          </cell>
          <cell r="RTI2" t="str">
            <v>-</v>
          </cell>
          <cell r="RTJ2" t="str">
            <v>-</v>
          </cell>
          <cell r="RTK2" t="str">
            <v>-</v>
          </cell>
          <cell r="RTL2" t="str">
            <v>-</v>
          </cell>
          <cell r="RTM2" t="str">
            <v>-</v>
          </cell>
          <cell r="RTN2" t="str">
            <v>-</v>
          </cell>
          <cell r="RTO2" t="str">
            <v>-</v>
          </cell>
          <cell r="RTP2" t="str">
            <v>-</v>
          </cell>
          <cell r="RTQ2" t="str">
            <v>-</v>
          </cell>
          <cell r="RTR2" t="str">
            <v>-</v>
          </cell>
          <cell r="RTS2" t="str">
            <v>-</v>
          </cell>
          <cell r="RTT2" t="str">
            <v>-</v>
          </cell>
          <cell r="RTU2" t="str">
            <v>-</v>
          </cell>
          <cell r="RTV2" t="str">
            <v>-</v>
          </cell>
          <cell r="RTW2" t="str">
            <v>-</v>
          </cell>
          <cell r="RTX2" t="str">
            <v>-</v>
          </cell>
          <cell r="RTY2" t="str">
            <v>-</v>
          </cell>
          <cell r="RTZ2" t="str">
            <v>-</v>
          </cell>
          <cell r="RUA2" t="str">
            <v>-</v>
          </cell>
          <cell r="RUB2" t="str">
            <v>-</v>
          </cell>
          <cell r="RUC2" t="str">
            <v>-</v>
          </cell>
          <cell r="RUD2" t="str">
            <v>-</v>
          </cell>
          <cell r="RUE2" t="str">
            <v>-</v>
          </cell>
          <cell r="RUF2" t="str">
            <v>-</v>
          </cell>
          <cell r="RUG2" t="str">
            <v>-</v>
          </cell>
          <cell r="RUH2" t="str">
            <v>-</v>
          </cell>
          <cell r="RUI2" t="str">
            <v>-</v>
          </cell>
          <cell r="RUJ2" t="str">
            <v>-</v>
          </cell>
          <cell r="RUK2" t="str">
            <v>-</v>
          </cell>
          <cell r="RUL2" t="str">
            <v>-</v>
          </cell>
          <cell r="RUM2" t="str">
            <v>-</v>
          </cell>
          <cell r="RUN2" t="str">
            <v>-</v>
          </cell>
          <cell r="RUO2" t="str">
            <v>-</v>
          </cell>
          <cell r="RUP2" t="str">
            <v>-</v>
          </cell>
          <cell r="RUQ2" t="str">
            <v>-</v>
          </cell>
          <cell r="RUR2" t="str">
            <v>-</v>
          </cell>
          <cell r="RUS2" t="str">
            <v>-</v>
          </cell>
          <cell r="RUT2" t="str">
            <v>-</v>
          </cell>
          <cell r="RUU2" t="str">
            <v>-</v>
          </cell>
          <cell r="RUV2" t="str">
            <v>-</v>
          </cell>
          <cell r="RUW2" t="str">
            <v>-</v>
          </cell>
          <cell r="RUX2" t="str">
            <v>-</v>
          </cell>
          <cell r="RUY2" t="str">
            <v>-</v>
          </cell>
          <cell r="RUZ2" t="str">
            <v>-</v>
          </cell>
          <cell r="RVA2" t="str">
            <v>-</v>
          </cell>
          <cell r="RVB2" t="str">
            <v>-</v>
          </cell>
          <cell r="RVC2" t="str">
            <v>-</v>
          </cell>
          <cell r="RVD2" t="str">
            <v>-</v>
          </cell>
          <cell r="RVE2" t="str">
            <v>-</v>
          </cell>
          <cell r="RVF2" t="str">
            <v>-</v>
          </cell>
          <cell r="RVG2" t="str">
            <v>-</v>
          </cell>
          <cell r="RVH2" t="str">
            <v>-</v>
          </cell>
          <cell r="RVI2" t="str">
            <v>-</v>
          </cell>
          <cell r="RVJ2" t="str">
            <v>-</v>
          </cell>
          <cell r="RVK2" t="str">
            <v>-</v>
          </cell>
          <cell r="RVL2" t="str">
            <v>-</v>
          </cell>
          <cell r="RVM2" t="str">
            <v>-</v>
          </cell>
          <cell r="RVN2" t="str">
            <v>-</v>
          </cell>
          <cell r="RVO2" t="str">
            <v>-</v>
          </cell>
          <cell r="RVP2" t="str">
            <v>-</v>
          </cell>
          <cell r="RVQ2" t="str">
            <v>-</v>
          </cell>
          <cell r="RVR2" t="str">
            <v>-</v>
          </cell>
          <cell r="RVS2" t="str">
            <v>-</v>
          </cell>
          <cell r="RVT2" t="str">
            <v>-</v>
          </cell>
          <cell r="RVU2" t="str">
            <v>-</v>
          </cell>
          <cell r="RVV2" t="str">
            <v>-</v>
          </cell>
          <cell r="RVW2" t="str">
            <v>-</v>
          </cell>
          <cell r="RVX2" t="str">
            <v>-</v>
          </cell>
          <cell r="RVY2" t="str">
            <v>-</v>
          </cell>
          <cell r="RVZ2" t="str">
            <v>-</v>
          </cell>
          <cell r="RWA2" t="str">
            <v>-</v>
          </cell>
          <cell r="RWB2" t="str">
            <v>-</v>
          </cell>
          <cell r="RWC2" t="str">
            <v>-</v>
          </cell>
          <cell r="RWD2" t="str">
            <v>-</v>
          </cell>
          <cell r="RWE2" t="str">
            <v>-</v>
          </cell>
          <cell r="RWF2" t="str">
            <v>-</v>
          </cell>
          <cell r="RWG2" t="str">
            <v>-</v>
          </cell>
          <cell r="RWH2" t="str">
            <v>-</v>
          </cell>
          <cell r="RWI2" t="str">
            <v>-</v>
          </cell>
          <cell r="RWJ2" t="str">
            <v>-</v>
          </cell>
          <cell r="RWK2" t="str">
            <v>-</v>
          </cell>
          <cell r="RWL2" t="str">
            <v>-</v>
          </cell>
          <cell r="RWM2" t="str">
            <v>-</v>
          </cell>
          <cell r="RWN2" t="str">
            <v>-</v>
          </cell>
          <cell r="RWO2" t="str">
            <v>-</v>
          </cell>
          <cell r="RWP2" t="str">
            <v>-</v>
          </cell>
          <cell r="RWQ2" t="str">
            <v>-</v>
          </cell>
          <cell r="RWR2" t="str">
            <v>-</v>
          </cell>
          <cell r="RWS2" t="str">
            <v>-</v>
          </cell>
          <cell r="RWT2" t="str">
            <v>-</v>
          </cell>
          <cell r="RWU2" t="str">
            <v>-</v>
          </cell>
          <cell r="RWV2" t="str">
            <v>-</v>
          </cell>
          <cell r="RWW2" t="str">
            <v>-</v>
          </cell>
          <cell r="RWX2" t="str">
            <v>-</v>
          </cell>
          <cell r="RWY2" t="str">
            <v>-</v>
          </cell>
          <cell r="RWZ2" t="str">
            <v>-</v>
          </cell>
          <cell r="RXA2" t="str">
            <v>-</v>
          </cell>
          <cell r="RXB2" t="str">
            <v>-</v>
          </cell>
          <cell r="RXC2" t="str">
            <v>-</v>
          </cell>
          <cell r="RXD2" t="str">
            <v>-</v>
          </cell>
          <cell r="RXE2" t="str">
            <v>-</v>
          </cell>
          <cell r="RXF2" t="str">
            <v>-</v>
          </cell>
          <cell r="RXG2" t="str">
            <v>-</v>
          </cell>
          <cell r="RXH2" t="str">
            <v>-</v>
          </cell>
          <cell r="RXI2" t="str">
            <v>-</v>
          </cell>
          <cell r="RXJ2" t="str">
            <v>-</v>
          </cell>
          <cell r="RXK2" t="str">
            <v>-</v>
          </cell>
          <cell r="RXL2" t="str">
            <v>-</v>
          </cell>
          <cell r="RXM2" t="str">
            <v>-</v>
          </cell>
          <cell r="RXN2" t="str">
            <v>-</v>
          </cell>
          <cell r="RXO2" t="str">
            <v>-</v>
          </cell>
          <cell r="RXP2" t="str">
            <v>-</v>
          </cell>
          <cell r="RXQ2" t="str">
            <v>-</v>
          </cell>
          <cell r="RXR2" t="str">
            <v>-</v>
          </cell>
          <cell r="RXS2" t="str">
            <v>-</v>
          </cell>
          <cell r="RXT2" t="str">
            <v>-</v>
          </cell>
          <cell r="RXU2" t="str">
            <v>-</v>
          </cell>
          <cell r="RXV2" t="str">
            <v>-</v>
          </cell>
          <cell r="RXW2" t="str">
            <v>-</v>
          </cell>
          <cell r="RXX2" t="str">
            <v>-</v>
          </cell>
          <cell r="RXY2" t="str">
            <v>-</v>
          </cell>
          <cell r="RXZ2" t="str">
            <v>-</v>
          </cell>
          <cell r="RYA2" t="str">
            <v>-</v>
          </cell>
          <cell r="RYB2" t="str">
            <v>-</v>
          </cell>
          <cell r="RYC2" t="str">
            <v>-</v>
          </cell>
          <cell r="RYD2" t="str">
            <v>-</v>
          </cell>
          <cell r="RYE2" t="str">
            <v>-</v>
          </cell>
          <cell r="RYF2" t="str">
            <v>-</v>
          </cell>
          <cell r="RYG2" t="str">
            <v>-</v>
          </cell>
          <cell r="RYH2" t="str">
            <v>-</v>
          </cell>
          <cell r="RYI2" t="str">
            <v>-</v>
          </cell>
          <cell r="RYJ2" t="str">
            <v>-</v>
          </cell>
          <cell r="RYK2" t="str">
            <v>-</v>
          </cell>
          <cell r="RYL2" t="str">
            <v>-</v>
          </cell>
          <cell r="RYM2" t="str">
            <v>-</v>
          </cell>
          <cell r="RYN2" t="str">
            <v>-</v>
          </cell>
          <cell r="RYO2" t="str">
            <v>-</v>
          </cell>
          <cell r="RYP2" t="str">
            <v>-</v>
          </cell>
          <cell r="RYQ2" t="str">
            <v>-</v>
          </cell>
          <cell r="RYR2" t="str">
            <v>-</v>
          </cell>
          <cell r="RYS2" t="str">
            <v>-</v>
          </cell>
          <cell r="RYT2" t="str">
            <v>-</v>
          </cell>
          <cell r="RYU2" t="str">
            <v>-</v>
          </cell>
          <cell r="RYV2" t="str">
            <v>-</v>
          </cell>
          <cell r="RYW2" t="str">
            <v>-</v>
          </cell>
          <cell r="RYX2" t="str">
            <v>-</v>
          </cell>
          <cell r="RYY2" t="str">
            <v>-</v>
          </cell>
          <cell r="RYZ2" t="str">
            <v>-</v>
          </cell>
          <cell r="RZA2" t="str">
            <v>-</v>
          </cell>
          <cell r="RZB2" t="str">
            <v>-</v>
          </cell>
          <cell r="RZC2" t="str">
            <v>-</v>
          </cell>
          <cell r="RZD2" t="str">
            <v>-</v>
          </cell>
          <cell r="RZE2" t="str">
            <v>-</v>
          </cell>
          <cell r="RZF2" t="str">
            <v>-</v>
          </cell>
          <cell r="RZG2" t="str">
            <v>-</v>
          </cell>
          <cell r="RZH2" t="str">
            <v>-</v>
          </cell>
          <cell r="RZI2" t="str">
            <v>-</v>
          </cell>
          <cell r="RZJ2" t="str">
            <v>-</v>
          </cell>
          <cell r="RZK2" t="str">
            <v>-</v>
          </cell>
          <cell r="RZL2" t="str">
            <v>-</v>
          </cell>
          <cell r="RZM2" t="str">
            <v>-</v>
          </cell>
          <cell r="RZN2" t="str">
            <v>-</v>
          </cell>
          <cell r="RZO2" t="str">
            <v>-</v>
          </cell>
          <cell r="RZP2" t="str">
            <v>-</v>
          </cell>
          <cell r="RZQ2" t="str">
            <v>-</v>
          </cell>
          <cell r="RZR2" t="str">
            <v>-</v>
          </cell>
          <cell r="RZS2" t="str">
            <v>-</v>
          </cell>
          <cell r="RZT2" t="str">
            <v>-</v>
          </cell>
          <cell r="RZU2" t="str">
            <v>-</v>
          </cell>
          <cell r="RZV2" t="str">
            <v>-</v>
          </cell>
          <cell r="RZW2" t="str">
            <v>-</v>
          </cell>
          <cell r="RZX2" t="str">
            <v>-</v>
          </cell>
          <cell r="RZY2" t="str">
            <v>-</v>
          </cell>
          <cell r="RZZ2" t="str">
            <v>-</v>
          </cell>
          <cell r="SAA2" t="str">
            <v>-</v>
          </cell>
          <cell r="SAB2" t="str">
            <v>-</v>
          </cell>
          <cell r="SAC2" t="str">
            <v>-</v>
          </cell>
          <cell r="SAD2" t="str">
            <v>-</v>
          </cell>
          <cell r="SAE2" t="str">
            <v>-</v>
          </cell>
          <cell r="SAF2" t="str">
            <v>-</v>
          </cell>
          <cell r="SAG2" t="str">
            <v>-</v>
          </cell>
          <cell r="SAH2" t="str">
            <v>-</v>
          </cell>
          <cell r="SAI2" t="str">
            <v>-</v>
          </cell>
          <cell r="SAJ2" t="str">
            <v>-</v>
          </cell>
          <cell r="SAK2" t="str">
            <v>-</v>
          </cell>
          <cell r="SAL2" t="str">
            <v>-</v>
          </cell>
          <cell r="SAM2" t="str">
            <v>-</v>
          </cell>
          <cell r="SAN2" t="str">
            <v>-</v>
          </cell>
          <cell r="SAO2" t="str">
            <v>-</v>
          </cell>
          <cell r="SAP2" t="str">
            <v>-</v>
          </cell>
          <cell r="SAQ2" t="str">
            <v>-</v>
          </cell>
          <cell r="SAR2" t="str">
            <v>-</v>
          </cell>
          <cell r="SAS2" t="str">
            <v>-</v>
          </cell>
          <cell r="SAT2" t="str">
            <v>-</v>
          </cell>
          <cell r="SAU2" t="str">
            <v>-</v>
          </cell>
          <cell r="SAV2" t="str">
            <v>-</v>
          </cell>
          <cell r="SAW2" t="str">
            <v>-</v>
          </cell>
          <cell r="SAX2" t="str">
            <v>-</v>
          </cell>
          <cell r="SAY2" t="str">
            <v>-</v>
          </cell>
          <cell r="SAZ2" t="str">
            <v>-</v>
          </cell>
          <cell r="SBA2" t="str">
            <v>-</v>
          </cell>
          <cell r="SBB2" t="str">
            <v>-</v>
          </cell>
          <cell r="SBC2" t="str">
            <v>-</v>
          </cell>
          <cell r="SBD2" t="str">
            <v>-</v>
          </cell>
          <cell r="SBE2" t="str">
            <v>-</v>
          </cell>
          <cell r="SBF2" t="str">
            <v>-</v>
          </cell>
          <cell r="SBG2" t="str">
            <v>-</v>
          </cell>
          <cell r="SBH2" t="str">
            <v>-</v>
          </cell>
          <cell r="SBI2" t="str">
            <v>-</v>
          </cell>
          <cell r="SBJ2" t="str">
            <v>-</v>
          </cell>
          <cell r="SBK2" t="str">
            <v>-</v>
          </cell>
          <cell r="SBL2" t="str">
            <v>-</v>
          </cell>
          <cell r="SBM2" t="str">
            <v>-</v>
          </cell>
          <cell r="SBN2" t="str">
            <v>-</v>
          </cell>
          <cell r="SBO2" t="str">
            <v>-</v>
          </cell>
          <cell r="SBP2" t="str">
            <v>-</v>
          </cell>
          <cell r="SBQ2" t="str">
            <v>-</v>
          </cell>
          <cell r="SBR2" t="str">
            <v>-</v>
          </cell>
          <cell r="SBS2" t="str">
            <v>-</v>
          </cell>
          <cell r="SBT2" t="str">
            <v>-</v>
          </cell>
          <cell r="SBU2" t="str">
            <v>-</v>
          </cell>
          <cell r="SBV2" t="str">
            <v>-</v>
          </cell>
          <cell r="SBW2" t="str">
            <v>-</v>
          </cell>
          <cell r="SBX2" t="str">
            <v>-</v>
          </cell>
          <cell r="SBY2" t="str">
            <v>-</v>
          </cell>
          <cell r="SBZ2" t="str">
            <v>-</v>
          </cell>
          <cell r="SCA2" t="str">
            <v>-</v>
          </cell>
          <cell r="SCB2" t="str">
            <v>-</v>
          </cell>
          <cell r="SCC2" t="str">
            <v>-</v>
          </cell>
          <cell r="SCD2" t="str">
            <v>-</v>
          </cell>
          <cell r="SCE2" t="str">
            <v>-</v>
          </cell>
          <cell r="SCF2" t="str">
            <v>-</v>
          </cell>
          <cell r="SCG2" t="str">
            <v>-</v>
          </cell>
          <cell r="SCH2" t="str">
            <v>-</v>
          </cell>
          <cell r="SCI2" t="str">
            <v>-</v>
          </cell>
          <cell r="SCJ2" t="str">
            <v>-</v>
          </cell>
          <cell r="SCK2" t="str">
            <v>-</v>
          </cell>
          <cell r="SCL2" t="str">
            <v>-</v>
          </cell>
          <cell r="SCM2" t="str">
            <v>-</v>
          </cell>
          <cell r="SCN2" t="str">
            <v>-</v>
          </cell>
          <cell r="SCO2" t="str">
            <v>-</v>
          </cell>
          <cell r="SCP2" t="str">
            <v>-</v>
          </cell>
          <cell r="SCQ2" t="str">
            <v>-</v>
          </cell>
          <cell r="SCR2" t="str">
            <v>-</v>
          </cell>
          <cell r="SCS2" t="str">
            <v>-</v>
          </cell>
          <cell r="SCT2" t="str">
            <v>-</v>
          </cell>
          <cell r="SCU2" t="str">
            <v>-</v>
          </cell>
          <cell r="SCV2" t="str">
            <v>-</v>
          </cell>
          <cell r="SCW2" t="str">
            <v>-</v>
          </cell>
          <cell r="SCX2" t="str">
            <v>-</v>
          </cell>
          <cell r="SCY2" t="str">
            <v>-</v>
          </cell>
          <cell r="SCZ2" t="str">
            <v>-</v>
          </cell>
          <cell r="SDA2" t="str">
            <v>-</v>
          </cell>
          <cell r="SDB2" t="str">
            <v>-</v>
          </cell>
          <cell r="SDC2" t="str">
            <v>-</v>
          </cell>
          <cell r="SDD2" t="str">
            <v>-</v>
          </cell>
          <cell r="SDE2" t="str">
            <v>-</v>
          </cell>
          <cell r="SDF2" t="str">
            <v>-</v>
          </cell>
          <cell r="SDG2" t="str">
            <v>-</v>
          </cell>
          <cell r="SDH2" t="str">
            <v>-</v>
          </cell>
          <cell r="SDI2" t="str">
            <v>-</v>
          </cell>
          <cell r="SDJ2" t="str">
            <v>-</v>
          </cell>
          <cell r="SDK2" t="str">
            <v>-</v>
          </cell>
          <cell r="SDL2" t="str">
            <v>-</v>
          </cell>
          <cell r="SDM2" t="str">
            <v>-</v>
          </cell>
          <cell r="SDN2" t="str">
            <v>-</v>
          </cell>
          <cell r="SDO2" t="str">
            <v>-</v>
          </cell>
          <cell r="SDP2" t="str">
            <v>-</v>
          </cell>
          <cell r="SDQ2" t="str">
            <v>-</v>
          </cell>
          <cell r="SDR2" t="str">
            <v>-</v>
          </cell>
          <cell r="SDS2" t="str">
            <v>-</v>
          </cell>
          <cell r="SDT2" t="str">
            <v>-</v>
          </cell>
          <cell r="SDU2" t="str">
            <v>-</v>
          </cell>
          <cell r="SDV2" t="str">
            <v>-</v>
          </cell>
          <cell r="SDW2" t="str">
            <v>-</v>
          </cell>
          <cell r="SDX2" t="str">
            <v>-</v>
          </cell>
          <cell r="SDY2" t="str">
            <v>-</v>
          </cell>
          <cell r="SDZ2" t="str">
            <v>-</v>
          </cell>
          <cell r="SEA2" t="str">
            <v>-</v>
          </cell>
          <cell r="SEB2" t="str">
            <v>-</v>
          </cell>
          <cell r="SEC2" t="str">
            <v>-</v>
          </cell>
          <cell r="SED2" t="str">
            <v>-</v>
          </cell>
          <cell r="SEE2" t="str">
            <v>-</v>
          </cell>
          <cell r="SEF2" t="str">
            <v>-</v>
          </cell>
          <cell r="SEG2" t="str">
            <v>-</v>
          </cell>
          <cell r="SEH2" t="str">
            <v>-</v>
          </cell>
          <cell r="SEI2" t="str">
            <v>-</v>
          </cell>
          <cell r="SEJ2" t="str">
            <v>-</v>
          </cell>
          <cell r="SEK2" t="str">
            <v>-</v>
          </cell>
          <cell r="SEL2" t="str">
            <v>-</v>
          </cell>
          <cell r="SEM2" t="str">
            <v>-</v>
          </cell>
          <cell r="SEN2" t="str">
            <v>-</v>
          </cell>
          <cell r="SEO2" t="str">
            <v>-</v>
          </cell>
          <cell r="SEP2" t="str">
            <v>-</v>
          </cell>
          <cell r="SEQ2" t="str">
            <v>-</v>
          </cell>
          <cell r="SER2" t="str">
            <v>-</v>
          </cell>
          <cell r="SES2" t="str">
            <v>-</v>
          </cell>
          <cell r="SET2" t="str">
            <v>-</v>
          </cell>
          <cell r="SEU2" t="str">
            <v>-</v>
          </cell>
          <cell r="SEV2" t="str">
            <v>-</v>
          </cell>
          <cell r="SEW2" t="str">
            <v>-</v>
          </cell>
          <cell r="SEX2" t="str">
            <v>-</v>
          </cell>
          <cell r="SEY2" t="str">
            <v>-</v>
          </cell>
          <cell r="SEZ2" t="str">
            <v>-</v>
          </cell>
          <cell r="SFA2" t="str">
            <v>-</v>
          </cell>
          <cell r="SFB2" t="str">
            <v>-</v>
          </cell>
          <cell r="SFC2" t="str">
            <v>-</v>
          </cell>
          <cell r="SFD2" t="str">
            <v>-</v>
          </cell>
          <cell r="SFE2" t="str">
            <v>-</v>
          </cell>
          <cell r="SFF2" t="str">
            <v>-</v>
          </cell>
          <cell r="SFG2" t="str">
            <v>-</v>
          </cell>
          <cell r="SFH2" t="str">
            <v>-</v>
          </cell>
          <cell r="SFI2" t="str">
            <v>-</v>
          </cell>
          <cell r="SFJ2" t="str">
            <v>-</v>
          </cell>
          <cell r="SFK2" t="str">
            <v>-</v>
          </cell>
          <cell r="SFL2" t="str">
            <v>-</v>
          </cell>
          <cell r="SFM2" t="str">
            <v>-</v>
          </cell>
          <cell r="SFN2" t="str">
            <v>-</v>
          </cell>
          <cell r="SFO2" t="str">
            <v>-</v>
          </cell>
          <cell r="SFP2" t="str">
            <v>-</v>
          </cell>
          <cell r="SFQ2" t="str">
            <v>-</v>
          </cell>
          <cell r="SFR2" t="str">
            <v>-</v>
          </cell>
          <cell r="SFS2" t="str">
            <v>-</v>
          </cell>
          <cell r="SFT2" t="str">
            <v>-</v>
          </cell>
          <cell r="SFU2" t="str">
            <v>-</v>
          </cell>
          <cell r="SFV2" t="str">
            <v>-</v>
          </cell>
          <cell r="SFW2" t="str">
            <v>-</v>
          </cell>
          <cell r="SFX2" t="str">
            <v>-</v>
          </cell>
          <cell r="SFY2" t="str">
            <v>-</v>
          </cell>
          <cell r="SFZ2" t="str">
            <v>-</v>
          </cell>
          <cell r="SGA2" t="str">
            <v>-</v>
          </cell>
          <cell r="SGB2" t="str">
            <v>-</v>
          </cell>
          <cell r="SGC2" t="str">
            <v>-</v>
          </cell>
          <cell r="SGD2" t="str">
            <v>-</v>
          </cell>
          <cell r="SGE2" t="str">
            <v>-</v>
          </cell>
          <cell r="SGF2" t="str">
            <v>-</v>
          </cell>
          <cell r="SGG2" t="str">
            <v>-</v>
          </cell>
          <cell r="SGH2" t="str">
            <v>-</v>
          </cell>
          <cell r="SGI2" t="str">
            <v>-</v>
          </cell>
          <cell r="SGJ2" t="str">
            <v>-</v>
          </cell>
          <cell r="SGK2" t="str">
            <v>-</v>
          </cell>
          <cell r="SGL2" t="str">
            <v>-</v>
          </cell>
          <cell r="SGM2" t="str">
            <v>-</v>
          </cell>
          <cell r="SGN2" t="str">
            <v>-</v>
          </cell>
          <cell r="SGO2" t="str">
            <v>-</v>
          </cell>
          <cell r="SGP2" t="str">
            <v>-</v>
          </cell>
          <cell r="SGQ2" t="str">
            <v>-</v>
          </cell>
          <cell r="SGR2" t="str">
            <v>-</v>
          </cell>
          <cell r="SGS2" t="str">
            <v>-</v>
          </cell>
          <cell r="SGT2" t="str">
            <v>-</v>
          </cell>
          <cell r="SGU2" t="str">
            <v>-</v>
          </cell>
          <cell r="SGV2" t="str">
            <v>-</v>
          </cell>
          <cell r="SGW2" t="str">
            <v>-</v>
          </cell>
          <cell r="SGX2" t="str">
            <v>-</v>
          </cell>
          <cell r="SGY2" t="str">
            <v>-</v>
          </cell>
          <cell r="SGZ2" t="str">
            <v>-</v>
          </cell>
          <cell r="SHA2" t="str">
            <v>-</v>
          </cell>
          <cell r="SHB2" t="str">
            <v>-</v>
          </cell>
          <cell r="SHC2" t="str">
            <v>-</v>
          </cell>
          <cell r="SHD2" t="str">
            <v>-</v>
          </cell>
          <cell r="SHE2" t="str">
            <v>-</v>
          </cell>
          <cell r="SHF2" t="str">
            <v>-</v>
          </cell>
          <cell r="SHG2" t="str">
            <v>-</v>
          </cell>
          <cell r="SHH2" t="str">
            <v>-</v>
          </cell>
          <cell r="SHI2" t="str">
            <v>-</v>
          </cell>
          <cell r="SHJ2" t="str">
            <v>-</v>
          </cell>
          <cell r="SHK2" t="str">
            <v>-</v>
          </cell>
          <cell r="SHL2" t="str">
            <v>-</v>
          </cell>
          <cell r="SHM2" t="str">
            <v>-</v>
          </cell>
          <cell r="SHN2" t="str">
            <v>-</v>
          </cell>
          <cell r="SHO2" t="str">
            <v>-</v>
          </cell>
          <cell r="SHP2" t="str">
            <v>-</v>
          </cell>
          <cell r="SHQ2" t="str">
            <v>-</v>
          </cell>
          <cell r="SHR2" t="str">
            <v>-</v>
          </cell>
          <cell r="SHS2" t="str">
            <v>-</v>
          </cell>
          <cell r="SHT2" t="str">
            <v>-</v>
          </cell>
          <cell r="SHU2" t="str">
            <v>-</v>
          </cell>
          <cell r="SHV2" t="str">
            <v>-</v>
          </cell>
          <cell r="SHW2" t="str">
            <v>-</v>
          </cell>
          <cell r="SHX2" t="str">
            <v>-</v>
          </cell>
          <cell r="SHY2" t="str">
            <v>-</v>
          </cell>
          <cell r="SHZ2" t="str">
            <v>-</v>
          </cell>
          <cell r="SIA2" t="str">
            <v>-</v>
          </cell>
          <cell r="SIB2" t="str">
            <v>-</v>
          </cell>
          <cell r="SIC2" t="str">
            <v>-</v>
          </cell>
          <cell r="SID2" t="str">
            <v>-</v>
          </cell>
          <cell r="SIE2" t="str">
            <v>-</v>
          </cell>
          <cell r="SIF2" t="str">
            <v>-</v>
          </cell>
          <cell r="SIG2" t="str">
            <v>-</v>
          </cell>
          <cell r="SIH2" t="str">
            <v>-</v>
          </cell>
          <cell r="SII2" t="str">
            <v>-</v>
          </cell>
          <cell r="SIJ2" t="str">
            <v>-</v>
          </cell>
          <cell r="SIK2" t="str">
            <v>-</v>
          </cell>
          <cell r="SIL2" t="str">
            <v>-</v>
          </cell>
          <cell r="SIM2" t="str">
            <v>-</v>
          </cell>
          <cell r="SIN2" t="str">
            <v>-</v>
          </cell>
          <cell r="SIO2" t="str">
            <v>-</v>
          </cell>
          <cell r="SIP2" t="str">
            <v>-</v>
          </cell>
          <cell r="SIQ2" t="str">
            <v>-</v>
          </cell>
          <cell r="SIR2" t="str">
            <v>-</v>
          </cell>
          <cell r="SIS2" t="str">
            <v>-</v>
          </cell>
          <cell r="SIT2" t="str">
            <v>-</v>
          </cell>
          <cell r="SIU2" t="str">
            <v>-</v>
          </cell>
          <cell r="SIV2" t="str">
            <v>-</v>
          </cell>
          <cell r="SIW2" t="str">
            <v>-</v>
          </cell>
          <cell r="SIX2" t="str">
            <v>-</v>
          </cell>
          <cell r="SIY2" t="str">
            <v>-</v>
          </cell>
          <cell r="SIZ2" t="str">
            <v>-</v>
          </cell>
          <cell r="SJA2" t="str">
            <v>-</v>
          </cell>
          <cell r="SJB2" t="str">
            <v>-</v>
          </cell>
          <cell r="SJC2" t="str">
            <v>-</v>
          </cell>
          <cell r="SJD2" t="str">
            <v>-</v>
          </cell>
          <cell r="SJE2" t="str">
            <v>-</v>
          </cell>
          <cell r="SJF2" t="str">
            <v>-</v>
          </cell>
          <cell r="SJG2" t="str">
            <v>-</v>
          </cell>
          <cell r="SJH2" t="str">
            <v>-</v>
          </cell>
          <cell r="SJI2" t="str">
            <v>-</v>
          </cell>
          <cell r="SJJ2" t="str">
            <v>-</v>
          </cell>
          <cell r="SJK2" t="str">
            <v>-</v>
          </cell>
          <cell r="SJL2" t="str">
            <v>-</v>
          </cell>
          <cell r="SJM2" t="str">
            <v>-</v>
          </cell>
          <cell r="SJN2" t="str">
            <v>-</v>
          </cell>
          <cell r="SJO2" t="str">
            <v>-</v>
          </cell>
          <cell r="SJP2" t="str">
            <v>-</v>
          </cell>
          <cell r="SJQ2" t="str">
            <v>-</v>
          </cell>
          <cell r="SJR2" t="str">
            <v>-</v>
          </cell>
          <cell r="SJS2" t="str">
            <v>-</v>
          </cell>
          <cell r="SJT2" t="str">
            <v>-</v>
          </cell>
          <cell r="SJU2" t="str">
            <v>-</v>
          </cell>
          <cell r="SJV2" t="str">
            <v>-</v>
          </cell>
          <cell r="SJW2" t="str">
            <v>-</v>
          </cell>
          <cell r="SJX2" t="str">
            <v>-</v>
          </cell>
          <cell r="SJY2" t="str">
            <v>-</v>
          </cell>
          <cell r="SJZ2" t="str">
            <v>-</v>
          </cell>
          <cell r="SKA2" t="str">
            <v>-</v>
          </cell>
          <cell r="SKB2" t="str">
            <v>-</v>
          </cell>
          <cell r="SKC2" t="str">
            <v>-</v>
          </cell>
          <cell r="SKD2" t="str">
            <v>-</v>
          </cell>
          <cell r="SKE2" t="str">
            <v>-</v>
          </cell>
          <cell r="SKF2" t="str">
            <v>-</v>
          </cell>
          <cell r="SKG2" t="str">
            <v>-</v>
          </cell>
          <cell r="SKH2" t="str">
            <v>-</v>
          </cell>
          <cell r="SKI2" t="str">
            <v>-</v>
          </cell>
          <cell r="SKJ2" t="str">
            <v>-</v>
          </cell>
          <cell r="SKK2" t="str">
            <v>-</v>
          </cell>
          <cell r="SKL2" t="str">
            <v>-</v>
          </cell>
          <cell r="SKM2" t="str">
            <v>-</v>
          </cell>
          <cell r="SKN2" t="str">
            <v>-</v>
          </cell>
          <cell r="SKO2" t="str">
            <v>-</v>
          </cell>
          <cell r="SKP2" t="str">
            <v>-</v>
          </cell>
          <cell r="SKQ2" t="str">
            <v>-</v>
          </cell>
          <cell r="SKR2" t="str">
            <v>-</v>
          </cell>
          <cell r="SKS2" t="str">
            <v>-</v>
          </cell>
          <cell r="SKT2" t="str">
            <v>-</v>
          </cell>
          <cell r="SKU2" t="str">
            <v>-</v>
          </cell>
          <cell r="SKV2" t="str">
            <v>-</v>
          </cell>
          <cell r="SKW2" t="str">
            <v>-</v>
          </cell>
          <cell r="SKX2" t="str">
            <v>-</v>
          </cell>
          <cell r="SKY2" t="str">
            <v>-</v>
          </cell>
          <cell r="SKZ2" t="str">
            <v>-</v>
          </cell>
          <cell r="SLA2" t="str">
            <v>-</v>
          </cell>
          <cell r="SLB2" t="str">
            <v>-</v>
          </cell>
          <cell r="SLC2" t="str">
            <v>-</v>
          </cell>
          <cell r="SLD2" t="str">
            <v>-</v>
          </cell>
          <cell r="SLE2" t="str">
            <v>-</v>
          </cell>
          <cell r="SLF2" t="str">
            <v>-</v>
          </cell>
          <cell r="SLG2" t="str">
            <v>-</v>
          </cell>
          <cell r="SLH2" t="str">
            <v>-</v>
          </cell>
          <cell r="SLI2" t="str">
            <v>-</v>
          </cell>
          <cell r="SLJ2" t="str">
            <v>-</v>
          </cell>
          <cell r="SLK2" t="str">
            <v>-</v>
          </cell>
          <cell r="SLL2" t="str">
            <v>-</v>
          </cell>
          <cell r="SLM2" t="str">
            <v>-</v>
          </cell>
          <cell r="SLN2" t="str">
            <v>-</v>
          </cell>
          <cell r="SLO2" t="str">
            <v>-</v>
          </cell>
          <cell r="SLP2" t="str">
            <v>-</v>
          </cell>
          <cell r="SLQ2" t="str">
            <v>-</v>
          </cell>
          <cell r="SLR2" t="str">
            <v>-</v>
          </cell>
          <cell r="SLS2" t="str">
            <v>-</v>
          </cell>
          <cell r="SLT2" t="str">
            <v>-</v>
          </cell>
          <cell r="SLU2" t="str">
            <v>-</v>
          </cell>
          <cell r="SLV2" t="str">
            <v>-</v>
          </cell>
          <cell r="SLW2" t="str">
            <v>-</v>
          </cell>
          <cell r="SLX2" t="str">
            <v>-</v>
          </cell>
          <cell r="SLY2" t="str">
            <v>-</v>
          </cell>
          <cell r="SLZ2" t="str">
            <v>-</v>
          </cell>
          <cell r="SMA2" t="str">
            <v>-</v>
          </cell>
          <cell r="SMB2" t="str">
            <v>-</v>
          </cell>
          <cell r="SMC2" t="str">
            <v>-</v>
          </cell>
          <cell r="SMD2" t="str">
            <v>-</v>
          </cell>
          <cell r="SME2" t="str">
            <v>-</v>
          </cell>
          <cell r="SMF2" t="str">
            <v>-</v>
          </cell>
          <cell r="SMG2" t="str">
            <v>-</v>
          </cell>
          <cell r="SMH2" t="str">
            <v>-</v>
          </cell>
          <cell r="SMI2" t="str">
            <v>-</v>
          </cell>
          <cell r="SMJ2" t="str">
            <v>-</v>
          </cell>
          <cell r="SMK2" t="str">
            <v>-</v>
          </cell>
          <cell r="SML2" t="str">
            <v>-</v>
          </cell>
          <cell r="SMM2" t="str">
            <v>-</v>
          </cell>
          <cell r="SMN2" t="str">
            <v>-</v>
          </cell>
          <cell r="SMO2" t="str">
            <v>-</v>
          </cell>
          <cell r="SMP2" t="str">
            <v>-</v>
          </cell>
          <cell r="SMQ2" t="str">
            <v>-</v>
          </cell>
          <cell r="SMR2" t="str">
            <v>-</v>
          </cell>
          <cell r="SMS2" t="str">
            <v>-</v>
          </cell>
          <cell r="SMT2" t="str">
            <v>-</v>
          </cell>
          <cell r="SMU2" t="str">
            <v>-</v>
          </cell>
          <cell r="SMV2" t="str">
            <v>-</v>
          </cell>
          <cell r="SMW2" t="str">
            <v>-</v>
          </cell>
          <cell r="SMX2" t="str">
            <v>-</v>
          </cell>
          <cell r="SMY2" t="str">
            <v>-</v>
          </cell>
          <cell r="SMZ2" t="str">
            <v>-</v>
          </cell>
          <cell r="SNA2" t="str">
            <v>-</v>
          </cell>
          <cell r="SNB2" t="str">
            <v>-</v>
          </cell>
          <cell r="SNC2" t="str">
            <v>-</v>
          </cell>
          <cell r="SND2" t="str">
            <v>-</v>
          </cell>
          <cell r="SNE2" t="str">
            <v>-</v>
          </cell>
          <cell r="SNF2" t="str">
            <v>-</v>
          </cell>
          <cell r="SNG2" t="str">
            <v>-</v>
          </cell>
          <cell r="SNH2" t="str">
            <v>-</v>
          </cell>
          <cell r="SNI2" t="str">
            <v>-</v>
          </cell>
          <cell r="SNJ2" t="str">
            <v>-</v>
          </cell>
          <cell r="SNK2" t="str">
            <v>-</v>
          </cell>
          <cell r="SNL2" t="str">
            <v>-</v>
          </cell>
          <cell r="SNM2" t="str">
            <v>-</v>
          </cell>
          <cell r="SNN2" t="str">
            <v>-</v>
          </cell>
          <cell r="SNO2" t="str">
            <v>-</v>
          </cell>
          <cell r="SNP2" t="str">
            <v>-</v>
          </cell>
          <cell r="SNQ2" t="str">
            <v>-</v>
          </cell>
          <cell r="SNR2" t="str">
            <v>-</v>
          </cell>
          <cell r="SNS2" t="str">
            <v>-</v>
          </cell>
          <cell r="SNT2" t="str">
            <v>-</v>
          </cell>
          <cell r="SNU2" t="str">
            <v>-</v>
          </cell>
          <cell r="SNV2" t="str">
            <v>-</v>
          </cell>
          <cell r="SNW2" t="str">
            <v>-</v>
          </cell>
          <cell r="SNX2" t="str">
            <v>-</v>
          </cell>
          <cell r="SNY2" t="str">
            <v>-</v>
          </cell>
          <cell r="SNZ2" t="str">
            <v>-</v>
          </cell>
          <cell r="SOA2" t="str">
            <v>-</v>
          </cell>
          <cell r="SOB2" t="str">
            <v>-</v>
          </cell>
          <cell r="SOC2" t="str">
            <v>-</v>
          </cell>
          <cell r="SOD2" t="str">
            <v>-</v>
          </cell>
          <cell r="SOE2" t="str">
            <v>-</v>
          </cell>
          <cell r="SOF2" t="str">
            <v>-</v>
          </cell>
          <cell r="SOG2" t="str">
            <v>-</v>
          </cell>
          <cell r="SOH2" t="str">
            <v>-</v>
          </cell>
          <cell r="SOI2" t="str">
            <v>-</v>
          </cell>
          <cell r="SOJ2" t="str">
            <v>-</v>
          </cell>
          <cell r="SOK2" t="str">
            <v>-</v>
          </cell>
          <cell r="SOL2" t="str">
            <v>-</v>
          </cell>
          <cell r="SOM2" t="str">
            <v>-</v>
          </cell>
          <cell r="SON2" t="str">
            <v>-</v>
          </cell>
          <cell r="SOO2" t="str">
            <v>-</v>
          </cell>
          <cell r="SOP2" t="str">
            <v>-</v>
          </cell>
          <cell r="SOQ2" t="str">
            <v>-</v>
          </cell>
          <cell r="SOR2" t="str">
            <v>-</v>
          </cell>
          <cell r="SOS2" t="str">
            <v>-</v>
          </cell>
          <cell r="SOT2" t="str">
            <v>-</v>
          </cell>
          <cell r="SOU2" t="str">
            <v>-</v>
          </cell>
          <cell r="SOV2" t="str">
            <v>-</v>
          </cell>
          <cell r="SOW2" t="str">
            <v>-</v>
          </cell>
          <cell r="SOX2" t="str">
            <v>-</v>
          </cell>
          <cell r="SOY2" t="str">
            <v>-</v>
          </cell>
          <cell r="SOZ2" t="str">
            <v>-</v>
          </cell>
          <cell r="SPA2" t="str">
            <v>-</v>
          </cell>
          <cell r="SPB2" t="str">
            <v>-</v>
          </cell>
          <cell r="SPC2" t="str">
            <v>-</v>
          </cell>
          <cell r="SPD2" t="str">
            <v>-</v>
          </cell>
          <cell r="SPE2" t="str">
            <v>-</v>
          </cell>
          <cell r="SPF2" t="str">
            <v>-</v>
          </cell>
          <cell r="SPG2" t="str">
            <v>-</v>
          </cell>
          <cell r="SPH2" t="str">
            <v>-</v>
          </cell>
          <cell r="SPI2" t="str">
            <v>-</v>
          </cell>
          <cell r="SPJ2" t="str">
            <v>-</v>
          </cell>
          <cell r="SPK2" t="str">
            <v>-</v>
          </cell>
          <cell r="SPL2" t="str">
            <v>-</v>
          </cell>
          <cell r="SPM2" t="str">
            <v>-</v>
          </cell>
          <cell r="SPN2" t="str">
            <v>-</v>
          </cell>
          <cell r="SPO2" t="str">
            <v>-</v>
          </cell>
          <cell r="SPP2" t="str">
            <v>-</v>
          </cell>
          <cell r="SPQ2" t="str">
            <v>-</v>
          </cell>
          <cell r="SPR2" t="str">
            <v>-</v>
          </cell>
          <cell r="SPS2" t="str">
            <v>-</v>
          </cell>
          <cell r="SPT2" t="str">
            <v>-</v>
          </cell>
          <cell r="SPU2" t="str">
            <v>-</v>
          </cell>
          <cell r="SPV2" t="str">
            <v>-</v>
          </cell>
          <cell r="SPW2" t="str">
            <v>-</v>
          </cell>
          <cell r="SPX2" t="str">
            <v>-</v>
          </cell>
          <cell r="SPY2" t="str">
            <v>-</v>
          </cell>
          <cell r="SPZ2" t="str">
            <v>-</v>
          </cell>
          <cell r="SQA2" t="str">
            <v>-</v>
          </cell>
          <cell r="SQB2" t="str">
            <v>-</v>
          </cell>
          <cell r="SQC2" t="str">
            <v>-</v>
          </cell>
          <cell r="SQD2" t="str">
            <v>-</v>
          </cell>
          <cell r="SQE2" t="str">
            <v>-</v>
          </cell>
          <cell r="SQF2" t="str">
            <v>-</v>
          </cell>
          <cell r="SQG2" t="str">
            <v>-</v>
          </cell>
          <cell r="SQH2" t="str">
            <v>-</v>
          </cell>
          <cell r="SQI2" t="str">
            <v>-</v>
          </cell>
          <cell r="SQJ2" t="str">
            <v>-</v>
          </cell>
          <cell r="SQK2" t="str">
            <v>-</v>
          </cell>
          <cell r="SQL2" t="str">
            <v>-</v>
          </cell>
          <cell r="SQM2" t="str">
            <v>-</v>
          </cell>
          <cell r="SQN2" t="str">
            <v>-</v>
          </cell>
          <cell r="SQO2" t="str">
            <v>-</v>
          </cell>
          <cell r="SQP2" t="str">
            <v>-</v>
          </cell>
          <cell r="SQQ2" t="str">
            <v>-</v>
          </cell>
          <cell r="SQR2" t="str">
            <v>-</v>
          </cell>
          <cell r="SQS2" t="str">
            <v>-</v>
          </cell>
          <cell r="SQT2" t="str">
            <v>-</v>
          </cell>
          <cell r="SQU2" t="str">
            <v>-</v>
          </cell>
          <cell r="SQV2" t="str">
            <v>-</v>
          </cell>
          <cell r="SQW2" t="str">
            <v>-</v>
          </cell>
          <cell r="SQX2" t="str">
            <v>-</v>
          </cell>
          <cell r="SQY2" t="str">
            <v>-</v>
          </cell>
          <cell r="SQZ2" t="str">
            <v>-</v>
          </cell>
          <cell r="SRA2" t="str">
            <v>-</v>
          </cell>
          <cell r="SRB2" t="str">
            <v>-</v>
          </cell>
          <cell r="SRC2" t="str">
            <v>-</v>
          </cell>
          <cell r="SRD2" t="str">
            <v>-</v>
          </cell>
          <cell r="SRE2" t="str">
            <v>-</v>
          </cell>
          <cell r="SRF2" t="str">
            <v>-</v>
          </cell>
          <cell r="SRG2" t="str">
            <v>-</v>
          </cell>
          <cell r="SRH2" t="str">
            <v>-</v>
          </cell>
          <cell r="SRI2" t="str">
            <v>-</v>
          </cell>
          <cell r="SRJ2" t="str">
            <v>-</v>
          </cell>
          <cell r="SRK2" t="str">
            <v>-</v>
          </cell>
          <cell r="SRL2" t="str">
            <v>-</v>
          </cell>
          <cell r="SRM2" t="str">
            <v>-</v>
          </cell>
          <cell r="SRN2" t="str">
            <v>-</v>
          </cell>
          <cell r="SRO2" t="str">
            <v>-</v>
          </cell>
          <cell r="SRP2" t="str">
            <v>-</v>
          </cell>
          <cell r="SRQ2" t="str">
            <v>-</v>
          </cell>
          <cell r="SRR2" t="str">
            <v>-</v>
          </cell>
          <cell r="SRS2" t="str">
            <v>-</v>
          </cell>
          <cell r="SRT2" t="str">
            <v>-</v>
          </cell>
          <cell r="SRU2" t="str">
            <v>-</v>
          </cell>
          <cell r="SRV2" t="str">
            <v>-</v>
          </cell>
          <cell r="SRW2" t="str">
            <v>-</v>
          </cell>
          <cell r="SRX2" t="str">
            <v>-</v>
          </cell>
          <cell r="SRY2" t="str">
            <v>-</v>
          </cell>
          <cell r="SRZ2" t="str">
            <v>-</v>
          </cell>
          <cell r="SSA2" t="str">
            <v>-</v>
          </cell>
          <cell r="SSB2" t="str">
            <v>-</v>
          </cell>
          <cell r="SSC2" t="str">
            <v>-</v>
          </cell>
          <cell r="SSD2" t="str">
            <v>-</v>
          </cell>
          <cell r="SSE2" t="str">
            <v>-</v>
          </cell>
          <cell r="SSF2" t="str">
            <v>-</v>
          </cell>
          <cell r="SSG2" t="str">
            <v>-</v>
          </cell>
          <cell r="SSH2" t="str">
            <v>-</v>
          </cell>
          <cell r="SSI2" t="str">
            <v>-</v>
          </cell>
          <cell r="SSJ2" t="str">
            <v>-</v>
          </cell>
          <cell r="SSK2" t="str">
            <v>-</v>
          </cell>
          <cell r="SSL2" t="str">
            <v>-</v>
          </cell>
          <cell r="SSM2" t="str">
            <v>-</v>
          </cell>
          <cell r="SSN2" t="str">
            <v>-</v>
          </cell>
          <cell r="SSO2" t="str">
            <v>-</v>
          </cell>
          <cell r="SSP2" t="str">
            <v>-</v>
          </cell>
          <cell r="SSQ2" t="str">
            <v>-</v>
          </cell>
          <cell r="SSR2" t="str">
            <v>-</v>
          </cell>
          <cell r="SSS2" t="str">
            <v>-</v>
          </cell>
          <cell r="SST2" t="str">
            <v>-</v>
          </cell>
          <cell r="SSU2" t="str">
            <v>-</v>
          </cell>
          <cell r="SSV2" t="str">
            <v>-</v>
          </cell>
          <cell r="SSW2" t="str">
            <v>-</v>
          </cell>
          <cell r="SSX2" t="str">
            <v>-</v>
          </cell>
          <cell r="SSY2" t="str">
            <v>-</v>
          </cell>
          <cell r="SSZ2" t="str">
            <v>-</v>
          </cell>
          <cell r="STA2" t="str">
            <v>-</v>
          </cell>
          <cell r="STB2" t="str">
            <v>-</v>
          </cell>
          <cell r="STC2" t="str">
            <v>-</v>
          </cell>
          <cell r="STD2" t="str">
            <v>-</v>
          </cell>
          <cell r="STE2" t="str">
            <v>-</v>
          </cell>
          <cell r="STF2" t="str">
            <v>-</v>
          </cell>
          <cell r="STG2" t="str">
            <v>-</v>
          </cell>
          <cell r="STH2" t="str">
            <v>-</v>
          </cell>
          <cell r="STI2" t="str">
            <v>-</v>
          </cell>
          <cell r="STJ2" t="str">
            <v>-</v>
          </cell>
          <cell r="STK2" t="str">
            <v>-</v>
          </cell>
          <cell r="STL2" t="str">
            <v>-</v>
          </cell>
          <cell r="STM2" t="str">
            <v>-</v>
          </cell>
          <cell r="STN2" t="str">
            <v>-</v>
          </cell>
          <cell r="STO2" t="str">
            <v>-</v>
          </cell>
          <cell r="STP2" t="str">
            <v>-</v>
          </cell>
          <cell r="STQ2" t="str">
            <v>-</v>
          </cell>
          <cell r="STR2" t="str">
            <v>-</v>
          </cell>
          <cell r="STS2" t="str">
            <v>-</v>
          </cell>
          <cell r="STT2" t="str">
            <v>-</v>
          </cell>
          <cell r="STU2" t="str">
            <v>-</v>
          </cell>
          <cell r="STV2" t="str">
            <v>-</v>
          </cell>
          <cell r="STW2" t="str">
            <v>-</v>
          </cell>
          <cell r="STX2" t="str">
            <v>-</v>
          </cell>
          <cell r="STY2" t="str">
            <v>-</v>
          </cell>
          <cell r="STZ2" t="str">
            <v>-</v>
          </cell>
          <cell r="SUA2" t="str">
            <v>-</v>
          </cell>
          <cell r="SUB2" t="str">
            <v>-</v>
          </cell>
          <cell r="SUC2" t="str">
            <v>-</v>
          </cell>
          <cell r="SUD2" t="str">
            <v>-</v>
          </cell>
          <cell r="SUE2" t="str">
            <v>-</v>
          </cell>
          <cell r="SUF2" t="str">
            <v>-</v>
          </cell>
          <cell r="SUG2" t="str">
            <v>-</v>
          </cell>
          <cell r="SUH2" t="str">
            <v>-</v>
          </cell>
          <cell r="SUI2" t="str">
            <v>-</v>
          </cell>
          <cell r="SUJ2" t="str">
            <v>-</v>
          </cell>
          <cell r="SUK2" t="str">
            <v>-</v>
          </cell>
          <cell r="SUL2" t="str">
            <v>-</v>
          </cell>
          <cell r="SUM2" t="str">
            <v>-</v>
          </cell>
          <cell r="SUN2" t="str">
            <v>-</v>
          </cell>
          <cell r="SUO2" t="str">
            <v>-</v>
          </cell>
          <cell r="SUP2" t="str">
            <v>-</v>
          </cell>
          <cell r="SUQ2" t="str">
            <v>-</v>
          </cell>
          <cell r="SUR2" t="str">
            <v>-</v>
          </cell>
          <cell r="SUS2" t="str">
            <v>-</v>
          </cell>
          <cell r="SUT2" t="str">
            <v>-</v>
          </cell>
          <cell r="SUU2" t="str">
            <v>-</v>
          </cell>
          <cell r="SUV2" t="str">
            <v>-</v>
          </cell>
          <cell r="SUW2" t="str">
            <v>-</v>
          </cell>
          <cell r="SUX2" t="str">
            <v>-</v>
          </cell>
          <cell r="SUY2" t="str">
            <v>-</v>
          </cell>
          <cell r="SUZ2" t="str">
            <v>-</v>
          </cell>
          <cell r="SVA2" t="str">
            <v>-</v>
          </cell>
          <cell r="SVB2" t="str">
            <v>-</v>
          </cell>
          <cell r="SVC2" t="str">
            <v>-</v>
          </cell>
          <cell r="SVD2" t="str">
            <v>-</v>
          </cell>
          <cell r="SVE2" t="str">
            <v>-</v>
          </cell>
          <cell r="SVF2" t="str">
            <v>-</v>
          </cell>
          <cell r="SVG2" t="str">
            <v>-</v>
          </cell>
          <cell r="SVH2" t="str">
            <v>-</v>
          </cell>
          <cell r="SVI2" t="str">
            <v>-</v>
          </cell>
          <cell r="SVJ2" t="str">
            <v>-</v>
          </cell>
          <cell r="SVK2" t="str">
            <v>-</v>
          </cell>
          <cell r="SVL2" t="str">
            <v>-</v>
          </cell>
          <cell r="SVM2" t="str">
            <v>-</v>
          </cell>
          <cell r="SVN2" t="str">
            <v>-</v>
          </cell>
          <cell r="SVO2" t="str">
            <v>-</v>
          </cell>
          <cell r="SVP2" t="str">
            <v>-</v>
          </cell>
          <cell r="SVQ2" t="str">
            <v>-</v>
          </cell>
          <cell r="SVR2" t="str">
            <v>-</v>
          </cell>
          <cell r="SVS2" t="str">
            <v>-</v>
          </cell>
          <cell r="SVT2" t="str">
            <v>-</v>
          </cell>
          <cell r="SVU2" t="str">
            <v>-</v>
          </cell>
          <cell r="SVV2" t="str">
            <v>-</v>
          </cell>
          <cell r="SVW2" t="str">
            <v>-</v>
          </cell>
          <cell r="SVX2" t="str">
            <v>-</v>
          </cell>
          <cell r="SVY2" t="str">
            <v>-</v>
          </cell>
          <cell r="SVZ2" t="str">
            <v>-</v>
          </cell>
          <cell r="SWA2" t="str">
            <v>-</v>
          </cell>
          <cell r="SWB2" t="str">
            <v>-</v>
          </cell>
          <cell r="SWC2" t="str">
            <v>-</v>
          </cell>
          <cell r="SWD2" t="str">
            <v>-</v>
          </cell>
          <cell r="SWE2" t="str">
            <v>-</v>
          </cell>
          <cell r="SWF2" t="str">
            <v>-</v>
          </cell>
          <cell r="SWG2" t="str">
            <v>-</v>
          </cell>
          <cell r="SWH2" t="str">
            <v>-</v>
          </cell>
          <cell r="SWI2" t="str">
            <v>-</v>
          </cell>
          <cell r="SWJ2" t="str">
            <v>-</v>
          </cell>
          <cell r="SWK2" t="str">
            <v>-</v>
          </cell>
          <cell r="SWL2" t="str">
            <v>-</v>
          </cell>
          <cell r="SWM2" t="str">
            <v>-</v>
          </cell>
          <cell r="SWN2" t="str">
            <v>-</v>
          </cell>
          <cell r="SWO2" t="str">
            <v>-</v>
          </cell>
          <cell r="SWP2" t="str">
            <v>-</v>
          </cell>
          <cell r="SWQ2" t="str">
            <v>-</v>
          </cell>
          <cell r="SWR2" t="str">
            <v>-</v>
          </cell>
          <cell r="SWS2" t="str">
            <v>-</v>
          </cell>
          <cell r="SWT2" t="str">
            <v>-</v>
          </cell>
          <cell r="SWU2" t="str">
            <v>-</v>
          </cell>
          <cell r="SWV2" t="str">
            <v>-</v>
          </cell>
          <cell r="SWW2" t="str">
            <v>-</v>
          </cell>
          <cell r="SWX2" t="str">
            <v>-</v>
          </cell>
          <cell r="SWY2" t="str">
            <v>-</v>
          </cell>
          <cell r="SWZ2" t="str">
            <v>-</v>
          </cell>
          <cell r="SXA2" t="str">
            <v>-</v>
          </cell>
          <cell r="SXB2" t="str">
            <v>-</v>
          </cell>
          <cell r="SXC2" t="str">
            <v>-</v>
          </cell>
          <cell r="SXD2" t="str">
            <v>-</v>
          </cell>
          <cell r="SXE2" t="str">
            <v>-</v>
          </cell>
          <cell r="SXF2" t="str">
            <v>-</v>
          </cell>
          <cell r="SXG2" t="str">
            <v>-</v>
          </cell>
          <cell r="SXH2" t="str">
            <v>-</v>
          </cell>
          <cell r="SXI2" t="str">
            <v>-</v>
          </cell>
          <cell r="SXJ2" t="str">
            <v>-</v>
          </cell>
          <cell r="SXK2" t="str">
            <v>-</v>
          </cell>
          <cell r="SXL2" t="str">
            <v>-</v>
          </cell>
          <cell r="SXM2" t="str">
            <v>-</v>
          </cell>
          <cell r="SXN2" t="str">
            <v>-</v>
          </cell>
          <cell r="SXO2" t="str">
            <v>-</v>
          </cell>
          <cell r="SXP2" t="str">
            <v>-</v>
          </cell>
          <cell r="SXQ2" t="str">
            <v>-</v>
          </cell>
          <cell r="SXR2" t="str">
            <v>-</v>
          </cell>
          <cell r="SXS2" t="str">
            <v>-</v>
          </cell>
          <cell r="SXT2" t="str">
            <v>-</v>
          </cell>
          <cell r="SXU2" t="str">
            <v>-</v>
          </cell>
          <cell r="SXV2" t="str">
            <v>-</v>
          </cell>
          <cell r="SXW2" t="str">
            <v>-</v>
          </cell>
          <cell r="SXX2" t="str">
            <v>-</v>
          </cell>
          <cell r="SXY2" t="str">
            <v>-</v>
          </cell>
          <cell r="SXZ2" t="str">
            <v>-</v>
          </cell>
          <cell r="SYA2" t="str">
            <v>-</v>
          </cell>
          <cell r="SYB2" t="str">
            <v>-</v>
          </cell>
          <cell r="SYC2" t="str">
            <v>-</v>
          </cell>
          <cell r="SYD2" t="str">
            <v>-</v>
          </cell>
          <cell r="SYE2" t="str">
            <v>-</v>
          </cell>
          <cell r="SYF2" t="str">
            <v>-</v>
          </cell>
          <cell r="SYG2" t="str">
            <v>-</v>
          </cell>
          <cell r="SYH2" t="str">
            <v>-</v>
          </cell>
          <cell r="SYI2" t="str">
            <v>-</v>
          </cell>
          <cell r="SYJ2" t="str">
            <v>-</v>
          </cell>
          <cell r="SYK2" t="str">
            <v>-</v>
          </cell>
          <cell r="SYL2" t="str">
            <v>-</v>
          </cell>
          <cell r="SYM2" t="str">
            <v>-</v>
          </cell>
          <cell r="SYN2" t="str">
            <v>-</v>
          </cell>
          <cell r="SYO2" t="str">
            <v>-</v>
          </cell>
          <cell r="SYP2" t="str">
            <v>-</v>
          </cell>
          <cell r="SYQ2" t="str">
            <v>-</v>
          </cell>
          <cell r="SYR2" t="str">
            <v>-</v>
          </cell>
          <cell r="SYS2" t="str">
            <v>-</v>
          </cell>
          <cell r="SYT2" t="str">
            <v>-</v>
          </cell>
          <cell r="SYU2" t="str">
            <v>-</v>
          </cell>
          <cell r="SYV2" t="str">
            <v>-</v>
          </cell>
          <cell r="SYW2" t="str">
            <v>-</v>
          </cell>
          <cell r="SYX2" t="str">
            <v>-</v>
          </cell>
          <cell r="SYY2" t="str">
            <v>-</v>
          </cell>
          <cell r="SYZ2" t="str">
            <v>-</v>
          </cell>
          <cell r="SZA2" t="str">
            <v>-</v>
          </cell>
          <cell r="SZB2" t="str">
            <v>-</v>
          </cell>
          <cell r="SZC2" t="str">
            <v>-</v>
          </cell>
          <cell r="SZD2" t="str">
            <v>-</v>
          </cell>
          <cell r="SZE2" t="str">
            <v>-</v>
          </cell>
          <cell r="SZF2" t="str">
            <v>-</v>
          </cell>
          <cell r="SZG2" t="str">
            <v>-</v>
          </cell>
          <cell r="SZH2" t="str">
            <v>-</v>
          </cell>
          <cell r="SZI2" t="str">
            <v>-</v>
          </cell>
          <cell r="SZJ2" t="str">
            <v>-</v>
          </cell>
          <cell r="SZK2" t="str">
            <v>-</v>
          </cell>
          <cell r="SZL2" t="str">
            <v>-</v>
          </cell>
          <cell r="SZM2" t="str">
            <v>-</v>
          </cell>
          <cell r="SZN2" t="str">
            <v>-</v>
          </cell>
          <cell r="SZO2" t="str">
            <v>-</v>
          </cell>
          <cell r="SZP2" t="str">
            <v>-</v>
          </cell>
          <cell r="SZQ2" t="str">
            <v>-</v>
          </cell>
          <cell r="SZR2" t="str">
            <v>-</v>
          </cell>
          <cell r="SZS2" t="str">
            <v>-</v>
          </cell>
          <cell r="SZT2" t="str">
            <v>-</v>
          </cell>
          <cell r="SZU2" t="str">
            <v>-</v>
          </cell>
          <cell r="SZV2" t="str">
            <v>-</v>
          </cell>
          <cell r="SZW2" t="str">
            <v>-</v>
          </cell>
          <cell r="SZX2" t="str">
            <v>-</v>
          </cell>
          <cell r="SZY2" t="str">
            <v>-</v>
          </cell>
          <cell r="SZZ2" t="str">
            <v>-</v>
          </cell>
          <cell r="TAA2" t="str">
            <v>-</v>
          </cell>
          <cell r="TAB2" t="str">
            <v>-</v>
          </cell>
          <cell r="TAC2" t="str">
            <v>-</v>
          </cell>
          <cell r="TAD2" t="str">
            <v>-</v>
          </cell>
          <cell r="TAE2" t="str">
            <v>-</v>
          </cell>
          <cell r="TAF2" t="str">
            <v>-</v>
          </cell>
          <cell r="TAG2" t="str">
            <v>-</v>
          </cell>
          <cell r="TAH2" t="str">
            <v>-</v>
          </cell>
          <cell r="TAI2" t="str">
            <v>-</v>
          </cell>
          <cell r="TAJ2" t="str">
            <v>-</v>
          </cell>
          <cell r="TAK2" t="str">
            <v>-</v>
          </cell>
          <cell r="TAL2" t="str">
            <v>-</v>
          </cell>
          <cell r="TAM2" t="str">
            <v>-</v>
          </cell>
          <cell r="TAN2" t="str">
            <v>-</v>
          </cell>
          <cell r="TAO2" t="str">
            <v>-</v>
          </cell>
          <cell r="TAP2" t="str">
            <v>-</v>
          </cell>
          <cell r="TAQ2" t="str">
            <v>-</v>
          </cell>
          <cell r="TAR2" t="str">
            <v>-</v>
          </cell>
          <cell r="TAS2" t="str">
            <v>-</v>
          </cell>
          <cell r="TAT2" t="str">
            <v>-</v>
          </cell>
          <cell r="TAU2" t="str">
            <v>-</v>
          </cell>
          <cell r="TAV2" t="str">
            <v>-</v>
          </cell>
          <cell r="TAW2" t="str">
            <v>-</v>
          </cell>
          <cell r="TAX2" t="str">
            <v>-</v>
          </cell>
          <cell r="TAY2" t="str">
            <v>-</v>
          </cell>
          <cell r="TAZ2" t="str">
            <v>-</v>
          </cell>
          <cell r="TBA2" t="str">
            <v>-</v>
          </cell>
          <cell r="TBB2" t="str">
            <v>-</v>
          </cell>
          <cell r="TBC2" t="str">
            <v>-</v>
          </cell>
          <cell r="TBD2" t="str">
            <v>-</v>
          </cell>
          <cell r="TBE2" t="str">
            <v>-</v>
          </cell>
          <cell r="TBF2" t="str">
            <v>-</v>
          </cell>
          <cell r="TBG2" t="str">
            <v>-</v>
          </cell>
          <cell r="TBH2" t="str">
            <v>-</v>
          </cell>
          <cell r="TBI2" t="str">
            <v>-</v>
          </cell>
          <cell r="TBJ2" t="str">
            <v>-</v>
          </cell>
          <cell r="TBK2" t="str">
            <v>-</v>
          </cell>
          <cell r="TBL2" t="str">
            <v>-</v>
          </cell>
          <cell r="TBM2" t="str">
            <v>-</v>
          </cell>
          <cell r="TBN2" t="str">
            <v>-</v>
          </cell>
          <cell r="TBO2" t="str">
            <v>-</v>
          </cell>
          <cell r="TBP2" t="str">
            <v>-</v>
          </cell>
          <cell r="TBQ2" t="str">
            <v>-</v>
          </cell>
          <cell r="TBR2" t="str">
            <v>-</v>
          </cell>
          <cell r="TBS2" t="str">
            <v>-</v>
          </cell>
          <cell r="TBT2" t="str">
            <v>-</v>
          </cell>
          <cell r="TBU2" t="str">
            <v>-</v>
          </cell>
          <cell r="TBV2" t="str">
            <v>-</v>
          </cell>
          <cell r="TBW2" t="str">
            <v>-</v>
          </cell>
          <cell r="TBX2" t="str">
            <v>-</v>
          </cell>
          <cell r="TBY2" t="str">
            <v>-</v>
          </cell>
          <cell r="TBZ2" t="str">
            <v>-</v>
          </cell>
          <cell r="TCA2" t="str">
            <v>-</v>
          </cell>
          <cell r="TCB2" t="str">
            <v>-</v>
          </cell>
          <cell r="TCC2" t="str">
            <v>-</v>
          </cell>
          <cell r="TCD2" t="str">
            <v>-</v>
          </cell>
          <cell r="TCE2" t="str">
            <v>-</v>
          </cell>
          <cell r="TCF2" t="str">
            <v>-</v>
          </cell>
          <cell r="TCG2" t="str">
            <v>-</v>
          </cell>
          <cell r="TCH2" t="str">
            <v>-</v>
          </cell>
          <cell r="TCI2" t="str">
            <v>-</v>
          </cell>
          <cell r="TCJ2" t="str">
            <v>-</v>
          </cell>
          <cell r="TCK2" t="str">
            <v>-</v>
          </cell>
          <cell r="TCL2" t="str">
            <v>-</v>
          </cell>
          <cell r="TCM2" t="str">
            <v>-</v>
          </cell>
          <cell r="TCN2" t="str">
            <v>-</v>
          </cell>
          <cell r="TCO2" t="str">
            <v>-</v>
          </cell>
          <cell r="TCP2" t="str">
            <v>-</v>
          </cell>
          <cell r="TCQ2" t="str">
            <v>-</v>
          </cell>
          <cell r="TCR2" t="str">
            <v>-</v>
          </cell>
          <cell r="TCS2" t="str">
            <v>-</v>
          </cell>
          <cell r="TCT2" t="str">
            <v>-</v>
          </cell>
          <cell r="TCU2" t="str">
            <v>-</v>
          </cell>
          <cell r="TCV2" t="str">
            <v>-</v>
          </cell>
          <cell r="TCW2" t="str">
            <v>-</v>
          </cell>
          <cell r="TCX2" t="str">
            <v>-</v>
          </cell>
          <cell r="TCY2" t="str">
            <v>-</v>
          </cell>
          <cell r="TCZ2" t="str">
            <v>-</v>
          </cell>
          <cell r="TDA2" t="str">
            <v>-</v>
          </cell>
          <cell r="TDB2" t="str">
            <v>-</v>
          </cell>
          <cell r="TDC2" t="str">
            <v>-</v>
          </cell>
          <cell r="TDD2" t="str">
            <v>-</v>
          </cell>
          <cell r="TDE2" t="str">
            <v>-</v>
          </cell>
          <cell r="TDF2" t="str">
            <v>-</v>
          </cell>
          <cell r="TDG2" t="str">
            <v>-</v>
          </cell>
          <cell r="TDH2" t="str">
            <v>-</v>
          </cell>
          <cell r="TDI2" t="str">
            <v>-</v>
          </cell>
          <cell r="TDJ2" t="str">
            <v>-</v>
          </cell>
          <cell r="TDK2" t="str">
            <v>-</v>
          </cell>
          <cell r="TDL2" t="str">
            <v>-</v>
          </cell>
          <cell r="TDM2" t="str">
            <v>-</v>
          </cell>
          <cell r="TDN2" t="str">
            <v>-</v>
          </cell>
          <cell r="TDO2" t="str">
            <v>-</v>
          </cell>
          <cell r="TDP2" t="str">
            <v>-</v>
          </cell>
          <cell r="TDQ2" t="str">
            <v>-</v>
          </cell>
          <cell r="TDR2" t="str">
            <v>-</v>
          </cell>
          <cell r="TDS2" t="str">
            <v>-</v>
          </cell>
          <cell r="TDT2" t="str">
            <v>-</v>
          </cell>
          <cell r="TDU2" t="str">
            <v>-</v>
          </cell>
          <cell r="TDV2" t="str">
            <v>-</v>
          </cell>
          <cell r="TDW2" t="str">
            <v>-</v>
          </cell>
          <cell r="TDX2" t="str">
            <v>-</v>
          </cell>
          <cell r="TDY2" t="str">
            <v>-</v>
          </cell>
          <cell r="TDZ2" t="str">
            <v>-</v>
          </cell>
          <cell r="TEA2" t="str">
            <v>-</v>
          </cell>
          <cell r="TEB2" t="str">
            <v>-</v>
          </cell>
          <cell r="TEC2" t="str">
            <v>-</v>
          </cell>
          <cell r="TED2" t="str">
            <v>-</v>
          </cell>
          <cell r="TEE2" t="str">
            <v>-</v>
          </cell>
          <cell r="TEF2" t="str">
            <v>-</v>
          </cell>
          <cell r="TEG2" t="str">
            <v>-</v>
          </cell>
          <cell r="TEH2" t="str">
            <v>-</v>
          </cell>
          <cell r="TEI2" t="str">
            <v>-</v>
          </cell>
          <cell r="TEJ2" t="str">
            <v>-</v>
          </cell>
          <cell r="TEK2" t="str">
            <v>-</v>
          </cell>
          <cell r="TEL2" t="str">
            <v>-</v>
          </cell>
          <cell r="TEM2" t="str">
            <v>-</v>
          </cell>
          <cell r="TEN2" t="str">
            <v>-</v>
          </cell>
          <cell r="TEO2" t="str">
            <v>-</v>
          </cell>
          <cell r="TEP2" t="str">
            <v>-</v>
          </cell>
          <cell r="TEQ2" t="str">
            <v>-</v>
          </cell>
          <cell r="TER2" t="str">
            <v>-</v>
          </cell>
          <cell r="TES2" t="str">
            <v>-</v>
          </cell>
          <cell r="TET2" t="str">
            <v>-</v>
          </cell>
          <cell r="TEU2" t="str">
            <v>-</v>
          </cell>
          <cell r="TEV2" t="str">
            <v>-</v>
          </cell>
          <cell r="TEW2" t="str">
            <v>-</v>
          </cell>
          <cell r="TEX2" t="str">
            <v>-</v>
          </cell>
          <cell r="TEY2" t="str">
            <v>-</v>
          </cell>
          <cell r="TEZ2" t="str">
            <v>-</v>
          </cell>
          <cell r="TFA2" t="str">
            <v>-</v>
          </cell>
          <cell r="TFB2" t="str">
            <v>-</v>
          </cell>
          <cell r="TFC2" t="str">
            <v>-</v>
          </cell>
          <cell r="TFD2" t="str">
            <v>-</v>
          </cell>
          <cell r="TFE2" t="str">
            <v>-</v>
          </cell>
          <cell r="TFF2" t="str">
            <v>-</v>
          </cell>
          <cell r="TFG2" t="str">
            <v>-</v>
          </cell>
          <cell r="TFH2" t="str">
            <v>-</v>
          </cell>
          <cell r="TFI2" t="str">
            <v>-</v>
          </cell>
          <cell r="TFJ2" t="str">
            <v>-</v>
          </cell>
          <cell r="TFK2" t="str">
            <v>-</v>
          </cell>
          <cell r="TFL2" t="str">
            <v>-</v>
          </cell>
          <cell r="TFM2" t="str">
            <v>-</v>
          </cell>
          <cell r="TFN2" t="str">
            <v>-</v>
          </cell>
          <cell r="TFO2" t="str">
            <v>-</v>
          </cell>
          <cell r="TFP2" t="str">
            <v>-</v>
          </cell>
          <cell r="TFQ2" t="str">
            <v>-</v>
          </cell>
          <cell r="TFR2" t="str">
            <v>-</v>
          </cell>
          <cell r="TFS2" t="str">
            <v>-</v>
          </cell>
          <cell r="TFT2" t="str">
            <v>-</v>
          </cell>
          <cell r="TFU2" t="str">
            <v>-</v>
          </cell>
          <cell r="TFV2" t="str">
            <v>-</v>
          </cell>
          <cell r="TFW2" t="str">
            <v>-</v>
          </cell>
          <cell r="TFX2" t="str">
            <v>-</v>
          </cell>
          <cell r="TFY2" t="str">
            <v>-</v>
          </cell>
          <cell r="TFZ2" t="str">
            <v>-</v>
          </cell>
          <cell r="TGA2" t="str">
            <v>-</v>
          </cell>
          <cell r="TGB2" t="str">
            <v>-</v>
          </cell>
          <cell r="TGC2" t="str">
            <v>-</v>
          </cell>
          <cell r="TGD2" t="str">
            <v>-</v>
          </cell>
          <cell r="TGE2" t="str">
            <v>-</v>
          </cell>
          <cell r="TGF2" t="str">
            <v>-</v>
          </cell>
          <cell r="TGG2" t="str">
            <v>-</v>
          </cell>
          <cell r="TGH2" t="str">
            <v>-</v>
          </cell>
          <cell r="TGI2" t="str">
            <v>-</v>
          </cell>
          <cell r="TGJ2" t="str">
            <v>-</v>
          </cell>
          <cell r="TGK2" t="str">
            <v>-</v>
          </cell>
          <cell r="TGL2" t="str">
            <v>-</v>
          </cell>
          <cell r="TGM2" t="str">
            <v>-</v>
          </cell>
          <cell r="TGN2" t="str">
            <v>-</v>
          </cell>
          <cell r="TGO2" t="str">
            <v>-</v>
          </cell>
          <cell r="TGP2" t="str">
            <v>-</v>
          </cell>
          <cell r="TGQ2" t="str">
            <v>-</v>
          </cell>
          <cell r="TGR2" t="str">
            <v>-</v>
          </cell>
          <cell r="TGS2" t="str">
            <v>-</v>
          </cell>
          <cell r="TGT2" t="str">
            <v>-</v>
          </cell>
          <cell r="TGU2" t="str">
            <v>-</v>
          </cell>
          <cell r="TGV2" t="str">
            <v>-</v>
          </cell>
          <cell r="TGW2" t="str">
            <v>-</v>
          </cell>
          <cell r="TGX2" t="str">
            <v>-</v>
          </cell>
          <cell r="TGY2" t="str">
            <v>-</v>
          </cell>
          <cell r="TGZ2" t="str">
            <v>-</v>
          </cell>
          <cell r="THA2" t="str">
            <v>-</v>
          </cell>
          <cell r="THB2" t="str">
            <v>-</v>
          </cell>
          <cell r="THC2" t="str">
            <v>-</v>
          </cell>
          <cell r="THD2" t="str">
            <v>-</v>
          </cell>
          <cell r="THE2" t="str">
            <v>-</v>
          </cell>
          <cell r="THF2" t="str">
            <v>-</v>
          </cell>
          <cell r="THG2" t="str">
            <v>-</v>
          </cell>
          <cell r="THH2" t="str">
            <v>-</v>
          </cell>
          <cell r="THI2" t="str">
            <v>-</v>
          </cell>
          <cell r="THJ2" t="str">
            <v>-</v>
          </cell>
          <cell r="THK2" t="str">
            <v>-</v>
          </cell>
          <cell r="THL2" t="str">
            <v>-</v>
          </cell>
          <cell r="THM2" t="str">
            <v>-</v>
          </cell>
          <cell r="THN2" t="str">
            <v>-</v>
          </cell>
          <cell r="THO2" t="str">
            <v>-</v>
          </cell>
          <cell r="THP2" t="str">
            <v>-</v>
          </cell>
          <cell r="THQ2" t="str">
            <v>-</v>
          </cell>
          <cell r="THR2" t="str">
            <v>-</v>
          </cell>
          <cell r="THS2" t="str">
            <v>-</v>
          </cell>
          <cell r="THT2" t="str">
            <v>-</v>
          </cell>
          <cell r="THU2" t="str">
            <v>-</v>
          </cell>
          <cell r="THV2" t="str">
            <v>-</v>
          </cell>
          <cell r="THW2" t="str">
            <v>-</v>
          </cell>
          <cell r="THX2" t="str">
            <v>-</v>
          </cell>
          <cell r="THY2" t="str">
            <v>-</v>
          </cell>
          <cell r="THZ2" t="str">
            <v>-</v>
          </cell>
          <cell r="TIA2" t="str">
            <v>-</v>
          </cell>
          <cell r="TIB2" t="str">
            <v>-</v>
          </cell>
          <cell r="TIC2" t="str">
            <v>-</v>
          </cell>
          <cell r="TID2" t="str">
            <v>-</v>
          </cell>
          <cell r="TIE2" t="str">
            <v>-</v>
          </cell>
          <cell r="TIF2" t="str">
            <v>-</v>
          </cell>
          <cell r="TIG2" t="str">
            <v>-</v>
          </cell>
          <cell r="TIH2" t="str">
            <v>-</v>
          </cell>
          <cell r="TII2" t="str">
            <v>-</v>
          </cell>
          <cell r="TIJ2" t="str">
            <v>-</v>
          </cell>
          <cell r="TIK2" t="str">
            <v>-</v>
          </cell>
          <cell r="TIL2" t="str">
            <v>-</v>
          </cell>
          <cell r="TIM2" t="str">
            <v>-</v>
          </cell>
          <cell r="TIN2" t="str">
            <v>-</v>
          </cell>
          <cell r="TIO2" t="str">
            <v>-</v>
          </cell>
          <cell r="TIP2" t="str">
            <v>-</v>
          </cell>
          <cell r="TIQ2" t="str">
            <v>-</v>
          </cell>
          <cell r="TIR2" t="str">
            <v>-</v>
          </cell>
          <cell r="TIS2" t="str">
            <v>-</v>
          </cell>
          <cell r="TIT2" t="str">
            <v>-</v>
          </cell>
          <cell r="TIU2" t="str">
            <v>-</v>
          </cell>
          <cell r="TIV2" t="str">
            <v>-</v>
          </cell>
          <cell r="TIW2" t="str">
            <v>-</v>
          </cell>
          <cell r="TIX2" t="str">
            <v>-</v>
          </cell>
          <cell r="TIY2" t="str">
            <v>-</v>
          </cell>
          <cell r="TIZ2" t="str">
            <v>-</v>
          </cell>
          <cell r="TJA2" t="str">
            <v>-</v>
          </cell>
          <cell r="TJB2" t="str">
            <v>-</v>
          </cell>
          <cell r="TJC2" t="str">
            <v>-</v>
          </cell>
          <cell r="TJD2" t="str">
            <v>-</v>
          </cell>
          <cell r="TJE2" t="str">
            <v>-</v>
          </cell>
          <cell r="TJF2" t="str">
            <v>-</v>
          </cell>
          <cell r="TJG2" t="str">
            <v>-</v>
          </cell>
          <cell r="TJH2" t="str">
            <v>-</v>
          </cell>
          <cell r="TJI2" t="str">
            <v>-</v>
          </cell>
          <cell r="TJJ2" t="str">
            <v>-</v>
          </cell>
          <cell r="TJK2" t="str">
            <v>-</v>
          </cell>
          <cell r="TJL2" t="str">
            <v>-</v>
          </cell>
          <cell r="TJM2" t="str">
            <v>-</v>
          </cell>
          <cell r="TJN2" t="str">
            <v>-</v>
          </cell>
          <cell r="TJO2" t="str">
            <v>-</v>
          </cell>
          <cell r="TJP2" t="str">
            <v>-</v>
          </cell>
          <cell r="TJQ2" t="str">
            <v>-</v>
          </cell>
          <cell r="TJR2" t="str">
            <v>-</v>
          </cell>
          <cell r="TJS2" t="str">
            <v>-</v>
          </cell>
          <cell r="TJT2" t="str">
            <v>-</v>
          </cell>
          <cell r="TJU2" t="str">
            <v>-</v>
          </cell>
          <cell r="TJV2" t="str">
            <v>-</v>
          </cell>
          <cell r="TJW2" t="str">
            <v>-</v>
          </cell>
          <cell r="TJX2" t="str">
            <v>-</v>
          </cell>
          <cell r="TJY2" t="str">
            <v>-</v>
          </cell>
          <cell r="TJZ2" t="str">
            <v>-</v>
          </cell>
          <cell r="TKA2" t="str">
            <v>-</v>
          </cell>
          <cell r="TKB2" t="str">
            <v>-</v>
          </cell>
          <cell r="TKC2" t="str">
            <v>-</v>
          </cell>
          <cell r="TKD2" t="str">
            <v>-</v>
          </cell>
          <cell r="TKE2" t="str">
            <v>-</v>
          </cell>
          <cell r="TKF2" t="str">
            <v>-</v>
          </cell>
          <cell r="TKG2" t="str">
            <v>-</v>
          </cell>
          <cell r="TKH2" t="str">
            <v>-</v>
          </cell>
          <cell r="TKI2" t="str">
            <v>-</v>
          </cell>
          <cell r="TKJ2" t="str">
            <v>-</v>
          </cell>
          <cell r="TKK2" t="str">
            <v>-</v>
          </cell>
          <cell r="TKL2" t="str">
            <v>-</v>
          </cell>
          <cell r="TKM2" t="str">
            <v>-</v>
          </cell>
          <cell r="TKN2" t="str">
            <v>-</v>
          </cell>
          <cell r="TKO2" t="str">
            <v>-</v>
          </cell>
          <cell r="TKP2" t="str">
            <v>-</v>
          </cell>
          <cell r="TKQ2" t="str">
            <v>-</v>
          </cell>
          <cell r="TKR2" t="str">
            <v>-</v>
          </cell>
          <cell r="TKS2" t="str">
            <v>-</v>
          </cell>
          <cell r="TKT2" t="str">
            <v>-</v>
          </cell>
          <cell r="TKU2" t="str">
            <v>-</v>
          </cell>
          <cell r="TKV2" t="str">
            <v>-</v>
          </cell>
          <cell r="TKW2" t="str">
            <v>-</v>
          </cell>
          <cell r="TKX2" t="str">
            <v>-</v>
          </cell>
          <cell r="TKY2" t="str">
            <v>-</v>
          </cell>
          <cell r="TKZ2" t="str">
            <v>-</v>
          </cell>
          <cell r="TLA2" t="str">
            <v>-</v>
          </cell>
          <cell r="TLB2" t="str">
            <v>-</v>
          </cell>
          <cell r="TLC2" t="str">
            <v>-</v>
          </cell>
          <cell r="TLD2" t="str">
            <v>-</v>
          </cell>
          <cell r="TLE2" t="str">
            <v>-</v>
          </cell>
          <cell r="TLF2" t="str">
            <v>-</v>
          </cell>
          <cell r="TLG2" t="str">
            <v>-</v>
          </cell>
          <cell r="TLH2" t="str">
            <v>-</v>
          </cell>
          <cell r="TLI2" t="str">
            <v>-</v>
          </cell>
          <cell r="TLJ2" t="str">
            <v>-</v>
          </cell>
          <cell r="TLK2" t="str">
            <v>-</v>
          </cell>
          <cell r="TLL2" t="str">
            <v>-</v>
          </cell>
          <cell r="TLM2" t="str">
            <v>-</v>
          </cell>
          <cell r="TLN2" t="str">
            <v>-</v>
          </cell>
          <cell r="TLO2" t="str">
            <v>-</v>
          </cell>
          <cell r="TLP2" t="str">
            <v>-</v>
          </cell>
          <cell r="TLQ2" t="str">
            <v>-</v>
          </cell>
          <cell r="TLR2" t="str">
            <v>-</v>
          </cell>
          <cell r="TLS2" t="str">
            <v>-</v>
          </cell>
          <cell r="TLT2" t="str">
            <v>-</v>
          </cell>
          <cell r="TLU2" t="str">
            <v>-</v>
          </cell>
          <cell r="TLV2" t="str">
            <v>-</v>
          </cell>
          <cell r="TLW2" t="str">
            <v>-</v>
          </cell>
          <cell r="TLX2" t="str">
            <v>-</v>
          </cell>
          <cell r="TLY2" t="str">
            <v>-</v>
          </cell>
          <cell r="TLZ2" t="str">
            <v>-</v>
          </cell>
          <cell r="TMA2" t="str">
            <v>-</v>
          </cell>
          <cell r="TMB2" t="str">
            <v>-</v>
          </cell>
          <cell r="TMC2" t="str">
            <v>-</v>
          </cell>
          <cell r="TMD2" t="str">
            <v>-</v>
          </cell>
          <cell r="TME2" t="str">
            <v>-</v>
          </cell>
          <cell r="TMF2" t="str">
            <v>-</v>
          </cell>
          <cell r="TMG2" t="str">
            <v>-</v>
          </cell>
          <cell r="TMH2" t="str">
            <v>-</v>
          </cell>
          <cell r="TMI2" t="str">
            <v>-</v>
          </cell>
          <cell r="TMJ2" t="str">
            <v>-</v>
          </cell>
          <cell r="TMK2" t="str">
            <v>-</v>
          </cell>
          <cell r="TML2" t="str">
            <v>-</v>
          </cell>
          <cell r="TMM2" t="str">
            <v>-</v>
          </cell>
          <cell r="TMN2" t="str">
            <v>-</v>
          </cell>
          <cell r="TMO2" t="str">
            <v>-</v>
          </cell>
          <cell r="TMP2" t="str">
            <v>-</v>
          </cell>
          <cell r="TMQ2" t="str">
            <v>-</v>
          </cell>
          <cell r="TMR2" t="str">
            <v>-</v>
          </cell>
          <cell r="TMS2" t="str">
            <v>-</v>
          </cell>
          <cell r="TMT2" t="str">
            <v>-</v>
          </cell>
          <cell r="TMU2" t="str">
            <v>-</v>
          </cell>
          <cell r="TMV2" t="str">
            <v>-</v>
          </cell>
          <cell r="TMW2" t="str">
            <v>-</v>
          </cell>
          <cell r="TMX2" t="str">
            <v>-</v>
          </cell>
          <cell r="TMY2" t="str">
            <v>-</v>
          </cell>
          <cell r="TMZ2" t="str">
            <v>-</v>
          </cell>
          <cell r="TNA2" t="str">
            <v>-</v>
          </cell>
          <cell r="TNB2" t="str">
            <v>-</v>
          </cell>
          <cell r="TNC2" t="str">
            <v>-</v>
          </cell>
          <cell r="TND2" t="str">
            <v>-</v>
          </cell>
          <cell r="TNE2" t="str">
            <v>-</v>
          </cell>
          <cell r="TNF2" t="str">
            <v>-</v>
          </cell>
          <cell r="TNG2" t="str">
            <v>-</v>
          </cell>
          <cell r="TNH2" t="str">
            <v>-</v>
          </cell>
          <cell r="TNI2" t="str">
            <v>-</v>
          </cell>
          <cell r="TNJ2" t="str">
            <v>-</v>
          </cell>
          <cell r="TNK2" t="str">
            <v>-</v>
          </cell>
          <cell r="TNL2" t="str">
            <v>-</v>
          </cell>
          <cell r="TNM2" t="str">
            <v>-</v>
          </cell>
          <cell r="TNN2" t="str">
            <v>-</v>
          </cell>
          <cell r="TNO2" t="str">
            <v>-</v>
          </cell>
          <cell r="TNP2" t="str">
            <v>-</v>
          </cell>
          <cell r="TNQ2" t="str">
            <v>-</v>
          </cell>
          <cell r="TNR2" t="str">
            <v>-</v>
          </cell>
          <cell r="TNS2" t="str">
            <v>-</v>
          </cell>
          <cell r="TNT2" t="str">
            <v>-</v>
          </cell>
          <cell r="TNU2" t="str">
            <v>-</v>
          </cell>
          <cell r="TNV2" t="str">
            <v>-</v>
          </cell>
          <cell r="TNW2" t="str">
            <v>-</v>
          </cell>
          <cell r="TNX2" t="str">
            <v>-</v>
          </cell>
          <cell r="TNY2" t="str">
            <v>-</v>
          </cell>
          <cell r="TNZ2" t="str">
            <v>-</v>
          </cell>
          <cell r="TOA2" t="str">
            <v>-</v>
          </cell>
          <cell r="TOB2" t="str">
            <v>-</v>
          </cell>
          <cell r="TOC2" t="str">
            <v>-</v>
          </cell>
          <cell r="TOD2" t="str">
            <v>-</v>
          </cell>
          <cell r="TOE2" t="str">
            <v>-</v>
          </cell>
          <cell r="TOF2" t="str">
            <v>-</v>
          </cell>
          <cell r="TOG2" t="str">
            <v>-</v>
          </cell>
          <cell r="TOH2" t="str">
            <v>-</v>
          </cell>
          <cell r="TOI2" t="str">
            <v>-</v>
          </cell>
          <cell r="TOJ2" t="str">
            <v>-</v>
          </cell>
          <cell r="TOK2" t="str">
            <v>-</v>
          </cell>
          <cell r="TOL2" t="str">
            <v>-</v>
          </cell>
          <cell r="TOM2" t="str">
            <v>-</v>
          </cell>
          <cell r="TON2" t="str">
            <v>-</v>
          </cell>
          <cell r="TOO2" t="str">
            <v>-</v>
          </cell>
          <cell r="TOP2" t="str">
            <v>-</v>
          </cell>
          <cell r="TOQ2" t="str">
            <v>-</v>
          </cell>
          <cell r="TOR2" t="str">
            <v>-</v>
          </cell>
          <cell r="TOS2" t="str">
            <v>-</v>
          </cell>
          <cell r="TOT2" t="str">
            <v>-</v>
          </cell>
          <cell r="TOU2" t="str">
            <v>-</v>
          </cell>
          <cell r="TOV2" t="str">
            <v>-</v>
          </cell>
          <cell r="TOW2" t="str">
            <v>-</v>
          </cell>
          <cell r="TOX2" t="str">
            <v>-</v>
          </cell>
          <cell r="TOY2" t="str">
            <v>-</v>
          </cell>
          <cell r="TOZ2" t="str">
            <v>-</v>
          </cell>
          <cell r="TPA2" t="str">
            <v>-</v>
          </cell>
          <cell r="TPB2" t="str">
            <v>-</v>
          </cell>
          <cell r="TPC2" t="str">
            <v>-</v>
          </cell>
          <cell r="TPD2" t="str">
            <v>-</v>
          </cell>
          <cell r="TPE2" t="str">
            <v>-</v>
          </cell>
          <cell r="TPF2" t="str">
            <v>-</v>
          </cell>
          <cell r="TPG2" t="str">
            <v>-</v>
          </cell>
          <cell r="TPH2" t="str">
            <v>-</v>
          </cell>
          <cell r="TPI2" t="str">
            <v>-</v>
          </cell>
          <cell r="TPJ2" t="str">
            <v>-</v>
          </cell>
          <cell r="TPK2" t="str">
            <v>-</v>
          </cell>
          <cell r="TPL2" t="str">
            <v>-</v>
          </cell>
          <cell r="TPM2" t="str">
            <v>-</v>
          </cell>
          <cell r="TPN2" t="str">
            <v>-</v>
          </cell>
          <cell r="TPO2" t="str">
            <v>-</v>
          </cell>
          <cell r="TPP2" t="str">
            <v>-</v>
          </cell>
          <cell r="TPQ2" t="str">
            <v>-</v>
          </cell>
          <cell r="TPR2" t="str">
            <v>-</v>
          </cell>
          <cell r="TPS2" t="str">
            <v>-</v>
          </cell>
          <cell r="TPT2" t="str">
            <v>-</v>
          </cell>
          <cell r="TPU2" t="str">
            <v>-</v>
          </cell>
          <cell r="TPV2" t="str">
            <v>-</v>
          </cell>
          <cell r="TPW2" t="str">
            <v>-</v>
          </cell>
          <cell r="TPX2" t="str">
            <v>-</v>
          </cell>
          <cell r="TPY2" t="str">
            <v>-</v>
          </cell>
          <cell r="TPZ2" t="str">
            <v>-</v>
          </cell>
          <cell r="TQA2" t="str">
            <v>-</v>
          </cell>
          <cell r="TQB2" t="str">
            <v>-</v>
          </cell>
          <cell r="TQC2" t="str">
            <v>-</v>
          </cell>
          <cell r="TQD2" t="str">
            <v>-</v>
          </cell>
          <cell r="TQE2" t="str">
            <v>-</v>
          </cell>
          <cell r="TQF2" t="str">
            <v>-</v>
          </cell>
          <cell r="TQG2" t="str">
            <v>-</v>
          </cell>
          <cell r="TQH2" t="str">
            <v>-</v>
          </cell>
          <cell r="TQI2" t="str">
            <v>-</v>
          </cell>
          <cell r="TQJ2" t="str">
            <v>-</v>
          </cell>
          <cell r="TQK2" t="str">
            <v>-</v>
          </cell>
          <cell r="TQL2" t="str">
            <v>-</v>
          </cell>
          <cell r="TQM2" t="str">
            <v>-</v>
          </cell>
          <cell r="TQN2" t="str">
            <v>-</v>
          </cell>
          <cell r="TQO2" t="str">
            <v>-</v>
          </cell>
          <cell r="TQP2" t="str">
            <v>-</v>
          </cell>
          <cell r="TQQ2" t="str">
            <v>-</v>
          </cell>
          <cell r="TQR2" t="str">
            <v>-</v>
          </cell>
          <cell r="TQS2" t="str">
            <v>-</v>
          </cell>
          <cell r="TQT2" t="str">
            <v>-</v>
          </cell>
          <cell r="TQU2" t="str">
            <v>-</v>
          </cell>
          <cell r="TQV2" t="str">
            <v>-</v>
          </cell>
          <cell r="TQW2" t="str">
            <v>-</v>
          </cell>
          <cell r="TQX2" t="str">
            <v>-</v>
          </cell>
          <cell r="TQY2" t="str">
            <v>-</v>
          </cell>
          <cell r="TQZ2" t="str">
            <v>-</v>
          </cell>
          <cell r="TRA2" t="str">
            <v>-</v>
          </cell>
          <cell r="TRB2" t="str">
            <v>-</v>
          </cell>
          <cell r="TRC2" t="str">
            <v>-</v>
          </cell>
          <cell r="TRD2" t="str">
            <v>-</v>
          </cell>
          <cell r="TRE2" t="str">
            <v>-</v>
          </cell>
          <cell r="TRF2" t="str">
            <v>-</v>
          </cell>
          <cell r="TRG2" t="str">
            <v>-</v>
          </cell>
          <cell r="TRH2" t="str">
            <v>-</v>
          </cell>
          <cell r="TRI2" t="str">
            <v>-</v>
          </cell>
          <cell r="TRJ2" t="str">
            <v>-</v>
          </cell>
          <cell r="TRK2" t="str">
            <v>-</v>
          </cell>
          <cell r="TRL2" t="str">
            <v>-</v>
          </cell>
          <cell r="TRM2" t="str">
            <v>-</v>
          </cell>
          <cell r="TRN2" t="str">
            <v>-</v>
          </cell>
          <cell r="TRO2" t="str">
            <v>-</v>
          </cell>
          <cell r="TRP2" t="str">
            <v>-</v>
          </cell>
          <cell r="TRQ2" t="str">
            <v>-</v>
          </cell>
          <cell r="TRR2" t="str">
            <v>-</v>
          </cell>
          <cell r="TRS2" t="str">
            <v>-</v>
          </cell>
          <cell r="TRT2" t="str">
            <v>-</v>
          </cell>
          <cell r="TRU2" t="str">
            <v>-</v>
          </cell>
          <cell r="TRV2" t="str">
            <v>-</v>
          </cell>
          <cell r="TRW2" t="str">
            <v>-</v>
          </cell>
          <cell r="TRX2" t="str">
            <v>-</v>
          </cell>
          <cell r="TRY2" t="str">
            <v>-</v>
          </cell>
          <cell r="TRZ2" t="str">
            <v>-</v>
          </cell>
          <cell r="TSA2" t="str">
            <v>-</v>
          </cell>
          <cell r="TSB2" t="str">
            <v>-</v>
          </cell>
          <cell r="TSC2" t="str">
            <v>-</v>
          </cell>
          <cell r="TSD2" t="str">
            <v>-</v>
          </cell>
          <cell r="TSE2" t="str">
            <v>-</v>
          </cell>
          <cell r="TSF2" t="str">
            <v>-</v>
          </cell>
          <cell r="TSG2" t="str">
            <v>-</v>
          </cell>
          <cell r="TSH2" t="str">
            <v>-</v>
          </cell>
          <cell r="TSI2" t="str">
            <v>-</v>
          </cell>
          <cell r="TSJ2" t="str">
            <v>-</v>
          </cell>
          <cell r="TSK2" t="str">
            <v>-</v>
          </cell>
          <cell r="TSL2" t="str">
            <v>-</v>
          </cell>
          <cell r="TSM2" t="str">
            <v>-</v>
          </cell>
          <cell r="TSN2" t="str">
            <v>-</v>
          </cell>
          <cell r="TSO2" t="str">
            <v>-</v>
          </cell>
          <cell r="TSP2" t="str">
            <v>-</v>
          </cell>
          <cell r="TSQ2" t="str">
            <v>-</v>
          </cell>
          <cell r="TSR2" t="str">
            <v>-</v>
          </cell>
          <cell r="TSS2" t="str">
            <v>-</v>
          </cell>
          <cell r="TST2" t="str">
            <v>-</v>
          </cell>
          <cell r="TSU2" t="str">
            <v>-</v>
          </cell>
          <cell r="TSV2" t="str">
            <v>-</v>
          </cell>
          <cell r="TSW2" t="str">
            <v>-</v>
          </cell>
          <cell r="TSX2" t="str">
            <v>-</v>
          </cell>
          <cell r="TSY2" t="str">
            <v>-</v>
          </cell>
          <cell r="TSZ2" t="str">
            <v>-</v>
          </cell>
          <cell r="TTA2" t="str">
            <v>-</v>
          </cell>
          <cell r="TTB2" t="str">
            <v>-</v>
          </cell>
          <cell r="TTC2" t="str">
            <v>-</v>
          </cell>
          <cell r="TTD2" t="str">
            <v>-</v>
          </cell>
          <cell r="TTE2" t="str">
            <v>-</v>
          </cell>
          <cell r="TTF2" t="str">
            <v>-</v>
          </cell>
          <cell r="TTG2" t="str">
            <v>-</v>
          </cell>
          <cell r="TTH2" t="str">
            <v>-</v>
          </cell>
          <cell r="TTI2" t="str">
            <v>-</v>
          </cell>
          <cell r="TTJ2" t="str">
            <v>-</v>
          </cell>
          <cell r="TTK2" t="str">
            <v>-</v>
          </cell>
          <cell r="TTL2" t="str">
            <v>-</v>
          </cell>
          <cell r="TTM2" t="str">
            <v>-</v>
          </cell>
          <cell r="TTN2" t="str">
            <v>-</v>
          </cell>
          <cell r="TTO2" t="str">
            <v>-</v>
          </cell>
          <cell r="TTP2" t="str">
            <v>-</v>
          </cell>
          <cell r="TTQ2" t="str">
            <v>-</v>
          </cell>
          <cell r="TTR2" t="str">
            <v>-</v>
          </cell>
          <cell r="TTS2" t="str">
            <v>-</v>
          </cell>
          <cell r="TTT2" t="str">
            <v>-</v>
          </cell>
          <cell r="TTU2" t="str">
            <v>-</v>
          </cell>
          <cell r="TTV2" t="str">
            <v>-</v>
          </cell>
          <cell r="TTW2" t="str">
            <v>-</v>
          </cell>
          <cell r="TTX2" t="str">
            <v>-</v>
          </cell>
          <cell r="TTY2" t="str">
            <v>-</v>
          </cell>
          <cell r="TTZ2" t="str">
            <v>-</v>
          </cell>
          <cell r="TUA2" t="str">
            <v>-</v>
          </cell>
          <cell r="TUB2" t="str">
            <v>-</v>
          </cell>
          <cell r="TUC2" t="str">
            <v>-</v>
          </cell>
          <cell r="TUD2" t="str">
            <v>-</v>
          </cell>
          <cell r="TUE2" t="str">
            <v>-</v>
          </cell>
          <cell r="TUF2" t="str">
            <v>-</v>
          </cell>
          <cell r="TUG2" t="str">
            <v>-</v>
          </cell>
          <cell r="TUH2" t="str">
            <v>-</v>
          </cell>
          <cell r="TUI2" t="str">
            <v>-</v>
          </cell>
          <cell r="TUJ2" t="str">
            <v>-</v>
          </cell>
          <cell r="TUK2" t="str">
            <v>-</v>
          </cell>
          <cell r="TUL2" t="str">
            <v>-</v>
          </cell>
          <cell r="TUM2" t="str">
            <v>-</v>
          </cell>
          <cell r="TUN2" t="str">
            <v>-</v>
          </cell>
          <cell r="TUO2" t="str">
            <v>-</v>
          </cell>
          <cell r="TUP2" t="str">
            <v>-</v>
          </cell>
          <cell r="TUQ2" t="str">
            <v>-</v>
          </cell>
          <cell r="TUR2" t="str">
            <v>-</v>
          </cell>
          <cell r="TUS2" t="str">
            <v>-</v>
          </cell>
          <cell r="TUT2" t="str">
            <v>-</v>
          </cell>
          <cell r="TUU2" t="str">
            <v>-</v>
          </cell>
          <cell r="TUV2" t="str">
            <v>-</v>
          </cell>
          <cell r="TUW2" t="str">
            <v>-</v>
          </cell>
          <cell r="TUX2" t="str">
            <v>-</v>
          </cell>
          <cell r="TUY2" t="str">
            <v>-</v>
          </cell>
          <cell r="TUZ2" t="str">
            <v>-</v>
          </cell>
          <cell r="TVA2" t="str">
            <v>-</v>
          </cell>
          <cell r="TVB2" t="str">
            <v>-</v>
          </cell>
          <cell r="TVC2" t="str">
            <v>-</v>
          </cell>
          <cell r="TVD2" t="str">
            <v>-</v>
          </cell>
          <cell r="TVE2" t="str">
            <v>-</v>
          </cell>
          <cell r="TVF2" t="str">
            <v>-</v>
          </cell>
          <cell r="TVG2" t="str">
            <v>-</v>
          </cell>
          <cell r="TVH2" t="str">
            <v>-</v>
          </cell>
          <cell r="TVI2" t="str">
            <v>-</v>
          </cell>
          <cell r="TVJ2" t="str">
            <v>-</v>
          </cell>
          <cell r="TVK2" t="str">
            <v>-</v>
          </cell>
          <cell r="TVL2" t="str">
            <v>-</v>
          </cell>
          <cell r="TVM2" t="str">
            <v>-</v>
          </cell>
          <cell r="TVN2" t="str">
            <v>-</v>
          </cell>
          <cell r="TVO2" t="str">
            <v>-</v>
          </cell>
          <cell r="TVP2" t="str">
            <v>-</v>
          </cell>
          <cell r="TVQ2" t="str">
            <v>-</v>
          </cell>
          <cell r="TVR2" t="str">
            <v>-</v>
          </cell>
          <cell r="TVS2" t="str">
            <v>-</v>
          </cell>
          <cell r="TVT2" t="str">
            <v>-</v>
          </cell>
          <cell r="TVU2" t="str">
            <v>-</v>
          </cell>
          <cell r="TVV2" t="str">
            <v>-</v>
          </cell>
          <cell r="TVW2" t="str">
            <v>-</v>
          </cell>
          <cell r="TVX2" t="str">
            <v>-</v>
          </cell>
          <cell r="TVY2" t="str">
            <v>-</v>
          </cell>
          <cell r="TVZ2" t="str">
            <v>-</v>
          </cell>
          <cell r="TWA2" t="str">
            <v>-</v>
          </cell>
          <cell r="TWB2" t="str">
            <v>-</v>
          </cell>
          <cell r="TWC2" t="str">
            <v>-</v>
          </cell>
          <cell r="TWD2" t="str">
            <v>-</v>
          </cell>
          <cell r="TWE2" t="str">
            <v>-</v>
          </cell>
          <cell r="TWF2" t="str">
            <v>-</v>
          </cell>
          <cell r="TWG2" t="str">
            <v>-</v>
          </cell>
          <cell r="TWH2" t="str">
            <v>-</v>
          </cell>
          <cell r="TWI2" t="str">
            <v>-</v>
          </cell>
          <cell r="TWJ2" t="str">
            <v>-</v>
          </cell>
          <cell r="TWK2" t="str">
            <v>-</v>
          </cell>
          <cell r="TWL2" t="str">
            <v>-</v>
          </cell>
          <cell r="TWM2" t="str">
            <v>-</v>
          </cell>
          <cell r="TWN2" t="str">
            <v>-</v>
          </cell>
          <cell r="TWO2" t="str">
            <v>-</v>
          </cell>
          <cell r="TWP2" t="str">
            <v>-</v>
          </cell>
          <cell r="TWQ2" t="str">
            <v>-</v>
          </cell>
          <cell r="TWR2" t="str">
            <v>-</v>
          </cell>
          <cell r="TWS2" t="str">
            <v>-</v>
          </cell>
          <cell r="TWT2" t="str">
            <v>-</v>
          </cell>
          <cell r="TWU2" t="str">
            <v>-</v>
          </cell>
          <cell r="TWV2" t="str">
            <v>-</v>
          </cell>
          <cell r="TWW2" t="str">
            <v>-</v>
          </cell>
          <cell r="TWX2" t="str">
            <v>-</v>
          </cell>
          <cell r="TWY2" t="str">
            <v>-</v>
          </cell>
          <cell r="TWZ2" t="str">
            <v>-</v>
          </cell>
          <cell r="TXA2" t="str">
            <v>-</v>
          </cell>
          <cell r="TXB2" t="str">
            <v>-</v>
          </cell>
          <cell r="TXC2" t="str">
            <v>-</v>
          </cell>
          <cell r="TXD2" t="str">
            <v>-</v>
          </cell>
          <cell r="TXE2" t="str">
            <v>-</v>
          </cell>
          <cell r="TXF2" t="str">
            <v>-</v>
          </cell>
          <cell r="TXG2" t="str">
            <v>-</v>
          </cell>
          <cell r="TXH2" t="str">
            <v>-</v>
          </cell>
          <cell r="TXI2" t="str">
            <v>-</v>
          </cell>
          <cell r="TXJ2" t="str">
            <v>-</v>
          </cell>
          <cell r="TXK2" t="str">
            <v>-</v>
          </cell>
          <cell r="TXL2" t="str">
            <v>-</v>
          </cell>
          <cell r="TXM2" t="str">
            <v>-</v>
          </cell>
          <cell r="TXN2" t="str">
            <v>-</v>
          </cell>
          <cell r="TXO2" t="str">
            <v>-</v>
          </cell>
          <cell r="TXP2" t="str">
            <v>-</v>
          </cell>
          <cell r="TXQ2" t="str">
            <v>-</v>
          </cell>
          <cell r="TXR2" t="str">
            <v>-</v>
          </cell>
          <cell r="TXS2" t="str">
            <v>-</v>
          </cell>
          <cell r="TXT2" t="str">
            <v>-</v>
          </cell>
          <cell r="TXU2" t="str">
            <v>-</v>
          </cell>
          <cell r="TXV2" t="str">
            <v>-</v>
          </cell>
          <cell r="TXW2" t="str">
            <v>-</v>
          </cell>
          <cell r="TXX2" t="str">
            <v>-</v>
          </cell>
          <cell r="TXY2" t="str">
            <v>-</v>
          </cell>
          <cell r="TXZ2" t="str">
            <v>-</v>
          </cell>
          <cell r="TYA2" t="str">
            <v>-</v>
          </cell>
          <cell r="TYB2" t="str">
            <v>-</v>
          </cell>
          <cell r="TYC2" t="str">
            <v>-</v>
          </cell>
          <cell r="TYD2" t="str">
            <v>-</v>
          </cell>
          <cell r="TYE2" t="str">
            <v>-</v>
          </cell>
          <cell r="TYF2" t="str">
            <v>-</v>
          </cell>
          <cell r="TYG2" t="str">
            <v>-</v>
          </cell>
          <cell r="TYH2" t="str">
            <v>-</v>
          </cell>
          <cell r="TYI2" t="str">
            <v>-</v>
          </cell>
          <cell r="TYJ2" t="str">
            <v>-</v>
          </cell>
          <cell r="TYK2" t="str">
            <v>-</v>
          </cell>
          <cell r="TYL2" t="str">
            <v>-</v>
          </cell>
          <cell r="TYM2" t="str">
            <v>-</v>
          </cell>
          <cell r="TYN2" t="str">
            <v>-</v>
          </cell>
          <cell r="TYO2" t="str">
            <v>-</v>
          </cell>
          <cell r="TYP2" t="str">
            <v>-</v>
          </cell>
          <cell r="TYQ2" t="str">
            <v>-</v>
          </cell>
          <cell r="TYR2" t="str">
            <v>-</v>
          </cell>
          <cell r="TYS2" t="str">
            <v>-</v>
          </cell>
          <cell r="TYT2" t="str">
            <v>-</v>
          </cell>
          <cell r="TYU2" t="str">
            <v>-</v>
          </cell>
          <cell r="TYV2" t="str">
            <v>-</v>
          </cell>
          <cell r="TYW2" t="str">
            <v>-</v>
          </cell>
          <cell r="TYX2" t="str">
            <v>-</v>
          </cell>
          <cell r="TYY2" t="str">
            <v>-</v>
          </cell>
          <cell r="TYZ2" t="str">
            <v>-</v>
          </cell>
          <cell r="TZA2" t="str">
            <v>-</v>
          </cell>
          <cell r="TZB2" t="str">
            <v>-</v>
          </cell>
          <cell r="TZC2" t="str">
            <v>-</v>
          </cell>
          <cell r="TZD2" t="str">
            <v>-</v>
          </cell>
          <cell r="TZE2" t="str">
            <v>-</v>
          </cell>
          <cell r="TZF2" t="str">
            <v>-</v>
          </cell>
          <cell r="TZG2" t="str">
            <v>-</v>
          </cell>
          <cell r="TZH2" t="str">
            <v>-</v>
          </cell>
          <cell r="TZI2" t="str">
            <v>-</v>
          </cell>
          <cell r="TZJ2" t="str">
            <v>-</v>
          </cell>
          <cell r="TZK2" t="str">
            <v>-</v>
          </cell>
          <cell r="TZL2" t="str">
            <v>-</v>
          </cell>
          <cell r="TZM2" t="str">
            <v>-</v>
          </cell>
          <cell r="TZN2" t="str">
            <v>-</v>
          </cell>
          <cell r="TZO2" t="str">
            <v>-</v>
          </cell>
          <cell r="TZP2" t="str">
            <v>-</v>
          </cell>
          <cell r="TZQ2" t="str">
            <v>-</v>
          </cell>
          <cell r="TZR2" t="str">
            <v>-</v>
          </cell>
          <cell r="TZS2" t="str">
            <v>-</v>
          </cell>
          <cell r="TZT2" t="str">
            <v>-</v>
          </cell>
          <cell r="TZU2" t="str">
            <v>-</v>
          </cell>
          <cell r="TZV2" t="str">
            <v>-</v>
          </cell>
          <cell r="TZW2" t="str">
            <v>-</v>
          </cell>
          <cell r="TZX2" t="str">
            <v>-</v>
          </cell>
          <cell r="TZY2" t="str">
            <v>-</v>
          </cell>
          <cell r="TZZ2" t="str">
            <v>-</v>
          </cell>
          <cell r="UAA2" t="str">
            <v>-</v>
          </cell>
          <cell r="UAB2" t="str">
            <v>-</v>
          </cell>
          <cell r="UAC2" t="str">
            <v>-</v>
          </cell>
          <cell r="UAD2" t="str">
            <v>-</v>
          </cell>
          <cell r="UAE2" t="str">
            <v>-</v>
          </cell>
          <cell r="UAF2" t="str">
            <v>-</v>
          </cell>
          <cell r="UAG2" t="str">
            <v>-</v>
          </cell>
          <cell r="UAH2" t="str">
            <v>-</v>
          </cell>
          <cell r="UAI2" t="str">
            <v>-</v>
          </cell>
          <cell r="UAJ2" t="str">
            <v>-</v>
          </cell>
          <cell r="UAK2" t="str">
            <v>-</v>
          </cell>
          <cell r="UAL2" t="str">
            <v>-</v>
          </cell>
          <cell r="UAM2" t="str">
            <v>-</v>
          </cell>
          <cell r="UAN2" t="str">
            <v>-</v>
          </cell>
          <cell r="UAO2" t="str">
            <v>-</v>
          </cell>
          <cell r="UAP2" t="str">
            <v>-</v>
          </cell>
          <cell r="UAQ2" t="str">
            <v>-</v>
          </cell>
          <cell r="UAR2" t="str">
            <v>-</v>
          </cell>
          <cell r="UAS2" t="str">
            <v>-</v>
          </cell>
          <cell r="UAT2" t="str">
            <v>-</v>
          </cell>
          <cell r="UAU2" t="str">
            <v>-</v>
          </cell>
          <cell r="UAV2" t="str">
            <v>-</v>
          </cell>
          <cell r="UAW2" t="str">
            <v>-</v>
          </cell>
          <cell r="UAX2" t="str">
            <v>-</v>
          </cell>
          <cell r="UAY2" t="str">
            <v>-</v>
          </cell>
          <cell r="UAZ2" t="str">
            <v>-</v>
          </cell>
          <cell r="UBA2" t="str">
            <v>-</v>
          </cell>
          <cell r="UBB2" t="str">
            <v>-</v>
          </cell>
          <cell r="UBC2" t="str">
            <v>-</v>
          </cell>
          <cell r="UBD2" t="str">
            <v>-</v>
          </cell>
          <cell r="UBE2" t="str">
            <v>-</v>
          </cell>
          <cell r="UBF2" t="str">
            <v>-</v>
          </cell>
          <cell r="UBG2" t="str">
            <v>-</v>
          </cell>
          <cell r="UBH2" t="str">
            <v>-</v>
          </cell>
          <cell r="UBI2" t="str">
            <v>-</v>
          </cell>
          <cell r="UBJ2" t="str">
            <v>-</v>
          </cell>
          <cell r="UBK2" t="str">
            <v>-</v>
          </cell>
          <cell r="UBL2" t="str">
            <v>-</v>
          </cell>
          <cell r="UBM2" t="str">
            <v>-</v>
          </cell>
          <cell r="UBN2" t="str">
            <v>-</v>
          </cell>
          <cell r="UBO2" t="str">
            <v>-</v>
          </cell>
          <cell r="UBP2" t="str">
            <v>-</v>
          </cell>
          <cell r="UBQ2" t="str">
            <v>-</v>
          </cell>
          <cell r="UBR2" t="str">
            <v>-</v>
          </cell>
          <cell r="UBS2" t="str">
            <v>-</v>
          </cell>
          <cell r="UBT2" t="str">
            <v>-</v>
          </cell>
          <cell r="UBU2" t="str">
            <v>-</v>
          </cell>
          <cell r="UBV2" t="str">
            <v>-</v>
          </cell>
          <cell r="UBW2" t="str">
            <v>-</v>
          </cell>
          <cell r="UBX2" t="str">
            <v>-</v>
          </cell>
          <cell r="UBY2" t="str">
            <v>-</v>
          </cell>
          <cell r="UBZ2" t="str">
            <v>-</v>
          </cell>
          <cell r="UCA2" t="str">
            <v>-</v>
          </cell>
          <cell r="UCB2" t="str">
            <v>-</v>
          </cell>
          <cell r="UCC2" t="str">
            <v>-</v>
          </cell>
          <cell r="UCD2" t="str">
            <v>-</v>
          </cell>
          <cell r="UCE2" t="str">
            <v>-</v>
          </cell>
          <cell r="UCF2" t="str">
            <v>-</v>
          </cell>
          <cell r="UCG2" t="str">
            <v>-</v>
          </cell>
          <cell r="UCH2" t="str">
            <v>-</v>
          </cell>
          <cell r="UCI2" t="str">
            <v>-</v>
          </cell>
          <cell r="UCJ2" t="str">
            <v>-</v>
          </cell>
          <cell r="UCK2" t="str">
            <v>-</v>
          </cell>
          <cell r="UCL2" t="str">
            <v>-</v>
          </cell>
          <cell r="UCM2" t="str">
            <v>-</v>
          </cell>
          <cell r="UCN2" t="str">
            <v>-</v>
          </cell>
          <cell r="UCO2" t="str">
            <v>-</v>
          </cell>
          <cell r="UCP2" t="str">
            <v>-</v>
          </cell>
          <cell r="UCQ2" t="str">
            <v>-</v>
          </cell>
          <cell r="UCR2" t="str">
            <v>-</v>
          </cell>
          <cell r="UCS2" t="str">
            <v>-</v>
          </cell>
          <cell r="UCT2" t="str">
            <v>-</v>
          </cell>
          <cell r="UCU2" t="str">
            <v>-</v>
          </cell>
          <cell r="UCV2" t="str">
            <v>-</v>
          </cell>
          <cell r="UCW2" t="str">
            <v>-</v>
          </cell>
          <cell r="UCX2" t="str">
            <v>-</v>
          </cell>
          <cell r="UCY2" t="str">
            <v>-</v>
          </cell>
          <cell r="UCZ2" t="str">
            <v>-</v>
          </cell>
          <cell r="UDA2" t="str">
            <v>-</v>
          </cell>
          <cell r="UDB2" t="str">
            <v>-</v>
          </cell>
          <cell r="UDC2" t="str">
            <v>-</v>
          </cell>
          <cell r="UDD2" t="str">
            <v>-</v>
          </cell>
          <cell r="UDE2" t="str">
            <v>-</v>
          </cell>
          <cell r="UDF2" t="str">
            <v>-</v>
          </cell>
          <cell r="UDG2" t="str">
            <v>-</v>
          </cell>
          <cell r="UDH2" t="str">
            <v>-</v>
          </cell>
          <cell r="UDI2" t="str">
            <v>-</v>
          </cell>
          <cell r="UDJ2" t="str">
            <v>-</v>
          </cell>
          <cell r="UDK2" t="str">
            <v>-</v>
          </cell>
          <cell r="UDL2" t="str">
            <v>-</v>
          </cell>
          <cell r="UDM2" t="str">
            <v>-</v>
          </cell>
          <cell r="UDN2" t="str">
            <v>-</v>
          </cell>
          <cell r="UDO2" t="str">
            <v>-</v>
          </cell>
          <cell r="UDP2" t="str">
            <v>-</v>
          </cell>
          <cell r="UDQ2" t="str">
            <v>-</v>
          </cell>
          <cell r="UDR2" t="str">
            <v>-</v>
          </cell>
          <cell r="UDS2" t="str">
            <v>-</v>
          </cell>
          <cell r="UDT2" t="str">
            <v>-</v>
          </cell>
          <cell r="UDU2" t="str">
            <v>-</v>
          </cell>
          <cell r="UDV2" t="str">
            <v>-</v>
          </cell>
          <cell r="UDW2" t="str">
            <v>-</v>
          </cell>
          <cell r="UDX2" t="str">
            <v>-</v>
          </cell>
          <cell r="UDY2" t="str">
            <v>-</v>
          </cell>
          <cell r="UDZ2" t="str">
            <v>-</v>
          </cell>
          <cell r="UEA2" t="str">
            <v>-</v>
          </cell>
          <cell r="UEB2" t="str">
            <v>-</v>
          </cell>
          <cell r="UEC2" t="str">
            <v>-</v>
          </cell>
          <cell r="UED2" t="str">
            <v>-</v>
          </cell>
          <cell r="UEE2" t="str">
            <v>-</v>
          </cell>
          <cell r="UEF2" t="str">
            <v>-</v>
          </cell>
          <cell r="UEG2" t="str">
            <v>-</v>
          </cell>
          <cell r="UEH2" t="str">
            <v>-</v>
          </cell>
          <cell r="UEI2" t="str">
            <v>-</v>
          </cell>
          <cell r="UEJ2" t="str">
            <v>-</v>
          </cell>
          <cell r="UEK2" t="str">
            <v>-</v>
          </cell>
          <cell r="UEL2" t="str">
            <v>-</v>
          </cell>
          <cell r="UEM2" t="str">
            <v>-</v>
          </cell>
          <cell r="UEN2" t="str">
            <v>-</v>
          </cell>
          <cell r="UEO2" t="str">
            <v>-</v>
          </cell>
          <cell r="UEP2" t="str">
            <v>-</v>
          </cell>
          <cell r="UEQ2" t="str">
            <v>-</v>
          </cell>
          <cell r="UER2" t="str">
            <v>-</v>
          </cell>
          <cell r="UES2" t="str">
            <v>-</v>
          </cell>
          <cell r="UET2" t="str">
            <v>-</v>
          </cell>
          <cell r="UEU2" t="str">
            <v>-</v>
          </cell>
          <cell r="UEV2" t="str">
            <v>-</v>
          </cell>
          <cell r="UEW2" t="str">
            <v>-</v>
          </cell>
          <cell r="UEX2" t="str">
            <v>-</v>
          </cell>
          <cell r="UEY2" t="str">
            <v>-</v>
          </cell>
          <cell r="UEZ2" t="str">
            <v>-</v>
          </cell>
          <cell r="UFA2" t="str">
            <v>-</v>
          </cell>
          <cell r="UFB2" t="str">
            <v>-</v>
          </cell>
          <cell r="UFC2" t="str">
            <v>-</v>
          </cell>
          <cell r="UFD2" t="str">
            <v>-</v>
          </cell>
          <cell r="UFE2" t="str">
            <v>-</v>
          </cell>
          <cell r="UFF2" t="str">
            <v>-</v>
          </cell>
          <cell r="UFG2" t="str">
            <v>-</v>
          </cell>
          <cell r="UFH2" t="str">
            <v>-</v>
          </cell>
          <cell r="UFI2" t="str">
            <v>-</v>
          </cell>
          <cell r="UFJ2" t="str">
            <v>-</v>
          </cell>
          <cell r="UFK2" t="str">
            <v>-</v>
          </cell>
          <cell r="UFL2" t="str">
            <v>-</v>
          </cell>
          <cell r="UFM2" t="str">
            <v>-</v>
          </cell>
          <cell r="UFN2" t="str">
            <v>-</v>
          </cell>
          <cell r="UFO2" t="str">
            <v>-</v>
          </cell>
          <cell r="UFP2" t="str">
            <v>-</v>
          </cell>
          <cell r="UFQ2" t="str">
            <v>-</v>
          </cell>
          <cell r="UFR2" t="str">
            <v>-</v>
          </cell>
          <cell r="UFS2" t="str">
            <v>-</v>
          </cell>
          <cell r="UFT2" t="str">
            <v>-</v>
          </cell>
          <cell r="UFU2" t="str">
            <v>-</v>
          </cell>
          <cell r="UFV2" t="str">
            <v>-</v>
          </cell>
          <cell r="UFW2" t="str">
            <v>-</v>
          </cell>
          <cell r="UFX2" t="str">
            <v>-</v>
          </cell>
          <cell r="UFY2" t="str">
            <v>-</v>
          </cell>
          <cell r="UFZ2" t="str">
            <v>-</v>
          </cell>
          <cell r="UGA2" t="str">
            <v>-</v>
          </cell>
          <cell r="UGB2" t="str">
            <v>-</v>
          </cell>
          <cell r="UGC2" t="str">
            <v>-</v>
          </cell>
          <cell r="UGD2" t="str">
            <v>-</v>
          </cell>
          <cell r="UGE2" t="str">
            <v>-</v>
          </cell>
          <cell r="UGF2" t="str">
            <v>-</v>
          </cell>
          <cell r="UGG2" t="str">
            <v>-</v>
          </cell>
          <cell r="UGH2" t="str">
            <v>-</v>
          </cell>
          <cell r="UGI2" t="str">
            <v>-</v>
          </cell>
          <cell r="UGJ2" t="str">
            <v>-</v>
          </cell>
          <cell r="UGK2" t="str">
            <v>-</v>
          </cell>
          <cell r="UGL2" t="str">
            <v>-</v>
          </cell>
          <cell r="UGM2" t="str">
            <v>-</v>
          </cell>
          <cell r="UGN2" t="str">
            <v>-</v>
          </cell>
          <cell r="UGO2" t="str">
            <v>-</v>
          </cell>
          <cell r="UGP2" t="str">
            <v>-</v>
          </cell>
          <cell r="UGQ2" t="str">
            <v>-</v>
          </cell>
          <cell r="UGR2" t="str">
            <v>-</v>
          </cell>
          <cell r="UGS2" t="str">
            <v>-</v>
          </cell>
          <cell r="UGT2" t="str">
            <v>-</v>
          </cell>
          <cell r="UGU2" t="str">
            <v>-</v>
          </cell>
          <cell r="UGV2" t="str">
            <v>-</v>
          </cell>
          <cell r="UGW2" t="str">
            <v>-</v>
          </cell>
          <cell r="UGX2" t="str">
            <v>-</v>
          </cell>
          <cell r="UGY2" t="str">
            <v>-</v>
          </cell>
          <cell r="UGZ2" t="str">
            <v>-</v>
          </cell>
          <cell r="UHA2" t="str">
            <v>-</v>
          </cell>
          <cell r="UHB2" t="str">
            <v>-</v>
          </cell>
          <cell r="UHC2" t="str">
            <v>-</v>
          </cell>
          <cell r="UHD2" t="str">
            <v>-</v>
          </cell>
          <cell r="UHE2" t="str">
            <v>-</v>
          </cell>
          <cell r="UHF2" t="str">
            <v>-</v>
          </cell>
          <cell r="UHG2" t="str">
            <v>-</v>
          </cell>
          <cell r="UHH2" t="str">
            <v>-</v>
          </cell>
          <cell r="UHI2" t="str">
            <v>-</v>
          </cell>
          <cell r="UHJ2" t="str">
            <v>-</v>
          </cell>
          <cell r="UHK2" t="str">
            <v>-</v>
          </cell>
          <cell r="UHL2" t="str">
            <v>-</v>
          </cell>
          <cell r="UHM2" t="str">
            <v>-</v>
          </cell>
          <cell r="UHN2" t="str">
            <v>-</v>
          </cell>
          <cell r="UHO2" t="str">
            <v>-</v>
          </cell>
          <cell r="UHP2" t="str">
            <v>-</v>
          </cell>
          <cell r="UHQ2" t="str">
            <v>-</v>
          </cell>
          <cell r="UHR2" t="str">
            <v>-</v>
          </cell>
          <cell r="UHS2" t="str">
            <v>-</v>
          </cell>
          <cell r="UHT2" t="str">
            <v>-</v>
          </cell>
          <cell r="UHU2" t="str">
            <v>-</v>
          </cell>
          <cell r="UHV2" t="str">
            <v>-</v>
          </cell>
          <cell r="UHW2" t="str">
            <v>-</v>
          </cell>
          <cell r="UHX2" t="str">
            <v>-</v>
          </cell>
          <cell r="UHY2" t="str">
            <v>-</v>
          </cell>
          <cell r="UHZ2" t="str">
            <v>-</v>
          </cell>
          <cell r="UIA2" t="str">
            <v>-</v>
          </cell>
          <cell r="UIB2" t="str">
            <v>-</v>
          </cell>
          <cell r="UIC2" t="str">
            <v>-</v>
          </cell>
          <cell r="UID2" t="str">
            <v>-</v>
          </cell>
          <cell r="UIE2" t="str">
            <v>-</v>
          </cell>
          <cell r="UIF2" t="str">
            <v>-</v>
          </cell>
          <cell r="UIG2" t="str">
            <v>-</v>
          </cell>
          <cell r="UIH2" t="str">
            <v>-</v>
          </cell>
          <cell r="UII2" t="str">
            <v>-</v>
          </cell>
          <cell r="UIJ2" t="str">
            <v>-</v>
          </cell>
          <cell r="UIK2" t="str">
            <v>-</v>
          </cell>
          <cell r="UIL2" t="str">
            <v>-</v>
          </cell>
          <cell r="UIM2" t="str">
            <v>-</v>
          </cell>
          <cell r="UIN2" t="str">
            <v>-</v>
          </cell>
          <cell r="UIO2" t="str">
            <v>-</v>
          </cell>
          <cell r="UIP2" t="str">
            <v>-</v>
          </cell>
          <cell r="UIQ2" t="str">
            <v>-</v>
          </cell>
          <cell r="UIR2" t="str">
            <v>-</v>
          </cell>
          <cell r="UIS2" t="str">
            <v>-</v>
          </cell>
          <cell r="UIT2" t="str">
            <v>-</v>
          </cell>
          <cell r="UIU2" t="str">
            <v>-</v>
          </cell>
          <cell r="UIV2" t="str">
            <v>-</v>
          </cell>
          <cell r="UIW2" t="str">
            <v>-</v>
          </cell>
          <cell r="UIX2" t="str">
            <v>-</v>
          </cell>
          <cell r="UIY2" t="str">
            <v>-</v>
          </cell>
          <cell r="UIZ2" t="str">
            <v>-</v>
          </cell>
          <cell r="UJA2" t="str">
            <v>-</v>
          </cell>
          <cell r="UJB2" t="str">
            <v>-</v>
          </cell>
          <cell r="UJC2" t="str">
            <v>-</v>
          </cell>
          <cell r="UJD2" t="str">
            <v>-</v>
          </cell>
          <cell r="UJE2" t="str">
            <v>-</v>
          </cell>
          <cell r="UJF2" t="str">
            <v>-</v>
          </cell>
          <cell r="UJG2" t="str">
            <v>-</v>
          </cell>
          <cell r="UJH2" t="str">
            <v>-</v>
          </cell>
          <cell r="UJI2" t="str">
            <v>-</v>
          </cell>
          <cell r="UJJ2" t="str">
            <v>-</v>
          </cell>
          <cell r="UJK2" t="str">
            <v>-</v>
          </cell>
          <cell r="UJL2" t="str">
            <v>-</v>
          </cell>
          <cell r="UJM2" t="str">
            <v>-</v>
          </cell>
          <cell r="UJN2" t="str">
            <v>-</v>
          </cell>
          <cell r="UJO2" t="str">
            <v>-</v>
          </cell>
          <cell r="UJP2" t="str">
            <v>-</v>
          </cell>
          <cell r="UJQ2" t="str">
            <v>-</v>
          </cell>
          <cell r="UJR2" t="str">
            <v>-</v>
          </cell>
          <cell r="UJS2" t="str">
            <v>-</v>
          </cell>
          <cell r="UJT2" t="str">
            <v>-</v>
          </cell>
          <cell r="UJU2" t="str">
            <v>-</v>
          </cell>
          <cell r="UJV2" t="str">
            <v>-</v>
          </cell>
          <cell r="UJW2" t="str">
            <v>-</v>
          </cell>
          <cell r="UJX2" t="str">
            <v>-</v>
          </cell>
          <cell r="UJY2" t="str">
            <v>-</v>
          </cell>
          <cell r="UJZ2" t="str">
            <v>-</v>
          </cell>
          <cell r="UKA2" t="str">
            <v>-</v>
          </cell>
          <cell r="UKB2" t="str">
            <v>-</v>
          </cell>
          <cell r="UKC2" t="str">
            <v>-</v>
          </cell>
          <cell r="UKD2" t="str">
            <v>-</v>
          </cell>
          <cell r="UKE2" t="str">
            <v>-</v>
          </cell>
          <cell r="UKF2" t="str">
            <v>-</v>
          </cell>
          <cell r="UKG2" t="str">
            <v>-</v>
          </cell>
          <cell r="UKH2" t="str">
            <v>-</v>
          </cell>
          <cell r="UKI2" t="str">
            <v>-</v>
          </cell>
          <cell r="UKJ2" t="str">
            <v>-</v>
          </cell>
          <cell r="UKK2" t="str">
            <v>-</v>
          </cell>
          <cell r="UKL2" t="str">
            <v>-</v>
          </cell>
          <cell r="UKM2" t="str">
            <v>-</v>
          </cell>
          <cell r="UKN2" t="str">
            <v>-</v>
          </cell>
          <cell r="UKO2" t="str">
            <v>-</v>
          </cell>
          <cell r="UKP2" t="str">
            <v>-</v>
          </cell>
          <cell r="UKQ2" t="str">
            <v>-</v>
          </cell>
          <cell r="UKR2" t="str">
            <v>-</v>
          </cell>
          <cell r="UKS2" t="str">
            <v>-</v>
          </cell>
          <cell r="UKT2" t="str">
            <v>-</v>
          </cell>
          <cell r="UKU2" t="str">
            <v>-</v>
          </cell>
          <cell r="UKV2" t="str">
            <v>-</v>
          </cell>
          <cell r="UKW2" t="str">
            <v>-</v>
          </cell>
          <cell r="UKX2" t="str">
            <v>-</v>
          </cell>
          <cell r="UKY2" t="str">
            <v>-</v>
          </cell>
          <cell r="UKZ2" t="str">
            <v>-</v>
          </cell>
          <cell r="ULA2" t="str">
            <v>-</v>
          </cell>
          <cell r="ULB2" t="str">
            <v>-</v>
          </cell>
          <cell r="ULC2" t="str">
            <v>-</v>
          </cell>
          <cell r="ULD2" t="str">
            <v>-</v>
          </cell>
          <cell r="ULE2" t="str">
            <v>-</v>
          </cell>
          <cell r="ULF2" t="str">
            <v>-</v>
          </cell>
          <cell r="ULG2" t="str">
            <v>-</v>
          </cell>
          <cell r="ULH2" t="str">
            <v>-</v>
          </cell>
          <cell r="ULI2" t="str">
            <v>-</v>
          </cell>
          <cell r="ULJ2" t="str">
            <v>-</v>
          </cell>
          <cell r="ULK2" t="str">
            <v>-</v>
          </cell>
          <cell r="ULL2" t="str">
            <v>-</v>
          </cell>
          <cell r="ULM2" t="str">
            <v>-</v>
          </cell>
          <cell r="ULN2" t="str">
            <v>-</v>
          </cell>
          <cell r="ULO2" t="str">
            <v>-</v>
          </cell>
          <cell r="ULP2" t="str">
            <v>-</v>
          </cell>
          <cell r="ULQ2" t="str">
            <v>-</v>
          </cell>
          <cell r="ULR2" t="str">
            <v>-</v>
          </cell>
          <cell r="ULS2" t="str">
            <v>-</v>
          </cell>
          <cell r="ULT2" t="str">
            <v>-</v>
          </cell>
          <cell r="ULU2" t="str">
            <v>-</v>
          </cell>
          <cell r="ULV2" t="str">
            <v>-</v>
          </cell>
          <cell r="ULW2" t="str">
            <v>-</v>
          </cell>
          <cell r="ULX2" t="str">
            <v>-</v>
          </cell>
          <cell r="ULY2" t="str">
            <v>-</v>
          </cell>
          <cell r="ULZ2" t="str">
            <v>-</v>
          </cell>
          <cell r="UMA2" t="str">
            <v>-</v>
          </cell>
          <cell r="UMB2" t="str">
            <v>-</v>
          </cell>
          <cell r="UMC2" t="str">
            <v>-</v>
          </cell>
          <cell r="UMD2" t="str">
            <v>-</v>
          </cell>
          <cell r="UME2" t="str">
            <v>-</v>
          </cell>
          <cell r="UMF2" t="str">
            <v>-</v>
          </cell>
          <cell r="UMG2" t="str">
            <v>-</v>
          </cell>
          <cell r="UMH2" t="str">
            <v>-</v>
          </cell>
          <cell r="UMI2" t="str">
            <v>-</v>
          </cell>
          <cell r="UMJ2" t="str">
            <v>-</v>
          </cell>
          <cell r="UMK2" t="str">
            <v>-</v>
          </cell>
          <cell r="UML2" t="str">
            <v>-</v>
          </cell>
          <cell r="UMM2" t="str">
            <v>-</v>
          </cell>
          <cell r="UMN2" t="str">
            <v>-</v>
          </cell>
          <cell r="UMO2" t="str">
            <v>-</v>
          </cell>
          <cell r="UMP2" t="str">
            <v>-</v>
          </cell>
          <cell r="UMQ2" t="str">
            <v>-</v>
          </cell>
          <cell r="UMR2" t="str">
            <v>-</v>
          </cell>
          <cell r="UMS2" t="str">
            <v>-</v>
          </cell>
          <cell r="UMT2" t="str">
            <v>-</v>
          </cell>
          <cell r="UMU2" t="str">
            <v>-</v>
          </cell>
          <cell r="UMV2" t="str">
            <v>-</v>
          </cell>
          <cell r="UMW2" t="str">
            <v>-</v>
          </cell>
          <cell r="UMX2" t="str">
            <v>-</v>
          </cell>
          <cell r="UMY2" t="str">
            <v>-</v>
          </cell>
          <cell r="UMZ2" t="str">
            <v>-</v>
          </cell>
          <cell r="UNA2" t="str">
            <v>-</v>
          </cell>
          <cell r="UNB2" t="str">
            <v>-</v>
          </cell>
          <cell r="UNC2" t="str">
            <v>-</v>
          </cell>
          <cell r="UND2" t="str">
            <v>-</v>
          </cell>
          <cell r="UNE2" t="str">
            <v>-</v>
          </cell>
          <cell r="UNF2" t="str">
            <v>-</v>
          </cell>
          <cell r="UNG2" t="str">
            <v>-</v>
          </cell>
          <cell r="UNH2" t="str">
            <v>-</v>
          </cell>
          <cell r="UNI2" t="str">
            <v>-</v>
          </cell>
          <cell r="UNJ2" t="str">
            <v>-</v>
          </cell>
          <cell r="UNK2" t="str">
            <v>-</v>
          </cell>
          <cell r="UNL2" t="str">
            <v>-</v>
          </cell>
          <cell r="UNM2" t="str">
            <v>-</v>
          </cell>
          <cell r="UNN2" t="str">
            <v>-</v>
          </cell>
          <cell r="UNO2" t="str">
            <v>-</v>
          </cell>
          <cell r="UNP2" t="str">
            <v>-</v>
          </cell>
          <cell r="UNQ2" t="str">
            <v>-</v>
          </cell>
          <cell r="UNR2" t="str">
            <v>-</v>
          </cell>
          <cell r="UNS2" t="str">
            <v>-</v>
          </cell>
          <cell r="UNT2" t="str">
            <v>-</v>
          </cell>
          <cell r="UNU2" t="str">
            <v>-</v>
          </cell>
          <cell r="UNV2" t="str">
            <v>-</v>
          </cell>
          <cell r="UNW2" t="str">
            <v>-</v>
          </cell>
          <cell r="UNX2" t="str">
            <v>-</v>
          </cell>
          <cell r="UNY2" t="str">
            <v>-</v>
          </cell>
          <cell r="UNZ2" t="str">
            <v>-</v>
          </cell>
          <cell r="UOA2" t="str">
            <v>-</v>
          </cell>
          <cell r="UOB2" t="str">
            <v>-</v>
          </cell>
          <cell r="UOC2" t="str">
            <v>-</v>
          </cell>
          <cell r="UOD2" t="str">
            <v>-</v>
          </cell>
          <cell r="UOE2" t="str">
            <v>-</v>
          </cell>
          <cell r="UOF2" t="str">
            <v>-</v>
          </cell>
          <cell r="UOG2" t="str">
            <v>-</v>
          </cell>
          <cell r="UOH2" t="str">
            <v>-</v>
          </cell>
          <cell r="UOI2" t="str">
            <v>-</v>
          </cell>
          <cell r="UOJ2" t="str">
            <v>-</v>
          </cell>
          <cell r="UOK2" t="str">
            <v>-</v>
          </cell>
          <cell r="UOL2" t="str">
            <v>-</v>
          </cell>
          <cell r="UOM2" t="str">
            <v>-</v>
          </cell>
          <cell r="UON2" t="str">
            <v>-</v>
          </cell>
          <cell r="UOO2" t="str">
            <v>-</v>
          </cell>
          <cell r="UOP2" t="str">
            <v>-</v>
          </cell>
          <cell r="UOQ2" t="str">
            <v>-</v>
          </cell>
          <cell r="UOR2" t="str">
            <v>-</v>
          </cell>
          <cell r="UOS2" t="str">
            <v>-</v>
          </cell>
          <cell r="UOT2" t="str">
            <v>-</v>
          </cell>
          <cell r="UOU2" t="str">
            <v>-</v>
          </cell>
          <cell r="UOV2" t="str">
            <v>-</v>
          </cell>
          <cell r="UOW2" t="str">
            <v>-</v>
          </cell>
          <cell r="UOX2" t="str">
            <v>-</v>
          </cell>
          <cell r="UOY2" t="str">
            <v>-</v>
          </cell>
          <cell r="UOZ2" t="str">
            <v>-</v>
          </cell>
          <cell r="UPA2" t="str">
            <v>-</v>
          </cell>
          <cell r="UPB2" t="str">
            <v>-</v>
          </cell>
          <cell r="UPC2" t="str">
            <v>-</v>
          </cell>
          <cell r="UPD2" t="str">
            <v>-</v>
          </cell>
          <cell r="UPE2" t="str">
            <v>-</v>
          </cell>
          <cell r="UPF2" t="str">
            <v>-</v>
          </cell>
          <cell r="UPG2" t="str">
            <v>-</v>
          </cell>
          <cell r="UPH2" t="str">
            <v>-</v>
          </cell>
          <cell r="UPI2" t="str">
            <v>-</v>
          </cell>
          <cell r="UPJ2" t="str">
            <v>-</v>
          </cell>
          <cell r="UPK2" t="str">
            <v>-</v>
          </cell>
          <cell r="UPL2" t="str">
            <v>-</v>
          </cell>
          <cell r="UPM2" t="str">
            <v>-</v>
          </cell>
          <cell r="UPN2" t="str">
            <v>-</v>
          </cell>
          <cell r="UPO2" t="str">
            <v>-</v>
          </cell>
          <cell r="UPP2" t="str">
            <v>-</v>
          </cell>
          <cell r="UPQ2" t="str">
            <v>-</v>
          </cell>
          <cell r="UPR2" t="str">
            <v>-</v>
          </cell>
          <cell r="UPS2" t="str">
            <v>-</v>
          </cell>
          <cell r="UPT2" t="str">
            <v>-</v>
          </cell>
          <cell r="UPU2" t="str">
            <v>-</v>
          </cell>
          <cell r="UPV2" t="str">
            <v>-</v>
          </cell>
          <cell r="UPW2" t="str">
            <v>-</v>
          </cell>
          <cell r="UPX2" t="str">
            <v>-</v>
          </cell>
          <cell r="UPY2" t="str">
            <v>-</v>
          </cell>
          <cell r="UPZ2" t="str">
            <v>-</v>
          </cell>
          <cell r="UQA2" t="str">
            <v>-</v>
          </cell>
          <cell r="UQB2" t="str">
            <v>-</v>
          </cell>
          <cell r="UQC2" t="str">
            <v>-</v>
          </cell>
          <cell r="UQD2" t="str">
            <v>-</v>
          </cell>
          <cell r="UQE2" t="str">
            <v>-</v>
          </cell>
          <cell r="UQF2" t="str">
            <v>-</v>
          </cell>
          <cell r="UQG2" t="str">
            <v>-</v>
          </cell>
          <cell r="UQH2" t="str">
            <v>-</v>
          </cell>
          <cell r="UQI2" t="str">
            <v>-</v>
          </cell>
          <cell r="UQJ2" t="str">
            <v>-</v>
          </cell>
          <cell r="UQK2" t="str">
            <v>-</v>
          </cell>
          <cell r="UQL2" t="str">
            <v>-</v>
          </cell>
          <cell r="UQM2" t="str">
            <v>-</v>
          </cell>
          <cell r="UQN2" t="str">
            <v>-</v>
          </cell>
          <cell r="UQO2" t="str">
            <v>-</v>
          </cell>
          <cell r="UQP2" t="str">
            <v>-</v>
          </cell>
          <cell r="UQQ2" t="str">
            <v>-</v>
          </cell>
          <cell r="UQR2" t="str">
            <v>-</v>
          </cell>
          <cell r="UQS2" t="str">
            <v>-</v>
          </cell>
          <cell r="UQT2" t="str">
            <v>-</v>
          </cell>
          <cell r="UQU2" t="str">
            <v>-</v>
          </cell>
          <cell r="UQV2" t="str">
            <v>-</v>
          </cell>
          <cell r="UQW2" t="str">
            <v>-</v>
          </cell>
          <cell r="UQX2" t="str">
            <v>-</v>
          </cell>
          <cell r="UQY2" t="str">
            <v>-</v>
          </cell>
          <cell r="UQZ2" t="str">
            <v>-</v>
          </cell>
          <cell r="URA2" t="str">
            <v>-</v>
          </cell>
          <cell r="URB2" t="str">
            <v>-</v>
          </cell>
          <cell r="URC2" t="str">
            <v>-</v>
          </cell>
          <cell r="URD2" t="str">
            <v>-</v>
          </cell>
          <cell r="URE2" t="str">
            <v>-</v>
          </cell>
          <cell r="URF2" t="str">
            <v>-</v>
          </cell>
          <cell r="URG2" t="str">
            <v>-</v>
          </cell>
          <cell r="URH2" t="str">
            <v>-</v>
          </cell>
          <cell r="URI2" t="str">
            <v>-</v>
          </cell>
          <cell r="URJ2" t="str">
            <v>-</v>
          </cell>
          <cell r="URK2" t="str">
            <v>-</v>
          </cell>
          <cell r="URL2" t="str">
            <v>-</v>
          </cell>
          <cell r="URM2" t="str">
            <v>-</v>
          </cell>
          <cell r="URN2" t="str">
            <v>-</v>
          </cell>
          <cell r="URO2" t="str">
            <v>-</v>
          </cell>
          <cell r="URP2" t="str">
            <v>-</v>
          </cell>
          <cell r="URQ2" t="str">
            <v>-</v>
          </cell>
          <cell r="URR2" t="str">
            <v>-</v>
          </cell>
          <cell r="URS2" t="str">
            <v>-</v>
          </cell>
          <cell r="URT2" t="str">
            <v>-</v>
          </cell>
          <cell r="URU2" t="str">
            <v>-</v>
          </cell>
          <cell r="URV2" t="str">
            <v>-</v>
          </cell>
          <cell r="URW2" t="str">
            <v>-</v>
          </cell>
          <cell r="URX2" t="str">
            <v>-</v>
          </cell>
          <cell r="URY2" t="str">
            <v>-</v>
          </cell>
          <cell r="URZ2" t="str">
            <v>-</v>
          </cell>
          <cell r="USA2" t="str">
            <v>-</v>
          </cell>
          <cell r="USB2" t="str">
            <v>-</v>
          </cell>
          <cell r="USC2" t="str">
            <v>-</v>
          </cell>
          <cell r="USD2" t="str">
            <v>-</v>
          </cell>
          <cell r="USE2" t="str">
            <v>-</v>
          </cell>
          <cell r="USF2" t="str">
            <v>-</v>
          </cell>
          <cell r="USG2" t="str">
            <v>-</v>
          </cell>
          <cell r="USH2" t="str">
            <v>-</v>
          </cell>
          <cell r="USI2" t="str">
            <v>-</v>
          </cell>
          <cell r="USJ2" t="str">
            <v>-</v>
          </cell>
          <cell r="USK2" t="str">
            <v>-</v>
          </cell>
          <cell r="USL2" t="str">
            <v>-</v>
          </cell>
          <cell r="USM2" t="str">
            <v>-</v>
          </cell>
          <cell r="USN2" t="str">
            <v>-</v>
          </cell>
          <cell r="USO2" t="str">
            <v>-</v>
          </cell>
          <cell r="USP2" t="str">
            <v>-</v>
          </cell>
          <cell r="USQ2" t="str">
            <v>-</v>
          </cell>
          <cell r="USR2" t="str">
            <v>-</v>
          </cell>
          <cell r="USS2" t="str">
            <v>-</v>
          </cell>
          <cell r="UST2" t="str">
            <v>-</v>
          </cell>
          <cell r="USU2" t="str">
            <v>-</v>
          </cell>
          <cell r="USV2" t="str">
            <v>-</v>
          </cell>
          <cell r="USW2" t="str">
            <v>-</v>
          </cell>
          <cell r="USX2" t="str">
            <v>-</v>
          </cell>
          <cell r="USY2" t="str">
            <v>-</v>
          </cell>
          <cell r="USZ2" t="str">
            <v>-</v>
          </cell>
          <cell r="UTA2" t="str">
            <v>-</v>
          </cell>
          <cell r="UTB2" t="str">
            <v>-</v>
          </cell>
          <cell r="UTC2" t="str">
            <v>-</v>
          </cell>
          <cell r="UTD2" t="str">
            <v>-</v>
          </cell>
          <cell r="UTE2" t="str">
            <v>-</v>
          </cell>
          <cell r="UTF2" t="str">
            <v>-</v>
          </cell>
          <cell r="UTG2" t="str">
            <v>-</v>
          </cell>
          <cell r="UTH2" t="str">
            <v>-</v>
          </cell>
          <cell r="UTI2" t="str">
            <v>-</v>
          </cell>
          <cell r="UTJ2" t="str">
            <v>-</v>
          </cell>
          <cell r="UTK2" t="str">
            <v>-</v>
          </cell>
          <cell r="UTL2" t="str">
            <v>-</v>
          </cell>
          <cell r="UTM2" t="str">
            <v>-</v>
          </cell>
          <cell r="UTN2" t="str">
            <v>-</v>
          </cell>
          <cell r="UTO2" t="str">
            <v>-</v>
          </cell>
          <cell r="UTP2" t="str">
            <v>-</v>
          </cell>
          <cell r="UTQ2" t="str">
            <v>-</v>
          </cell>
          <cell r="UTR2" t="str">
            <v>-</v>
          </cell>
          <cell r="UTS2" t="str">
            <v>-</v>
          </cell>
          <cell r="UTT2" t="str">
            <v>-</v>
          </cell>
          <cell r="UTU2" t="str">
            <v>-</v>
          </cell>
          <cell r="UTV2" t="str">
            <v>-</v>
          </cell>
          <cell r="UTW2" t="str">
            <v>-</v>
          </cell>
          <cell r="UTX2" t="str">
            <v>-</v>
          </cell>
          <cell r="UTY2" t="str">
            <v>-</v>
          </cell>
          <cell r="UTZ2" t="str">
            <v>-</v>
          </cell>
          <cell r="UUA2" t="str">
            <v>-</v>
          </cell>
          <cell r="UUB2" t="str">
            <v>-</v>
          </cell>
          <cell r="UUC2" t="str">
            <v>-</v>
          </cell>
          <cell r="UUD2" t="str">
            <v>-</v>
          </cell>
          <cell r="UUE2" t="str">
            <v>-</v>
          </cell>
          <cell r="UUF2" t="str">
            <v>-</v>
          </cell>
          <cell r="UUG2" t="str">
            <v>-</v>
          </cell>
          <cell r="UUH2" t="str">
            <v>-</v>
          </cell>
          <cell r="UUI2" t="str">
            <v>-</v>
          </cell>
          <cell r="UUJ2" t="str">
            <v>-</v>
          </cell>
          <cell r="UUK2" t="str">
            <v>-</v>
          </cell>
          <cell r="UUL2" t="str">
            <v>-</v>
          </cell>
          <cell r="UUM2" t="str">
            <v>-</v>
          </cell>
          <cell r="UUN2" t="str">
            <v>-</v>
          </cell>
          <cell r="UUO2" t="str">
            <v>-</v>
          </cell>
          <cell r="UUP2" t="str">
            <v>-</v>
          </cell>
          <cell r="UUQ2" t="str">
            <v>-</v>
          </cell>
          <cell r="UUR2" t="str">
            <v>-</v>
          </cell>
          <cell r="UUS2" t="str">
            <v>-</v>
          </cell>
          <cell r="UUT2" t="str">
            <v>-</v>
          </cell>
          <cell r="UUU2" t="str">
            <v>-</v>
          </cell>
          <cell r="UUV2" t="str">
            <v>-</v>
          </cell>
          <cell r="UUW2" t="str">
            <v>-</v>
          </cell>
          <cell r="UUX2" t="str">
            <v>-</v>
          </cell>
          <cell r="UUY2" t="str">
            <v>-</v>
          </cell>
          <cell r="UUZ2" t="str">
            <v>-</v>
          </cell>
          <cell r="UVA2" t="str">
            <v>-</v>
          </cell>
          <cell r="UVB2" t="str">
            <v>-</v>
          </cell>
          <cell r="UVC2" t="str">
            <v>-</v>
          </cell>
          <cell r="UVD2" t="str">
            <v>-</v>
          </cell>
          <cell r="UVE2" t="str">
            <v>-</v>
          </cell>
          <cell r="UVF2" t="str">
            <v>-</v>
          </cell>
          <cell r="UVG2" t="str">
            <v>-</v>
          </cell>
          <cell r="UVH2" t="str">
            <v>-</v>
          </cell>
          <cell r="UVI2" t="str">
            <v>-</v>
          </cell>
          <cell r="UVJ2" t="str">
            <v>-</v>
          </cell>
          <cell r="UVK2" t="str">
            <v>-</v>
          </cell>
          <cell r="UVL2" t="str">
            <v>-</v>
          </cell>
          <cell r="UVM2" t="str">
            <v>-</v>
          </cell>
          <cell r="UVN2" t="str">
            <v>-</v>
          </cell>
          <cell r="UVO2" t="str">
            <v>-</v>
          </cell>
          <cell r="UVP2" t="str">
            <v>-</v>
          </cell>
          <cell r="UVQ2" t="str">
            <v>-</v>
          </cell>
          <cell r="UVR2" t="str">
            <v>-</v>
          </cell>
          <cell r="UVS2" t="str">
            <v>-</v>
          </cell>
          <cell r="UVT2" t="str">
            <v>-</v>
          </cell>
          <cell r="UVU2" t="str">
            <v>-</v>
          </cell>
          <cell r="UVV2" t="str">
            <v>-</v>
          </cell>
          <cell r="UVW2" t="str">
            <v>-</v>
          </cell>
          <cell r="UVX2" t="str">
            <v>-</v>
          </cell>
          <cell r="UVY2" t="str">
            <v>-</v>
          </cell>
          <cell r="UVZ2" t="str">
            <v>-</v>
          </cell>
          <cell r="UWA2" t="str">
            <v>-</v>
          </cell>
          <cell r="UWB2" t="str">
            <v>-</v>
          </cell>
          <cell r="UWC2" t="str">
            <v>-</v>
          </cell>
          <cell r="UWD2" t="str">
            <v>-</v>
          </cell>
          <cell r="UWE2" t="str">
            <v>-</v>
          </cell>
          <cell r="UWF2" t="str">
            <v>-</v>
          </cell>
          <cell r="UWG2" t="str">
            <v>-</v>
          </cell>
          <cell r="UWH2" t="str">
            <v>-</v>
          </cell>
          <cell r="UWI2" t="str">
            <v>-</v>
          </cell>
          <cell r="UWJ2" t="str">
            <v>-</v>
          </cell>
          <cell r="UWK2" t="str">
            <v>-</v>
          </cell>
          <cell r="UWL2" t="str">
            <v>-</v>
          </cell>
          <cell r="UWM2" t="str">
            <v>-</v>
          </cell>
          <cell r="UWN2" t="str">
            <v>-</v>
          </cell>
          <cell r="UWO2" t="str">
            <v>-</v>
          </cell>
          <cell r="UWP2" t="str">
            <v>-</v>
          </cell>
          <cell r="UWQ2" t="str">
            <v>-</v>
          </cell>
          <cell r="UWR2" t="str">
            <v>-</v>
          </cell>
          <cell r="UWS2" t="str">
            <v>-</v>
          </cell>
          <cell r="UWT2" t="str">
            <v>-</v>
          </cell>
          <cell r="UWU2" t="str">
            <v>-</v>
          </cell>
          <cell r="UWV2" t="str">
            <v>-</v>
          </cell>
          <cell r="UWW2" t="str">
            <v>-</v>
          </cell>
          <cell r="UWX2" t="str">
            <v>-</v>
          </cell>
          <cell r="UWY2" t="str">
            <v>-</v>
          </cell>
          <cell r="UWZ2" t="str">
            <v>-</v>
          </cell>
          <cell r="UXA2" t="str">
            <v>-</v>
          </cell>
          <cell r="UXB2" t="str">
            <v>-</v>
          </cell>
          <cell r="UXC2" t="str">
            <v>-</v>
          </cell>
          <cell r="UXD2" t="str">
            <v>-</v>
          </cell>
          <cell r="UXE2" t="str">
            <v>-</v>
          </cell>
          <cell r="UXF2" t="str">
            <v>-</v>
          </cell>
          <cell r="UXG2" t="str">
            <v>-</v>
          </cell>
          <cell r="UXH2" t="str">
            <v>-</v>
          </cell>
          <cell r="UXI2" t="str">
            <v>-</v>
          </cell>
          <cell r="UXJ2" t="str">
            <v>-</v>
          </cell>
          <cell r="UXK2" t="str">
            <v>-</v>
          </cell>
          <cell r="UXL2" t="str">
            <v>-</v>
          </cell>
          <cell r="UXM2" t="str">
            <v>-</v>
          </cell>
          <cell r="UXN2" t="str">
            <v>-</v>
          </cell>
          <cell r="UXO2" t="str">
            <v>-</v>
          </cell>
          <cell r="UXP2" t="str">
            <v>-</v>
          </cell>
          <cell r="UXQ2" t="str">
            <v>-</v>
          </cell>
          <cell r="UXR2" t="str">
            <v>-</v>
          </cell>
          <cell r="UXS2" t="str">
            <v>-</v>
          </cell>
          <cell r="UXT2" t="str">
            <v>-</v>
          </cell>
          <cell r="UXU2" t="str">
            <v>-</v>
          </cell>
          <cell r="UXV2" t="str">
            <v>-</v>
          </cell>
          <cell r="UXW2" t="str">
            <v>-</v>
          </cell>
          <cell r="UXX2" t="str">
            <v>-</v>
          </cell>
          <cell r="UXY2" t="str">
            <v>-</v>
          </cell>
          <cell r="UXZ2" t="str">
            <v>-</v>
          </cell>
          <cell r="UYA2" t="str">
            <v>-</v>
          </cell>
          <cell r="UYB2" t="str">
            <v>-</v>
          </cell>
          <cell r="UYC2" t="str">
            <v>-</v>
          </cell>
          <cell r="UYD2" t="str">
            <v>-</v>
          </cell>
          <cell r="UYE2" t="str">
            <v>-</v>
          </cell>
          <cell r="UYF2" t="str">
            <v>-</v>
          </cell>
          <cell r="UYG2" t="str">
            <v>-</v>
          </cell>
          <cell r="UYH2" t="str">
            <v>-</v>
          </cell>
          <cell r="UYI2" t="str">
            <v>-</v>
          </cell>
          <cell r="UYJ2" t="str">
            <v>-</v>
          </cell>
          <cell r="UYK2" t="str">
            <v>-</v>
          </cell>
          <cell r="UYL2" t="str">
            <v>-</v>
          </cell>
          <cell r="UYM2" t="str">
            <v>-</v>
          </cell>
          <cell r="UYN2" t="str">
            <v>-</v>
          </cell>
          <cell r="UYO2" t="str">
            <v>-</v>
          </cell>
          <cell r="UYP2" t="str">
            <v>-</v>
          </cell>
          <cell r="UYQ2" t="str">
            <v>-</v>
          </cell>
          <cell r="UYR2" t="str">
            <v>-</v>
          </cell>
          <cell r="UYS2" t="str">
            <v>-</v>
          </cell>
          <cell r="UYT2" t="str">
            <v>-</v>
          </cell>
          <cell r="UYU2" t="str">
            <v>-</v>
          </cell>
          <cell r="UYV2" t="str">
            <v>-</v>
          </cell>
          <cell r="UYW2" t="str">
            <v>-</v>
          </cell>
          <cell r="UYX2" t="str">
            <v>-</v>
          </cell>
          <cell r="UYY2" t="str">
            <v>-</v>
          </cell>
          <cell r="UYZ2" t="str">
            <v>-</v>
          </cell>
          <cell r="UZA2" t="str">
            <v>-</v>
          </cell>
          <cell r="UZB2" t="str">
            <v>-</v>
          </cell>
          <cell r="UZC2" t="str">
            <v>-</v>
          </cell>
          <cell r="UZD2" t="str">
            <v>-</v>
          </cell>
          <cell r="UZE2" t="str">
            <v>-</v>
          </cell>
          <cell r="UZF2" t="str">
            <v>-</v>
          </cell>
          <cell r="UZG2" t="str">
            <v>-</v>
          </cell>
          <cell r="UZH2" t="str">
            <v>-</v>
          </cell>
          <cell r="UZI2" t="str">
            <v>-</v>
          </cell>
          <cell r="UZJ2" t="str">
            <v>-</v>
          </cell>
          <cell r="UZK2" t="str">
            <v>-</v>
          </cell>
          <cell r="UZL2" t="str">
            <v>-</v>
          </cell>
          <cell r="UZM2" t="str">
            <v>-</v>
          </cell>
          <cell r="UZN2" t="str">
            <v>-</v>
          </cell>
          <cell r="UZO2" t="str">
            <v>-</v>
          </cell>
          <cell r="UZP2" t="str">
            <v>-</v>
          </cell>
          <cell r="UZQ2" t="str">
            <v>-</v>
          </cell>
          <cell r="UZR2" t="str">
            <v>-</v>
          </cell>
          <cell r="UZS2" t="str">
            <v>-</v>
          </cell>
          <cell r="UZT2" t="str">
            <v>-</v>
          </cell>
          <cell r="UZU2" t="str">
            <v>-</v>
          </cell>
          <cell r="UZV2" t="str">
            <v>-</v>
          </cell>
          <cell r="UZW2" t="str">
            <v>-</v>
          </cell>
          <cell r="UZX2" t="str">
            <v>-</v>
          </cell>
          <cell r="UZY2" t="str">
            <v>-</v>
          </cell>
          <cell r="UZZ2" t="str">
            <v>-</v>
          </cell>
          <cell r="VAA2" t="str">
            <v>-</v>
          </cell>
          <cell r="VAB2" t="str">
            <v>-</v>
          </cell>
          <cell r="VAC2" t="str">
            <v>-</v>
          </cell>
          <cell r="VAD2" t="str">
            <v>-</v>
          </cell>
          <cell r="VAE2" t="str">
            <v>-</v>
          </cell>
          <cell r="VAF2" t="str">
            <v>-</v>
          </cell>
          <cell r="VAG2" t="str">
            <v>-</v>
          </cell>
          <cell r="VAH2" t="str">
            <v>-</v>
          </cell>
          <cell r="VAI2" t="str">
            <v>-</v>
          </cell>
          <cell r="VAJ2" t="str">
            <v>-</v>
          </cell>
          <cell r="VAK2" t="str">
            <v>-</v>
          </cell>
          <cell r="VAL2" t="str">
            <v>-</v>
          </cell>
          <cell r="VAM2" t="str">
            <v>-</v>
          </cell>
          <cell r="VAN2" t="str">
            <v>-</v>
          </cell>
          <cell r="VAO2" t="str">
            <v>-</v>
          </cell>
          <cell r="VAP2" t="str">
            <v>-</v>
          </cell>
          <cell r="VAQ2" t="str">
            <v>-</v>
          </cell>
          <cell r="VAR2" t="str">
            <v>-</v>
          </cell>
          <cell r="VAS2" t="str">
            <v>-</v>
          </cell>
          <cell r="VAT2" t="str">
            <v>-</v>
          </cell>
          <cell r="VAU2" t="str">
            <v>-</v>
          </cell>
          <cell r="VAV2" t="str">
            <v>-</v>
          </cell>
          <cell r="VAW2" t="str">
            <v>-</v>
          </cell>
          <cell r="VAX2" t="str">
            <v>-</v>
          </cell>
          <cell r="VAY2" t="str">
            <v>-</v>
          </cell>
          <cell r="VAZ2" t="str">
            <v>-</v>
          </cell>
          <cell r="VBA2" t="str">
            <v>-</v>
          </cell>
          <cell r="VBB2" t="str">
            <v>-</v>
          </cell>
          <cell r="VBC2" t="str">
            <v>-</v>
          </cell>
          <cell r="VBD2" t="str">
            <v>-</v>
          </cell>
          <cell r="VBE2" t="str">
            <v>-</v>
          </cell>
          <cell r="VBF2" t="str">
            <v>-</v>
          </cell>
          <cell r="VBG2" t="str">
            <v>-</v>
          </cell>
          <cell r="VBH2" t="str">
            <v>-</v>
          </cell>
          <cell r="VBI2" t="str">
            <v>-</v>
          </cell>
          <cell r="VBJ2" t="str">
            <v>-</v>
          </cell>
          <cell r="VBK2" t="str">
            <v>-</v>
          </cell>
          <cell r="VBL2" t="str">
            <v>-</v>
          </cell>
          <cell r="VBM2" t="str">
            <v>-</v>
          </cell>
          <cell r="VBN2" t="str">
            <v>-</v>
          </cell>
          <cell r="VBO2" t="str">
            <v>-</v>
          </cell>
          <cell r="VBP2" t="str">
            <v>-</v>
          </cell>
          <cell r="VBQ2" t="str">
            <v>-</v>
          </cell>
          <cell r="VBR2" t="str">
            <v>-</v>
          </cell>
          <cell r="VBS2" t="str">
            <v>-</v>
          </cell>
          <cell r="VBT2" t="str">
            <v>-</v>
          </cell>
          <cell r="VBU2" t="str">
            <v>-</v>
          </cell>
          <cell r="VBV2" t="str">
            <v>-</v>
          </cell>
          <cell r="VBW2" t="str">
            <v>-</v>
          </cell>
          <cell r="VBX2" t="str">
            <v>-</v>
          </cell>
          <cell r="VBY2" t="str">
            <v>-</v>
          </cell>
          <cell r="VBZ2" t="str">
            <v>-</v>
          </cell>
          <cell r="VCA2" t="str">
            <v>-</v>
          </cell>
          <cell r="VCB2" t="str">
            <v>-</v>
          </cell>
          <cell r="VCC2" t="str">
            <v>-</v>
          </cell>
          <cell r="VCD2" t="str">
            <v>-</v>
          </cell>
          <cell r="VCE2" t="str">
            <v>-</v>
          </cell>
          <cell r="VCF2" t="str">
            <v>-</v>
          </cell>
          <cell r="VCG2" t="str">
            <v>-</v>
          </cell>
          <cell r="VCH2" t="str">
            <v>-</v>
          </cell>
          <cell r="VCI2" t="str">
            <v>-</v>
          </cell>
          <cell r="VCJ2" t="str">
            <v>-</v>
          </cell>
          <cell r="VCK2" t="str">
            <v>-</v>
          </cell>
          <cell r="VCL2" t="str">
            <v>-</v>
          </cell>
          <cell r="VCM2" t="str">
            <v>-</v>
          </cell>
          <cell r="VCN2" t="str">
            <v>-</v>
          </cell>
          <cell r="VCO2" t="str">
            <v>-</v>
          </cell>
          <cell r="VCP2" t="str">
            <v>-</v>
          </cell>
          <cell r="VCQ2" t="str">
            <v>-</v>
          </cell>
          <cell r="VCR2" t="str">
            <v>-</v>
          </cell>
          <cell r="VCS2" t="str">
            <v>-</v>
          </cell>
          <cell r="VCT2" t="str">
            <v>-</v>
          </cell>
          <cell r="VCU2" t="str">
            <v>-</v>
          </cell>
          <cell r="VCV2" t="str">
            <v>-</v>
          </cell>
          <cell r="VCW2" t="str">
            <v>-</v>
          </cell>
          <cell r="VCX2" t="str">
            <v>-</v>
          </cell>
          <cell r="VCY2" t="str">
            <v>-</v>
          </cell>
          <cell r="VCZ2" t="str">
            <v>-</v>
          </cell>
          <cell r="VDA2" t="str">
            <v>-</v>
          </cell>
          <cell r="VDB2" t="str">
            <v>-</v>
          </cell>
          <cell r="VDC2" t="str">
            <v>-</v>
          </cell>
          <cell r="VDD2" t="str">
            <v>-</v>
          </cell>
          <cell r="VDE2" t="str">
            <v>-</v>
          </cell>
          <cell r="VDF2" t="str">
            <v>-</v>
          </cell>
          <cell r="VDG2" t="str">
            <v>-</v>
          </cell>
          <cell r="VDH2" t="str">
            <v>-</v>
          </cell>
          <cell r="VDI2" t="str">
            <v>-</v>
          </cell>
          <cell r="VDJ2" t="str">
            <v>-</v>
          </cell>
          <cell r="VDK2" t="str">
            <v>-</v>
          </cell>
          <cell r="VDL2" t="str">
            <v>-</v>
          </cell>
          <cell r="VDM2" t="str">
            <v>-</v>
          </cell>
          <cell r="VDN2" t="str">
            <v>-</v>
          </cell>
          <cell r="VDO2" t="str">
            <v>-</v>
          </cell>
          <cell r="VDP2" t="str">
            <v>-</v>
          </cell>
          <cell r="VDQ2" t="str">
            <v>-</v>
          </cell>
          <cell r="VDR2" t="str">
            <v>-</v>
          </cell>
          <cell r="VDS2" t="str">
            <v>-</v>
          </cell>
          <cell r="VDT2" t="str">
            <v>-</v>
          </cell>
          <cell r="VDU2" t="str">
            <v>-</v>
          </cell>
          <cell r="VDV2" t="str">
            <v>-</v>
          </cell>
          <cell r="VDW2" t="str">
            <v>-</v>
          </cell>
          <cell r="VDX2" t="str">
            <v>-</v>
          </cell>
          <cell r="VDY2" t="str">
            <v>-</v>
          </cell>
          <cell r="VDZ2" t="str">
            <v>-</v>
          </cell>
          <cell r="VEA2" t="str">
            <v>-</v>
          </cell>
          <cell r="VEB2" t="str">
            <v>-</v>
          </cell>
          <cell r="VEC2" t="str">
            <v>-</v>
          </cell>
          <cell r="VED2" t="str">
            <v>-</v>
          </cell>
          <cell r="VEE2" t="str">
            <v>-</v>
          </cell>
          <cell r="VEF2" t="str">
            <v>-</v>
          </cell>
          <cell r="VEG2" t="str">
            <v>-</v>
          </cell>
          <cell r="VEH2" t="str">
            <v>-</v>
          </cell>
          <cell r="VEI2" t="str">
            <v>-</v>
          </cell>
          <cell r="VEJ2" t="str">
            <v>-</v>
          </cell>
          <cell r="VEK2" t="str">
            <v>-</v>
          </cell>
          <cell r="VEL2" t="str">
            <v>-</v>
          </cell>
          <cell r="VEM2" t="str">
            <v>-</v>
          </cell>
          <cell r="VEN2" t="str">
            <v>-</v>
          </cell>
          <cell r="VEO2" t="str">
            <v>-</v>
          </cell>
          <cell r="VEP2" t="str">
            <v>-</v>
          </cell>
          <cell r="VEQ2" t="str">
            <v>-</v>
          </cell>
          <cell r="VER2" t="str">
            <v>-</v>
          </cell>
          <cell r="VES2" t="str">
            <v>-</v>
          </cell>
          <cell r="VET2" t="str">
            <v>-</v>
          </cell>
          <cell r="VEU2" t="str">
            <v>-</v>
          </cell>
          <cell r="VEV2" t="str">
            <v>-</v>
          </cell>
          <cell r="VEW2" t="str">
            <v>-</v>
          </cell>
          <cell r="VEX2" t="str">
            <v>-</v>
          </cell>
          <cell r="VEY2" t="str">
            <v>-</v>
          </cell>
          <cell r="VEZ2" t="str">
            <v>-</v>
          </cell>
          <cell r="VFA2" t="str">
            <v>-</v>
          </cell>
          <cell r="VFB2" t="str">
            <v>-</v>
          </cell>
          <cell r="VFC2" t="str">
            <v>-</v>
          </cell>
          <cell r="VFD2" t="str">
            <v>-</v>
          </cell>
          <cell r="VFE2" t="str">
            <v>-</v>
          </cell>
          <cell r="VFF2" t="str">
            <v>-</v>
          </cell>
          <cell r="VFG2" t="str">
            <v>-</v>
          </cell>
          <cell r="VFH2" t="str">
            <v>-</v>
          </cell>
          <cell r="VFI2" t="str">
            <v>-</v>
          </cell>
          <cell r="VFJ2" t="str">
            <v>-</v>
          </cell>
          <cell r="VFK2" t="str">
            <v>-</v>
          </cell>
          <cell r="VFL2" t="str">
            <v>-</v>
          </cell>
          <cell r="VFM2" t="str">
            <v>-</v>
          </cell>
          <cell r="VFN2" t="str">
            <v>-</v>
          </cell>
          <cell r="VFO2" t="str">
            <v>-</v>
          </cell>
          <cell r="VFP2" t="str">
            <v>-</v>
          </cell>
          <cell r="VFQ2" t="str">
            <v>-</v>
          </cell>
          <cell r="VFR2" t="str">
            <v>-</v>
          </cell>
          <cell r="VFS2" t="str">
            <v>-</v>
          </cell>
          <cell r="VFT2" t="str">
            <v>-</v>
          </cell>
          <cell r="VFU2" t="str">
            <v>-</v>
          </cell>
          <cell r="VFV2" t="str">
            <v>-</v>
          </cell>
          <cell r="VFW2" t="str">
            <v>-</v>
          </cell>
          <cell r="VFX2" t="str">
            <v>-</v>
          </cell>
          <cell r="VFY2" t="str">
            <v>-</v>
          </cell>
          <cell r="VFZ2" t="str">
            <v>-</v>
          </cell>
          <cell r="VGA2" t="str">
            <v>-</v>
          </cell>
          <cell r="VGB2" t="str">
            <v>-</v>
          </cell>
          <cell r="VGC2" t="str">
            <v>-</v>
          </cell>
          <cell r="VGD2" t="str">
            <v>-</v>
          </cell>
          <cell r="VGE2" t="str">
            <v>-</v>
          </cell>
          <cell r="VGF2" t="str">
            <v>-</v>
          </cell>
          <cell r="VGG2" t="str">
            <v>-</v>
          </cell>
          <cell r="VGH2" t="str">
            <v>-</v>
          </cell>
          <cell r="VGI2" t="str">
            <v>-</v>
          </cell>
          <cell r="VGJ2" t="str">
            <v>-</v>
          </cell>
          <cell r="VGK2" t="str">
            <v>-</v>
          </cell>
          <cell r="VGL2" t="str">
            <v>-</v>
          </cell>
          <cell r="VGM2" t="str">
            <v>-</v>
          </cell>
          <cell r="VGN2" t="str">
            <v>-</v>
          </cell>
          <cell r="VGO2" t="str">
            <v>-</v>
          </cell>
          <cell r="VGP2" t="str">
            <v>-</v>
          </cell>
          <cell r="VGQ2" t="str">
            <v>-</v>
          </cell>
          <cell r="VGR2" t="str">
            <v>-</v>
          </cell>
          <cell r="VGS2" t="str">
            <v>-</v>
          </cell>
          <cell r="VGT2" t="str">
            <v>-</v>
          </cell>
          <cell r="VGU2" t="str">
            <v>-</v>
          </cell>
          <cell r="VGV2" t="str">
            <v>-</v>
          </cell>
          <cell r="VGW2" t="str">
            <v>-</v>
          </cell>
          <cell r="VGX2" t="str">
            <v>-</v>
          </cell>
          <cell r="VGY2" t="str">
            <v>-</v>
          </cell>
          <cell r="VGZ2" t="str">
            <v>-</v>
          </cell>
          <cell r="VHA2" t="str">
            <v>-</v>
          </cell>
          <cell r="VHB2" t="str">
            <v>-</v>
          </cell>
          <cell r="VHC2" t="str">
            <v>-</v>
          </cell>
          <cell r="VHD2" t="str">
            <v>-</v>
          </cell>
          <cell r="VHE2" t="str">
            <v>-</v>
          </cell>
          <cell r="VHF2" t="str">
            <v>-</v>
          </cell>
          <cell r="VHG2" t="str">
            <v>-</v>
          </cell>
          <cell r="VHH2" t="str">
            <v>-</v>
          </cell>
          <cell r="VHI2" t="str">
            <v>-</v>
          </cell>
          <cell r="VHJ2" t="str">
            <v>-</v>
          </cell>
          <cell r="VHK2" t="str">
            <v>-</v>
          </cell>
          <cell r="VHL2" t="str">
            <v>-</v>
          </cell>
          <cell r="VHM2" t="str">
            <v>-</v>
          </cell>
          <cell r="VHN2" t="str">
            <v>-</v>
          </cell>
          <cell r="VHO2" t="str">
            <v>-</v>
          </cell>
          <cell r="VHP2" t="str">
            <v>-</v>
          </cell>
          <cell r="VHQ2" t="str">
            <v>-</v>
          </cell>
          <cell r="VHR2" t="str">
            <v>-</v>
          </cell>
          <cell r="VHS2" t="str">
            <v>-</v>
          </cell>
          <cell r="VHT2" t="str">
            <v>-</v>
          </cell>
          <cell r="VHU2" t="str">
            <v>-</v>
          </cell>
          <cell r="VHV2" t="str">
            <v>-</v>
          </cell>
          <cell r="VHW2" t="str">
            <v>-</v>
          </cell>
          <cell r="VHX2" t="str">
            <v>-</v>
          </cell>
          <cell r="VHY2" t="str">
            <v>-</v>
          </cell>
          <cell r="VHZ2" t="str">
            <v>-</v>
          </cell>
          <cell r="VIA2" t="str">
            <v>-</v>
          </cell>
          <cell r="VIB2" t="str">
            <v>-</v>
          </cell>
          <cell r="VIC2" t="str">
            <v>-</v>
          </cell>
          <cell r="VID2" t="str">
            <v>-</v>
          </cell>
          <cell r="VIE2" t="str">
            <v>-</v>
          </cell>
          <cell r="VIF2" t="str">
            <v>-</v>
          </cell>
          <cell r="VIG2" t="str">
            <v>-</v>
          </cell>
          <cell r="VIH2" t="str">
            <v>-</v>
          </cell>
          <cell r="VII2" t="str">
            <v>-</v>
          </cell>
          <cell r="VIJ2" t="str">
            <v>-</v>
          </cell>
          <cell r="VIK2" t="str">
            <v>-</v>
          </cell>
          <cell r="VIL2" t="str">
            <v>-</v>
          </cell>
          <cell r="VIM2" t="str">
            <v>-</v>
          </cell>
          <cell r="VIN2" t="str">
            <v>-</v>
          </cell>
          <cell r="VIO2" t="str">
            <v>-</v>
          </cell>
          <cell r="VIP2" t="str">
            <v>-</v>
          </cell>
          <cell r="VIQ2" t="str">
            <v>-</v>
          </cell>
          <cell r="VIR2" t="str">
            <v>-</v>
          </cell>
          <cell r="VIS2" t="str">
            <v>-</v>
          </cell>
          <cell r="VIT2" t="str">
            <v>-</v>
          </cell>
          <cell r="VIU2" t="str">
            <v>-</v>
          </cell>
          <cell r="VIV2" t="str">
            <v>-</v>
          </cell>
          <cell r="VIW2" t="str">
            <v>-</v>
          </cell>
          <cell r="VIX2" t="str">
            <v>-</v>
          </cell>
          <cell r="VIY2" t="str">
            <v>-</v>
          </cell>
          <cell r="VIZ2" t="str">
            <v>-</v>
          </cell>
          <cell r="VJA2" t="str">
            <v>-</v>
          </cell>
          <cell r="VJB2" t="str">
            <v>-</v>
          </cell>
          <cell r="VJC2" t="str">
            <v>-</v>
          </cell>
          <cell r="VJD2" t="str">
            <v>-</v>
          </cell>
          <cell r="VJE2" t="str">
            <v>-</v>
          </cell>
          <cell r="VJF2" t="str">
            <v>-</v>
          </cell>
          <cell r="VJG2" t="str">
            <v>-</v>
          </cell>
          <cell r="VJH2" t="str">
            <v>-</v>
          </cell>
          <cell r="VJI2" t="str">
            <v>-</v>
          </cell>
          <cell r="VJJ2" t="str">
            <v>-</v>
          </cell>
          <cell r="VJK2" t="str">
            <v>-</v>
          </cell>
          <cell r="VJL2" t="str">
            <v>-</v>
          </cell>
          <cell r="VJM2" t="str">
            <v>-</v>
          </cell>
          <cell r="VJN2" t="str">
            <v>-</v>
          </cell>
          <cell r="VJO2" t="str">
            <v>-</v>
          </cell>
          <cell r="VJP2" t="str">
            <v>-</v>
          </cell>
          <cell r="VJQ2" t="str">
            <v>-</v>
          </cell>
          <cell r="VJR2" t="str">
            <v>-</v>
          </cell>
          <cell r="VJS2" t="str">
            <v>-</v>
          </cell>
          <cell r="VJT2" t="str">
            <v>-</v>
          </cell>
          <cell r="VJU2" t="str">
            <v>-</v>
          </cell>
          <cell r="VJV2" t="str">
            <v>-</v>
          </cell>
          <cell r="VJW2" t="str">
            <v>-</v>
          </cell>
          <cell r="VJX2" t="str">
            <v>-</v>
          </cell>
          <cell r="VJY2" t="str">
            <v>-</v>
          </cell>
          <cell r="VJZ2" t="str">
            <v>-</v>
          </cell>
          <cell r="VKA2" t="str">
            <v>-</v>
          </cell>
          <cell r="VKB2" t="str">
            <v>-</v>
          </cell>
          <cell r="VKC2" t="str">
            <v>-</v>
          </cell>
          <cell r="VKD2" t="str">
            <v>-</v>
          </cell>
          <cell r="VKE2" t="str">
            <v>-</v>
          </cell>
          <cell r="VKF2" t="str">
            <v>-</v>
          </cell>
          <cell r="VKG2" t="str">
            <v>-</v>
          </cell>
          <cell r="VKH2" t="str">
            <v>-</v>
          </cell>
          <cell r="VKI2" t="str">
            <v>-</v>
          </cell>
          <cell r="VKJ2" t="str">
            <v>-</v>
          </cell>
          <cell r="VKK2" t="str">
            <v>-</v>
          </cell>
          <cell r="VKL2" t="str">
            <v>-</v>
          </cell>
          <cell r="VKM2" t="str">
            <v>-</v>
          </cell>
          <cell r="VKN2" t="str">
            <v>-</v>
          </cell>
          <cell r="VKO2" t="str">
            <v>-</v>
          </cell>
          <cell r="VKP2" t="str">
            <v>-</v>
          </cell>
          <cell r="VKQ2" t="str">
            <v>-</v>
          </cell>
          <cell r="VKR2" t="str">
            <v>-</v>
          </cell>
          <cell r="VKS2" t="str">
            <v>-</v>
          </cell>
          <cell r="VKT2" t="str">
            <v>-</v>
          </cell>
          <cell r="VKU2" t="str">
            <v>-</v>
          </cell>
          <cell r="VKV2" t="str">
            <v>-</v>
          </cell>
          <cell r="VKW2" t="str">
            <v>-</v>
          </cell>
          <cell r="VKX2" t="str">
            <v>-</v>
          </cell>
          <cell r="VKY2" t="str">
            <v>-</v>
          </cell>
          <cell r="VKZ2" t="str">
            <v>-</v>
          </cell>
          <cell r="VLA2" t="str">
            <v>-</v>
          </cell>
          <cell r="VLB2" t="str">
            <v>-</v>
          </cell>
          <cell r="VLC2" t="str">
            <v>-</v>
          </cell>
          <cell r="VLD2" t="str">
            <v>-</v>
          </cell>
          <cell r="VLE2" t="str">
            <v>-</v>
          </cell>
          <cell r="VLF2" t="str">
            <v>-</v>
          </cell>
          <cell r="VLG2" t="str">
            <v>-</v>
          </cell>
          <cell r="VLH2" t="str">
            <v>-</v>
          </cell>
          <cell r="VLI2" t="str">
            <v>-</v>
          </cell>
          <cell r="VLJ2" t="str">
            <v>-</v>
          </cell>
          <cell r="VLK2" t="str">
            <v>-</v>
          </cell>
          <cell r="VLL2" t="str">
            <v>-</v>
          </cell>
          <cell r="VLM2" t="str">
            <v>-</v>
          </cell>
          <cell r="VLN2" t="str">
            <v>-</v>
          </cell>
          <cell r="VLO2" t="str">
            <v>-</v>
          </cell>
          <cell r="VLP2" t="str">
            <v>-</v>
          </cell>
          <cell r="VLQ2" t="str">
            <v>-</v>
          </cell>
          <cell r="VLR2" t="str">
            <v>-</v>
          </cell>
          <cell r="VLS2" t="str">
            <v>-</v>
          </cell>
          <cell r="VLT2" t="str">
            <v>-</v>
          </cell>
          <cell r="VLU2" t="str">
            <v>-</v>
          </cell>
          <cell r="VLV2" t="str">
            <v>-</v>
          </cell>
          <cell r="VLW2" t="str">
            <v>-</v>
          </cell>
          <cell r="VLX2" t="str">
            <v>-</v>
          </cell>
          <cell r="VLY2" t="str">
            <v>-</v>
          </cell>
          <cell r="VLZ2" t="str">
            <v>-</v>
          </cell>
          <cell r="VMA2" t="str">
            <v>-</v>
          </cell>
          <cell r="VMB2" t="str">
            <v>-</v>
          </cell>
          <cell r="VMC2" t="str">
            <v>-</v>
          </cell>
          <cell r="VMD2" t="str">
            <v>-</v>
          </cell>
          <cell r="VME2" t="str">
            <v>-</v>
          </cell>
          <cell r="VMF2" t="str">
            <v>-</v>
          </cell>
          <cell r="VMG2" t="str">
            <v>-</v>
          </cell>
          <cell r="VMH2" t="str">
            <v>-</v>
          </cell>
          <cell r="VMI2" t="str">
            <v>-</v>
          </cell>
          <cell r="VMJ2" t="str">
            <v>-</v>
          </cell>
          <cell r="VMK2" t="str">
            <v>-</v>
          </cell>
          <cell r="VML2" t="str">
            <v>-</v>
          </cell>
          <cell r="VMM2" t="str">
            <v>-</v>
          </cell>
          <cell r="VMN2" t="str">
            <v>-</v>
          </cell>
          <cell r="VMO2" t="str">
            <v>-</v>
          </cell>
          <cell r="VMP2" t="str">
            <v>-</v>
          </cell>
          <cell r="VMQ2" t="str">
            <v>-</v>
          </cell>
          <cell r="VMR2" t="str">
            <v>-</v>
          </cell>
          <cell r="VMS2" t="str">
            <v>-</v>
          </cell>
          <cell r="VMT2" t="str">
            <v>-</v>
          </cell>
          <cell r="VMU2" t="str">
            <v>-</v>
          </cell>
          <cell r="VMV2" t="str">
            <v>-</v>
          </cell>
          <cell r="VMW2" t="str">
            <v>-</v>
          </cell>
          <cell r="VMX2" t="str">
            <v>-</v>
          </cell>
          <cell r="VMY2" t="str">
            <v>-</v>
          </cell>
          <cell r="VMZ2" t="str">
            <v>-</v>
          </cell>
          <cell r="VNA2" t="str">
            <v>-</v>
          </cell>
          <cell r="VNB2" t="str">
            <v>-</v>
          </cell>
          <cell r="VNC2" t="str">
            <v>-</v>
          </cell>
          <cell r="VND2" t="str">
            <v>-</v>
          </cell>
          <cell r="VNE2" t="str">
            <v>-</v>
          </cell>
          <cell r="VNF2" t="str">
            <v>-</v>
          </cell>
          <cell r="VNG2" t="str">
            <v>-</v>
          </cell>
          <cell r="VNH2" t="str">
            <v>-</v>
          </cell>
          <cell r="VNI2" t="str">
            <v>-</v>
          </cell>
          <cell r="VNJ2" t="str">
            <v>-</v>
          </cell>
          <cell r="VNK2" t="str">
            <v>-</v>
          </cell>
          <cell r="VNL2" t="str">
            <v>-</v>
          </cell>
          <cell r="VNM2" t="str">
            <v>-</v>
          </cell>
          <cell r="VNN2" t="str">
            <v>-</v>
          </cell>
          <cell r="VNO2" t="str">
            <v>-</v>
          </cell>
          <cell r="VNP2" t="str">
            <v>-</v>
          </cell>
          <cell r="VNQ2" t="str">
            <v>-</v>
          </cell>
          <cell r="VNR2" t="str">
            <v>-</v>
          </cell>
          <cell r="VNS2" t="str">
            <v>-</v>
          </cell>
          <cell r="VNT2" t="str">
            <v>-</v>
          </cell>
          <cell r="VNU2" t="str">
            <v>-</v>
          </cell>
          <cell r="VNV2" t="str">
            <v>-</v>
          </cell>
          <cell r="VNW2" t="str">
            <v>-</v>
          </cell>
          <cell r="VNX2" t="str">
            <v>-</v>
          </cell>
          <cell r="VNY2" t="str">
            <v>-</v>
          </cell>
          <cell r="VNZ2" t="str">
            <v>-</v>
          </cell>
          <cell r="VOA2" t="str">
            <v>-</v>
          </cell>
          <cell r="VOB2" t="str">
            <v>-</v>
          </cell>
          <cell r="VOC2" t="str">
            <v>-</v>
          </cell>
          <cell r="VOD2" t="str">
            <v>-</v>
          </cell>
          <cell r="VOE2" t="str">
            <v>-</v>
          </cell>
          <cell r="VOF2" t="str">
            <v>-</v>
          </cell>
          <cell r="VOG2" t="str">
            <v>-</v>
          </cell>
          <cell r="VOH2" t="str">
            <v>-</v>
          </cell>
          <cell r="VOI2" t="str">
            <v>-</v>
          </cell>
          <cell r="VOJ2" t="str">
            <v>-</v>
          </cell>
          <cell r="VOK2" t="str">
            <v>-</v>
          </cell>
          <cell r="VOL2" t="str">
            <v>-</v>
          </cell>
          <cell r="VOM2" t="str">
            <v>-</v>
          </cell>
          <cell r="VON2" t="str">
            <v>-</v>
          </cell>
          <cell r="VOO2" t="str">
            <v>-</v>
          </cell>
          <cell r="VOP2" t="str">
            <v>-</v>
          </cell>
          <cell r="VOQ2" t="str">
            <v>-</v>
          </cell>
          <cell r="VOR2" t="str">
            <v>-</v>
          </cell>
          <cell r="VOS2" t="str">
            <v>-</v>
          </cell>
          <cell r="VOT2" t="str">
            <v>-</v>
          </cell>
          <cell r="VOU2" t="str">
            <v>-</v>
          </cell>
          <cell r="VOV2" t="str">
            <v>-</v>
          </cell>
          <cell r="VOW2" t="str">
            <v>-</v>
          </cell>
          <cell r="VOX2" t="str">
            <v>-</v>
          </cell>
          <cell r="VOY2" t="str">
            <v>-</v>
          </cell>
          <cell r="VOZ2" t="str">
            <v>-</v>
          </cell>
          <cell r="VPA2" t="str">
            <v>-</v>
          </cell>
          <cell r="VPB2" t="str">
            <v>-</v>
          </cell>
          <cell r="VPC2" t="str">
            <v>-</v>
          </cell>
          <cell r="VPD2" t="str">
            <v>-</v>
          </cell>
          <cell r="VPE2" t="str">
            <v>-</v>
          </cell>
          <cell r="VPF2" t="str">
            <v>-</v>
          </cell>
          <cell r="VPG2" t="str">
            <v>-</v>
          </cell>
          <cell r="VPH2" t="str">
            <v>-</v>
          </cell>
          <cell r="VPI2" t="str">
            <v>-</v>
          </cell>
          <cell r="VPJ2" t="str">
            <v>-</v>
          </cell>
          <cell r="VPK2" t="str">
            <v>-</v>
          </cell>
          <cell r="VPL2" t="str">
            <v>-</v>
          </cell>
          <cell r="VPM2" t="str">
            <v>-</v>
          </cell>
          <cell r="VPN2" t="str">
            <v>-</v>
          </cell>
          <cell r="VPO2" t="str">
            <v>-</v>
          </cell>
          <cell r="VPP2" t="str">
            <v>-</v>
          </cell>
          <cell r="VPQ2" t="str">
            <v>-</v>
          </cell>
          <cell r="VPR2" t="str">
            <v>-</v>
          </cell>
          <cell r="VPS2" t="str">
            <v>-</v>
          </cell>
          <cell r="VPT2" t="str">
            <v>-</v>
          </cell>
          <cell r="VPU2" t="str">
            <v>-</v>
          </cell>
          <cell r="VPV2" t="str">
            <v>-</v>
          </cell>
          <cell r="VPW2" t="str">
            <v>-</v>
          </cell>
          <cell r="VPX2" t="str">
            <v>-</v>
          </cell>
          <cell r="VPY2" t="str">
            <v>-</v>
          </cell>
          <cell r="VPZ2" t="str">
            <v>-</v>
          </cell>
          <cell r="VQA2" t="str">
            <v>-</v>
          </cell>
          <cell r="VQB2" t="str">
            <v>-</v>
          </cell>
          <cell r="VQC2" t="str">
            <v>-</v>
          </cell>
          <cell r="VQD2" t="str">
            <v>-</v>
          </cell>
          <cell r="VQE2" t="str">
            <v>-</v>
          </cell>
          <cell r="VQF2" t="str">
            <v>-</v>
          </cell>
          <cell r="VQG2" t="str">
            <v>-</v>
          </cell>
          <cell r="VQH2" t="str">
            <v>-</v>
          </cell>
          <cell r="VQI2" t="str">
            <v>-</v>
          </cell>
          <cell r="VQJ2" t="str">
            <v>-</v>
          </cell>
          <cell r="VQK2" t="str">
            <v>-</v>
          </cell>
          <cell r="VQL2" t="str">
            <v>-</v>
          </cell>
          <cell r="VQM2" t="str">
            <v>-</v>
          </cell>
          <cell r="VQN2" t="str">
            <v>-</v>
          </cell>
          <cell r="VQO2" t="str">
            <v>-</v>
          </cell>
          <cell r="VQP2" t="str">
            <v>-</v>
          </cell>
          <cell r="VQQ2" t="str">
            <v>-</v>
          </cell>
          <cell r="VQR2" t="str">
            <v>-</v>
          </cell>
          <cell r="VQS2" t="str">
            <v>-</v>
          </cell>
          <cell r="VQT2" t="str">
            <v>-</v>
          </cell>
          <cell r="VQU2" t="str">
            <v>-</v>
          </cell>
          <cell r="VQV2" t="str">
            <v>-</v>
          </cell>
          <cell r="VQW2" t="str">
            <v>-</v>
          </cell>
          <cell r="VQX2" t="str">
            <v>-</v>
          </cell>
          <cell r="VQY2" t="str">
            <v>-</v>
          </cell>
          <cell r="VQZ2" t="str">
            <v>-</v>
          </cell>
          <cell r="VRA2" t="str">
            <v>-</v>
          </cell>
          <cell r="VRB2" t="str">
            <v>-</v>
          </cell>
          <cell r="VRC2" t="str">
            <v>-</v>
          </cell>
          <cell r="VRD2" t="str">
            <v>-</v>
          </cell>
          <cell r="VRE2" t="str">
            <v>-</v>
          </cell>
          <cell r="VRF2" t="str">
            <v>-</v>
          </cell>
          <cell r="VRG2" t="str">
            <v>-</v>
          </cell>
          <cell r="VRH2" t="str">
            <v>-</v>
          </cell>
          <cell r="VRI2" t="str">
            <v>-</v>
          </cell>
          <cell r="VRJ2" t="str">
            <v>-</v>
          </cell>
          <cell r="VRK2" t="str">
            <v>-</v>
          </cell>
          <cell r="VRL2" t="str">
            <v>-</v>
          </cell>
          <cell r="VRM2" t="str">
            <v>-</v>
          </cell>
          <cell r="VRN2" t="str">
            <v>-</v>
          </cell>
          <cell r="VRO2" t="str">
            <v>-</v>
          </cell>
          <cell r="VRP2" t="str">
            <v>-</v>
          </cell>
          <cell r="VRQ2" t="str">
            <v>-</v>
          </cell>
          <cell r="VRR2" t="str">
            <v>-</v>
          </cell>
          <cell r="VRS2" t="str">
            <v>-</v>
          </cell>
          <cell r="VRT2" t="str">
            <v>-</v>
          </cell>
          <cell r="VRU2" t="str">
            <v>-</v>
          </cell>
          <cell r="VRV2" t="str">
            <v>-</v>
          </cell>
          <cell r="VRW2" t="str">
            <v>-</v>
          </cell>
          <cell r="VRX2" t="str">
            <v>-</v>
          </cell>
          <cell r="VRY2" t="str">
            <v>-</v>
          </cell>
          <cell r="VRZ2" t="str">
            <v>-</v>
          </cell>
          <cell r="VSA2" t="str">
            <v>-</v>
          </cell>
          <cell r="VSB2" t="str">
            <v>-</v>
          </cell>
          <cell r="VSC2" t="str">
            <v>-</v>
          </cell>
          <cell r="VSD2" t="str">
            <v>-</v>
          </cell>
          <cell r="VSE2" t="str">
            <v>-</v>
          </cell>
          <cell r="VSF2" t="str">
            <v>-</v>
          </cell>
          <cell r="VSG2" t="str">
            <v>-</v>
          </cell>
          <cell r="VSH2" t="str">
            <v>-</v>
          </cell>
          <cell r="VSI2" t="str">
            <v>-</v>
          </cell>
          <cell r="VSJ2" t="str">
            <v>-</v>
          </cell>
          <cell r="VSK2" t="str">
            <v>-</v>
          </cell>
          <cell r="VSL2" t="str">
            <v>-</v>
          </cell>
          <cell r="VSM2" t="str">
            <v>-</v>
          </cell>
          <cell r="VSN2" t="str">
            <v>-</v>
          </cell>
          <cell r="VSO2" t="str">
            <v>-</v>
          </cell>
          <cell r="VSP2" t="str">
            <v>-</v>
          </cell>
          <cell r="VSQ2" t="str">
            <v>-</v>
          </cell>
          <cell r="VSR2" t="str">
            <v>-</v>
          </cell>
          <cell r="VSS2" t="str">
            <v>-</v>
          </cell>
          <cell r="VST2" t="str">
            <v>-</v>
          </cell>
          <cell r="VSU2" t="str">
            <v>-</v>
          </cell>
          <cell r="VSV2" t="str">
            <v>-</v>
          </cell>
          <cell r="VSW2" t="str">
            <v>-</v>
          </cell>
          <cell r="VSX2" t="str">
            <v>-</v>
          </cell>
          <cell r="VSY2" t="str">
            <v>-</v>
          </cell>
          <cell r="VSZ2" t="str">
            <v>-</v>
          </cell>
          <cell r="VTA2" t="str">
            <v>-</v>
          </cell>
          <cell r="VTB2" t="str">
            <v>-</v>
          </cell>
          <cell r="VTC2" t="str">
            <v>-</v>
          </cell>
          <cell r="VTD2" t="str">
            <v>-</v>
          </cell>
          <cell r="VTE2" t="str">
            <v>-</v>
          </cell>
          <cell r="VTF2" t="str">
            <v>-</v>
          </cell>
          <cell r="VTG2" t="str">
            <v>-</v>
          </cell>
          <cell r="VTH2" t="str">
            <v>-</v>
          </cell>
          <cell r="VTI2" t="str">
            <v>-</v>
          </cell>
          <cell r="VTJ2" t="str">
            <v>-</v>
          </cell>
          <cell r="VTK2" t="str">
            <v>-</v>
          </cell>
          <cell r="VTL2" t="str">
            <v>-</v>
          </cell>
          <cell r="VTM2" t="str">
            <v>-</v>
          </cell>
          <cell r="VTN2" t="str">
            <v>-</v>
          </cell>
          <cell r="VTO2" t="str">
            <v>-</v>
          </cell>
          <cell r="VTP2" t="str">
            <v>-</v>
          </cell>
          <cell r="VTQ2" t="str">
            <v>-</v>
          </cell>
          <cell r="VTR2" t="str">
            <v>-</v>
          </cell>
          <cell r="VTS2" t="str">
            <v>-</v>
          </cell>
          <cell r="VTT2" t="str">
            <v>-</v>
          </cell>
          <cell r="VTU2" t="str">
            <v>-</v>
          </cell>
          <cell r="VTV2" t="str">
            <v>-</v>
          </cell>
          <cell r="VTW2" t="str">
            <v>-</v>
          </cell>
          <cell r="VTX2" t="str">
            <v>-</v>
          </cell>
          <cell r="VTY2" t="str">
            <v>-</v>
          </cell>
          <cell r="VTZ2" t="str">
            <v>-</v>
          </cell>
          <cell r="VUA2" t="str">
            <v>-</v>
          </cell>
          <cell r="VUB2" t="str">
            <v>-</v>
          </cell>
          <cell r="VUC2" t="str">
            <v>-</v>
          </cell>
          <cell r="VUD2" t="str">
            <v>-</v>
          </cell>
          <cell r="VUE2" t="str">
            <v>-</v>
          </cell>
          <cell r="VUF2" t="str">
            <v>-</v>
          </cell>
          <cell r="VUG2" t="str">
            <v>-</v>
          </cell>
          <cell r="VUH2" t="str">
            <v>-</v>
          </cell>
          <cell r="VUI2" t="str">
            <v>-</v>
          </cell>
          <cell r="VUJ2" t="str">
            <v>-</v>
          </cell>
          <cell r="VUK2" t="str">
            <v>-</v>
          </cell>
          <cell r="VUL2" t="str">
            <v>-</v>
          </cell>
          <cell r="VUM2" t="str">
            <v>-</v>
          </cell>
          <cell r="VUN2" t="str">
            <v>-</v>
          </cell>
          <cell r="VUO2" t="str">
            <v>-</v>
          </cell>
          <cell r="VUP2" t="str">
            <v>-</v>
          </cell>
          <cell r="VUQ2" t="str">
            <v>-</v>
          </cell>
          <cell r="VUR2" t="str">
            <v>-</v>
          </cell>
          <cell r="VUS2" t="str">
            <v>-</v>
          </cell>
          <cell r="VUT2" t="str">
            <v>-</v>
          </cell>
          <cell r="VUU2" t="str">
            <v>-</v>
          </cell>
          <cell r="VUV2" t="str">
            <v>-</v>
          </cell>
          <cell r="VUW2" t="str">
            <v>-</v>
          </cell>
          <cell r="VUX2" t="str">
            <v>-</v>
          </cell>
          <cell r="VUY2" t="str">
            <v>-</v>
          </cell>
          <cell r="VUZ2" t="str">
            <v>-</v>
          </cell>
          <cell r="VVA2" t="str">
            <v>-</v>
          </cell>
          <cell r="VVB2" t="str">
            <v>-</v>
          </cell>
          <cell r="VVC2" t="str">
            <v>-</v>
          </cell>
          <cell r="VVD2" t="str">
            <v>-</v>
          </cell>
          <cell r="VVE2" t="str">
            <v>-</v>
          </cell>
          <cell r="VVF2" t="str">
            <v>-</v>
          </cell>
          <cell r="VVG2" t="str">
            <v>-</v>
          </cell>
          <cell r="VVH2" t="str">
            <v>-</v>
          </cell>
          <cell r="VVI2" t="str">
            <v>-</v>
          </cell>
          <cell r="VVJ2" t="str">
            <v>-</v>
          </cell>
          <cell r="VVK2" t="str">
            <v>-</v>
          </cell>
          <cell r="VVL2" t="str">
            <v>-</v>
          </cell>
          <cell r="VVM2" t="str">
            <v>-</v>
          </cell>
          <cell r="VVN2" t="str">
            <v>-</v>
          </cell>
          <cell r="VVO2" t="str">
            <v>-</v>
          </cell>
          <cell r="VVP2" t="str">
            <v>-</v>
          </cell>
          <cell r="VVQ2" t="str">
            <v>-</v>
          </cell>
          <cell r="VVR2" t="str">
            <v>-</v>
          </cell>
          <cell r="VVS2" t="str">
            <v>-</v>
          </cell>
          <cell r="VVT2" t="str">
            <v>-</v>
          </cell>
          <cell r="VVU2" t="str">
            <v>-</v>
          </cell>
          <cell r="VVV2" t="str">
            <v>-</v>
          </cell>
          <cell r="VVW2" t="str">
            <v>-</v>
          </cell>
          <cell r="VVX2" t="str">
            <v>-</v>
          </cell>
          <cell r="VVY2" t="str">
            <v>-</v>
          </cell>
          <cell r="VVZ2" t="str">
            <v>-</v>
          </cell>
          <cell r="VWA2" t="str">
            <v>-</v>
          </cell>
          <cell r="VWB2" t="str">
            <v>-</v>
          </cell>
          <cell r="VWC2" t="str">
            <v>-</v>
          </cell>
          <cell r="VWD2" t="str">
            <v>-</v>
          </cell>
          <cell r="VWE2" t="str">
            <v>-</v>
          </cell>
          <cell r="VWF2" t="str">
            <v>-</v>
          </cell>
          <cell r="VWG2" t="str">
            <v>-</v>
          </cell>
          <cell r="VWH2" t="str">
            <v>-</v>
          </cell>
          <cell r="VWI2" t="str">
            <v>-</v>
          </cell>
          <cell r="VWJ2" t="str">
            <v>-</v>
          </cell>
          <cell r="VWK2" t="str">
            <v>-</v>
          </cell>
          <cell r="VWL2" t="str">
            <v>-</v>
          </cell>
          <cell r="VWM2" t="str">
            <v>-</v>
          </cell>
          <cell r="VWN2" t="str">
            <v>-</v>
          </cell>
          <cell r="VWO2" t="str">
            <v>-</v>
          </cell>
          <cell r="VWP2" t="str">
            <v>-</v>
          </cell>
          <cell r="VWQ2" t="str">
            <v>-</v>
          </cell>
          <cell r="VWR2" t="str">
            <v>-</v>
          </cell>
          <cell r="VWS2" t="str">
            <v>-</v>
          </cell>
          <cell r="VWT2" t="str">
            <v>-</v>
          </cell>
          <cell r="VWU2" t="str">
            <v>-</v>
          </cell>
          <cell r="VWV2" t="str">
            <v>-</v>
          </cell>
          <cell r="VWW2" t="str">
            <v>-</v>
          </cell>
          <cell r="VWX2" t="str">
            <v>-</v>
          </cell>
          <cell r="VWY2" t="str">
            <v>-</v>
          </cell>
          <cell r="VWZ2" t="str">
            <v>-</v>
          </cell>
          <cell r="VXA2" t="str">
            <v>-</v>
          </cell>
          <cell r="VXB2" t="str">
            <v>-</v>
          </cell>
          <cell r="VXC2" t="str">
            <v>-</v>
          </cell>
          <cell r="VXD2" t="str">
            <v>-</v>
          </cell>
          <cell r="VXE2" t="str">
            <v>-</v>
          </cell>
          <cell r="VXF2" t="str">
            <v>-</v>
          </cell>
          <cell r="VXG2" t="str">
            <v>-</v>
          </cell>
          <cell r="VXH2" t="str">
            <v>-</v>
          </cell>
          <cell r="VXI2" t="str">
            <v>-</v>
          </cell>
          <cell r="VXJ2" t="str">
            <v>-</v>
          </cell>
          <cell r="VXK2" t="str">
            <v>-</v>
          </cell>
          <cell r="VXL2" t="str">
            <v>-</v>
          </cell>
          <cell r="VXM2" t="str">
            <v>-</v>
          </cell>
          <cell r="VXN2" t="str">
            <v>-</v>
          </cell>
          <cell r="VXO2" t="str">
            <v>-</v>
          </cell>
          <cell r="VXP2" t="str">
            <v>-</v>
          </cell>
          <cell r="VXQ2" t="str">
            <v>-</v>
          </cell>
          <cell r="VXR2" t="str">
            <v>-</v>
          </cell>
          <cell r="VXS2" t="str">
            <v>-</v>
          </cell>
          <cell r="VXT2" t="str">
            <v>-</v>
          </cell>
          <cell r="VXU2" t="str">
            <v>-</v>
          </cell>
          <cell r="VXV2" t="str">
            <v>-</v>
          </cell>
          <cell r="VXW2" t="str">
            <v>-</v>
          </cell>
          <cell r="VXX2" t="str">
            <v>-</v>
          </cell>
          <cell r="VXY2" t="str">
            <v>-</v>
          </cell>
          <cell r="VXZ2" t="str">
            <v>-</v>
          </cell>
          <cell r="VYA2" t="str">
            <v>-</v>
          </cell>
          <cell r="VYB2" t="str">
            <v>-</v>
          </cell>
          <cell r="VYC2" t="str">
            <v>-</v>
          </cell>
          <cell r="VYD2" t="str">
            <v>-</v>
          </cell>
          <cell r="VYE2" t="str">
            <v>-</v>
          </cell>
          <cell r="VYF2" t="str">
            <v>-</v>
          </cell>
          <cell r="VYG2" t="str">
            <v>-</v>
          </cell>
          <cell r="VYH2" t="str">
            <v>-</v>
          </cell>
          <cell r="VYI2" t="str">
            <v>-</v>
          </cell>
          <cell r="VYJ2" t="str">
            <v>-</v>
          </cell>
          <cell r="VYK2" t="str">
            <v>-</v>
          </cell>
          <cell r="VYL2" t="str">
            <v>-</v>
          </cell>
          <cell r="VYM2" t="str">
            <v>-</v>
          </cell>
          <cell r="VYN2" t="str">
            <v>-</v>
          </cell>
          <cell r="VYO2" t="str">
            <v>-</v>
          </cell>
          <cell r="VYP2" t="str">
            <v>-</v>
          </cell>
          <cell r="VYQ2" t="str">
            <v>-</v>
          </cell>
          <cell r="VYR2" t="str">
            <v>-</v>
          </cell>
          <cell r="VYS2" t="str">
            <v>-</v>
          </cell>
          <cell r="VYT2" t="str">
            <v>-</v>
          </cell>
          <cell r="VYU2" t="str">
            <v>-</v>
          </cell>
          <cell r="VYV2" t="str">
            <v>-</v>
          </cell>
          <cell r="VYW2" t="str">
            <v>-</v>
          </cell>
          <cell r="VYX2" t="str">
            <v>-</v>
          </cell>
          <cell r="VYY2" t="str">
            <v>-</v>
          </cell>
          <cell r="VYZ2" t="str">
            <v>-</v>
          </cell>
          <cell r="VZA2" t="str">
            <v>-</v>
          </cell>
          <cell r="VZB2" t="str">
            <v>-</v>
          </cell>
          <cell r="VZC2" t="str">
            <v>-</v>
          </cell>
          <cell r="VZD2" t="str">
            <v>-</v>
          </cell>
          <cell r="VZE2" t="str">
            <v>-</v>
          </cell>
          <cell r="VZF2" t="str">
            <v>-</v>
          </cell>
          <cell r="VZG2" t="str">
            <v>-</v>
          </cell>
          <cell r="VZH2" t="str">
            <v>-</v>
          </cell>
          <cell r="VZI2" t="str">
            <v>-</v>
          </cell>
          <cell r="VZJ2" t="str">
            <v>-</v>
          </cell>
          <cell r="VZK2" t="str">
            <v>-</v>
          </cell>
          <cell r="VZL2" t="str">
            <v>-</v>
          </cell>
          <cell r="VZM2" t="str">
            <v>-</v>
          </cell>
          <cell r="VZN2" t="str">
            <v>-</v>
          </cell>
          <cell r="VZO2" t="str">
            <v>-</v>
          </cell>
          <cell r="VZP2" t="str">
            <v>-</v>
          </cell>
          <cell r="VZQ2" t="str">
            <v>-</v>
          </cell>
          <cell r="VZR2" t="str">
            <v>-</v>
          </cell>
          <cell r="VZS2" t="str">
            <v>-</v>
          </cell>
          <cell r="VZT2" t="str">
            <v>-</v>
          </cell>
          <cell r="VZU2" t="str">
            <v>-</v>
          </cell>
          <cell r="VZV2" t="str">
            <v>-</v>
          </cell>
          <cell r="VZW2" t="str">
            <v>-</v>
          </cell>
          <cell r="VZX2" t="str">
            <v>-</v>
          </cell>
          <cell r="VZY2" t="str">
            <v>-</v>
          </cell>
          <cell r="VZZ2" t="str">
            <v>-</v>
          </cell>
          <cell r="WAA2" t="str">
            <v>-</v>
          </cell>
          <cell r="WAB2" t="str">
            <v>-</v>
          </cell>
          <cell r="WAC2" t="str">
            <v>-</v>
          </cell>
          <cell r="WAD2" t="str">
            <v>-</v>
          </cell>
          <cell r="WAE2" t="str">
            <v>-</v>
          </cell>
          <cell r="WAF2" t="str">
            <v>-</v>
          </cell>
          <cell r="WAG2" t="str">
            <v>-</v>
          </cell>
          <cell r="WAH2" t="str">
            <v>-</v>
          </cell>
          <cell r="WAI2" t="str">
            <v>-</v>
          </cell>
          <cell r="WAJ2" t="str">
            <v>-</v>
          </cell>
          <cell r="WAK2" t="str">
            <v>-</v>
          </cell>
          <cell r="WAL2" t="str">
            <v>-</v>
          </cell>
          <cell r="WAM2" t="str">
            <v>-</v>
          </cell>
          <cell r="WAN2" t="str">
            <v>-</v>
          </cell>
          <cell r="WAO2" t="str">
            <v>-</v>
          </cell>
          <cell r="WAP2" t="str">
            <v>-</v>
          </cell>
          <cell r="WAQ2" t="str">
            <v>-</v>
          </cell>
          <cell r="WAR2" t="str">
            <v>-</v>
          </cell>
          <cell r="WAS2" t="str">
            <v>-</v>
          </cell>
          <cell r="WAT2" t="str">
            <v>-</v>
          </cell>
          <cell r="WAU2" t="str">
            <v>-</v>
          </cell>
          <cell r="WAV2" t="str">
            <v>-</v>
          </cell>
          <cell r="WAW2" t="str">
            <v>-</v>
          </cell>
          <cell r="WAX2" t="str">
            <v>-</v>
          </cell>
          <cell r="WAY2" t="str">
            <v>-</v>
          </cell>
          <cell r="WAZ2" t="str">
            <v>-</v>
          </cell>
          <cell r="WBA2" t="str">
            <v>-</v>
          </cell>
          <cell r="WBB2" t="str">
            <v>-</v>
          </cell>
          <cell r="WBC2" t="str">
            <v>-</v>
          </cell>
          <cell r="WBD2" t="str">
            <v>-</v>
          </cell>
          <cell r="WBE2" t="str">
            <v>-</v>
          </cell>
          <cell r="WBF2" t="str">
            <v>-</v>
          </cell>
          <cell r="WBG2" t="str">
            <v>-</v>
          </cell>
          <cell r="WBH2" t="str">
            <v>-</v>
          </cell>
          <cell r="WBI2" t="str">
            <v>-</v>
          </cell>
          <cell r="WBJ2" t="str">
            <v>-</v>
          </cell>
          <cell r="WBK2" t="str">
            <v>-</v>
          </cell>
          <cell r="WBL2" t="str">
            <v>-</v>
          </cell>
          <cell r="WBM2" t="str">
            <v>-</v>
          </cell>
          <cell r="WBN2" t="str">
            <v>-</v>
          </cell>
          <cell r="WBO2" t="str">
            <v>-</v>
          </cell>
          <cell r="WBP2" t="str">
            <v>-</v>
          </cell>
          <cell r="WBQ2" t="str">
            <v>-</v>
          </cell>
          <cell r="WBR2" t="str">
            <v>-</v>
          </cell>
          <cell r="WBS2" t="str">
            <v>-</v>
          </cell>
          <cell r="WBT2" t="str">
            <v>-</v>
          </cell>
          <cell r="WBU2" t="str">
            <v>-</v>
          </cell>
          <cell r="WBV2" t="str">
            <v>-</v>
          </cell>
          <cell r="WBW2" t="str">
            <v>-</v>
          </cell>
          <cell r="WBX2" t="str">
            <v>-</v>
          </cell>
          <cell r="WBY2" t="str">
            <v>-</v>
          </cell>
          <cell r="WBZ2" t="str">
            <v>-</v>
          </cell>
          <cell r="WCA2" t="str">
            <v>-</v>
          </cell>
          <cell r="WCB2" t="str">
            <v>-</v>
          </cell>
          <cell r="WCC2" t="str">
            <v>-</v>
          </cell>
          <cell r="WCD2" t="str">
            <v>-</v>
          </cell>
          <cell r="WCE2" t="str">
            <v>-</v>
          </cell>
          <cell r="WCF2" t="str">
            <v>-</v>
          </cell>
          <cell r="WCG2" t="str">
            <v>-</v>
          </cell>
          <cell r="WCH2" t="str">
            <v>-</v>
          </cell>
          <cell r="WCI2" t="str">
            <v>-</v>
          </cell>
          <cell r="WCJ2" t="str">
            <v>-</v>
          </cell>
          <cell r="WCK2" t="str">
            <v>-</v>
          </cell>
          <cell r="WCL2" t="str">
            <v>-</v>
          </cell>
          <cell r="WCM2" t="str">
            <v>-</v>
          </cell>
          <cell r="WCN2" t="str">
            <v>-</v>
          </cell>
          <cell r="WCO2" t="str">
            <v>-</v>
          </cell>
          <cell r="WCP2" t="str">
            <v>-</v>
          </cell>
          <cell r="WCQ2" t="str">
            <v>-</v>
          </cell>
          <cell r="WCR2" t="str">
            <v>-</v>
          </cell>
          <cell r="WCS2" t="str">
            <v>-</v>
          </cell>
          <cell r="WCT2" t="str">
            <v>-</v>
          </cell>
          <cell r="WCU2" t="str">
            <v>-</v>
          </cell>
          <cell r="WCV2" t="str">
            <v>-</v>
          </cell>
          <cell r="WCW2" t="str">
            <v>-</v>
          </cell>
          <cell r="WCX2" t="str">
            <v>-</v>
          </cell>
          <cell r="WCY2" t="str">
            <v>-</v>
          </cell>
          <cell r="WCZ2" t="str">
            <v>-</v>
          </cell>
          <cell r="WDA2" t="str">
            <v>-</v>
          </cell>
          <cell r="WDB2" t="str">
            <v>-</v>
          </cell>
          <cell r="WDC2" t="str">
            <v>-</v>
          </cell>
          <cell r="WDD2" t="str">
            <v>-</v>
          </cell>
          <cell r="WDE2" t="str">
            <v>-</v>
          </cell>
          <cell r="WDF2" t="str">
            <v>-</v>
          </cell>
          <cell r="WDG2" t="str">
            <v>-</v>
          </cell>
          <cell r="WDH2" t="str">
            <v>-</v>
          </cell>
          <cell r="WDI2" t="str">
            <v>-</v>
          </cell>
          <cell r="WDJ2" t="str">
            <v>-</v>
          </cell>
          <cell r="WDK2" t="str">
            <v>-</v>
          </cell>
          <cell r="WDL2" t="str">
            <v>-</v>
          </cell>
          <cell r="WDM2" t="str">
            <v>-</v>
          </cell>
          <cell r="WDN2" t="str">
            <v>-</v>
          </cell>
          <cell r="WDO2" t="str">
            <v>-</v>
          </cell>
          <cell r="WDP2" t="str">
            <v>-</v>
          </cell>
          <cell r="WDQ2" t="str">
            <v>-</v>
          </cell>
          <cell r="WDR2" t="str">
            <v>-</v>
          </cell>
          <cell r="WDS2" t="str">
            <v>-</v>
          </cell>
          <cell r="WDT2" t="str">
            <v>-</v>
          </cell>
          <cell r="WDU2" t="str">
            <v>-</v>
          </cell>
          <cell r="WDV2" t="str">
            <v>-</v>
          </cell>
          <cell r="WDW2" t="str">
            <v>-</v>
          </cell>
          <cell r="WDX2" t="str">
            <v>-</v>
          </cell>
          <cell r="WDY2" t="str">
            <v>-</v>
          </cell>
          <cell r="WDZ2" t="str">
            <v>-</v>
          </cell>
          <cell r="WEA2" t="str">
            <v>-</v>
          </cell>
          <cell r="WEB2" t="str">
            <v>-</v>
          </cell>
          <cell r="WEC2" t="str">
            <v>-</v>
          </cell>
          <cell r="WED2" t="str">
            <v>-</v>
          </cell>
          <cell r="WEE2" t="str">
            <v>-</v>
          </cell>
          <cell r="WEF2" t="str">
            <v>-</v>
          </cell>
          <cell r="WEG2" t="str">
            <v>-</v>
          </cell>
          <cell r="WEH2" t="str">
            <v>-</v>
          </cell>
          <cell r="WEI2" t="str">
            <v>-</v>
          </cell>
          <cell r="WEJ2" t="str">
            <v>-</v>
          </cell>
          <cell r="WEK2" t="str">
            <v>-</v>
          </cell>
          <cell r="WEL2" t="str">
            <v>-</v>
          </cell>
          <cell r="WEM2" t="str">
            <v>-</v>
          </cell>
          <cell r="WEN2" t="str">
            <v>-</v>
          </cell>
          <cell r="WEO2" t="str">
            <v>-</v>
          </cell>
          <cell r="WEP2" t="str">
            <v>-</v>
          </cell>
          <cell r="WEQ2" t="str">
            <v>-</v>
          </cell>
          <cell r="WER2" t="str">
            <v>-</v>
          </cell>
          <cell r="WES2" t="str">
            <v>-</v>
          </cell>
          <cell r="WET2" t="str">
            <v>-</v>
          </cell>
          <cell r="WEU2" t="str">
            <v>-</v>
          </cell>
          <cell r="WEV2" t="str">
            <v>-</v>
          </cell>
          <cell r="WEW2" t="str">
            <v>-</v>
          </cell>
          <cell r="WEX2" t="str">
            <v>-</v>
          </cell>
          <cell r="WEY2" t="str">
            <v>-</v>
          </cell>
          <cell r="WEZ2" t="str">
            <v>-</v>
          </cell>
          <cell r="WFA2" t="str">
            <v>-</v>
          </cell>
          <cell r="WFB2" t="str">
            <v>-</v>
          </cell>
          <cell r="WFC2" t="str">
            <v>-</v>
          </cell>
          <cell r="WFD2" t="str">
            <v>-</v>
          </cell>
          <cell r="WFE2" t="str">
            <v>-</v>
          </cell>
          <cell r="WFF2" t="str">
            <v>-</v>
          </cell>
          <cell r="WFG2" t="str">
            <v>-</v>
          </cell>
          <cell r="WFH2" t="str">
            <v>-</v>
          </cell>
          <cell r="WFI2" t="str">
            <v>-</v>
          </cell>
          <cell r="WFJ2" t="str">
            <v>-</v>
          </cell>
          <cell r="WFK2" t="str">
            <v>-</v>
          </cell>
          <cell r="WFL2" t="str">
            <v>-</v>
          </cell>
          <cell r="WFM2" t="str">
            <v>-</v>
          </cell>
          <cell r="WFN2" t="str">
            <v>-</v>
          </cell>
          <cell r="WFO2" t="str">
            <v>-</v>
          </cell>
          <cell r="WFP2" t="str">
            <v>-</v>
          </cell>
          <cell r="WFQ2" t="str">
            <v>-</v>
          </cell>
          <cell r="WFR2" t="str">
            <v>-</v>
          </cell>
          <cell r="WFS2" t="str">
            <v>-</v>
          </cell>
          <cell r="WFT2" t="str">
            <v>-</v>
          </cell>
          <cell r="WFU2" t="str">
            <v>-</v>
          </cell>
          <cell r="WFV2" t="str">
            <v>-</v>
          </cell>
          <cell r="WFW2" t="str">
            <v>-</v>
          </cell>
          <cell r="WFX2" t="str">
            <v>-</v>
          </cell>
          <cell r="WFY2" t="str">
            <v>-</v>
          </cell>
          <cell r="WFZ2" t="str">
            <v>-</v>
          </cell>
          <cell r="WGA2" t="str">
            <v>-</v>
          </cell>
          <cell r="WGB2" t="str">
            <v>-</v>
          </cell>
          <cell r="WGC2" t="str">
            <v>-</v>
          </cell>
          <cell r="WGD2" t="str">
            <v>-</v>
          </cell>
          <cell r="WGE2" t="str">
            <v>-</v>
          </cell>
          <cell r="WGF2" t="str">
            <v>-</v>
          </cell>
          <cell r="WGG2" t="str">
            <v>-</v>
          </cell>
          <cell r="WGH2" t="str">
            <v>-</v>
          </cell>
          <cell r="WGI2" t="str">
            <v>-</v>
          </cell>
          <cell r="WGJ2" t="str">
            <v>-</v>
          </cell>
          <cell r="WGK2" t="str">
            <v>-</v>
          </cell>
          <cell r="WGL2" t="str">
            <v>-</v>
          </cell>
          <cell r="WGM2" t="str">
            <v>-</v>
          </cell>
          <cell r="WGN2" t="str">
            <v>-</v>
          </cell>
          <cell r="WGO2" t="str">
            <v>-</v>
          </cell>
          <cell r="WGP2" t="str">
            <v>-</v>
          </cell>
          <cell r="WGQ2" t="str">
            <v>-</v>
          </cell>
          <cell r="WGR2" t="str">
            <v>-</v>
          </cell>
          <cell r="WGS2" t="str">
            <v>-</v>
          </cell>
          <cell r="WGT2" t="str">
            <v>-</v>
          </cell>
          <cell r="WGU2" t="str">
            <v>-</v>
          </cell>
          <cell r="WGV2" t="str">
            <v>-</v>
          </cell>
          <cell r="WGW2" t="str">
            <v>-</v>
          </cell>
          <cell r="WGX2" t="str">
            <v>-</v>
          </cell>
          <cell r="WGY2" t="str">
            <v>-</v>
          </cell>
          <cell r="WGZ2" t="str">
            <v>-</v>
          </cell>
          <cell r="WHA2" t="str">
            <v>-</v>
          </cell>
          <cell r="WHB2" t="str">
            <v>-</v>
          </cell>
          <cell r="WHC2" t="str">
            <v>-</v>
          </cell>
          <cell r="WHD2" t="str">
            <v>-</v>
          </cell>
          <cell r="WHE2" t="str">
            <v>-</v>
          </cell>
          <cell r="WHF2" t="str">
            <v>-</v>
          </cell>
          <cell r="WHG2" t="str">
            <v>-</v>
          </cell>
          <cell r="WHH2" t="str">
            <v>-</v>
          </cell>
          <cell r="WHI2" t="str">
            <v>-</v>
          </cell>
          <cell r="WHJ2" t="str">
            <v>-</v>
          </cell>
          <cell r="WHK2" t="str">
            <v>-</v>
          </cell>
          <cell r="WHL2" t="str">
            <v>-</v>
          </cell>
          <cell r="WHM2" t="str">
            <v>-</v>
          </cell>
          <cell r="WHN2" t="str">
            <v>-</v>
          </cell>
          <cell r="WHO2" t="str">
            <v>-</v>
          </cell>
          <cell r="WHP2" t="str">
            <v>-</v>
          </cell>
          <cell r="WHQ2" t="str">
            <v>-</v>
          </cell>
          <cell r="WHR2" t="str">
            <v>-</v>
          </cell>
          <cell r="WHS2" t="str">
            <v>-</v>
          </cell>
          <cell r="WHT2" t="str">
            <v>-</v>
          </cell>
          <cell r="WHU2" t="str">
            <v>-</v>
          </cell>
          <cell r="WHV2" t="str">
            <v>-</v>
          </cell>
          <cell r="WHW2" t="str">
            <v>-</v>
          </cell>
          <cell r="WHX2" t="str">
            <v>-</v>
          </cell>
          <cell r="WHY2" t="str">
            <v>-</v>
          </cell>
          <cell r="WHZ2" t="str">
            <v>-</v>
          </cell>
          <cell r="WIA2" t="str">
            <v>-</v>
          </cell>
          <cell r="WIB2" t="str">
            <v>-</v>
          </cell>
          <cell r="WIC2" t="str">
            <v>-</v>
          </cell>
          <cell r="WID2" t="str">
            <v>-</v>
          </cell>
          <cell r="WIE2" t="str">
            <v>-</v>
          </cell>
          <cell r="WIF2" t="str">
            <v>-</v>
          </cell>
          <cell r="WIG2" t="str">
            <v>-</v>
          </cell>
          <cell r="WIH2" t="str">
            <v>-</v>
          </cell>
          <cell r="WII2" t="str">
            <v>-</v>
          </cell>
          <cell r="WIJ2" t="str">
            <v>-</v>
          </cell>
          <cell r="WIK2" t="str">
            <v>-</v>
          </cell>
          <cell r="WIL2" t="str">
            <v>-</v>
          </cell>
          <cell r="WIM2" t="str">
            <v>-</v>
          </cell>
          <cell r="WIN2" t="str">
            <v>-</v>
          </cell>
          <cell r="WIO2" t="str">
            <v>-</v>
          </cell>
          <cell r="WIP2" t="str">
            <v>-</v>
          </cell>
          <cell r="WIQ2" t="str">
            <v>-</v>
          </cell>
          <cell r="WIR2" t="str">
            <v>-</v>
          </cell>
          <cell r="WIS2" t="str">
            <v>-</v>
          </cell>
          <cell r="WIT2" t="str">
            <v>-</v>
          </cell>
          <cell r="WIU2" t="str">
            <v>-</v>
          </cell>
          <cell r="WIV2" t="str">
            <v>-</v>
          </cell>
          <cell r="WIW2" t="str">
            <v>-</v>
          </cell>
          <cell r="WIX2" t="str">
            <v>-</v>
          </cell>
          <cell r="WIY2" t="str">
            <v>-</v>
          </cell>
          <cell r="WIZ2" t="str">
            <v>-</v>
          </cell>
          <cell r="WJA2" t="str">
            <v>-</v>
          </cell>
          <cell r="WJB2" t="str">
            <v>-</v>
          </cell>
          <cell r="WJC2" t="str">
            <v>-</v>
          </cell>
          <cell r="WJD2" t="str">
            <v>-</v>
          </cell>
          <cell r="WJE2" t="str">
            <v>-</v>
          </cell>
          <cell r="WJF2" t="str">
            <v>-</v>
          </cell>
          <cell r="WJG2" t="str">
            <v>-</v>
          </cell>
          <cell r="WJH2" t="str">
            <v>-</v>
          </cell>
          <cell r="WJI2" t="str">
            <v>-</v>
          </cell>
          <cell r="WJJ2" t="str">
            <v>-</v>
          </cell>
          <cell r="WJK2" t="str">
            <v>-</v>
          </cell>
          <cell r="WJL2" t="str">
            <v>-</v>
          </cell>
          <cell r="WJM2" t="str">
            <v>-</v>
          </cell>
          <cell r="WJN2" t="str">
            <v>-</v>
          </cell>
          <cell r="WJO2" t="str">
            <v>-</v>
          </cell>
          <cell r="WJP2" t="str">
            <v>-</v>
          </cell>
          <cell r="WJQ2" t="str">
            <v>-</v>
          </cell>
          <cell r="WJR2" t="str">
            <v>-</v>
          </cell>
          <cell r="WJS2" t="str">
            <v>-</v>
          </cell>
          <cell r="WJT2" t="str">
            <v>-</v>
          </cell>
          <cell r="WJU2" t="str">
            <v>-</v>
          </cell>
          <cell r="WJV2" t="str">
            <v>-</v>
          </cell>
          <cell r="WJW2" t="str">
            <v>-</v>
          </cell>
          <cell r="WJX2" t="str">
            <v>-</v>
          </cell>
          <cell r="WJY2" t="str">
            <v>-</v>
          </cell>
          <cell r="WJZ2" t="str">
            <v>-</v>
          </cell>
          <cell r="WKA2" t="str">
            <v>-</v>
          </cell>
          <cell r="WKB2" t="str">
            <v>-</v>
          </cell>
          <cell r="WKC2" t="str">
            <v>-</v>
          </cell>
          <cell r="WKD2" t="str">
            <v>-</v>
          </cell>
          <cell r="WKE2" t="str">
            <v>-</v>
          </cell>
          <cell r="WKF2" t="str">
            <v>-</v>
          </cell>
          <cell r="WKG2" t="str">
            <v>-</v>
          </cell>
          <cell r="WKH2" t="str">
            <v>-</v>
          </cell>
          <cell r="WKI2" t="str">
            <v>-</v>
          </cell>
          <cell r="WKJ2" t="str">
            <v>-</v>
          </cell>
          <cell r="WKK2" t="str">
            <v>-</v>
          </cell>
          <cell r="WKL2" t="str">
            <v>-</v>
          </cell>
          <cell r="WKM2" t="str">
            <v>-</v>
          </cell>
          <cell r="WKN2" t="str">
            <v>-</v>
          </cell>
          <cell r="WKO2" t="str">
            <v>-</v>
          </cell>
          <cell r="WKP2" t="str">
            <v>-</v>
          </cell>
          <cell r="WKQ2" t="str">
            <v>-</v>
          </cell>
          <cell r="WKR2" t="str">
            <v>-</v>
          </cell>
          <cell r="WKS2" t="str">
            <v>-</v>
          </cell>
          <cell r="WKT2" t="str">
            <v>-</v>
          </cell>
          <cell r="WKU2" t="str">
            <v>-</v>
          </cell>
          <cell r="WKV2" t="str">
            <v>-</v>
          </cell>
          <cell r="WKW2" t="str">
            <v>-</v>
          </cell>
          <cell r="WKX2" t="str">
            <v>-</v>
          </cell>
          <cell r="WKY2" t="str">
            <v>-</v>
          </cell>
          <cell r="WKZ2" t="str">
            <v>-</v>
          </cell>
          <cell r="WLA2" t="str">
            <v>-</v>
          </cell>
          <cell r="WLB2" t="str">
            <v>-</v>
          </cell>
          <cell r="WLC2" t="str">
            <v>-</v>
          </cell>
          <cell r="WLD2" t="str">
            <v>-</v>
          </cell>
          <cell r="WLE2" t="str">
            <v>-</v>
          </cell>
          <cell r="WLF2" t="str">
            <v>-</v>
          </cell>
          <cell r="WLG2" t="str">
            <v>-</v>
          </cell>
          <cell r="WLH2" t="str">
            <v>-</v>
          </cell>
          <cell r="WLI2" t="str">
            <v>-</v>
          </cell>
          <cell r="WLJ2" t="str">
            <v>-</v>
          </cell>
          <cell r="WLK2" t="str">
            <v>-</v>
          </cell>
          <cell r="WLL2" t="str">
            <v>-</v>
          </cell>
          <cell r="WLM2" t="str">
            <v>-</v>
          </cell>
          <cell r="WLN2" t="str">
            <v>-</v>
          </cell>
          <cell r="WLO2" t="str">
            <v>-</v>
          </cell>
          <cell r="WLP2" t="str">
            <v>-</v>
          </cell>
          <cell r="WLQ2" t="str">
            <v>-</v>
          </cell>
          <cell r="WLR2" t="str">
            <v>-</v>
          </cell>
          <cell r="WLS2" t="str">
            <v>-</v>
          </cell>
          <cell r="WLT2" t="str">
            <v>-</v>
          </cell>
          <cell r="WLU2" t="str">
            <v>-</v>
          </cell>
          <cell r="WLV2" t="str">
            <v>-</v>
          </cell>
          <cell r="WLW2" t="str">
            <v>-</v>
          </cell>
          <cell r="WLX2" t="str">
            <v>-</v>
          </cell>
          <cell r="WLY2" t="str">
            <v>-</v>
          </cell>
          <cell r="WLZ2" t="str">
            <v>-</v>
          </cell>
          <cell r="WMA2" t="str">
            <v>-</v>
          </cell>
          <cell r="WMB2" t="str">
            <v>-</v>
          </cell>
          <cell r="WMC2" t="str">
            <v>-</v>
          </cell>
          <cell r="WMD2" t="str">
            <v>-</v>
          </cell>
          <cell r="WME2" t="str">
            <v>-</v>
          </cell>
          <cell r="WMF2" t="str">
            <v>-</v>
          </cell>
          <cell r="WMG2" t="str">
            <v>-</v>
          </cell>
          <cell r="WMH2" t="str">
            <v>-</v>
          </cell>
          <cell r="WMI2" t="str">
            <v>-</v>
          </cell>
          <cell r="WMJ2" t="str">
            <v>-</v>
          </cell>
          <cell r="WMK2" t="str">
            <v>-</v>
          </cell>
          <cell r="WML2" t="str">
            <v>-</v>
          </cell>
          <cell r="WMM2" t="str">
            <v>-</v>
          </cell>
          <cell r="WMN2" t="str">
            <v>-</v>
          </cell>
          <cell r="WMO2" t="str">
            <v>-</v>
          </cell>
          <cell r="WMP2" t="str">
            <v>-</v>
          </cell>
          <cell r="WMQ2" t="str">
            <v>-</v>
          </cell>
          <cell r="WMR2" t="str">
            <v>-</v>
          </cell>
          <cell r="WMS2" t="str">
            <v>-</v>
          </cell>
          <cell r="WMT2" t="str">
            <v>-</v>
          </cell>
          <cell r="WMU2" t="str">
            <v>-</v>
          </cell>
          <cell r="WMV2" t="str">
            <v>-</v>
          </cell>
          <cell r="WMW2" t="str">
            <v>-</v>
          </cell>
          <cell r="WMX2" t="str">
            <v>-</v>
          </cell>
          <cell r="WMY2" t="str">
            <v>-</v>
          </cell>
          <cell r="WMZ2" t="str">
            <v>-</v>
          </cell>
          <cell r="WNA2" t="str">
            <v>-</v>
          </cell>
          <cell r="WNB2" t="str">
            <v>-</v>
          </cell>
          <cell r="WNC2" t="str">
            <v>-</v>
          </cell>
          <cell r="WND2" t="str">
            <v>-</v>
          </cell>
          <cell r="WNE2" t="str">
            <v>-</v>
          </cell>
          <cell r="WNF2" t="str">
            <v>-</v>
          </cell>
          <cell r="WNG2" t="str">
            <v>-</v>
          </cell>
          <cell r="WNH2" t="str">
            <v>-</v>
          </cell>
          <cell r="WNI2" t="str">
            <v>-</v>
          </cell>
          <cell r="WNJ2" t="str">
            <v>-</v>
          </cell>
          <cell r="WNK2" t="str">
            <v>-</v>
          </cell>
          <cell r="WNL2" t="str">
            <v>-</v>
          </cell>
          <cell r="WNM2" t="str">
            <v>-</v>
          </cell>
          <cell r="WNN2" t="str">
            <v>-</v>
          </cell>
          <cell r="WNO2" t="str">
            <v>-</v>
          </cell>
          <cell r="WNP2" t="str">
            <v>-</v>
          </cell>
          <cell r="WNQ2" t="str">
            <v>-</v>
          </cell>
          <cell r="WNR2" t="str">
            <v>-</v>
          </cell>
          <cell r="WNS2" t="str">
            <v>-</v>
          </cell>
          <cell r="WNT2" t="str">
            <v>-</v>
          </cell>
          <cell r="WNU2" t="str">
            <v>-</v>
          </cell>
          <cell r="WNV2" t="str">
            <v>-</v>
          </cell>
          <cell r="WNW2" t="str">
            <v>-</v>
          </cell>
          <cell r="WNX2" t="str">
            <v>-</v>
          </cell>
          <cell r="WNY2" t="str">
            <v>-</v>
          </cell>
          <cell r="WNZ2" t="str">
            <v>-</v>
          </cell>
          <cell r="WOA2" t="str">
            <v>-</v>
          </cell>
          <cell r="WOB2" t="str">
            <v>-</v>
          </cell>
          <cell r="WOC2" t="str">
            <v>-</v>
          </cell>
          <cell r="WOD2" t="str">
            <v>-</v>
          </cell>
          <cell r="WOE2" t="str">
            <v>-</v>
          </cell>
          <cell r="WOF2" t="str">
            <v>-</v>
          </cell>
          <cell r="WOG2" t="str">
            <v>-</v>
          </cell>
          <cell r="WOH2" t="str">
            <v>-</v>
          </cell>
          <cell r="WOI2" t="str">
            <v>-</v>
          </cell>
          <cell r="WOJ2" t="str">
            <v>-</v>
          </cell>
          <cell r="WOK2" t="str">
            <v>-</v>
          </cell>
          <cell r="WOL2" t="str">
            <v>-</v>
          </cell>
          <cell r="WOM2" t="str">
            <v>-</v>
          </cell>
          <cell r="WON2" t="str">
            <v>-</v>
          </cell>
          <cell r="WOO2" t="str">
            <v>-</v>
          </cell>
          <cell r="WOP2" t="str">
            <v>-</v>
          </cell>
          <cell r="WOQ2" t="str">
            <v>-</v>
          </cell>
          <cell r="WOR2" t="str">
            <v>-</v>
          </cell>
          <cell r="WOS2" t="str">
            <v>-</v>
          </cell>
          <cell r="WOT2" t="str">
            <v>-</v>
          </cell>
          <cell r="WOU2" t="str">
            <v>-</v>
          </cell>
          <cell r="WOV2" t="str">
            <v>-</v>
          </cell>
          <cell r="WOW2" t="str">
            <v>-</v>
          </cell>
          <cell r="WOX2" t="str">
            <v>-</v>
          </cell>
          <cell r="WOY2" t="str">
            <v>-</v>
          </cell>
          <cell r="WOZ2" t="str">
            <v>-</v>
          </cell>
          <cell r="WPA2" t="str">
            <v>-</v>
          </cell>
          <cell r="WPB2" t="str">
            <v>-</v>
          </cell>
          <cell r="WPC2" t="str">
            <v>-</v>
          </cell>
          <cell r="WPD2" t="str">
            <v>-</v>
          </cell>
          <cell r="WPE2" t="str">
            <v>-</v>
          </cell>
          <cell r="WPF2" t="str">
            <v>-</v>
          </cell>
          <cell r="WPG2" t="str">
            <v>-</v>
          </cell>
          <cell r="WPH2" t="str">
            <v>-</v>
          </cell>
          <cell r="WPI2" t="str">
            <v>-</v>
          </cell>
          <cell r="WPJ2" t="str">
            <v>-</v>
          </cell>
          <cell r="WPK2" t="str">
            <v>-</v>
          </cell>
          <cell r="WPL2" t="str">
            <v>-</v>
          </cell>
          <cell r="WPM2" t="str">
            <v>-</v>
          </cell>
          <cell r="WPN2" t="str">
            <v>-</v>
          </cell>
          <cell r="WPO2" t="str">
            <v>-</v>
          </cell>
          <cell r="WPP2" t="str">
            <v>-</v>
          </cell>
          <cell r="WPQ2" t="str">
            <v>-</v>
          </cell>
          <cell r="WPR2" t="str">
            <v>-</v>
          </cell>
          <cell r="WPS2" t="str">
            <v>-</v>
          </cell>
          <cell r="WPT2" t="str">
            <v>-</v>
          </cell>
          <cell r="WPU2" t="str">
            <v>-</v>
          </cell>
          <cell r="WPV2" t="str">
            <v>-</v>
          </cell>
          <cell r="WPW2" t="str">
            <v>-</v>
          </cell>
          <cell r="WPX2" t="str">
            <v>-</v>
          </cell>
          <cell r="WPY2" t="str">
            <v>-</v>
          </cell>
          <cell r="WPZ2" t="str">
            <v>-</v>
          </cell>
          <cell r="WQA2" t="str">
            <v>-</v>
          </cell>
          <cell r="WQB2" t="str">
            <v>-</v>
          </cell>
          <cell r="WQC2" t="str">
            <v>-</v>
          </cell>
          <cell r="WQD2" t="str">
            <v>-</v>
          </cell>
          <cell r="WQE2" t="str">
            <v>-</v>
          </cell>
          <cell r="WQF2" t="str">
            <v>-</v>
          </cell>
          <cell r="WQG2" t="str">
            <v>-</v>
          </cell>
          <cell r="WQH2" t="str">
            <v>-</v>
          </cell>
          <cell r="WQI2" t="str">
            <v>-</v>
          </cell>
          <cell r="WQJ2" t="str">
            <v>-</v>
          </cell>
          <cell r="WQK2" t="str">
            <v>-</v>
          </cell>
          <cell r="WQL2" t="str">
            <v>-</v>
          </cell>
          <cell r="WQM2" t="str">
            <v>-</v>
          </cell>
          <cell r="WQN2" t="str">
            <v>-</v>
          </cell>
          <cell r="WQO2" t="str">
            <v>-</v>
          </cell>
          <cell r="WQP2" t="str">
            <v>-</v>
          </cell>
          <cell r="WQQ2" t="str">
            <v>-</v>
          </cell>
          <cell r="WQR2" t="str">
            <v>-</v>
          </cell>
          <cell r="WQS2" t="str">
            <v>-</v>
          </cell>
          <cell r="WQT2" t="str">
            <v>-</v>
          </cell>
          <cell r="WQU2" t="str">
            <v>-</v>
          </cell>
          <cell r="WQV2" t="str">
            <v>-</v>
          </cell>
          <cell r="WQW2" t="str">
            <v>-</v>
          </cell>
          <cell r="WQX2" t="str">
            <v>-</v>
          </cell>
          <cell r="WQY2" t="str">
            <v>-</v>
          </cell>
          <cell r="WQZ2" t="str">
            <v>-</v>
          </cell>
          <cell r="WRA2" t="str">
            <v>-</v>
          </cell>
          <cell r="WRB2" t="str">
            <v>-</v>
          </cell>
          <cell r="WRC2" t="str">
            <v>-</v>
          </cell>
          <cell r="WRD2" t="str">
            <v>-</v>
          </cell>
          <cell r="WRE2" t="str">
            <v>-</v>
          </cell>
          <cell r="WRF2" t="str">
            <v>-</v>
          </cell>
          <cell r="WRG2" t="str">
            <v>-</v>
          </cell>
          <cell r="WRH2" t="str">
            <v>-</v>
          </cell>
          <cell r="WRI2" t="str">
            <v>-</v>
          </cell>
          <cell r="WRJ2" t="str">
            <v>-</v>
          </cell>
          <cell r="WRK2" t="str">
            <v>-</v>
          </cell>
          <cell r="WRL2" t="str">
            <v>-</v>
          </cell>
          <cell r="WRM2" t="str">
            <v>-</v>
          </cell>
          <cell r="WRN2" t="str">
            <v>-</v>
          </cell>
          <cell r="WRO2" t="str">
            <v>-</v>
          </cell>
          <cell r="WRP2" t="str">
            <v>-</v>
          </cell>
          <cell r="WRQ2" t="str">
            <v>-</v>
          </cell>
          <cell r="WRR2" t="str">
            <v>-</v>
          </cell>
          <cell r="WRS2" t="str">
            <v>-</v>
          </cell>
          <cell r="WRT2" t="str">
            <v>-</v>
          </cell>
          <cell r="WRU2" t="str">
            <v>-</v>
          </cell>
          <cell r="WRV2" t="str">
            <v>-</v>
          </cell>
          <cell r="WRW2" t="str">
            <v>-</v>
          </cell>
          <cell r="WRX2" t="str">
            <v>-</v>
          </cell>
          <cell r="WRY2" t="str">
            <v>-</v>
          </cell>
          <cell r="WRZ2" t="str">
            <v>-</v>
          </cell>
          <cell r="WSA2" t="str">
            <v>-</v>
          </cell>
          <cell r="WSB2" t="str">
            <v>-</v>
          </cell>
          <cell r="WSC2" t="str">
            <v>-</v>
          </cell>
          <cell r="WSD2" t="str">
            <v>-</v>
          </cell>
          <cell r="WSE2" t="str">
            <v>-</v>
          </cell>
          <cell r="WSF2" t="str">
            <v>-</v>
          </cell>
          <cell r="WSG2" t="str">
            <v>-</v>
          </cell>
          <cell r="WSH2" t="str">
            <v>-</v>
          </cell>
          <cell r="WSI2" t="str">
            <v>-</v>
          </cell>
          <cell r="WSJ2" t="str">
            <v>-</v>
          </cell>
          <cell r="WSK2" t="str">
            <v>-</v>
          </cell>
          <cell r="WSL2" t="str">
            <v>-</v>
          </cell>
          <cell r="WSM2" t="str">
            <v>-</v>
          </cell>
          <cell r="WSN2" t="str">
            <v>-</v>
          </cell>
          <cell r="WSO2" t="str">
            <v>-</v>
          </cell>
          <cell r="WSP2" t="str">
            <v>-</v>
          </cell>
          <cell r="WSQ2" t="str">
            <v>-</v>
          </cell>
          <cell r="WSR2" t="str">
            <v>-</v>
          </cell>
          <cell r="WSS2" t="str">
            <v>-</v>
          </cell>
          <cell r="WST2" t="str">
            <v>-</v>
          </cell>
          <cell r="WSU2" t="str">
            <v>-</v>
          </cell>
          <cell r="WSV2" t="str">
            <v>-</v>
          </cell>
          <cell r="WSW2" t="str">
            <v>-</v>
          </cell>
          <cell r="WSX2" t="str">
            <v>-</v>
          </cell>
          <cell r="WSY2" t="str">
            <v>-</v>
          </cell>
          <cell r="WSZ2" t="str">
            <v>-</v>
          </cell>
          <cell r="WTA2" t="str">
            <v>-</v>
          </cell>
          <cell r="WTB2" t="str">
            <v>-</v>
          </cell>
          <cell r="WTC2" t="str">
            <v>-</v>
          </cell>
          <cell r="WTD2" t="str">
            <v>-</v>
          </cell>
          <cell r="WTE2" t="str">
            <v>-</v>
          </cell>
          <cell r="WTF2" t="str">
            <v>-</v>
          </cell>
          <cell r="WTG2" t="str">
            <v>-</v>
          </cell>
          <cell r="WTH2" t="str">
            <v>-</v>
          </cell>
          <cell r="WTI2" t="str">
            <v>-</v>
          </cell>
          <cell r="WTJ2" t="str">
            <v>-</v>
          </cell>
          <cell r="WTK2" t="str">
            <v>-</v>
          </cell>
          <cell r="WTL2" t="str">
            <v>-</v>
          </cell>
          <cell r="WTM2" t="str">
            <v>-</v>
          </cell>
          <cell r="WTN2" t="str">
            <v>-</v>
          </cell>
          <cell r="WTO2" t="str">
            <v>-</v>
          </cell>
          <cell r="WTP2" t="str">
            <v>-</v>
          </cell>
          <cell r="WTQ2" t="str">
            <v>-</v>
          </cell>
          <cell r="WTR2" t="str">
            <v>-</v>
          </cell>
          <cell r="WTS2" t="str">
            <v>-</v>
          </cell>
          <cell r="WTT2" t="str">
            <v>-</v>
          </cell>
          <cell r="WTU2" t="str">
            <v>-</v>
          </cell>
          <cell r="WTV2" t="str">
            <v>-</v>
          </cell>
          <cell r="WTW2" t="str">
            <v>-</v>
          </cell>
          <cell r="WTX2" t="str">
            <v>-</v>
          </cell>
          <cell r="WTY2" t="str">
            <v>-</v>
          </cell>
          <cell r="WTZ2" t="str">
            <v>-</v>
          </cell>
          <cell r="WUA2" t="str">
            <v>-</v>
          </cell>
          <cell r="WUB2" t="str">
            <v>-</v>
          </cell>
          <cell r="WUC2" t="str">
            <v>-</v>
          </cell>
          <cell r="WUD2" t="str">
            <v>-</v>
          </cell>
          <cell r="WUE2" t="str">
            <v>-</v>
          </cell>
          <cell r="WUF2" t="str">
            <v>-</v>
          </cell>
          <cell r="WUG2" t="str">
            <v>-</v>
          </cell>
          <cell r="WUH2" t="str">
            <v>-</v>
          </cell>
          <cell r="WUI2" t="str">
            <v>-</v>
          </cell>
          <cell r="WUJ2" t="str">
            <v>-</v>
          </cell>
          <cell r="WUK2" t="str">
            <v>-</v>
          </cell>
          <cell r="WUL2" t="str">
            <v>-</v>
          </cell>
          <cell r="WUM2" t="str">
            <v>-</v>
          </cell>
          <cell r="WUN2" t="str">
            <v>-</v>
          </cell>
          <cell r="WUO2" t="str">
            <v>-</v>
          </cell>
          <cell r="WUP2" t="str">
            <v>-</v>
          </cell>
          <cell r="WUQ2" t="str">
            <v>-</v>
          </cell>
          <cell r="WUR2" t="str">
            <v>-</v>
          </cell>
          <cell r="WUS2" t="str">
            <v>-</v>
          </cell>
          <cell r="WUT2" t="str">
            <v>-</v>
          </cell>
          <cell r="WUU2" t="str">
            <v>-</v>
          </cell>
          <cell r="WUV2" t="str">
            <v>-</v>
          </cell>
          <cell r="WUW2" t="str">
            <v>-</v>
          </cell>
          <cell r="WUX2" t="str">
            <v>-</v>
          </cell>
          <cell r="WUY2" t="str">
            <v>-</v>
          </cell>
          <cell r="WUZ2" t="str">
            <v>-</v>
          </cell>
          <cell r="WVA2" t="str">
            <v>-</v>
          </cell>
          <cell r="WVB2" t="str">
            <v>-</v>
          </cell>
          <cell r="WVC2" t="str">
            <v>-</v>
          </cell>
          <cell r="WVD2" t="str">
            <v>-</v>
          </cell>
          <cell r="WVE2" t="str">
            <v>-</v>
          </cell>
          <cell r="WVF2" t="str">
            <v>-</v>
          </cell>
          <cell r="WVG2" t="str">
            <v>-</v>
          </cell>
          <cell r="WVH2" t="str">
            <v>-</v>
          </cell>
          <cell r="WVI2" t="str">
            <v>-</v>
          </cell>
          <cell r="WVJ2" t="str">
            <v>-</v>
          </cell>
          <cell r="WVK2" t="str">
            <v>-</v>
          </cell>
          <cell r="WVL2" t="str">
            <v>-</v>
          </cell>
          <cell r="WVM2" t="str">
            <v>-</v>
          </cell>
          <cell r="WVN2" t="str">
            <v>-</v>
          </cell>
          <cell r="WVO2" t="str">
            <v>-</v>
          </cell>
          <cell r="WVP2" t="str">
            <v>-</v>
          </cell>
          <cell r="WVQ2" t="str">
            <v>-</v>
          </cell>
          <cell r="WVR2" t="str">
            <v>-</v>
          </cell>
          <cell r="WVS2" t="str">
            <v>-</v>
          </cell>
          <cell r="WVT2" t="str">
            <v>-</v>
          </cell>
          <cell r="WVU2" t="str">
            <v>-</v>
          </cell>
          <cell r="WVV2" t="str">
            <v>-</v>
          </cell>
          <cell r="WVW2" t="str">
            <v>-</v>
          </cell>
          <cell r="WVX2" t="str">
            <v>-</v>
          </cell>
          <cell r="WVY2" t="str">
            <v>-</v>
          </cell>
          <cell r="WVZ2" t="str">
            <v>-</v>
          </cell>
          <cell r="WWA2" t="str">
            <v>-</v>
          </cell>
          <cell r="WWB2" t="str">
            <v>-</v>
          </cell>
          <cell r="WWC2" t="str">
            <v>-</v>
          </cell>
          <cell r="WWD2" t="str">
            <v>-</v>
          </cell>
          <cell r="WWE2" t="str">
            <v>-</v>
          </cell>
          <cell r="WWF2" t="str">
            <v>-</v>
          </cell>
          <cell r="WWG2" t="str">
            <v>-</v>
          </cell>
          <cell r="WWH2" t="str">
            <v>-</v>
          </cell>
          <cell r="WWI2" t="str">
            <v>-</v>
          </cell>
          <cell r="WWJ2" t="str">
            <v>-</v>
          </cell>
          <cell r="WWK2" t="str">
            <v>-</v>
          </cell>
          <cell r="WWL2" t="str">
            <v>-</v>
          </cell>
          <cell r="WWM2" t="str">
            <v>-</v>
          </cell>
          <cell r="WWN2" t="str">
            <v>-</v>
          </cell>
          <cell r="WWO2" t="str">
            <v>-</v>
          </cell>
          <cell r="WWP2" t="str">
            <v>-</v>
          </cell>
          <cell r="WWQ2" t="str">
            <v>-</v>
          </cell>
          <cell r="WWR2" t="str">
            <v>-</v>
          </cell>
          <cell r="WWS2" t="str">
            <v>-</v>
          </cell>
          <cell r="WWT2" t="str">
            <v>-</v>
          </cell>
          <cell r="WWU2" t="str">
            <v>-</v>
          </cell>
          <cell r="WWV2" t="str">
            <v>-</v>
          </cell>
          <cell r="WWW2" t="str">
            <v>-</v>
          </cell>
          <cell r="WWX2" t="str">
            <v>-</v>
          </cell>
          <cell r="WWY2" t="str">
            <v>-</v>
          </cell>
          <cell r="WWZ2" t="str">
            <v>-</v>
          </cell>
          <cell r="WXA2" t="str">
            <v>-</v>
          </cell>
          <cell r="WXB2" t="str">
            <v>-</v>
          </cell>
          <cell r="WXC2" t="str">
            <v>-</v>
          </cell>
          <cell r="WXD2" t="str">
            <v>-</v>
          </cell>
          <cell r="WXE2" t="str">
            <v>-</v>
          </cell>
          <cell r="WXF2" t="str">
            <v>-</v>
          </cell>
          <cell r="WXG2" t="str">
            <v>-</v>
          </cell>
          <cell r="WXH2" t="str">
            <v>-</v>
          </cell>
          <cell r="WXI2" t="str">
            <v>-</v>
          </cell>
          <cell r="WXJ2" t="str">
            <v>-</v>
          </cell>
          <cell r="WXK2" t="str">
            <v>-</v>
          </cell>
          <cell r="WXL2" t="str">
            <v>-</v>
          </cell>
          <cell r="WXM2" t="str">
            <v>-</v>
          </cell>
          <cell r="WXN2" t="str">
            <v>-</v>
          </cell>
          <cell r="WXO2" t="str">
            <v>-</v>
          </cell>
          <cell r="WXP2" t="str">
            <v>-</v>
          </cell>
          <cell r="WXQ2" t="str">
            <v>-</v>
          </cell>
          <cell r="WXR2" t="str">
            <v>-</v>
          </cell>
          <cell r="WXS2" t="str">
            <v>-</v>
          </cell>
          <cell r="WXT2" t="str">
            <v>-</v>
          </cell>
          <cell r="WXU2" t="str">
            <v>-</v>
          </cell>
          <cell r="WXV2" t="str">
            <v>-</v>
          </cell>
          <cell r="WXW2" t="str">
            <v>-</v>
          </cell>
          <cell r="WXX2" t="str">
            <v>-</v>
          </cell>
          <cell r="WXY2" t="str">
            <v>-</v>
          </cell>
          <cell r="WXZ2" t="str">
            <v>-</v>
          </cell>
          <cell r="WYA2" t="str">
            <v>-</v>
          </cell>
          <cell r="WYB2" t="str">
            <v>-</v>
          </cell>
          <cell r="WYC2" t="str">
            <v>-</v>
          </cell>
          <cell r="WYD2" t="str">
            <v>-</v>
          </cell>
          <cell r="WYE2" t="str">
            <v>-</v>
          </cell>
          <cell r="WYF2" t="str">
            <v>-</v>
          </cell>
          <cell r="WYG2" t="str">
            <v>-</v>
          </cell>
          <cell r="WYH2" t="str">
            <v>-</v>
          </cell>
          <cell r="WYI2" t="str">
            <v>-</v>
          </cell>
          <cell r="WYJ2" t="str">
            <v>-</v>
          </cell>
          <cell r="WYK2" t="str">
            <v>-</v>
          </cell>
          <cell r="WYL2" t="str">
            <v>-</v>
          </cell>
          <cell r="WYM2" t="str">
            <v>-</v>
          </cell>
          <cell r="WYN2" t="str">
            <v>-</v>
          </cell>
          <cell r="WYO2" t="str">
            <v>-</v>
          </cell>
          <cell r="WYP2" t="str">
            <v>-</v>
          </cell>
          <cell r="WYQ2" t="str">
            <v>-</v>
          </cell>
          <cell r="WYR2" t="str">
            <v>-</v>
          </cell>
          <cell r="WYS2" t="str">
            <v>-</v>
          </cell>
          <cell r="WYT2" t="str">
            <v>-</v>
          </cell>
          <cell r="WYU2" t="str">
            <v>-</v>
          </cell>
          <cell r="WYV2" t="str">
            <v>-</v>
          </cell>
          <cell r="WYW2" t="str">
            <v>-</v>
          </cell>
          <cell r="WYX2" t="str">
            <v>-</v>
          </cell>
          <cell r="WYY2" t="str">
            <v>-</v>
          </cell>
          <cell r="WYZ2" t="str">
            <v>-</v>
          </cell>
          <cell r="WZA2" t="str">
            <v>-</v>
          </cell>
          <cell r="WZB2" t="str">
            <v>-</v>
          </cell>
          <cell r="WZC2" t="str">
            <v>-</v>
          </cell>
          <cell r="WZD2" t="str">
            <v>-</v>
          </cell>
          <cell r="WZE2" t="str">
            <v>-</v>
          </cell>
          <cell r="WZF2" t="str">
            <v>-</v>
          </cell>
          <cell r="WZG2" t="str">
            <v>-</v>
          </cell>
          <cell r="WZH2" t="str">
            <v>-</v>
          </cell>
          <cell r="WZI2" t="str">
            <v>-</v>
          </cell>
          <cell r="WZJ2" t="str">
            <v>-</v>
          </cell>
          <cell r="WZK2" t="str">
            <v>-</v>
          </cell>
          <cell r="WZL2" t="str">
            <v>-</v>
          </cell>
          <cell r="WZM2" t="str">
            <v>-</v>
          </cell>
          <cell r="WZN2" t="str">
            <v>-</v>
          </cell>
          <cell r="WZO2" t="str">
            <v>-</v>
          </cell>
          <cell r="WZP2" t="str">
            <v>-</v>
          </cell>
          <cell r="WZQ2" t="str">
            <v>-</v>
          </cell>
          <cell r="WZR2" t="str">
            <v>-</v>
          </cell>
          <cell r="WZS2" t="str">
            <v>-</v>
          </cell>
          <cell r="WZT2" t="str">
            <v>-</v>
          </cell>
          <cell r="WZU2" t="str">
            <v>-</v>
          </cell>
          <cell r="WZV2" t="str">
            <v>-</v>
          </cell>
          <cell r="WZW2" t="str">
            <v>-</v>
          </cell>
          <cell r="WZX2" t="str">
            <v>-</v>
          </cell>
          <cell r="WZY2" t="str">
            <v>-</v>
          </cell>
          <cell r="WZZ2" t="str">
            <v>-</v>
          </cell>
          <cell r="XAA2" t="str">
            <v>-</v>
          </cell>
          <cell r="XAB2" t="str">
            <v>-</v>
          </cell>
          <cell r="XAC2" t="str">
            <v>-</v>
          </cell>
          <cell r="XAD2" t="str">
            <v>-</v>
          </cell>
          <cell r="XAE2" t="str">
            <v>-</v>
          </cell>
          <cell r="XAF2" t="str">
            <v>-</v>
          </cell>
          <cell r="XAG2" t="str">
            <v>-</v>
          </cell>
          <cell r="XAH2" t="str">
            <v>-</v>
          </cell>
          <cell r="XAI2" t="str">
            <v>-</v>
          </cell>
          <cell r="XAJ2" t="str">
            <v>-</v>
          </cell>
          <cell r="XAK2" t="str">
            <v>-</v>
          </cell>
          <cell r="XAL2" t="str">
            <v>-</v>
          </cell>
          <cell r="XAM2" t="str">
            <v>-</v>
          </cell>
          <cell r="XAN2" t="str">
            <v>-</v>
          </cell>
          <cell r="XAO2" t="str">
            <v>-</v>
          </cell>
          <cell r="XAP2" t="str">
            <v>-</v>
          </cell>
          <cell r="XAQ2" t="str">
            <v>-</v>
          </cell>
          <cell r="XAR2" t="str">
            <v>-</v>
          </cell>
          <cell r="XAS2" t="str">
            <v>-</v>
          </cell>
          <cell r="XAT2" t="str">
            <v>-</v>
          </cell>
          <cell r="XAU2" t="str">
            <v>-</v>
          </cell>
          <cell r="XAV2" t="str">
            <v>-</v>
          </cell>
          <cell r="XAW2" t="str">
            <v>-</v>
          </cell>
          <cell r="XAX2" t="str">
            <v>-</v>
          </cell>
          <cell r="XAY2" t="str">
            <v>-</v>
          </cell>
          <cell r="XAZ2" t="str">
            <v>-</v>
          </cell>
          <cell r="XBA2" t="str">
            <v>-</v>
          </cell>
          <cell r="XBB2" t="str">
            <v>-</v>
          </cell>
          <cell r="XBC2" t="str">
            <v>-</v>
          </cell>
          <cell r="XBD2" t="str">
            <v>-</v>
          </cell>
          <cell r="XBE2" t="str">
            <v>-</v>
          </cell>
          <cell r="XBF2" t="str">
            <v>-</v>
          </cell>
          <cell r="XBG2" t="str">
            <v>-</v>
          </cell>
          <cell r="XBH2" t="str">
            <v>-</v>
          </cell>
          <cell r="XBI2" t="str">
            <v>-</v>
          </cell>
          <cell r="XBJ2" t="str">
            <v>-</v>
          </cell>
          <cell r="XBK2" t="str">
            <v>-</v>
          </cell>
          <cell r="XBL2" t="str">
            <v>-</v>
          </cell>
          <cell r="XBM2" t="str">
            <v>-</v>
          </cell>
          <cell r="XBN2" t="str">
            <v>-</v>
          </cell>
          <cell r="XBO2" t="str">
            <v>-</v>
          </cell>
          <cell r="XBP2" t="str">
            <v>-</v>
          </cell>
          <cell r="XBQ2" t="str">
            <v>-</v>
          </cell>
          <cell r="XBR2" t="str">
            <v>-</v>
          </cell>
          <cell r="XBS2" t="str">
            <v>-</v>
          </cell>
          <cell r="XBT2" t="str">
            <v>-</v>
          </cell>
          <cell r="XBU2" t="str">
            <v>-</v>
          </cell>
          <cell r="XBV2" t="str">
            <v>-</v>
          </cell>
          <cell r="XBW2" t="str">
            <v>-</v>
          </cell>
          <cell r="XBX2" t="str">
            <v>-</v>
          </cell>
          <cell r="XBY2" t="str">
            <v>-</v>
          </cell>
          <cell r="XBZ2" t="str">
            <v>-</v>
          </cell>
          <cell r="XCA2" t="str">
            <v>-</v>
          </cell>
          <cell r="XCB2" t="str">
            <v>-</v>
          </cell>
          <cell r="XCC2" t="str">
            <v>-</v>
          </cell>
          <cell r="XCD2" t="str">
            <v>-</v>
          </cell>
          <cell r="XCE2" t="str">
            <v>-</v>
          </cell>
          <cell r="XCF2" t="str">
            <v>-</v>
          </cell>
          <cell r="XCG2" t="str">
            <v>-</v>
          </cell>
          <cell r="XCH2" t="str">
            <v>-</v>
          </cell>
          <cell r="XCI2" t="str">
            <v>-</v>
          </cell>
          <cell r="XCJ2" t="str">
            <v>-</v>
          </cell>
          <cell r="XCK2" t="str">
            <v>-</v>
          </cell>
          <cell r="XCL2" t="str">
            <v>-</v>
          </cell>
          <cell r="XCM2" t="str">
            <v>-</v>
          </cell>
          <cell r="XCN2" t="str">
            <v>-</v>
          </cell>
          <cell r="XCO2" t="str">
            <v>-</v>
          </cell>
          <cell r="XCP2" t="str">
            <v>-</v>
          </cell>
          <cell r="XCQ2" t="str">
            <v>-</v>
          </cell>
          <cell r="XCR2" t="str">
            <v>-</v>
          </cell>
          <cell r="XCS2" t="str">
            <v>-</v>
          </cell>
          <cell r="XCT2" t="str">
            <v>-</v>
          </cell>
          <cell r="XCU2" t="str">
            <v>-</v>
          </cell>
          <cell r="XCV2" t="str">
            <v>-</v>
          </cell>
          <cell r="XCW2" t="str">
            <v>-</v>
          </cell>
          <cell r="XCX2" t="str">
            <v>-</v>
          </cell>
          <cell r="XCY2" t="str">
            <v>-</v>
          </cell>
          <cell r="XCZ2" t="str">
            <v>-</v>
          </cell>
          <cell r="XDA2" t="str">
            <v>-</v>
          </cell>
          <cell r="XDB2" t="str">
            <v>-</v>
          </cell>
          <cell r="XDC2" t="str">
            <v>-</v>
          </cell>
          <cell r="XDD2" t="str">
            <v>-</v>
          </cell>
          <cell r="XDE2" t="str">
            <v>-</v>
          </cell>
          <cell r="XDF2" t="str">
            <v>-</v>
          </cell>
          <cell r="XDG2" t="str">
            <v>-</v>
          </cell>
          <cell r="XDH2" t="str">
            <v>-</v>
          </cell>
          <cell r="XDI2" t="str">
            <v>-</v>
          </cell>
          <cell r="XDJ2" t="str">
            <v>-</v>
          </cell>
          <cell r="XDK2" t="str">
            <v>-</v>
          </cell>
          <cell r="XDL2" t="str">
            <v>-</v>
          </cell>
          <cell r="XDM2" t="str">
            <v>-</v>
          </cell>
          <cell r="XDN2" t="str">
            <v>-</v>
          </cell>
          <cell r="XDO2" t="str">
            <v>-</v>
          </cell>
          <cell r="XDP2" t="str">
            <v>-</v>
          </cell>
          <cell r="XDQ2" t="str">
            <v>-</v>
          </cell>
          <cell r="XDR2" t="str">
            <v>-</v>
          </cell>
          <cell r="XDS2" t="str">
            <v>-</v>
          </cell>
          <cell r="XDT2" t="str">
            <v>-</v>
          </cell>
          <cell r="XDU2" t="str">
            <v>-</v>
          </cell>
          <cell r="XDV2" t="str">
            <v>-</v>
          </cell>
          <cell r="XDW2" t="str">
            <v>-</v>
          </cell>
          <cell r="XDX2" t="str">
            <v>-</v>
          </cell>
          <cell r="XDY2" t="str">
            <v>-</v>
          </cell>
          <cell r="XDZ2" t="str">
            <v>-</v>
          </cell>
          <cell r="XEA2" t="str">
            <v>-</v>
          </cell>
          <cell r="XEB2" t="str">
            <v>-</v>
          </cell>
          <cell r="XEC2" t="str">
            <v>-</v>
          </cell>
          <cell r="XED2" t="str">
            <v>-</v>
          </cell>
          <cell r="XEE2" t="str">
            <v>-</v>
          </cell>
          <cell r="XEF2" t="str">
            <v>-</v>
          </cell>
          <cell r="XEG2" t="str">
            <v>-</v>
          </cell>
          <cell r="XEH2" t="str">
            <v>-</v>
          </cell>
          <cell r="XEI2" t="str">
            <v>-</v>
          </cell>
          <cell r="XEJ2" t="str">
            <v>-</v>
          </cell>
          <cell r="XEK2" t="str">
            <v>-</v>
          </cell>
          <cell r="XEL2" t="str">
            <v>-</v>
          </cell>
          <cell r="XEM2" t="str">
            <v>-</v>
          </cell>
          <cell r="XEN2" t="str">
            <v>-</v>
          </cell>
          <cell r="XEO2" t="str">
            <v>-</v>
          </cell>
          <cell r="XEP2" t="str">
            <v>-</v>
          </cell>
          <cell r="XEQ2" t="str">
            <v>-</v>
          </cell>
          <cell r="XER2" t="str">
            <v>-</v>
          </cell>
          <cell r="XES2" t="str">
            <v>-</v>
          </cell>
          <cell r="XET2" t="str">
            <v>-</v>
          </cell>
          <cell r="XEU2" t="str">
            <v>-</v>
          </cell>
          <cell r="XEV2" t="str">
            <v>-</v>
          </cell>
          <cell r="XEW2" t="str">
            <v>-</v>
          </cell>
          <cell r="XEX2" t="str">
            <v>-</v>
          </cell>
          <cell r="XEY2" t="str">
            <v>-</v>
          </cell>
          <cell r="XEZ2" t="str">
            <v>-</v>
          </cell>
          <cell r="XFA2" t="str">
            <v>-</v>
          </cell>
          <cell r="XFB2" t="str">
            <v>-</v>
          </cell>
          <cell r="XFC2" t="str">
            <v>-</v>
          </cell>
          <cell r="XFD2" t="str">
            <v>-</v>
          </cell>
        </row>
        <row r="3">
          <cell r="A3" t="str">
            <v>Trial</v>
          </cell>
        </row>
        <row r="4">
          <cell r="A4" t="str">
            <v>Date</v>
          </cell>
          <cell r="B4" t="str">
            <v>11.22</v>
          </cell>
        </row>
        <row r="5">
          <cell r="A5" t="str">
            <v>TN</v>
          </cell>
          <cell r="B5" t="str">
            <v>T1</v>
          </cell>
        </row>
        <row r="6">
          <cell r="A6" t="str">
            <v>ID</v>
          </cell>
          <cell r="B6">
            <v>4</v>
          </cell>
        </row>
        <row r="7">
          <cell r="A7">
            <v>1</v>
          </cell>
          <cell r="B7" t="str">
            <v>C</v>
          </cell>
        </row>
        <row r="8">
          <cell r="A8">
            <v>2</v>
          </cell>
          <cell r="B8" t="str">
            <v>C</v>
          </cell>
        </row>
        <row r="9">
          <cell r="A9">
            <v>3</v>
          </cell>
          <cell r="B9" t="str">
            <v>A</v>
          </cell>
        </row>
        <row r="10">
          <cell r="A10">
            <v>4</v>
          </cell>
          <cell r="B10" t="str">
            <v>C</v>
          </cell>
        </row>
        <row r="11">
          <cell r="A11">
            <v>5</v>
          </cell>
          <cell r="B11" t="str">
            <v>D</v>
          </cell>
        </row>
        <row r="12">
          <cell r="A12">
            <v>6</v>
          </cell>
          <cell r="B12" t="str">
            <v>A</v>
          </cell>
        </row>
        <row r="13">
          <cell r="A13">
            <v>7</v>
          </cell>
          <cell r="B13" t="str">
            <v>C</v>
          </cell>
        </row>
        <row r="14">
          <cell r="A14">
            <v>8</v>
          </cell>
          <cell r="B14" t="str">
            <v>C</v>
          </cell>
        </row>
        <row r="15">
          <cell r="A15">
            <v>9</v>
          </cell>
          <cell r="B15" t="str">
            <v>B</v>
          </cell>
        </row>
        <row r="16">
          <cell r="A16">
            <v>10</v>
          </cell>
          <cell r="B16" t="str">
            <v>C</v>
          </cell>
        </row>
        <row r="17">
          <cell r="A17">
            <v>11</v>
          </cell>
          <cell r="B17" t="str">
            <v>E</v>
          </cell>
        </row>
        <row r="18">
          <cell r="A18">
            <v>12</v>
          </cell>
          <cell r="B18" t="str">
            <v>D</v>
          </cell>
        </row>
        <row r="19">
          <cell r="A19">
            <v>13</v>
          </cell>
          <cell r="B19" t="str">
            <v>B</v>
          </cell>
        </row>
        <row r="20">
          <cell r="A20">
            <v>14</v>
          </cell>
          <cell r="B20" t="str">
            <v>B</v>
          </cell>
        </row>
        <row r="21">
          <cell r="A21">
            <v>15</v>
          </cell>
          <cell r="B21" t="str">
            <v>D</v>
          </cell>
        </row>
        <row r="22">
          <cell r="A22">
            <v>16</v>
          </cell>
          <cell r="B22" t="str">
            <v>B</v>
          </cell>
        </row>
        <row r="23">
          <cell r="A23">
            <v>17</v>
          </cell>
          <cell r="B23" t="str">
            <v>C</v>
          </cell>
        </row>
        <row r="24">
          <cell r="A24">
            <v>18</v>
          </cell>
          <cell r="B24" t="str">
            <v>D</v>
          </cell>
        </row>
        <row r="25">
          <cell r="A25">
            <v>19</v>
          </cell>
          <cell r="B25" t="str">
            <v>B</v>
          </cell>
        </row>
        <row r="26">
          <cell r="A26">
            <v>20</v>
          </cell>
          <cell r="B26" t="str">
            <v>D</v>
          </cell>
        </row>
        <row r="27">
          <cell r="A27">
            <v>21</v>
          </cell>
          <cell r="B27" t="str">
            <v>A</v>
          </cell>
        </row>
        <row r="28">
          <cell r="A28">
            <v>22</v>
          </cell>
          <cell r="B28" t="str">
            <v>C</v>
          </cell>
        </row>
        <row r="29">
          <cell r="A29">
            <v>23</v>
          </cell>
          <cell r="B29" t="str">
            <v>E</v>
          </cell>
        </row>
        <row r="30">
          <cell r="A30">
            <v>24</v>
          </cell>
          <cell r="B30" t="str">
            <v>A</v>
          </cell>
        </row>
        <row r="31">
          <cell r="A31">
            <v>25</v>
          </cell>
          <cell r="B31" t="str">
            <v>E</v>
          </cell>
        </row>
        <row r="32">
          <cell r="A32">
            <v>26</v>
          </cell>
          <cell r="B32" t="str">
            <v>C</v>
          </cell>
        </row>
        <row r="33">
          <cell r="A33">
            <v>27</v>
          </cell>
          <cell r="B33" t="str">
            <v>A</v>
          </cell>
        </row>
        <row r="34">
          <cell r="A34">
            <v>28</v>
          </cell>
          <cell r="B34" t="str">
            <v>E</v>
          </cell>
        </row>
        <row r="35">
          <cell r="A35">
            <v>29</v>
          </cell>
          <cell r="B35" t="str">
            <v>E</v>
          </cell>
        </row>
        <row r="36">
          <cell r="A36">
            <v>30</v>
          </cell>
          <cell r="B36" t="str">
            <v>E</v>
          </cell>
        </row>
        <row r="37">
          <cell r="A37">
            <v>31</v>
          </cell>
          <cell r="B37" t="str">
            <v>E</v>
          </cell>
        </row>
        <row r="38">
          <cell r="A38">
            <v>32</v>
          </cell>
          <cell r="B38" t="str">
            <v>C</v>
          </cell>
        </row>
        <row r="39">
          <cell r="A39">
            <v>33</v>
          </cell>
          <cell r="B39" t="str">
            <v>E</v>
          </cell>
        </row>
        <row r="40">
          <cell r="A40">
            <v>34</v>
          </cell>
          <cell r="B40" t="str">
            <v>D</v>
          </cell>
        </row>
        <row r="41">
          <cell r="A41">
            <v>35</v>
          </cell>
          <cell r="B41" t="str">
            <v>A</v>
          </cell>
        </row>
        <row r="42">
          <cell r="A42">
            <v>36</v>
          </cell>
          <cell r="B42" t="str">
            <v>B</v>
          </cell>
        </row>
        <row r="43">
          <cell r="A43">
            <v>37</v>
          </cell>
          <cell r="B43" t="str">
            <v>B</v>
          </cell>
        </row>
        <row r="44">
          <cell r="A44">
            <v>38</v>
          </cell>
          <cell r="B44" t="str">
            <v>E</v>
          </cell>
        </row>
        <row r="45">
          <cell r="A45">
            <v>39</v>
          </cell>
          <cell r="B45" t="str">
            <v>E</v>
          </cell>
        </row>
        <row r="46">
          <cell r="A46">
            <v>40</v>
          </cell>
          <cell r="B46" t="str">
            <v>B</v>
          </cell>
        </row>
        <row r="47">
          <cell r="A47">
            <v>41</v>
          </cell>
          <cell r="B47" t="str">
            <v>D</v>
          </cell>
        </row>
        <row r="48">
          <cell r="A48">
            <v>42</v>
          </cell>
          <cell r="B48" t="str">
            <v>C</v>
          </cell>
        </row>
        <row r="49">
          <cell r="A49">
            <v>43</v>
          </cell>
          <cell r="B49" t="str">
            <v>D</v>
          </cell>
        </row>
        <row r="50">
          <cell r="A50">
            <v>44</v>
          </cell>
          <cell r="B50" t="str">
            <v>C</v>
          </cell>
        </row>
        <row r="51">
          <cell r="A51">
            <v>45</v>
          </cell>
          <cell r="B51" t="str">
            <v>A</v>
          </cell>
        </row>
        <row r="52">
          <cell r="A52">
            <v>46</v>
          </cell>
          <cell r="B52" t="str">
            <v>B</v>
          </cell>
        </row>
        <row r="53">
          <cell r="A53">
            <v>47</v>
          </cell>
          <cell r="B53" t="str">
            <v>B</v>
          </cell>
        </row>
        <row r="54">
          <cell r="A54">
            <v>48</v>
          </cell>
          <cell r="B54" t="str">
            <v>E</v>
          </cell>
        </row>
        <row r="55">
          <cell r="A55">
            <v>49</v>
          </cell>
          <cell r="B55" t="str">
            <v>E</v>
          </cell>
        </row>
        <row r="56">
          <cell r="A56">
            <v>50</v>
          </cell>
          <cell r="B56" t="str">
            <v>B</v>
          </cell>
        </row>
        <row r="57">
          <cell r="A57">
            <v>51</v>
          </cell>
        </row>
        <row r="58">
          <cell r="A58">
            <v>52</v>
          </cell>
        </row>
        <row r="59">
          <cell r="A59">
            <v>53</v>
          </cell>
        </row>
        <row r="60">
          <cell r="A60">
            <v>54</v>
          </cell>
        </row>
        <row r="61">
          <cell r="A61">
            <v>55</v>
          </cell>
        </row>
        <row r="62">
          <cell r="A62">
            <v>56</v>
          </cell>
        </row>
        <row r="63">
          <cell r="A63">
            <v>57</v>
          </cell>
        </row>
        <row r="64">
          <cell r="A64">
            <v>58</v>
          </cell>
        </row>
        <row r="65">
          <cell r="A65">
            <v>59</v>
          </cell>
        </row>
        <row r="66">
          <cell r="A66">
            <v>60</v>
          </cell>
        </row>
        <row r="67">
          <cell r="A67">
            <v>61</v>
          </cell>
        </row>
        <row r="68">
          <cell r="A68">
            <v>62</v>
          </cell>
        </row>
        <row r="69">
          <cell r="A69">
            <v>63</v>
          </cell>
        </row>
        <row r="70">
          <cell r="A70">
            <v>64</v>
          </cell>
        </row>
        <row r="71">
          <cell r="A71">
            <v>65</v>
          </cell>
        </row>
        <row r="72">
          <cell r="A72">
            <v>66</v>
          </cell>
        </row>
        <row r="73">
          <cell r="A73">
            <v>67</v>
          </cell>
        </row>
        <row r="74">
          <cell r="A74">
            <v>68</v>
          </cell>
        </row>
        <row r="75">
          <cell r="A75">
            <v>69</v>
          </cell>
        </row>
        <row r="76">
          <cell r="A76">
            <v>70</v>
          </cell>
        </row>
        <row r="77">
          <cell r="A77">
            <v>71</v>
          </cell>
        </row>
        <row r="78">
          <cell r="A78">
            <v>72</v>
          </cell>
        </row>
        <row r="79">
          <cell r="A79">
            <v>73</v>
          </cell>
        </row>
        <row r="80">
          <cell r="A80">
            <v>74</v>
          </cell>
        </row>
        <row r="81">
          <cell r="A81">
            <v>75</v>
          </cell>
        </row>
        <row r="82">
          <cell r="A82">
            <v>76</v>
          </cell>
        </row>
        <row r="83">
          <cell r="A83">
            <v>77</v>
          </cell>
        </row>
        <row r="84">
          <cell r="A84">
            <v>78</v>
          </cell>
        </row>
        <row r="85">
          <cell r="A85">
            <v>79</v>
          </cell>
        </row>
        <row r="86">
          <cell r="A86">
            <v>80</v>
          </cell>
        </row>
        <row r="87">
          <cell r="A87">
            <v>81</v>
          </cell>
        </row>
        <row r="88">
          <cell r="A88">
            <v>82</v>
          </cell>
        </row>
        <row r="89">
          <cell r="A89">
            <v>83</v>
          </cell>
        </row>
        <row r="90">
          <cell r="A90">
            <v>84</v>
          </cell>
        </row>
        <row r="91">
          <cell r="A91">
            <v>85</v>
          </cell>
        </row>
        <row r="92">
          <cell r="A92">
            <v>86</v>
          </cell>
        </row>
        <row r="93">
          <cell r="A93">
            <v>87</v>
          </cell>
        </row>
        <row r="94">
          <cell r="A94">
            <v>88</v>
          </cell>
        </row>
        <row r="95">
          <cell r="A95">
            <v>89</v>
          </cell>
        </row>
        <row r="96">
          <cell r="A96">
            <v>90</v>
          </cell>
        </row>
        <row r="97">
          <cell r="A97">
            <v>91</v>
          </cell>
        </row>
        <row r="98">
          <cell r="A98">
            <v>92</v>
          </cell>
        </row>
        <row r="99">
          <cell r="A99">
            <v>93</v>
          </cell>
        </row>
        <row r="100">
          <cell r="A100">
            <v>94</v>
          </cell>
        </row>
        <row r="101">
          <cell r="A101">
            <v>95</v>
          </cell>
        </row>
        <row r="102">
          <cell r="A102">
            <v>96</v>
          </cell>
        </row>
        <row r="103">
          <cell r="A103">
            <v>97</v>
          </cell>
        </row>
        <row r="104">
          <cell r="A104">
            <v>98</v>
          </cell>
        </row>
        <row r="105">
          <cell r="A105">
            <v>99</v>
          </cell>
        </row>
        <row r="106">
          <cell r="A106">
            <v>100</v>
          </cell>
        </row>
      </sheetData>
      <sheetData sheetId="2">
        <row r="1">
          <cell r="A1">
            <v>4</v>
          </cell>
          <cell r="B1" t="str">
            <v>T1</v>
          </cell>
          <cell r="C1" t="str">
            <v>T2</v>
          </cell>
          <cell r="D1" t="str">
            <v>T3</v>
          </cell>
          <cell r="E1" t="str">
            <v>T4</v>
          </cell>
          <cell r="F1" t="str">
            <v>T5</v>
          </cell>
          <cell r="G1" t="str">
            <v>T6</v>
          </cell>
          <cell r="H1" t="str">
            <v>T7</v>
          </cell>
          <cell r="I1" t="str">
            <v>T8</v>
          </cell>
          <cell r="J1" t="str">
            <v>T9</v>
          </cell>
          <cell r="K1" t="str">
            <v>T10</v>
          </cell>
          <cell r="L1" t="str">
            <v>T11</v>
          </cell>
          <cell r="M1" t="str">
            <v>T12</v>
          </cell>
          <cell r="N1" t="str">
            <v>P13</v>
          </cell>
          <cell r="O1" t="str">
            <v>P14</v>
          </cell>
          <cell r="P1" t="str">
            <v>P15</v>
          </cell>
          <cell r="Q1" t="str">
            <v>P16</v>
          </cell>
          <cell r="R1" t="str">
            <v>P17</v>
          </cell>
          <cell r="S1" t="str">
            <v>P18</v>
          </cell>
          <cell r="T1" t="str">
            <v>P19</v>
          </cell>
          <cell r="U1" t="str">
            <v>P20</v>
          </cell>
          <cell r="V1" t="str">
            <v>P21</v>
          </cell>
          <cell r="W1" t="str">
            <v>P22</v>
          </cell>
          <cell r="X1" t="str">
            <v>P63</v>
          </cell>
          <cell r="Y1" t="str">
            <v>P64</v>
          </cell>
          <cell r="Z1" t="str">
            <v>P65</v>
          </cell>
          <cell r="AA1" t="str">
            <v>P66</v>
          </cell>
          <cell r="AB1" t="str">
            <v>X1</v>
          </cell>
          <cell r="AC1" t="str">
            <v>X2</v>
          </cell>
          <cell r="AD1" t="str">
            <v>X3</v>
          </cell>
          <cell r="AE1">
            <v>0</v>
          </cell>
          <cell r="AF1">
            <v>0</v>
          </cell>
          <cell r="AG1">
            <v>0</v>
          </cell>
          <cell r="AH1">
            <v>0</v>
          </cell>
          <cell r="AI1">
            <v>0</v>
          </cell>
        </row>
        <row r="2">
          <cell r="A2">
            <v>1</v>
          </cell>
          <cell r="B2">
            <v>2.1</v>
          </cell>
          <cell r="C2" t="str">
            <v/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  <cell r="I2" t="str">
            <v/>
          </cell>
          <cell r="J2" t="str">
            <v/>
          </cell>
          <cell r="K2" t="str">
            <v/>
          </cell>
          <cell r="L2" t="str">
            <v/>
          </cell>
          <cell r="M2" t="str">
            <v/>
          </cell>
          <cell r="N2" t="str">
            <v/>
          </cell>
          <cell r="O2" t="str">
            <v/>
          </cell>
          <cell r="P2" t="str">
            <v/>
          </cell>
          <cell r="Q2" t="str">
            <v/>
          </cell>
          <cell r="R2" t="str">
            <v/>
          </cell>
          <cell r="S2" t="str">
            <v/>
          </cell>
          <cell r="T2" t="str">
            <v/>
          </cell>
          <cell r="U2" t="str">
            <v/>
          </cell>
          <cell r="V2" t="str">
            <v/>
          </cell>
          <cell r="W2" t="str">
            <v/>
          </cell>
          <cell r="X2" t="str">
            <v/>
          </cell>
          <cell r="Y2" t="str">
            <v/>
          </cell>
          <cell r="Z2" t="str">
            <v/>
          </cell>
          <cell r="AA2" t="str">
            <v/>
          </cell>
          <cell r="AB2" t="str">
            <v/>
          </cell>
          <cell r="AC2" t="str">
            <v/>
          </cell>
          <cell r="AD2" t="str">
            <v/>
          </cell>
          <cell r="AE2" t="str">
            <v/>
          </cell>
          <cell r="AF2" t="str">
            <v/>
          </cell>
          <cell r="AG2" t="str">
            <v/>
          </cell>
          <cell r="AH2" t="str">
            <v/>
          </cell>
          <cell r="AI2" t="str">
            <v/>
          </cell>
        </row>
        <row r="3">
          <cell r="A3">
            <v>2</v>
          </cell>
          <cell r="B3">
            <v>3.14</v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</row>
        <row r="4">
          <cell r="A4">
            <v>3</v>
          </cell>
          <cell r="B4">
            <v>3.11</v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</row>
        <row r="5">
          <cell r="A5">
            <v>4</v>
          </cell>
          <cell r="B5">
            <v>2.4</v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</row>
        <row r="6">
          <cell r="A6">
            <v>5</v>
          </cell>
          <cell r="B6">
            <v>3.02</v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</row>
        <row r="7">
          <cell r="A7">
            <v>6</v>
          </cell>
          <cell r="B7">
            <v>4.01</v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</row>
        <row r="8">
          <cell r="A8">
            <v>7</v>
          </cell>
          <cell r="B8">
            <v>1.4</v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</row>
        <row r="9">
          <cell r="A9">
            <v>8</v>
          </cell>
          <cell r="B9">
            <v>3.06</v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</row>
        <row r="10">
          <cell r="A10">
            <v>9</v>
          </cell>
          <cell r="B10">
            <v>3.12</v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</row>
        <row r="11">
          <cell r="A11">
            <v>10</v>
          </cell>
          <cell r="B11">
            <v>7.5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</row>
        <row r="12">
          <cell r="A12">
            <v>11</v>
          </cell>
          <cell r="B12">
            <v>3.08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</row>
        <row r="13">
          <cell r="A13">
            <v>12</v>
          </cell>
          <cell r="B13">
            <v>4.05</v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  <cell r="AI13" t="str">
            <v/>
          </cell>
        </row>
        <row r="14">
          <cell r="A14">
            <v>13</v>
          </cell>
          <cell r="B14">
            <v>7.5</v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  <cell r="AI14" t="str">
            <v/>
          </cell>
        </row>
        <row r="15">
          <cell r="A15">
            <v>14</v>
          </cell>
          <cell r="B15">
            <v>1.1000000000000001</v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  <cell r="AI15" t="str">
            <v/>
          </cell>
        </row>
        <row r="16">
          <cell r="A16">
            <v>15</v>
          </cell>
          <cell r="B16">
            <v>5.5</v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  <cell r="AI16" t="str">
            <v/>
          </cell>
        </row>
        <row r="17">
          <cell r="A17">
            <v>16</v>
          </cell>
          <cell r="B17">
            <v>3.12</v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  <cell r="AI17" t="str">
            <v/>
          </cell>
        </row>
        <row r="18">
          <cell r="A18">
            <v>17</v>
          </cell>
          <cell r="B18">
            <v>5.2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  <cell r="AI18" t="str">
            <v/>
          </cell>
        </row>
        <row r="19">
          <cell r="A19">
            <v>18</v>
          </cell>
          <cell r="B19">
            <v>6.3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  <cell r="AI19" t="str">
            <v/>
          </cell>
        </row>
        <row r="20">
          <cell r="A20">
            <v>19</v>
          </cell>
          <cell r="B20">
            <v>3.08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</row>
        <row r="21">
          <cell r="A21">
            <v>20</v>
          </cell>
          <cell r="B21">
            <v>4.05</v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  <cell r="AI21" t="str">
            <v/>
          </cell>
        </row>
        <row r="22">
          <cell r="A22">
            <v>21</v>
          </cell>
          <cell r="B22">
            <v>3.12</v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  <cell r="AI22" t="str">
            <v/>
          </cell>
        </row>
        <row r="23">
          <cell r="A23">
            <v>22</v>
          </cell>
          <cell r="B23">
            <v>6.2</v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  <cell r="AF23" t="str">
            <v/>
          </cell>
          <cell r="AG23" t="str">
            <v/>
          </cell>
          <cell r="AH23" t="str">
            <v/>
          </cell>
          <cell r="AI23" t="str">
            <v/>
          </cell>
        </row>
        <row r="24">
          <cell r="A24">
            <v>23</v>
          </cell>
          <cell r="B24">
            <v>3.01</v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  <cell r="AF24" t="str">
            <v/>
          </cell>
          <cell r="AG24" t="str">
            <v/>
          </cell>
          <cell r="AH24" t="str">
            <v/>
          </cell>
          <cell r="AI24" t="str">
            <v/>
          </cell>
        </row>
        <row r="25">
          <cell r="A25">
            <v>24</v>
          </cell>
          <cell r="B25">
            <v>3.08</v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  <cell r="AI25" t="str">
            <v/>
          </cell>
        </row>
        <row r="26">
          <cell r="A26">
            <v>25</v>
          </cell>
          <cell r="B26">
            <v>1.2</v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</row>
        <row r="27">
          <cell r="A27">
            <v>26</v>
          </cell>
          <cell r="B27">
            <v>3.13</v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</row>
        <row r="28">
          <cell r="A28">
            <v>27</v>
          </cell>
          <cell r="B28">
            <v>3.14</v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  <cell r="AI28" t="str">
            <v/>
          </cell>
        </row>
        <row r="29">
          <cell r="A29">
            <v>28</v>
          </cell>
          <cell r="B29">
            <v>3.01</v>
          </cell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  <cell r="AD29" t="str">
            <v/>
          </cell>
          <cell r="AE29" t="str">
            <v/>
          </cell>
          <cell r="AF29" t="str">
            <v/>
          </cell>
          <cell r="AG29" t="str">
            <v/>
          </cell>
          <cell r="AH29" t="str">
            <v/>
          </cell>
          <cell r="AI29" t="str">
            <v/>
          </cell>
        </row>
        <row r="30">
          <cell r="A30">
            <v>29</v>
          </cell>
          <cell r="B30">
            <v>3.01</v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</row>
        <row r="31">
          <cell r="A31">
            <v>30</v>
          </cell>
          <cell r="B31">
            <v>6.1</v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  <cell r="AI31" t="str">
            <v/>
          </cell>
        </row>
        <row r="32">
          <cell r="A32">
            <v>31</v>
          </cell>
          <cell r="B32">
            <v>3.09</v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  <cell r="AF32" t="str">
            <v/>
          </cell>
          <cell r="AG32" t="str">
            <v/>
          </cell>
          <cell r="AH32" t="str">
            <v/>
          </cell>
          <cell r="AI32" t="str">
            <v/>
          </cell>
        </row>
        <row r="33">
          <cell r="A33">
            <v>32</v>
          </cell>
          <cell r="B33">
            <v>7.5</v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  <cell r="AF33" t="str">
            <v/>
          </cell>
          <cell r="AG33" t="str">
            <v/>
          </cell>
          <cell r="AH33" t="str">
            <v/>
          </cell>
          <cell r="AI33" t="str">
            <v/>
          </cell>
        </row>
        <row r="34">
          <cell r="A34">
            <v>33</v>
          </cell>
          <cell r="B34">
            <v>3.17</v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  <cell r="AF34" t="str">
            <v/>
          </cell>
          <cell r="AG34" t="str">
            <v/>
          </cell>
          <cell r="AH34" t="str">
            <v/>
          </cell>
          <cell r="AI34" t="str">
            <v/>
          </cell>
        </row>
        <row r="35">
          <cell r="A35">
            <v>34</v>
          </cell>
          <cell r="B35">
            <v>3.14</v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  <cell r="AF35" t="str">
            <v/>
          </cell>
          <cell r="AG35" t="str">
            <v/>
          </cell>
          <cell r="AH35" t="str">
            <v/>
          </cell>
          <cell r="AI35" t="str">
            <v/>
          </cell>
        </row>
        <row r="36">
          <cell r="A36">
            <v>35</v>
          </cell>
          <cell r="B36">
            <v>6.5</v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  <cell r="AF36" t="str">
            <v/>
          </cell>
          <cell r="AG36" t="str">
            <v/>
          </cell>
          <cell r="AH36" t="str">
            <v/>
          </cell>
          <cell r="AI36" t="str">
            <v/>
          </cell>
        </row>
        <row r="37">
          <cell r="A37">
            <v>36</v>
          </cell>
          <cell r="B37">
            <v>7.2</v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  <cell r="AF37" t="str">
            <v/>
          </cell>
          <cell r="AG37" t="str">
            <v/>
          </cell>
          <cell r="AH37" t="str">
            <v/>
          </cell>
          <cell r="AI37" t="str">
            <v/>
          </cell>
        </row>
        <row r="38">
          <cell r="A38">
            <v>37</v>
          </cell>
          <cell r="B38">
            <v>1.1000000000000001</v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  <cell r="AF38" t="str">
            <v/>
          </cell>
          <cell r="AG38" t="str">
            <v/>
          </cell>
          <cell r="AH38" t="str">
            <v/>
          </cell>
          <cell r="AI38" t="str">
            <v/>
          </cell>
        </row>
        <row r="39">
          <cell r="A39">
            <v>38</v>
          </cell>
          <cell r="B39">
            <v>3.01</v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  <cell r="AF39" t="str">
            <v/>
          </cell>
          <cell r="AG39" t="str">
            <v/>
          </cell>
          <cell r="AH39" t="str">
            <v/>
          </cell>
          <cell r="AI39" t="str">
            <v/>
          </cell>
        </row>
        <row r="40">
          <cell r="A40">
            <v>39</v>
          </cell>
          <cell r="B40">
            <v>4.0999999999999996</v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  <cell r="AF40" t="str">
            <v/>
          </cell>
          <cell r="AG40" t="str">
            <v/>
          </cell>
          <cell r="AH40" t="str">
            <v/>
          </cell>
          <cell r="AI40" t="str">
            <v/>
          </cell>
        </row>
        <row r="41">
          <cell r="A41">
            <v>40</v>
          </cell>
          <cell r="B41">
            <v>6.3</v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  <cell r="AF41" t="str">
            <v/>
          </cell>
          <cell r="AG41" t="str">
            <v/>
          </cell>
          <cell r="AH41" t="str">
            <v/>
          </cell>
          <cell r="AI41" t="str">
            <v/>
          </cell>
        </row>
        <row r="42">
          <cell r="A42">
            <v>41</v>
          </cell>
          <cell r="B42">
            <v>3.07</v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  <cell r="AF42" t="str">
            <v/>
          </cell>
          <cell r="AG42" t="str">
            <v/>
          </cell>
          <cell r="AH42" t="str">
            <v/>
          </cell>
          <cell r="AI42" t="str">
            <v/>
          </cell>
        </row>
        <row r="43">
          <cell r="A43">
            <v>42</v>
          </cell>
          <cell r="B43">
            <v>3.07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  <cell r="AF43" t="str">
            <v/>
          </cell>
          <cell r="AG43" t="str">
            <v/>
          </cell>
          <cell r="AH43" t="str">
            <v/>
          </cell>
          <cell r="AI43" t="str">
            <v/>
          </cell>
        </row>
        <row r="44">
          <cell r="A44">
            <v>43</v>
          </cell>
          <cell r="B44">
            <v>6.7</v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  <cell r="AF44" t="str">
            <v/>
          </cell>
          <cell r="AG44" t="str">
            <v/>
          </cell>
          <cell r="AH44" t="str">
            <v/>
          </cell>
          <cell r="AI44" t="str">
            <v/>
          </cell>
        </row>
        <row r="45">
          <cell r="A45">
            <v>44</v>
          </cell>
          <cell r="B45">
            <v>7.5</v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  <cell r="AF45" t="str">
            <v/>
          </cell>
          <cell r="AG45" t="str">
            <v/>
          </cell>
          <cell r="AH45" t="str">
            <v/>
          </cell>
          <cell r="AI45" t="str">
            <v/>
          </cell>
        </row>
        <row r="46">
          <cell r="A46">
            <v>45</v>
          </cell>
          <cell r="B46">
            <v>4.09</v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  <cell r="AF46" t="str">
            <v/>
          </cell>
          <cell r="AG46" t="str">
            <v/>
          </cell>
          <cell r="AH46" t="str">
            <v/>
          </cell>
          <cell r="AI46" t="str">
            <v/>
          </cell>
        </row>
        <row r="47">
          <cell r="A47">
            <v>46</v>
          </cell>
          <cell r="B47">
            <v>6.1</v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  <cell r="AF47" t="str">
            <v/>
          </cell>
          <cell r="AG47" t="str">
            <v/>
          </cell>
          <cell r="AH47" t="str">
            <v/>
          </cell>
          <cell r="AI47" t="str">
            <v/>
          </cell>
        </row>
        <row r="48">
          <cell r="A48">
            <v>47</v>
          </cell>
          <cell r="B48">
            <v>5.4</v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  <cell r="AF48" t="str">
            <v/>
          </cell>
          <cell r="AG48" t="str">
            <v/>
          </cell>
          <cell r="AH48" t="str">
            <v/>
          </cell>
          <cell r="AI48" t="str">
            <v/>
          </cell>
        </row>
        <row r="49">
          <cell r="A49">
            <v>48</v>
          </cell>
          <cell r="B49">
            <v>3.07</v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  <cell r="AF49" t="str">
            <v/>
          </cell>
          <cell r="AG49" t="str">
            <v/>
          </cell>
          <cell r="AH49" t="str">
            <v/>
          </cell>
          <cell r="AI49" t="str">
            <v/>
          </cell>
        </row>
        <row r="50">
          <cell r="A50">
            <v>49</v>
          </cell>
          <cell r="B50">
            <v>3.01</v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  <cell r="AF50" t="str">
            <v/>
          </cell>
          <cell r="AG50" t="str">
            <v/>
          </cell>
          <cell r="AH50" t="str">
            <v/>
          </cell>
          <cell r="AI50" t="str">
            <v/>
          </cell>
        </row>
        <row r="51">
          <cell r="A51">
            <v>50</v>
          </cell>
          <cell r="B51">
            <v>6.3</v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  <cell r="AI51" t="str">
            <v/>
          </cell>
        </row>
        <row r="52">
          <cell r="A52">
            <v>51</v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  <cell r="AF52" t="str">
            <v/>
          </cell>
          <cell r="AG52" t="str">
            <v/>
          </cell>
          <cell r="AH52" t="str">
            <v/>
          </cell>
          <cell r="AI52" t="str">
            <v/>
          </cell>
        </row>
        <row r="53">
          <cell r="A53">
            <v>52</v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  <cell r="AF53" t="str">
            <v/>
          </cell>
          <cell r="AG53" t="str">
            <v/>
          </cell>
          <cell r="AH53" t="str">
            <v/>
          </cell>
          <cell r="AI53" t="str">
            <v/>
          </cell>
        </row>
        <row r="54">
          <cell r="A54">
            <v>53</v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</row>
        <row r="55">
          <cell r="A55">
            <v>54</v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  <cell r="AF55" t="str">
            <v/>
          </cell>
          <cell r="AG55" t="str">
            <v/>
          </cell>
          <cell r="AH55" t="str">
            <v/>
          </cell>
          <cell r="AI55" t="str">
            <v/>
          </cell>
        </row>
        <row r="56">
          <cell r="A56">
            <v>55</v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  <cell r="AF56" t="str">
            <v/>
          </cell>
          <cell r="AG56" t="str">
            <v/>
          </cell>
          <cell r="AH56" t="str">
            <v/>
          </cell>
          <cell r="AI56" t="str">
            <v/>
          </cell>
        </row>
        <row r="57">
          <cell r="A57">
            <v>56</v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  <cell r="AF57" t="str">
            <v/>
          </cell>
          <cell r="AG57" t="str">
            <v/>
          </cell>
          <cell r="AH57" t="str">
            <v/>
          </cell>
          <cell r="AI57" t="str">
            <v/>
          </cell>
        </row>
        <row r="58">
          <cell r="A58">
            <v>57</v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 t="str">
            <v/>
          </cell>
          <cell r="AH58" t="str">
            <v/>
          </cell>
          <cell r="AI58" t="str">
            <v/>
          </cell>
        </row>
        <row r="59">
          <cell r="A59">
            <v>58</v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 t="str">
            <v/>
          </cell>
          <cell r="AH59" t="str">
            <v/>
          </cell>
          <cell r="AI59" t="str">
            <v/>
          </cell>
        </row>
        <row r="60">
          <cell r="A60">
            <v>59</v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  <cell r="AF60" t="str">
            <v/>
          </cell>
          <cell r="AG60" t="str">
            <v/>
          </cell>
          <cell r="AH60" t="str">
            <v/>
          </cell>
          <cell r="AI60" t="str">
            <v/>
          </cell>
        </row>
        <row r="61">
          <cell r="A61">
            <v>60</v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  <cell r="AF61" t="str">
            <v/>
          </cell>
          <cell r="AG61" t="str">
            <v/>
          </cell>
          <cell r="AH61" t="str">
            <v/>
          </cell>
          <cell r="AI61" t="str">
            <v/>
          </cell>
        </row>
        <row r="62">
          <cell r="A62">
            <v>61</v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  <cell r="AF62" t="str">
            <v/>
          </cell>
          <cell r="AG62" t="str">
            <v/>
          </cell>
          <cell r="AH62" t="str">
            <v/>
          </cell>
          <cell r="AI62" t="str">
            <v/>
          </cell>
        </row>
        <row r="63">
          <cell r="A63">
            <v>62</v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  <cell r="AF63" t="str">
            <v/>
          </cell>
          <cell r="AG63" t="str">
            <v/>
          </cell>
          <cell r="AH63" t="str">
            <v/>
          </cell>
          <cell r="AI63" t="str">
            <v/>
          </cell>
        </row>
        <row r="64">
          <cell r="A64">
            <v>63</v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  <cell r="AF64" t="str">
            <v/>
          </cell>
          <cell r="AG64" t="str">
            <v/>
          </cell>
          <cell r="AH64" t="str">
            <v/>
          </cell>
          <cell r="AI64" t="str">
            <v/>
          </cell>
        </row>
        <row r="65">
          <cell r="A65">
            <v>64</v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  <cell r="AF65" t="str">
            <v/>
          </cell>
          <cell r="AG65" t="str">
            <v/>
          </cell>
          <cell r="AH65" t="str">
            <v/>
          </cell>
          <cell r="AI65" t="str">
            <v/>
          </cell>
        </row>
        <row r="66">
          <cell r="A66">
            <v>65</v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  <cell r="AF66" t="str">
            <v/>
          </cell>
          <cell r="AG66" t="str">
            <v/>
          </cell>
          <cell r="AH66" t="str">
            <v/>
          </cell>
          <cell r="AI66" t="str">
            <v/>
          </cell>
        </row>
        <row r="67">
          <cell r="A67">
            <v>66</v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  <cell r="AF67" t="str">
            <v/>
          </cell>
          <cell r="AG67" t="str">
            <v/>
          </cell>
          <cell r="AH67" t="str">
            <v/>
          </cell>
          <cell r="AI67" t="str">
            <v/>
          </cell>
        </row>
        <row r="68">
          <cell r="A68">
            <v>67</v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  <cell r="AF68" t="str">
            <v/>
          </cell>
          <cell r="AG68" t="str">
            <v/>
          </cell>
          <cell r="AH68" t="str">
            <v/>
          </cell>
          <cell r="AI68" t="str">
            <v/>
          </cell>
        </row>
        <row r="69">
          <cell r="A69">
            <v>68</v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  <cell r="AF69" t="str">
            <v/>
          </cell>
          <cell r="AG69" t="str">
            <v/>
          </cell>
          <cell r="AH69" t="str">
            <v/>
          </cell>
          <cell r="AI69" t="str">
            <v/>
          </cell>
        </row>
        <row r="70">
          <cell r="A70">
            <v>69</v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  <cell r="AF70" t="str">
            <v/>
          </cell>
          <cell r="AG70" t="str">
            <v/>
          </cell>
          <cell r="AH70" t="str">
            <v/>
          </cell>
          <cell r="AI70" t="str">
            <v/>
          </cell>
        </row>
        <row r="71">
          <cell r="A71">
            <v>70</v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  <cell r="AF71" t="str">
            <v/>
          </cell>
          <cell r="AG71" t="str">
            <v/>
          </cell>
          <cell r="AH71" t="str">
            <v/>
          </cell>
          <cell r="AI71" t="str">
            <v/>
          </cell>
        </row>
        <row r="72">
          <cell r="A72">
            <v>71</v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  <cell r="AF72" t="str">
            <v/>
          </cell>
          <cell r="AG72" t="str">
            <v/>
          </cell>
          <cell r="AH72" t="str">
            <v/>
          </cell>
          <cell r="AI72" t="str">
            <v/>
          </cell>
        </row>
        <row r="73">
          <cell r="A73">
            <v>72</v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  <cell r="AF73" t="str">
            <v/>
          </cell>
          <cell r="AG73" t="str">
            <v/>
          </cell>
          <cell r="AH73" t="str">
            <v/>
          </cell>
          <cell r="AI73" t="str">
            <v/>
          </cell>
        </row>
        <row r="74">
          <cell r="A74">
            <v>73</v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  <cell r="AF74" t="str">
            <v/>
          </cell>
          <cell r="AG74" t="str">
            <v/>
          </cell>
          <cell r="AH74" t="str">
            <v/>
          </cell>
          <cell r="AI74" t="str">
            <v/>
          </cell>
        </row>
        <row r="75">
          <cell r="A75">
            <v>74</v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  <cell r="AF75" t="str">
            <v/>
          </cell>
          <cell r="AG75" t="str">
            <v/>
          </cell>
          <cell r="AH75" t="str">
            <v/>
          </cell>
          <cell r="AI75" t="str">
            <v/>
          </cell>
        </row>
        <row r="76">
          <cell r="A76">
            <v>75</v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  <cell r="AF76" t="str">
            <v/>
          </cell>
          <cell r="AG76" t="str">
            <v/>
          </cell>
          <cell r="AH76" t="str">
            <v/>
          </cell>
          <cell r="AI76" t="str">
            <v/>
          </cell>
        </row>
        <row r="77">
          <cell r="A77">
            <v>76</v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  <cell r="AF77" t="str">
            <v/>
          </cell>
          <cell r="AG77" t="str">
            <v/>
          </cell>
          <cell r="AH77" t="str">
            <v/>
          </cell>
          <cell r="AI77" t="str">
            <v/>
          </cell>
        </row>
        <row r="78">
          <cell r="A78">
            <v>77</v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  <cell r="AF78" t="str">
            <v/>
          </cell>
          <cell r="AG78" t="str">
            <v/>
          </cell>
          <cell r="AH78" t="str">
            <v/>
          </cell>
          <cell r="AI78" t="str">
            <v/>
          </cell>
        </row>
        <row r="79">
          <cell r="A79">
            <v>78</v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A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  <cell r="AF79" t="str">
            <v/>
          </cell>
          <cell r="AG79" t="str">
            <v/>
          </cell>
          <cell r="AH79" t="str">
            <v/>
          </cell>
          <cell r="AI79" t="str">
            <v/>
          </cell>
        </row>
        <row r="80">
          <cell r="A80">
            <v>79</v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  <cell r="AF80" t="str">
            <v/>
          </cell>
          <cell r="AG80" t="str">
            <v/>
          </cell>
          <cell r="AH80" t="str">
            <v/>
          </cell>
          <cell r="AI80" t="str">
            <v/>
          </cell>
        </row>
        <row r="81">
          <cell r="A81">
            <v>80</v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  <cell r="AF81" t="str">
            <v/>
          </cell>
          <cell r="AG81" t="str">
            <v/>
          </cell>
          <cell r="AH81" t="str">
            <v/>
          </cell>
          <cell r="AI81" t="str">
            <v/>
          </cell>
        </row>
        <row r="82">
          <cell r="A82">
            <v>81</v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  <cell r="AF82" t="str">
            <v/>
          </cell>
          <cell r="AG82" t="str">
            <v/>
          </cell>
          <cell r="AH82" t="str">
            <v/>
          </cell>
          <cell r="AI82" t="str">
            <v/>
          </cell>
        </row>
        <row r="83">
          <cell r="A83">
            <v>82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  <cell r="AF83" t="str">
            <v/>
          </cell>
          <cell r="AG83" t="str">
            <v/>
          </cell>
          <cell r="AH83" t="str">
            <v/>
          </cell>
          <cell r="AI83" t="str">
            <v/>
          </cell>
        </row>
        <row r="84">
          <cell r="A84">
            <v>83</v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  <cell r="AF84" t="str">
            <v/>
          </cell>
          <cell r="AG84" t="str">
            <v/>
          </cell>
          <cell r="AH84" t="str">
            <v/>
          </cell>
          <cell r="AI84" t="str">
            <v/>
          </cell>
        </row>
        <row r="85">
          <cell r="A85">
            <v>84</v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  <cell r="AF85" t="str">
            <v/>
          </cell>
          <cell r="AG85" t="str">
            <v/>
          </cell>
          <cell r="AH85" t="str">
            <v/>
          </cell>
          <cell r="AI85" t="str">
            <v/>
          </cell>
        </row>
        <row r="86">
          <cell r="A86">
            <v>85</v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  <cell r="AF86" t="str">
            <v/>
          </cell>
          <cell r="AG86" t="str">
            <v/>
          </cell>
          <cell r="AH86" t="str">
            <v/>
          </cell>
          <cell r="AI86" t="str">
            <v/>
          </cell>
        </row>
        <row r="87">
          <cell r="A87">
            <v>86</v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  <cell r="AF87" t="str">
            <v/>
          </cell>
          <cell r="AG87" t="str">
            <v/>
          </cell>
          <cell r="AH87" t="str">
            <v/>
          </cell>
          <cell r="AI87" t="str">
            <v/>
          </cell>
        </row>
        <row r="88">
          <cell r="A88">
            <v>87</v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  <cell r="AF88" t="str">
            <v/>
          </cell>
          <cell r="AG88" t="str">
            <v/>
          </cell>
          <cell r="AH88" t="str">
            <v/>
          </cell>
          <cell r="AI88" t="str">
            <v/>
          </cell>
        </row>
        <row r="89">
          <cell r="A89">
            <v>88</v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  <cell r="AF89" t="str">
            <v/>
          </cell>
          <cell r="AG89" t="str">
            <v/>
          </cell>
          <cell r="AH89" t="str">
            <v/>
          </cell>
          <cell r="AI89" t="str">
            <v/>
          </cell>
        </row>
        <row r="90">
          <cell r="A90">
            <v>89</v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  <cell r="AF90" t="str">
            <v/>
          </cell>
          <cell r="AG90" t="str">
            <v/>
          </cell>
          <cell r="AH90" t="str">
            <v/>
          </cell>
          <cell r="AI90" t="str">
            <v/>
          </cell>
        </row>
        <row r="91">
          <cell r="A91">
            <v>90</v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  <cell r="AF91" t="str">
            <v/>
          </cell>
          <cell r="AG91" t="str">
            <v/>
          </cell>
          <cell r="AH91" t="str">
            <v/>
          </cell>
          <cell r="AI91" t="str">
            <v/>
          </cell>
        </row>
        <row r="92">
          <cell r="A92">
            <v>91</v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  <cell r="AF92" t="str">
            <v/>
          </cell>
          <cell r="AG92" t="str">
            <v/>
          </cell>
          <cell r="AH92" t="str">
            <v/>
          </cell>
          <cell r="AI92" t="str">
            <v/>
          </cell>
        </row>
        <row r="93">
          <cell r="A93">
            <v>92</v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  <cell r="AF93" t="str">
            <v/>
          </cell>
          <cell r="AG93" t="str">
            <v/>
          </cell>
          <cell r="AH93" t="str">
            <v/>
          </cell>
          <cell r="AI93" t="str">
            <v/>
          </cell>
        </row>
        <row r="94">
          <cell r="A94">
            <v>93</v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  <cell r="AF94" t="str">
            <v/>
          </cell>
          <cell r="AG94" t="str">
            <v/>
          </cell>
          <cell r="AH94" t="str">
            <v/>
          </cell>
          <cell r="AI94" t="str">
            <v/>
          </cell>
        </row>
        <row r="95">
          <cell r="A95">
            <v>94</v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  <cell r="AF95" t="str">
            <v/>
          </cell>
          <cell r="AG95" t="str">
            <v/>
          </cell>
          <cell r="AH95" t="str">
            <v/>
          </cell>
          <cell r="AI95" t="str">
            <v/>
          </cell>
        </row>
        <row r="96">
          <cell r="A96">
            <v>95</v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  <cell r="AF96" t="str">
            <v/>
          </cell>
          <cell r="AG96" t="str">
            <v/>
          </cell>
          <cell r="AH96" t="str">
            <v/>
          </cell>
          <cell r="AI96" t="str">
            <v/>
          </cell>
        </row>
        <row r="97">
          <cell r="A97">
            <v>96</v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  <cell r="AF97" t="str">
            <v/>
          </cell>
          <cell r="AG97" t="str">
            <v/>
          </cell>
          <cell r="AH97" t="str">
            <v/>
          </cell>
          <cell r="AI97" t="str">
            <v/>
          </cell>
        </row>
        <row r="98">
          <cell r="A98">
            <v>97</v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</row>
        <row r="99">
          <cell r="A99">
            <v>98</v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</row>
        <row r="100">
          <cell r="A100">
            <v>99</v>
          </cell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</row>
        <row r="101">
          <cell r="A101">
            <v>100</v>
          </cell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/>
          </cell>
          <cell r="AC101" t="str">
            <v/>
          </cell>
          <cell r="AD101" t="str">
            <v/>
          </cell>
          <cell r="AE101" t="str">
            <v/>
          </cell>
          <cell r="AF101" t="str">
            <v/>
          </cell>
          <cell r="AG101" t="str">
            <v/>
          </cell>
          <cell r="AH101" t="str">
            <v/>
          </cell>
          <cell r="AI101" t="str">
            <v/>
          </cell>
        </row>
      </sheetData>
      <sheetData sheetId="3">
        <row r="1">
          <cell r="A1">
            <v>4</v>
          </cell>
          <cell r="B1" t="str">
            <v>T1</v>
          </cell>
          <cell r="C1" t="str">
            <v>T2</v>
          </cell>
          <cell r="D1" t="str">
            <v>T3</v>
          </cell>
          <cell r="E1" t="str">
            <v>T4</v>
          </cell>
          <cell r="F1" t="str">
            <v>T5</v>
          </cell>
          <cell r="G1" t="str">
            <v>T6</v>
          </cell>
          <cell r="H1" t="str">
            <v>T7</v>
          </cell>
          <cell r="I1" t="str">
            <v>T8</v>
          </cell>
          <cell r="J1" t="str">
            <v>T9</v>
          </cell>
          <cell r="K1" t="str">
            <v>T10</v>
          </cell>
          <cell r="L1" t="str">
            <v>T11</v>
          </cell>
          <cell r="M1" t="str">
            <v>T12</v>
          </cell>
          <cell r="N1" t="str">
            <v>P13</v>
          </cell>
          <cell r="O1" t="str">
            <v>P14</v>
          </cell>
          <cell r="P1" t="str">
            <v>P15</v>
          </cell>
          <cell r="Q1" t="str">
            <v>P16</v>
          </cell>
          <cell r="R1" t="str">
            <v>P17</v>
          </cell>
          <cell r="S1" t="str">
            <v>P18</v>
          </cell>
          <cell r="T1" t="str">
            <v>P19</v>
          </cell>
          <cell r="U1" t="str">
            <v>P20</v>
          </cell>
          <cell r="V1" t="str">
            <v>P21</v>
          </cell>
          <cell r="W1" t="str">
            <v>P22</v>
          </cell>
          <cell r="X1" t="str">
            <v>P63</v>
          </cell>
          <cell r="Y1" t="str">
            <v>P64</v>
          </cell>
          <cell r="Z1" t="str">
            <v>P65</v>
          </cell>
          <cell r="AA1" t="str">
            <v>P66</v>
          </cell>
          <cell r="AB1" t="str">
            <v>X1</v>
          </cell>
          <cell r="AC1" t="str">
            <v>X2</v>
          </cell>
          <cell r="AD1" t="str">
            <v>X3</v>
          </cell>
          <cell r="AE1">
            <v>0</v>
          </cell>
          <cell r="AF1">
            <v>0</v>
          </cell>
          <cell r="AG1">
            <v>0</v>
          </cell>
          <cell r="AH1">
            <v>0</v>
          </cell>
          <cell r="AI1">
            <v>0</v>
          </cell>
        </row>
        <row r="2">
          <cell r="A2">
            <v>1</v>
          </cell>
          <cell r="B2">
            <v>2.1</v>
          </cell>
          <cell r="C2" t="str">
            <v/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  <cell r="I2" t="str">
            <v/>
          </cell>
          <cell r="J2" t="str">
            <v/>
          </cell>
          <cell r="K2" t="str">
            <v/>
          </cell>
          <cell r="L2" t="str">
            <v/>
          </cell>
          <cell r="M2" t="str">
            <v/>
          </cell>
          <cell r="N2" t="str">
            <v/>
          </cell>
          <cell r="O2" t="str">
            <v/>
          </cell>
          <cell r="P2" t="str">
            <v/>
          </cell>
          <cell r="Q2" t="str">
            <v/>
          </cell>
          <cell r="R2" t="str">
            <v/>
          </cell>
          <cell r="S2" t="str">
            <v/>
          </cell>
          <cell r="T2" t="str">
            <v/>
          </cell>
          <cell r="U2" t="str">
            <v/>
          </cell>
          <cell r="V2" t="str">
            <v/>
          </cell>
          <cell r="W2" t="str">
            <v/>
          </cell>
          <cell r="X2" t="str">
            <v/>
          </cell>
          <cell r="Y2" t="str">
            <v/>
          </cell>
          <cell r="Z2" t="str">
            <v/>
          </cell>
          <cell r="AA2" t="str">
            <v/>
          </cell>
          <cell r="AB2" t="str">
            <v/>
          </cell>
          <cell r="AC2" t="str">
            <v/>
          </cell>
          <cell r="AD2" t="str">
            <v/>
          </cell>
          <cell r="AE2" t="str">
            <v/>
          </cell>
          <cell r="AF2" t="str">
            <v/>
          </cell>
          <cell r="AG2" t="str">
            <v/>
          </cell>
          <cell r="AH2" t="str">
            <v/>
          </cell>
          <cell r="AI2" t="str">
            <v/>
          </cell>
        </row>
        <row r="3">
          <cell r="A3">
            <v>2</v>
          </cell>
          <cell r="B3">
            <v>3.14</v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</row>
        <row r="4">
          <cell r="A4">
            <v>3</v>
          </cell>
          <cell r="B4">
            <v>3.11</v>
          </cell>
          <cell r="C4" t="str">
            <v/>
          </cell>
          <cell r="D4" t="str">
            <v/>
          </cell>
          <cell r="E4" t="str">
            <v/>
          </cell>
          <cell r="F4" t="str">
            <v/>
          </cell>
          <cell r="G4" t="str">
            <v/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  <cell r="N4" t="str">
            <v/>
          </cell>
          <cell r="O4" t="str">
            <v/>
          </cell>
          <cell r="P4" t="str">
            <v/>
          </cell>
          <cell r="Q4" t="str">
            <v/>
          </cell>
          <cell r="R4" t="str">
            <v/>
          </cell>
          <cell r="S4" t="str">
            <v/>
          </cell>
          <cell r="T4" t="str">
            <v/>
          </cell>
          <cell r="U4" t="str">
            <v/>
          </cell>
          <cell r="V4" t="str">
            <v/>
          </cell>
          <cell r="W4" t="str">
            <v/>
          </cell>
          <cell r="X4" t="str">
            <v/>
          </cell>
          <cell r="Y4" t="str">
            <v/>
          </cell>
          <cell r="Z4" t="str">
            <v/>
          </cell>
          <cell r="AA4" t="str">
            <v/>
          </cell>
          <cell r="AB4" t="str">
            <v/>
          </cell>
          <cell r="AC4" t="str">
            <v/>
          </cell>
          <cell r="AD4" t="str">
            <v/>
          </cell>
          <cell r="AE4" t="str">
            <v/>
          </cell>
          <cell r="AF4" t="str">
            <v/>
          </cell>
          <cell r="AG4" t="str">
            <v/>
          </cell>
          <cell r="AH4" t="str">
            <v/>
          </cell>
          <cell r="AI4" t="str">
            <v/>
          </cell>
        </row>
        <row r="5">
          <cell r="A5">
            <v>4</v>
          </cell>
          <cell r="B5">
            <v>2.4</v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</row>
        <row r="6">
          <cell r="A6">
            <v>5</v>
          </cell>
          <cell r="B6">
            <v>3.02</v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</row>
        <row r="7">
          <cell r="A7">
            <v>6</v>
          </cell>
          <cell r="B7">
            <v>4.01</v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</row>
        <row r="8">
          <cell r="A8">
            <v>7</v>
          </cell>
          <cell r="B8">
            <v>1.4</v>
          </cell>
          <cell r="C8" t="str">
            <v/>
          </cell>
          <cell r="D8" t="str">
            <v/>
          </cell>
          <cell r="E8" t="str">
            <v/>
          </cell>
          <cell r="F8" t="str">
            <v/>
          </cell>
          <cell r="G8" t="str">
            <v/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  <cell r="N8" t="str">
            <v/>
          </cell>
          <cell r="O8" t="str">
            <v/>
          </cell>
          <cell r="P8" t="str">
            <v/>
          </cell>
          <cell r="Q8" t="str">
            <v/>
          </cell>
          <cell r="R8" t="str">
            <v/>
          </cell>
          <cell r="S8" t="str">
            <v/>
          </cell>
          <cell r="T8" t="str">
            <v/>
          </cell>
          <cell r="U8" t="str">
            <v/>
          </cell>
          <cell r="V8" t="str">
            <v/>
          </cell>
          <cell r="W8" t="str">
            <v/>
          </cell>
          <cell r="X8" t="str">
            <v/>
          </cell>
          <cell r="Y8" t="str">
            <v/>
          </cell>
          <cell r="Z8" t="str">
            <v/>
          </cell>
          <cell r="AA8" t="str">
            <v/>
          </cell>
          <cell r="AB8" t="str">
            <v/>
          </cell>
          <cell r="AC8" t="str">
            <v/>
          </cell>
          <cell r="AD8" t="str">
            <v/>
          </cell>
          <cell r="AE8" t="str">
            <v/>
          </cell>
          <cell r="AF8" t="str">
            <v/>
          </cell>
          <cell r="AG8" t="str">
            <v/>
          </cell>
          <cell r="AH8" t="str">
            <v/>
          </cell>
          <cell r="AI8" t="str">
            <v/>
          </cell>
        </row>
        <row r="9">
          <cell r="A9">
            <v>8</v>
          </cell>
          <cell r="B9">
            <v>3.06</v>
          </cell>
          <cell r="C9" t="str">
            <v/>
          </cell>
          <cell r="D9" t="str">
            <v/>
          </cell>
          <cell r="E9" t="str">
            <v/>
          </cell>
          <cell r="F9" t="str">
            <v/>
          </cell>
          <cell r="G9" t="str">
            <v/>
          </cell>
          <cell r="H9" t="str">
            <v/>
          </cell>
          <cell r="I9" t="str">
            <v/>
          </cell>
          <cell r="J9" t="str">
            <v/>
          </cell>
          <cell r="K9" t="str">
            <v/>
          </cell>
          <cell r="L9" t="str">
            <v/>
          </cell>
          <cell r="M9" t="str">
            <v/>
          </cell>
          <cell r="N9" t="str">
            <v/>
          </cell>
          <cell r="O9" t="str">
            <v/>
          </cell>
          <cell r="P9" t="str">
            <v/>
          </cell>
          <cell r="Q9" t="str">
            <v/>
          </cell>
          <cell r="R9" t="str">
            <v/>
          </cell>
          <cell r="S9" t="str">
            <v/>
          </cell>
          <cell r="T9" t="str">
            <v/>
          </cell>
          <cell r="U9" t="str">
            <v/>
          </cell>
          <cell r="V9" t="str">
            <v/>
          </cell>
          <cell r="W9" t="str">
            <v/>
          </cell>
          <cell r="X9" t="str">
            <v/>
          </cell>
          <cell r="Y9" t="str">
            <v/>
          </cell>
          <cell r="Z9" t="str">
            <v/>
          </cell>
          <cell r="AA9" t="str">
            <v/>
          </cell>
          <cell r="AB9" t="str">
            <v/>
          </cell>
          <cell r="AC9" t="str">
            <v/>
          </cell>
          <cell r="AD9" t="str">
            <v/>
          </cell>
          <cell r="AE9" t="str">
            <v/>
          </cell>
          <cell r="AF9" t="str">
            <v/>
          </cell>
          <cell r="AG9" t="str">
            <v/>
          </cell>
          <cell r="AH9" t="str">
            <v/>
          </cell>
          <cell r="AI9" t="str">
            <v/>
          </cell>
        </row>
        <row r="10">
          <cell r="A10">
            <v>9</v>
          </cell>
          <cell r="B10">
            <v>3.12</v>
          </cell>
          <cell r="C10" t="str">
            <v/>
          </cell>
          <cell r="D10" t="str">
            <v/>
          </cell>
          <cell r="E10" t="str">
            <v/>
          </cell>
          <cell r="F10" t="str">
            <v/>
          </cell>
          <cell r="G10" t="str">
            <v/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  <cell r="N10" t="str">
            <v/>
          </cell>
          <cell r="O10" t="str">
            <v/>
          </cell>
          <cell r="P10" t="str">
            <v/>
          </cell>
          <cell r="Q10" t="str">
            <v/>
          </cell>
          <cell r="R10" t="str">
            <v/>
          </cell>
          <cell r="S10" t="str">
            <v/>
          </cell>
          <cell r="T10" t="str">
            <v/>
          </cell>
          <cell r="U10" t="str">
            <v/>
          </cell>
          <cell r="V10" t="str">
            <v/>
          </cell>
          <cell r="W10" t="str">
            <v/>
          </cell>
          <cell r="X10" t="str">
            <v/>
          </cell>
          <cell r="Y10" t="str">
            <v/>
          </cell>
          <cell r="Z10" t="str">
            <v/>
          </cell>
          <cell r="AA10" t="str">
            <v/>
          </cell>
          <cell r="AB10" t="str">
            <v/>
          </cell>
          <cell r="AC10" t="str">
            <v/>
          </cell>
          <cell r="AD10" t="str">
            <v/>
          </cell>
          <cell r="AE10" t="str">
            <v/>
          </cell>
          <cell r="AF10" t="str">
            <v/>
          </cell>
          <cell r="AG10" t="str">
            <v/>
          </cell>
          <cell r="AH10" t="str">
            <v/>
          </cell>
          <cell r="AI10" t="str">
            <v/>
          </cell>
        </row>
        <row r="11">
          <cell r="A11">
            <v>10</v>
          </cell>
          <cell r="B11">
            <v>7.5</v>
          </cell>
          <cell r="C11" t="str">
            <v/>
          </cell>
          <cell r="D11" t="str">
            <v/>
          </cell>
          <cell r="E11" t="str">
            <v/>
          </cell>
          <cell r="F11" t="str">
            <v/>
          </cell>
          <cell r="G11" t="str">
            <v/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  <cell r="N11" t="str">
            <v/>
          </cell>
          <cell r="O11" t="str">
            <v/>
          </cell>
          <cell r="P11" t="str">
            <v/>
          </cell>
          <cell r="Q11" t="str">
            <v/>
          </cell>
          <cell r="R11" t="str">
            <v/>
          </cell>
          <cell r="S11" t="str">
            <v/>
          </cell>
          <cell r="T11" t="str">
            <v/>
          </cell>
          <cell r="U11" t="str">
            <v/>
          </cell>
          <cell r="V11" t="str">
            <v/>
          </cell>
          <cell r="W11" t="str">
            <v/>
          </cell>
          <cell r="X11" t="str">
            <v/>
          </cell>
          <cell r="Y11" t="str">
            <v/>
          </cell>
          <cell r="Z11" t="str">
            <v/>
          </cell>
          <cell r="AA11" t="str">
            <v/>
          </cell>
          <cell r="AB11" t="str">
            <v/>
          </cell>
          <cell r="AC11" t="str">
            <v/>
          </cell>
          <cell r="AD11" t="str">
            <v/>
          </cell>
          <cell r="AE11" t="str">
            <v/>
          </cell>
          <cell r="AF11" t="str">
            <v/>
          </cell>
          <cell r="AG11" t="str">
            <v/>
          </cell>
          <cell r="AH11" t="str">
            <v/>
          </cell>
          <cell r="AI11" t="str">
            <v/>
          </cell>
        </row>
        <row r="12">
          <cell r="A12">
            <v>11</v>
          </cell>
          <cell r="B12">
            <v>3.08</v>
          </cell>
          <cell r="C12" t="str">
            <v/>
          </cell>
          <cell r="D12" t="str">
            <v/>
          </cell>
          <cell r="E12" t="str">
            <v/>
          </cell>
          <cell r="F12" t="str">
            <v/>
          </cell>
          <cell r="G12" t="str">
            <v/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  <cell r="N12" t="str">
            <v/>
          </cell>
          <cell r="O12" t="str">
            <v/>
          </cell>
          <cell r="P12" t="str">
            <v/>
          </cell>
          <cell r="Q12" t="str">
            <v/>
          </cell>
          <cell r="R12" t="str">
            <v/>
          </cell>
          <cell r="S12" t="str">
            <v/>
          </cell>
          <cell r="T12" t="str">
            <v/>
          </cell>
          <cell r="U12" t="str">
            <v/>
          </cell>
          <cell r="V12" t="str">
            <v/>
          </cell>
          <cell r="W12" t="str">
            <v/>
          </cell>
          <cell r="X12" t="str">
            <v/>
          </cell>
          <cell r="Y12" t="str">
            <v/>
          </cell>
          <cell r="Z12" t="str">
            <v/>
          </cell>
          <cell r="AA12" t="str">
            <v/>
          </cell>
          <cell r="AB12" t="str">
            <v/>
          </cell>
          <cell r="AC12" t="str">
            <v/>
          </cell>
          <cell r="AD12" t="str">
            <v/>
          </cell>
          <cell r="AE12" t="str">
            <v/>
          </cell>
          <cell r="AF12" t="str">
            <v/>
          </cell>
          <cell r="AG12" t="str">
            <v/>
          </cell>
          <cell r="AH12" t="str">
            <v/>
          </cell>
          <cell r="AI12" t="str">
            <v/>
          </cell>
        </row>
        <row r="13">
          <cell r="A13">
            <v>12</v>
          </cell>
          <cell r="B13">
            <v>4.05</v>
          </cell>
          <cell r="C13" t="str">
            <v/>
          </cell>
          <cell r="D13" t="str">
            <v/>
          </cell>
          <cell r="E13" t="str">
            <v/>
          </cell>
          <cell r="F13" t="str">
            <v/>
          </cell>
          <cell r="G13" t="str">
            <v/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  <cell r="N13" t="str">
            <v/>
          </cell>
          <cell r="O13" t="str">
            <v/>
          </cell>
          <cell r="P13" t="str">
            <v/>
          </cell>
          <cell r="Q13" t="str">
            <v/>
          </cell>
          <cell r="R13" t="str">
            <v/>
          </cell>
          <cell r="S13" t="str">
            <v/>
          </cell>
          <cell r="T13" t="str">
            <v/>
          </cell>
          <cell r="U13" t="str">
            <v/>
          </cell>
          <cell r="V13" t="str">
            <v/>
          </cell>
          <cell r="W13" t="str">
            <v/>
          </cell>
          <cell r="X13" t="str">
            <v/>
          </cell>
          <cell r="Y13" t="str">
            <v/>
          </cell>
          <cell r="Z13" t="str">
            <v/>
          </cell>
          <cell r="AA13" t="str">
            <v/>
          </cell>
          <cell r="AB13" t="str">
            <v/>
          </cell>
          <cell r="AC13" t="str">
            <v/>
          </cell>
          <cell r="AD13" t="str">
            <v/>
          </cell>
          <cell r="AE13" t="str">
            <v/>
          </cell>
          <cell r="AF13" t="str">
            <v/>
          </cell>
          <cell r="AG13" t="str">
            <v/>
          </cell>
          <cell r="AH13" t="str">
            <v/>
          </cell>
          <cell r="AI13" t="str">
            <v/>
          </cell>
        </row>
        <row r="14">
          <cell r="A14">
            <v>13</v>
          </cell>
          <cell r="B14">
            <v>7.5</v>
          </cell>
          <cell r="C14" t="str">
            <v/>
          </cell>
          <cell r="D14" t="str">
            <v/>
          </cell>
          <cell r="E14" t="str">
            <v/>
          </cell>
          <cell r="F14" t="str">
            <v/>
          </cell>
          <cell r="G14" t="str">
            <v/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  <cell r="N14" t="str">
            <v/>
          </cell>
          <cell r="O14" t="str">
            <v/>
          </cell>
          <cell r="P14" t="str">
            <v/>
          </cell>
          <cell r="Q14" t="str">
            <v/>
          </cell>
          <cell r="R14" t="str">
            <v/>
          </cell>
          <cell r="S14" t="str">
            <v/>
          </cell>
          <cell r="T14" t="str">
            <v/>
          </cell>
          <cell r="U14" t="str">
            <v/>
          </cell>
          <cell r="V14" t="str">
            <v/>
          </cell>
          <cell r="W14" t="str">
            <v/>
          </cell>
          <cell r="X14" t="str">
            <v/>
          </cell>
          <cell r="Y14" t="str">
            <v/>
          </cell>
          <cell r="Z14" t="str">
            <v/>
          </cell>
          <cell r="AA14" t="str">
            <v/>
          </cell>
          <cell r="AB14" t="str">
            <v/>
          </cell>
          <cell r="AC14" t="str">
            <v/>
          </cell>
          <cell r="AD14" t="str">
            <v/>
          </cell>
          <cell r="AE14" t="str">
            <v/>
          </cell>
          <cell r="AF14" t="str">
            <v/>
          </cell>
          <cell r="AG14" t="str">
            <v/>
          </cell>
          <cell r="AH14" t="str">
            <v/>
          </cell>
          <cell r="AI14" t="str">
            <v/>
          </cell>
        </row>
        <row r="15">
          <cell r="A15">
            <v>14</v>
          </cell>
          <cell r="B15">
            <v>1.1000000000000001</v>
          </cell>
          <cell r="C15" t="str">
            <v/>
          </cell>
          <cell r="D15" t="str">
            <v/>
          </cell>
          <cell r="E15" t="str">
            <v/>
          </cell>
          <cell r="F15" t="str">
            <v/>
          </cell>
          <cell r="G15" t="str">
            <v/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  <cell r="N15" t="str">
            <v/>
          </cell>
          <cell r="O15" t="str">
            <v/>
          </cell>
          <cell r="P15" t="str">
            <v/>
          </cell>
          <cell r="Q15" t="str">
            <v/>
          </cell>
          <cell r="R15" t="str">
            <v/>
          </cell>
          <cell r="S15" t="str">
            <v/>
          </cell>
          <cell r="T15" t="str">
            <v/>
          </cell>
          <cell r="U15" t="str">
            <v/>
          </cell>
          <cell r="V15" t="str">
            <v/>
          </cell>
          <cell r="W15" t="str">
            <v/>
          </cell>
          <cell r="X15" t="str">
            <v/>
          </cell>
          <cell r="Y15" t="str">
            <v/>
          </cell>
          <cell r="Z15" t="str">
            <v/>
          </cell>
          <cell r="AA15" t="str">
            <v/>
          </cell>
          <cell r="AB15" t="str">
            <v/>
          </cell>
          <cell r="AC15" t="str">
            <v/>
          </cell>
          <cell r="AD15" t="str">
            <v/>
          </cell>
          <cell r="AE15" t="str">
            <v/>
          </cell>
          <cell r="AF15" t="str">
            <v/>
          </cell>
          <cell r="AG15" t="str">
            <v/>
          </cell>
          <cell r="AH15" t="str">
            <v/>
          </cell>
          <cell r="AI15" t="str">
            <v/>
          </cell>
        </row>
        <row r="16">
          <cell r="A16">
            <v>15</v>
          </cell>
          <cell r="B16">
            <v>5.5</v>
          </cell>
          <cell r="C16" t="str">
            <v/>
          </cell>
          <cell r="D16" t="str">
            <v/>
          </cell>
          <cell r="E16" t="str">
            <v/>
          </cell>
          <cell r="F16" t="str">
            <v/>
          </cell>
          <cell r="G16" t="str">
            <v/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  <cell r="N16" t="str">
            <v/>
          </cell>
          <cell r="O16" t="str">
            <v/>
          </cell>
          <cell r="P16" t="str">
            <v/>
          </cell>
          <cell r="Q16" t="str">
            <v/>
          </cell>
          <cell r="R16" t="str">
            <v/>
          </cell>
          <cell r="S16" t="str">
            <v/>
          </cell>
          <cell r="T16" t="str">
            <v/>
          </cell>
          <cell r="U16" t="str">
            <v/>
          </cell>
          <cell r="V16" t="str">
            <v/>
          </cell>
          <cell r="W16" t="str">
            <v/>
          </cell>
          <cell r="X16" t="str">
            <v/>
          </cell>
          <cell r="Y16" t="str">
            <v/>
          </cell>
          <cell r="Z16" t="str">
            <v/>
          </cell>
          <cell r="AA16" t="str">
            <v/>
          </cell>
          <cell r="AB16" t="str">
            <v/>
          </cell>
          <cell r="AC16" t="str">
            <v/>
          </cell>
          <cell r="AD16" t="str">
            <v/>
          </cell>
          <cell r="AE16" t="str">
            <v/>
          </cell>
          <cell r="AF16" t="str">
            <v/>
          </cell>
          <cell r="AG16" t="str">
            <v/>
          </cell>
          <cell r="AH16" t="str">
            <v/>
          </cell>
          <cell r="AI16" t="str">
            <v/>
          </cell>
        </row>
        <row r="17">
          <cell r="A17">
            <v>16</v>
          </cell>
          <cell r="B17">
            <v>3.12</v>
          </cell>
          <cell r="C17" t="str">
            <v/>
          </cell>
          <cell r="D17" t="str">
            <v/>
          </cell>
          <cell r="E17" t="str">
            <v/>
          </cell>
          <cell r="F17" t="str">
            <v/>
          </cell>
          <cell r="G17" t="str">
            <v/>
          </cell>
          <cell r="H17" t="str">
            <v/>
          </cell>
          <cell r="I17" t="str">
            <v/>
          </cell>
          <cell r="J17" t="str">
            <v/>
          </cell>
          <cell r="K17" t="str">
            <v/>
          </cell>
          <cell r="L17" t="str">
            <v/>
          </cell>
          <cell r="M17" t="str">
            <v/>
          </cell>
          <cell r="N17" t="str">
            <v/>
          </cell>
          <cell r="O17" t="str">
            <v/>
          </cell>
          <cell r="P17" t="str">
            <v/>
          </cell>
          <cell r="Q17" t="str">
            <v/>
          </cell>
          <cell r="R17" t="str">
            <v/>
          </cell>
          <cell r="S17" t="str">
            <v/>
          </cell>
          <cell r="T17" t="str">
            <v/>
          </cell>
          <cell r="U17" t="str">
            <v/>
          </cell>
          <cell r="V17" t="str">
            <v/>
          </cell>
          <cell r="W17" t="str">
            <v/>
          </cell>
          <cell r="X17" t="str">
            <v/>
          </cell>
          <cell r="Y17" t="str">
            <v/>
          </cell>
          <cell r="Z17" t="str">
            <v/>
          </cell>
          <cell r="AA17" t="str">
            <v/>
          </cell>
          <cell r="AB17" t="str">
            <v/>
          </cell>
          <cell r="AC17" t="str">
            <v/>
          </cell>
          <cell r="AD17" t="str">
            <v/>
          </cell>
          <cell r="AE17" t="str">
            <v/>
          </cell>
          <cell r="AF17" t="str">
            <v/>
          </cell>
          <cell r="AG17" t="str">
            <v/>
          </cell>
          <cell r="AH17" t="str">
            <v/>
          </cell>
          <cell r="AI17" t="str">
            <v/>
          </cell>
        </row>
        <row r="18">
          <cell r="A18">
            <v>17</v>
          </cell>
          <cell r="B18">
            <v>5.2</v>
          </cell>
          <cell r="C18" t="str">
            <v/>
          </cell>
          <cell r="D18" t="str">
            <v/>
          </cell>
          <cell r="E18" t="str">
            <v/>
          </cell>
          <cell r="F18" t="str">
            <v/>
          </cell>
          <cell r="G18" t="str">
            <v/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  <cell r="N18" t="str">
            <v/>
          </cell>
          <cell r="O18" t="str">
            <v/>
          </cell>
          <cell r="P18" t="str">
            <v/>
          </cell>
          <cell r="Q18" t="str">
            <v/>
          </cell>
          <cell r="R18" t="str">
            <v/>
          </cell>
          <cell r="S18" t="str">
            <v/>
          </cell>
          <cell r="T18" t="str">
            <v/>
          </cell>
          <cell r="U18" t="str">
            <v/>
          </cell>
          <cell r="V18" t="str">
            <v/>
          </cell>
          <cell r="W18" t="str">
            <v/>
          </cell>
          <cell r="X18" t="str">
            <v/>
          </cell>
          <cell r="Y18" t="str">
            <v/>
          </cell>
          <cell r="Z18" t="str">
            <v/>
          </cell>
          <cell r="AA18" t="str">
            <v/>
          </cell>
          <cell r="AB18" t="str">
            <v/>
          </cell>
          <cell r="AC18" t="str">
            <v/>
          </cell>
          <cell r="AD18" t="str">
            <v/>
          </cell>
          <cell r="AE18" t="str">
            <v/>
          </cell>
          <cell r="AF18" t="str">
            <v/>
          </cell>
          <cell r="AG18" t="str">
            <v/>
          </cell>
          <cell r="AH18" t="str">
            <v/>
          </cell>
          <cell r="AI18" t="str">
            <v/>
          </cell>
        </row>
        <row r="19">
          <cell r="A19">
            <v>18</v>
          </cell>
          <cell r="B19">
            <v>6.3</v>
          </cell>
          <cell r="C19" t="str">
            <v/>
          </cell>
          <cell r="D19" t="str">
            <v/>
          </cell>
          <cell r="E19" t="str">
            <v/>
          </cell>
          <cell r="F19" t="str">
            <v/>
          </cell>
          <cell r="G19" t="str">
            <v/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  <cell r="N19" t="str">
            <v/>
          </cell>
          <cell r="O19" t="str">
            <v/>
          </cell>
          <cell r="P19" t="str">
            <v/>
          </cell>
          <cell r="Q19" t="str">
            <v/>
          </cell>
          <cell r="R19" t="str">
            <v/>
          </cell>
          <cell r="S19" t="str">
            <v/>
          </cell>
          <cell r="T19" t="str">
            <v/>
          </cell>
          <cell r="U19" t="str">
            <v/>
          </cell>
          <cell r="V19" t="str">
            <v/>
          </cell>
          <cell r="W19" t="str">
            <v/>
          </cell>
          <cell r="X19" t="str">
            <v/>
          </cell>
          <cell r="Y19" t="str">
            <v/>
          </cell>
          <cell r="Z19" t="str">
            <v/>
          </cell>
          <cell r="AA19" t="str">
            <v/>
          </cell>
          <cell r="AB19" t="str">
            <v/>
          </cell>
          <cell r="AC19" t="str">
            <v/>
          </cell>
          <cell r="AD19" t="str">
            <v/>
          </cell>
          <cell r="AE19" t="str">
            <v/>
          </cell>
          <cell r="AF19" t="str">
            <v/>
          </cell>
          <cell r="AG19" t="str">
            <v/>
          </cell>
          <cell r="AH19" t="str">
            <v/>
          </cell>
          <cell r="AI19" t="str">
            <v/>
          </cell>
        </row>
        <row r="20">
          <cell r="A20">
            <v>19</v>
          </cell>
          <cell r="B20">
            <v>3.08</v>
          </cell>
          <cell r="C20" t="str">
            <v/>
          </cell>
          <cell r="D20" t="str">
            <v/>
          </cell>
          <cell r="E20" t="str">
            <v/>
          </cell>
          <cell r="F20" t="str">
            <v/>
          </cell>
          <cell r="G20" t="str">
            <v/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  <cell r="N20" t="str">
            <v/>
          </cell>
          <cell r="O20" t="str">
            <v/>
          </cell>
          <cell r="P20" t="str">
            <v/>
          </cell>
          <cell r="Q20" t="str">
            <v/>
          </cell>
          <cell r="R20" t="str">
            <v/>
          </cell>
          <cell r="S20" t="str">
            <v/>
          </cell>
          <cell r="T20" t="str">
            <v/>
          </cell>
          <cell r="U20" t="str">
            <v/>
          </cell>
          <cell r="V20" t="str">
            <v/>
          </cell>
          <cell r="W20" t="str">
            <v/>
          </cell>
          <cell r="X20" t="str">
            <v/>
          </cell>
          <cell r="Y20" t="str">
            <v/>
          </cell>
          <cell r="Z20" t="str">
            <v/>
          </cell>
          <cell r="AA20" t="str">
            <v/>
          </cell>
          <cell r="AB20" t="str">
            <v/>
          </cell>
          <cell r="AC20" t="str">
            <v/>
          </cell>
          <cell r="AD20" t="str">
            <v/>
          </cell>
          <cell r="AE20" t="str">
            <v/>
          </cell>
          <cell r="AF20" t="str">
            <v/>
          </cell>
          <cell r="AG20" t="str">
            <v/>
          </cell>
          <cell r="AH20" t="str">
            <v/>
          </cell>
          <cell r="AI20" t="str">
            <v/>
          </cell>
        </row>
        <row r="21">
          <cell r="A21">
            <v>20</v>
          </cell>
          <cell r="B21">
            <v>4.05</v>
          </cell>
          <cell r="C21" t="str">
            <v/>
          </cell>
          <cell r="D21" t="str">
            <v/>
          </cell>
          <cell r="E21" t="str">
            <v/>
          </cell>
          <cell r="F21" t="str">
            <v/>
          </cell>
          <cell r="G21" t="str">
            <v/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F21" t="str">
            <v/>
          </cell>
          <cell r="AG21" t="str">
            <v/>
          </cell>
          <cell r="AH21" t="str">
            <v/>
          </cell>
          <cell r="AI21" t="str">
            <v/>
          </cell>
        </row>
        <row r="22">
          <cell r="A22">
            <v>21</v>
          </cell>
          <cell r="B22">
            <v>3.12</v>
          </cell>
          <cell r="C22" t="str">
            <v/>
          </cell>
          <cell r="D22" t="str">
            <v/>
          </cell>
          <cell r="E22" t="str">
            <v/>
          </cell>
          <cell r="F22" t="str">
            <v/>
          </cell>
          <cell r="G22" t="str">
            <v/>
          </cell>
          <cell r="H22" t="str">
            <v/>
          </cell>
          <cell r="I22" t="str">
            <v/>
          </cell>
          <cell r="J22" t="str">
            <v/>
          </cell>
          <cell r="K22" t="str">
            <v/>
          </cell>
          <cell r="L22" t="str">
            <v/>
          </cell>
          <cell r="M22" t="str">
            <v/>
          </cell>
          <cell r="N22" t="str">
            <v/>
          </cell>
          <cell r="O22" t="str">
            <v/>
          </cell>
          <cell r="P22" t="str">
            <v/>
          </cell>
          <cell r="Q22" t="str">
            <v/>
          </cell>
          <cell r="R22" t="str">
            <v/>
          </cell>
          <cell r="S22" t="str">
            <v/>
          </cell>
          <cell r="T22" t="str">
            <v/>
          </cell>
          <cell r="U22" t="str">
            <v/>
          </cell>
          <cell r="V22" t="str">
            <v/>
          </cell>
          <cell r="W22" t="str">
            <v/>
          </cell>
          <cell r="X22" t="str">
            <v/>
          </cell>
          <cell r="Y22" t="str">
            <v/>
          </cell>
          <cell r="Z22" t="str">
            <v/>
          </cell>
          <cell r="AA22" t="str">
            <v/>
          </cell>
          <cell r="AB22" t="str">
            <v/>
          </cell>
          <cell r="AC22" t="str">
            <v/>
          </cell>
          <cell r="AD22" t="str">
            <v/>
          </cell>
          <cell r="AE22" t="str">
            <v/>
          </cell>
          <cell r="AF22" t="str">
            <v/>
          </cell>
          <cell r="AG22" t="str">
            <v/>
          </cell>
          <cell r="AH22" t="str">
            <v/>
          </cell>
          <cell r="AI22" t="str">
            <v/>
          </cell>
        </row>
        <row r="23">
          <cell r="A23">
            <v>22</v>
          </cell>
          <cell r="B23">
            <v>6.2</v>
          </cell>
          <cell r="C23" t="str">
            <v/>
          </cell>
          <cell r="D23" t="str">
            <v/>
          </cell>
          <cell r="E23" t="str">
            <v/>
          </cell>
          <cell r="F23" t="str">
            <v/>
          </cell>
          <cell r="G23" t="str">
            <v/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  <cell r="N23" t="str">
            <v/>
          </cell>
          <cell r="O23" t="str">
            <v/>
          </cell>
          <cell r="P23" t="str">
            <v/>
          </cell>
          <cell r="Q23" t="str">
            <v/>
          </cell>
          <cell r="R23" t="str">
            <v/>
          </cell>
          <cell r="S23" t="str">
            <v/>
          </cell>
          <cell r="T23" t="str">
            <v/>
          </cell>
          <cell r="U23" t="str">
            <v/>
          </cell>
          <cell r="V23" t="str">
            <v/>
          </cell>
          <cell r="W23" t="str">
            <v/>
          </cell>
          <cell r="X23" t="str">
            <v/>
          </cell>
          <cell r="Y23" t="str">
            <v/>
          </cell>
          <cell r="Z23" t="str">
            <v/>
          </cell>
          <cell r="AA23" t="str">
            <v/>
          </cell>
          <cell r="AB23" t="str">
            <v/>
          </cell>
          <cell r="AC23" t="str">
            <v/>
          </cell>
          <cell r="AD23" t="str">
            <v/>
          </cell>
          <cell r="AE23" t="str">
            <v/>
          </cell>
          <cell r="AF23" t="str">
            <v/>
          </cell>
          <cell r="AG23" t="str">
            <v/>
          </cell>
          <cell r="AH23" t="str">
            <v/>
          </cell>
          <cell r="AI23" t="str">
            <v/>
          </cell>
        </row>
        <row r="24">
          <cell r="A24">
            <v>23</v>
          </cell>
          <cell r="B24">
            <v>3.01</v>
          </cell>
          <cell r="C24" t="str">
            <v/>
          </cell>
          <cell r="D24" t="str">
            <v/>
          </cell>
          <cell r="E24" t="str">
            <v/>
          </cell>
          <cell r="F24" t="str">
            <v/>
          </cell>
          <cell r="G24" t="str">
            <v/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  <cell r="N24" t="str">
            <v/>
          </cell>
          <cell r="O24" t="str">
            <v/>
          </cell>
          <cell r="P24" t="str">
            <v/>
          </cell>
          <cell r="Q24" t="str">
            <v/>
          </cell>
          <cell r="R24" t="str">
            <v/>
          </cell>
          <cell r="S24" t="str">
            <v/>
          </cell>
          <cell r="T24" t="str">
            <v/>
          </cell>
          <cell r="U24" t="str">
            <v/>
          </cell>
          <cell r="V24" t="str">
            <v/>
          </cell>
          <cell r="W24" t="str">
            <v/>
          </cell>
          <cell r="X24" t="str">
            <v/>
          </cell>
          <cell r="Y24" t="str">
            <v/>
          </cell>
          <cell r="Z24" t="str">
            <v/>
          </cell>
          <cell r="AA24" t="str">
            <v/>
          </cell>
          <cell r="AB24" t="str">
            <v/>
          </cell>
          <cell r="AC24" t="str">
            <v/>
          </cell>
          <cell r="AD24" t="str">
            <v/>
          </cell>
          <cell r="AE24" t="str">
            <v/>
          </cell>
          <cell r="AF24" t="str">
            <v/>
          </cell>
          <cell r="AG24" t="str">
            <v/>
          </cell>
          <cell r="AH24" t="str">
            <v/>
          </cell>
          <cell r="AI24" t="str">
            <v/>
          </cell>
        </row>
        <row r="25">
          <cell r="A25">
            <v>24</v>
          </cell>
          <cell r="B25">
            <v>3.08</v>
          </cell>
          <cell r="C25" t="str">
            <v/>
          </cell>
          <cell r="D25" t="str">
            <v/>
          </cell>
          <cell r="E25" t="str">
            <v/>
          </cell>
          <cell r="F25" t="str">
            <v/>
          </cell>
          <cell r="G25" t="str">
            <v/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  <cell r="N25" t="str">
            <v/>
          </cell>
          <cell r="O25" t="str">
            <v/>
          </cell>
          <cell r="P25" t="str">
            <v/>
          </cell>
          <cell r="Q25" t="str">
            <v/>
          </cell>
          <cell r="R25" t="str">
            <v/>
          </cell>
          <cell r="S25" t="str">
            <v/>
          </cell>
          <cell r="T25" t="str">
            <v/>
          </cell>
          <cell r="U25" t="str">
            <v/>
          </cell>
          <cell r="V25" t="str">
            <v/>
          </cell>
          <cell r="W25" t="str">
            <v/>
          </cell>
          <cell r="X25" t="str">
            <v/>
          </cell>
          <cell r="Y25" t="str">
            <v/>
          </cell>
          <cell r="Z25" t="str">
            <v/>
          </cell>
          <cell r="AA25" t="str">
            <v/>
          </cell>
          <cell r="AB25" t="str">
            <v/>
          </cell>
          <cell r="AC25" t="str">
            <v/>
          </cell>
          <cell r="AD25" t="str">
            <v/>
          </cell>
          <cell r="AE25" t="str">
            <v/>
          </cell>
          <cell r="AF25" t="str">
            <v/>
          </cell>
          <cell r="AG25" t="str">
            <v/>
          </cell>
          <cell r="AH25" t="str">
            <v/>
          </cell>
          <cell r="AI25" t="str">
            <v/>
          </cell>
        </row>
        <row r="26">
          <cell r="A26">
            <v>25</v>
          </cell>
          <cell r="B26">
            <v>1.2</v>
          </cell>
          <cell r="C26" t="str">
            <v/>
          </cell>
          <cell r="D26" t="str">
            <v/>
          </cell>
          <cell r="E26" t="str">
            <v/>
          </cell>
          <cell r="F26" t="str">
            <v/>
          </cell>
          <cell r="G26" t="str">
            <v/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  <cell r="N26" t="str">
            <v/>
          </cell>
          <cell r="O26" t="str">
            <v/>
          </cell>
          <cell r="P26" t="str">
            <v/>
          </cell>
          <cell r="Q26" t="str">
            <v/>
          </cell>
          <cell r="R26" t="str">
            <v/>
          </cell>
          <cell r="S26" t="str">
            <v/>
          </cell>
          <cell r="T26" t="str">
            <v/>
          </cell>
          <cell r="U26" t="str">
            <v/>
          </cell>
          <cell r="V26" t="str">
            <v/>
          </cell>
          <cell r="W26" t="str">
            <v/>
          </cell>
          <cell r="X26" t="str">
            <v/>
          </cell>
          <cell r="Y26" t="str">
            <v/>
          </cell>
          <cell r="Z26" t="str">
            <v/>
          </cell>
          <cell r="AA26" t="str">
            <v/>
          </cell>
          <cell r="AB26" t="str">
            <v/>
          </cell>
          <cell r="AC26" t="str">
            <v/>
          </cell>
          <cell r="AD26" t="str">
            <v/>
          </cell>
          <cell r="AE26" t="str">
            <v/>
          </cell>
          <cell r="AF26" t="str">
            <v/>
          </cell>
          <cell r="AG26" t="str">
            <v/>
          </cell>
          <cell r="AH26" t="str">
            <v/>
          </cell>
          <cell r="AI26" t="str">
            <v/>
          </cell>
        </row>
        <row r="27">
          <cell r="A27">
            <v>26</v>
          </cell>
          <cell r="B27">
            <v>3.13</v>
          </cell>
          <cell r="C27" t="str">
            <v/>
          </cell>
          <cell r="D27" t="str">
            <v/>
          </cell>
          <cell r="E27" t="str">
            <v/>
          </cell>
          <cell r="F27" t="str">
            <v/>
          </cell>
          <cell r="G27" t="str">
            <v/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  <cell r="N27" t="str">
            <v/>
          </cell>
          <cell r="O27" t="str">
            <v/>
          </cell>
          <cell r="P27" t="str">
            <v/>
          </cell>
          <cell r="Q27" t="str">
            <v/>
          </cell>
          <cell r="R27" t="str">
            <v/>
          </cell>
          <cell r="S27" t="str">
            <v/>
          </cell>
          <cell r="T27" t="str">
            <v/>
          </cell>
          <cell r="U27" t="str">
            <v/>
          </cell>
          <cell r="V27" t="str">
            <v/>
          </cell>
          <cell r="W27" t="str">
            <v/>
          </cell>
          <cell r="X27" t="str">
            <v/>
          </cell>
          <cell r="Y27" t="str">
            <v/>
          </cell>
          <cell r="Z27" t="str">
            <v/>
          </cell>
          <cell r="AA27" t="str">
            <v/>
          </cell>
          <cell r="AB27" t="str">
            <v/>
          </cell>
          <cell r="AC27" t="str">
            <v/>
          </cell>
          <cell r="AD27" t="str">
            <v/>
          </cell>
          <cell r="AE27" t="str">
            <v/>
          </cell>
          <cell r="AF27" t="str">
            <v/>
          </cell>
          <cell r="AG27" t="str">
            <v/>
          </cell>
          <cell r="AH27" t="str">
            <v/>
          </cell>
          <cell r="AI27" t="str">
            <v/>
          </cell>
        </row>
        <row r="28">
          <cell r="A28">
            <v>27</v>
          </cell>
          <cell r="B28">
            <v>3.14</v>
          </cell>
          <cell r="C28" t="str">
            <v/>
          </cell>
          <cell r="D28" t="str">
            <v/>
          </cell>
          <cell r="E28" t="str">
            <v/>
          </cell>
          <cell r="F28" t="str">
            <v/>
          </cell>
          <cell r="G28" t="str">
            <v/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  <cell r="N28" t="str">
            <v/>
          </cell>
          <cell r="O28" t="str">
            <v/>
          </cell>
          <cell r="P28" t="str">
            <v/>
          </cell>
          <cell r="Q28" t="str">
            <v/>
          </cell>
          <cell r="R28" t="str">
            <v/>
          </cell>
          <cell r="S28" t="str">
            <v/>
          </cell>
          <cell r="T28" t="str">
            <v/>
          </cell>
          <cell r="U28" t="str">
            <v/>
          </cell>
          <cell r="V28" t="str">
            <v/>
          </cell>
          <cell r="W28" t="str">
            <v/>
          </cell>
          <cell r="X28" t="str">
            <v/>
          </cell>
          <cell r="Y28" t="str">
            <v/>
          </cell>
          <cell r="Z28" t="str">
            <v/>
          </cell>
          <cell r="AA28" t="str">
            <v/>
          </cell>
          <cell r="AB28" t="str">
            <v/>
          </cell>
          <cell r="AC28" t="str">
            <v/>
          </cell>
          <cell r="AD28" t="str">
            <v/>
          </cell>
          <cell r="AE28" t="str">
            <v/>
          </cell>
          <cell r="AF28" t="str">
            <v/>
          </cell>
          <cell r="AG28" t="str">
            <v/>
          </cell>
          <cell r="AH28" t="str">
            <v/>
          </cell>
          <cell r="AI28" t="str">
            <v/>
          </cell>
        </row>
        <row r="29">
          <cell r="A29">
            <v>28</v>
          </cell>
          <cell r="B29">
            <v>3.01</v>
          </cell>
          <cell r="C29" t="str">
            <v/>
          </cell>
          <cell r="D29" t="str">
            <v/>
          </cell>
          <cell r="E29" t="str">
            <v/>
          </cell>
          <cell r="F29" t="str">
            <v/>
          </cell>
          <cell r="G29" t="str">
            <v/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  <cell r="N29" t="str">
            <v/>
          </cell>
          <cell r="O29" t="str">
            <v/>
          </cell>
          <cell r="P29" t="str">
            <v/>
          </cell>
          <cell r="Q29" t="str">
            <v/>
          </cell>
          <cell r="R29" t="str">
            <v/>
          </cell>
          <cell r="S29" t="str">
            <v/>
          </cell>
          <cell r="T29" t="str">
            <v/>
          </cell>
          <cell r="U29" t="str">
            <v/>
          </cell>
          <cell r="V29" t="str">
            <v/>
          </cell>
          <cell r="W29" t="str">
            <v/>
          </cell>
          <cell r="X29" t="str">
            <v/>
          </cell>
          <cell r="Y29" t="str">
            <v/>
          </cell>
          <cell r="Z29" t="str">
            <v/>
          </cell>
          <cell r="AA29" t="str">
            <v/>
          </cell>
          <cell r="AB29" t="str">
            <v/>
          </cell>
          <cell r="AC29" t="str">
            <v/>
          </cell>
          <cell r="AD29" t="str">
            <v/>
          </cell>
          <cell r="AE29" t="str">
            <v/>
          </cell>
          <cell r="AF29" t="str">
            <v/>
          </cell>
          <cell r="AG29" t="str">
            <v/>
          </cell>
          <cell r="AH29" t="str">
            <v/>
          </cell>
          <cell r="AI29" t="str">
            <v/>
          </cell>
        </row>
        <row r="30">
          <cell r="A30">
            <v>29</v>
          </cell>
          <cell r="B30">
            <v>3.01</v>
          </cell>
          <cell r="C30" t="str">
            <v/>
          </cell>
          <cell r="D30" t="str">
            <v/>
          </cell>
          <cell r="E30" t="str">
            <v/>
          </cell>
          <cell r="F30" t="str">
            <v/>
          </cell>
          <cell r="G30" t="str">
            <v/>
          </cell>
          <cell r="H30" t="str">
            <v/>
          </cell>
          <cell r="I30" t="str">
            <v/>
          </cell>
          <cell r="J30" t="str">
            <v/>
          </cell>
          <cell r="K30" t="str">
            <v/>
          </cell>
          <cell r="L30" t="str">
            <v/>
          </cell>
          <cell r="M30" t="str">
            <v/>
          </cell>
          <cell r="N30" t="str">
            <v/>
          </cell>
          <cell r="O30" t="str">
            <v/>
          </cell>
          <cell r="P30" t="str">
            <v/>
          </cell>
          <cell r="Q30" t="str">
            <v/>
          </cell>
          <cell r="R30" t="str">
            <v/>
          </cell>
          <cell r="S30" t="str">
            <v/>
          </cell>
          <cell r="T30" t="str">
            <v/>
          </cell>
          <cell r="U30" t="str">
            <v/>
          </cell>
          <cell r="V30" t="str">
            <v/>
          </cell>
          <cell r="W30" t="str">
            <v/>
          </cell>
          <cell r="X30" t="str">
            <v/>
          </cell>
          <cell r="Y30" t="str">
            <v/>
          </cell>
          <cell r="Z30" t="str">
            <v/>
          </cell>
          <cell r="AA30" t="str">
            <v/>
          </cell>
          <cell r="AB30" t="str">
            <v/>
          </cell>
          <cell r="AC30" t="str">
            <v/>
          </cell>
          <cell r="AD30" t="str">
            <v/>
          </cell>
          <cell r="AE30" t="str">
            <v/>
          </cell>
          <cell r="AF30" t="str">
            <v/>
          </cell>
          <cell r="AG30" t="str">
            <v/>
          </cell>
          <cell r="AH30" t="str">
            <v/>
          </cell>
          <cell r="AI30" t="str">
            <v/>
          </cell>
        </row>
        <row r="31">
          <cell r="A31">
            <v>30</v>
          </cell>
          <cell r="B31">
            <v>6.1</v>
          </cell>
          <cell r="C31" t="str">
            <v/>
          </cell>
          <cell r="D31" t="str">
            <v/>
          </cell>
          <cell r="E31" t="str">
            <v/>
          </cell>
          <cell r="F31" t="str">
            <v/>
          </cell>
          <cell r="G31" t="str">
            <v/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  <cell r="N31" t="str">
            <v/>
          </cell>
          <cell r="O31" t="str">
            <v/>
          </cell>
          <cell r="P31" t="str">
            <v/>
          </cell>
          <cell r="Q31" t="str">
            <v/>
          </cell>
          <cell r="R31" t="str">
            <v/>
          </cell>
          <cell r="S31" t="str">
            <v/>
          </cell>
          <cell r="T31" t="str">
            <v/>
          </cell>
          <cell r="U31" t="str">
            <v/>
          </cell>
          <cell r="V31" t="str">
            <v/>
          </cell>
          <cell r="W31" t="str">
            <v/>
          </cell>
          <cell r="X31" t="str">
            <v/>
          </cell>
          <cell r="Y31" t="str">
            <v/>
          </cell>
          <cell r="Z31" t="str">
            <v/>
          </cell>
          <cell r="AA31" t="str">
            <v/>
          </cell>
          <cell r="AB31" t="str">
            <v/>
          </cell>
          <cell r="AC31" t="str">
            <v/>
          </cell>
          <cell r="AD31" t="str">
            <v/>
          </cell>
          <cell r="AE31" t="str">
            <v/>
          </cell>
          <cell r="AF31" t="str">
            <v/>
          </cell>
          <cell r="AG31" t="str">
            <v/>
          </cell>
          <cell r="AH31" t="str">
            <v/>
          </cell>
          <cell r="AI31" t="str">
            <v/>
          </cell>
        </row>
        <row r="32">
          <cell r="A32">
            <v>31</v>
          </cell>
          <cell r="B32">
            <v>3.09</v>
          </cell>
          <cell r="C32" t="str">
            <v/>
          </cell>
          <cell r="D32" t="str">
            <v/>
          </cell>
          <cell r="E32" t="str">
            <v/>
          </cell>
          <cell r="F32" t="str">
            <v/>
          </cell>
          <cell r="G32" t="str">
            <v/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  <cell r="N32" t="str">
            <v/>
          </cell>
          <cell r="O32" t="str">
            <v/>
          </cell>
          <cell r="P32" t="str">
            <v/>
          </cell>
          <cell r="Q32" t="str">
            <v/>
          </cell>
          <cell r="R32" t="str">
            <v/>
          </cell>
          <cell r="S32" t="str">
            <v/>
          </cell>
          <cell r="T32" t="str">
            <v/>
          </cell>
          <cell r="U32" t="str">
            <v/>
          </cell>
          <cell r="V32" t="str">
            <v/>
          </cell>
          <cell r="W32" t="str">
            <v/>
          </cell>
          <cell r="X32" t="str">
            <v/>
          </cell>
          <cell r="Y32" t="str">
            <v/>
          </cell>
          <cell r="Z32" t="str">
            <v/>
          </cell>
          <cell r="AA32" t="str">
            <v/>
          </cell>
          <cell r="AB32" t="str">
            <v/>
          </cell>
          <cell r="AC32" t="str">
            <v/>
          </cell>
          <cell r="AD32" t="str">
            <v/>
          </cell>
          <cell r="AE32" t="str">
            <v/>
          </cell>
          <cell r="AF32" t="str">
            <v/>
          </cell>
          <cell r="AG32" t="str">
            <v/>
          </cell>
          <cell r="AH32" t="str">
            <v/>
          </cell>
          <cell r="AI32" t="str">
            <v/>
          </cell>
        </row>
        <row r="33">
          <cell r="A33">
            <v>32</v>
          </cell>
          <cell r="B33">
            <v>7.5</v>
          </cell>
          <cell r="C33" t="str">
            <v/>
          </cell>
          <cell r="D33" t="str">
            <v/>
          </cell>
          <cell r="E33" t="str">
            <v/>
          </cell>
          <cell r="F33" t="str">
            <v/>
          </cell>
          <cell r="G33" t="str">
            <v/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  <cell r="N33" t="str">
            <v/>
          </cell>
          <cell r="O33" t="str">
            <v/>
          </cell>
          <cell r="P33" t="str">
            <v/>
          </cell>
          <cell r="Q33" t="str">
            <v/>
          </cell>
          <cell r="R33" t="str">
            <v/>
          </cell>
          <cell r="S33" t="str">
            <v/>
          </cell>
          <cell r="T33" t="str">
            <v/>
          </cell>
          <cell r="U33" t="str">
            <v/>
          </cell>
          <cell r="V33" t="str">
            <v/>
          </cell>
          <cell r="W33" t="str">
            <v/>
          </cell>
          <cell r="X33" t="str">
            <v/>
          </cell>
          <cell r="Y33" t="str">
            <v/>
          </cell>
          <cell r="Z33" t="str">
            <v/>
          </cell>
          <cell r="AA33" t="str">
            <v/>
          </cell>
          <cell r="AB33" t="str">
            <v/>
          </cell>
          <cell r="AC33" t="str">
            <v/>
          </cell>
          <cell r="AD33" t="str">
            <v/>
          </cell>
          <cell r="AE33" t="str">
            <v/>
          </cell>
          <cell r="AF33" t="str">
            <v/>
          </cell>
          <cell r="AG33" t="str">
            <v/>
          </cell>
          <cell r="AH33" t="str">
            <v/>
          </cell>
          <cell r="AI33" t="str">
            <v/>
          </cell>
        </row>
        <row r="34">
          <cell r="A34">
            <v>33</v>
          </cell>
          <cell r="B34">
            <v>3.17</v>
          </cell>
          <cell r="C34" t="str">
            <v/>
          </cell>
          <cell r="D34" t="str">
            <v/>
          </cell>
          <cell r="E34" t="str">
            <v/>
          </cell>
          <cell r="F34" t="str">
            <v/>
          </cell>
          <cell r="G34" t="str">
            <v/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  <cell r="N34" t="str">
            <v/>
          </cell>
          <cell r="O34" t="str">
            <v/>
          </cell>
          <cell r="P34" t="str">
            <v/>
          </cell>
          <cell r="Q34" t="str">
            <v/>
          </cell>
          <cell r="R34" t="str">
            <v/>
          </cell>
          <cell r="S34" t="str">
            <v/>
          </cell>
          <cell r="T34" t="str">
            <v/>
          </cell>
          <cell r="U34" t="str">
            <v/>
          </cell>
          <cell r="V34" t="str">
            <v/>
          </cell>
          <cell r="W34" t="str">
            <v/>
          </cell>
          <cell r="X34" t="str">
            <v/>
          </cell>
          <cell r="Y34" t="str">
            <v/>
          </cell>
          <cell r="Z34" t="str">
            <v/>
          </cell>
          <cell r="AA34" t="str">
            <v/>
          </cell>
          <cell r="AB34" t="str">
            <v/>
          </cell>
          <cell r="AC34" t="str">
            <v/>
          </cell>
          <cell r="AD34" t="str">
            <v/>
          </cell>
          <cell r="AE34" t="str">
            <v/>
          </cell>
          <cell r="AF34" t="str">
            <v/>
          </cell>
          <cell r="AG34" t="str">
            <v/>
          </cell>
          <cell r="AH34" t="str">
            <v/>
          </cell>
          <cell r="AI34" t="str">
            <v/>
          </cell>
        </row>
        <row r="35">
          <cell r="A35">
            <v>34</v>
          </cell>
          <cell r="B35">
            <v>3.14</v>
          </cell>
          <cell r="C35" t="str">
            <v/>
          </cell>
          <cell r="D35" t="str">
            <v/>
          </cell>
          <cell r="E35" t="str">
            <v/>
          </cell>
          <cell r="F35" t="str">
            <v/>
          </cell>
          <cell r="G35" t="str">
            <v/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  <cell r="N35" t="str">
            <v/>
          </cell>
          <cell r="O35" t="str">
            <v/>
          </cell>
          <cell r="P35" t="str">
            <v/>
          </cell>
          <cell r="Q35" t="str">
            <v/>
          </cell>
          <cell r="R35" t="str">
            <v/>
          </cell>
          <cell r="S35" t="str">
            <v/>
          </cell>
          <cell r="T35" t="str">
            <v/>
          </cell>
          <cell r="U35" t="str">
            <v/>
          </cell>
          <cell r="V35" t="str">
            <v/>
          </cell>
          <cell r="W35" t="str">
            <v/>
          </cell>
          <cell r="X35" t="str">
            <v/>
          </cell>
          <cell r="Y35" t="str">
            <v/>
          </cell>
          <cell r="Z35" t="str">
            <v/>
          </cell>
          <cell r="AA35" t="str">
            <v/>
          </cell>
          <cell r="AB35" t="str">
            <v/>
          </cell>
          <cell r="AC35" t="str">
            <v/>
          </cell>
          <cell r="AD35" t="str">
            <v/>
          </cell>
          <cell r="AE35" t="str">
            <v/>
          </cell>
          <cell r="AF35" t="str">
            <v/>
          </cell>
          <cell r="AG35" t="str">
            <v/>
          </cell>
          <cell r="AH35" t="str">
            <v/>
          </cell>
          <cell r="AI35" t="str">
            <v/>
          </cell>
        </row>
        <row r="36">
          <cell r="A36">
            <v>35</v>
          </cell>
          <cell r="B36">
            <v>6.5</v>
          </cell>
          <cell r="C36" t="str">
            <v/>
          </cell>
          <cell r="D36" t="str">
            <v/>
          </cell>
          <cell r="E36" t="str">
            <v/>
          </cell>
          <cell r="F36" t="str">
            <v/>
          </cell>
          <cell r="G36" t="str">
            <v/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  <cell r="N36" t="str">
            <v/>
          </cell>
          <cell r="O36" t="str">
            <v/>
          </cell>
          <cell r="P36" t="str">
            <v/>
          </cell>
          <cell r="Q36" t="str">
            <v/>
          </cell>
          <cell r="R36" t="str">
            <v/>
          </cell>
          <cell r="S36" t="str">
            <v/>
          </cell>
          <cell r="T36" t="str">
            <v/>
          </cell>
          <cell r="U36" t="str">
            <v/>
          </cell>
          <cell r="V36" t="str">
            <v/>
          </cell>
          <cell r="W36" t="str">
            <v/>
          </cell>
          <cell r="X36" t="str">
            <v/>
          </cell>
          <cell r="Y36" t="str">
            <v/>
          </cell>
          <cell r="Z36" t="str">
            <v/>
          </cell>
          <cell r="AA36" t="str">
            <v/>
          </cell>
          <cell r="AB36" t="str">
            <v/>
          </cell>
          <cell r="AC36" t="str">
            <v/>
          </cell>
          <cell r="AD36" t="str">
            <v/>
          </cell>
          <cell r="AE36" t="str">
            <v/>
          </cell>
          <cell r="AF36" t="str">
            <v/>
          </cell>
          <cell r="AG36" t="str">
            <v/>
          </cell>
          <cell r="AH36" t="str">
            <v/>
          </cell>
          <cell r="AI36" t="str">
            <v/>
          </cell>
        </row>
        <row r="37">
          <cell r="A37">
            <v>36</v>
          </cell>
          <cell r="B37">
            <v>7.2</v>
          </cell>
          <cell r="C37" t="str">
            <v/>
          </cell>
          <cell r="D37" t="str">
            <v/>
          </cell>
          <cell r="E37" t="str">
            <v/>
          </cell>
          <cell r="F37" t="str">
            <v/>
          </cell>
          <cell r="G37" t="str">
            <v/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  <cell r="N37" t="str">
            <v/>
          </cell>
          <cell r="O37" t="str">
            <v/>
          </cell>
          <cell r="P37" t="str">
            <v/>
          </cell>
          <cell r="Q37" t="str">
            <v/>
          </cell>
          <cell r="R37" t="str">
            <v/>
          </cell>
          <cell r="S37" t="str">
            <v/>
          </cell>
          <cell r="T37" t="str">
            <v/>
          </cell>
          <cell r="U37" t="str">
            <v/>
          </cell>
          <cell r="V37" t="str">
            <v/>
          </cell>
          <cell r="W37" t="str">
            <v/>
          </cell>
          <cell r="X37" t="str">
            <v/>
          </cell>
          <cell r="Y37" t="str">
            <v/>
          </cell>
          <cell r="Z37" t="str">
            <v/>
          </cell>
          <cell r="AA37" t="str">
            <v/>
          </cell>
          <cell r="AB37" t="str">
            <v/>
          </cell>
          <cell r="AC37" t="str">
            <v/>
          </cell>
          <cell r="AD37" t="str">
            <v/>
          </cell>
          <cell r="AE37" t="str">
            <v/>
          </cell>
          <cell r="AF37" t="str">
            <v/>
          </cell>
          <cell r="AG37" t="str">
            <v/>
          </cell>
          <cell r="AH37" t="str">
            <v/>
          </cell>
          <cell r="AI37" t="str">
            <v/>
          </cell>
        </row>
        <row r="38">
          <cell r="A38">
            <v>37</v>
          </cell>
          <cell r="B38">
            <v>1.1000000000000001</v>
          </cell>
          <cell r="C38" t="str">
            <v/>
          </cell>
          <cell r="D38" t="str">
            <v/>
          </cell>
          <cell r="E38" t="str">
            <v/>
          </cell>
          <cell r="F38" t="str">
            <v/>
          </cell>
          <cell r="G38" t="str">
            <v/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  <cell r="N38" t="str">
            <v/>
          </cell>
          <cell r="O38" t="str">
            <v/>
          </cell>
          <cell r="P38" t="str">
            <v/>
          </cell>
          <cell r="Q38" t="str">
            <v/>
          </cell>
          <cell r="R38" t="str">
            <v/>
          </cell>
          <cell r="S38" t="str">
            <v/>
          </cell>
          <cell r="T38" t="str">
            <v/>
          </cell>
          <cell r="U38" t="str">
            <v/>
          </cell>
          <cell r="V38" t="str">
            <v/>
          </cell>
          <cell r="W38" t="str">
            <v/>
          </cell>
          <cell r="X38" t="str">
            <v/>
          </cell>
          <cell r="Y38" t="str">
            <v/>
          </cell>
          <cell r="Z38" t="str">
            <v/>
          </cell>
          <cell r="AA38" t="str">
            <v/>
          </cell>
          <cell r="AB38" t="str">
            <v/>
          </cell>
          <cell r="AC38" t="str">
            <v/>
          </cell>
          <cell r="AD38" t="str">
            <v/>
          </cell>
          <cell r="AE38" t="str">
            <v/>
          </cell>
          <cell r="AF38" t="str">
            <v/>
          </cell>
          <cell r="AG38" t="str">
            <v/>
          </cell>
          <cell r="AH38" t="str">
            <v/>
          </cell>
          <cell r="AI38" t="str">
            <v/>
          </cell>
        </row>
        <row r="39">
          <cell r="A39">
            <v>38</v>
          </cell>
          <cell r="B39">
            <v>3.01</v>
          </cell>
          <cell r="C39" t="str">
            <v/>
          </cell>
          <cell r="D39" t="str">
            <v/>
          </cell>
          <cell r="E39" t="str">
            <v/>
          </cell>
          <cell r="F39" t="str">
            <v/>
          </cell>
          <cell r="G39" t="str">
            <v/>
          </cell>
          <cell r="H39" t="str">
            <v/>
          </cell>
          <cell r="I39" t="str">
            <v/>
          </cell>
          <cell r="J39" t="str">
            <v/>
          </cell>
          <cell r="K39" t="str">
            <v/>
          </cell>
          <cell r="L39" t="str">
            <v/>
          </cell>
          <cell r="M39" t="str">
            <v/>
          </cell>
          <cell r="N39" t="str">
            <v/>
          </cell>
          <cell r="O39" t="str">
            <v/>
          </cell>
          <cell r="P39" t="str">
            <v/>
          </cell>
          <cell r="Q39" t="str">
            <v/>
          </cell>
          <cell r="R39" t="str">
            <v/>
          </cell>
          <cell r="S39" t="str">
            <v/>
          </cell>
          <cell r="T39" t="str">
            <v/>
          </cell>
          <cell r="U39" t="str">
            <v/>
          </cell>
          <cell r="V39" t="str">
            <v/>
          </cell>
          <cell r="W39" t="str">
            <v/>
          </cell>
          <cell r="X39" t="str">
            <v/>
          </cell>
          <cell r="Y39" t="str">
            <v/>
          </cell>
          <cell r="Z39" t="str">
            <v/>
          </cell>
          <cell r="AA39" t="str">
            <v/>
          </cell>
          <cell r="AB39" t="str">
            <v/>
          </cell>
          <cell r="AC39" t="str">
            <v/>
          </cell>
          <cell r="AD39" t="str">
            <v/>
          </cell>
          <cell r="AE39" t="str">
            <v/>
          </cell>
          <cell r="AF39" t="str">
            <v/>
          </cell>
          <cell r="AG39" t="str">
            <v/>
          </cell>
          <cell r="AH39" t="str">
            <v/>
          </cell>
          <cell r="AI39" t="str">
            <v/>
          </cell>
        </row>
        <row r="40">
          <cell r="A40">
            <v>39</v>
          </cell>
          <cell r="B40">
            <v>4.0999999999999996</v>
          </cell>
          <cell r="C40" t="str">
            <v/>
          </cell>
          <cell r="D40" t="str">
            <v/>
          </cell>
          <cell r="E40" t="str">
            <v/>
          </cell>
          <cell r="F40" t="str">
            <v/>
          </cell>
          <cell r="G40" t="str">
            <v/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  <cell r="N40" t="str">
            <v/>
          </cell>
          <cell r="O40" t="str">
            <v/>
          </cell>
          <cell r="P40" t="str">
            <v/>
          </cell>
          <cell r="Q40" t="str">
            <v/>
          </cell>
          <cell r="R40" t="str">
            <v/>
          </cell>
          <cell r="S40" t="str">
            <v/>
          </cell>
          <cell r="T40" t="str">
            <v/>
          </cell>
          <cell r="U40" t="str">
            <v/>
          </cell>
          <cell r="V40" t="str">
            <v/>
          </cell>
          <cell r="W40" t="str">
            <v/>
          </cell>
          <cell r="X40" t="str">
            <v/>
          </cell>
          <cell r="Y40" t="str">
            <v/>
          </cell>
          <cell r="Z40" t="str">
            <v/>
          </cell>
          <cell r="AA40" t="str">
            <v/>
          </cell>
          <cell r="AB40" t="str">
            <v/>
          </cell>
          <cell r="AC40" t="str">
            <v/>
          </cell>
          <cell r="AD40" t="str">
            <v/>
          </cell>
          <cell r="AE40" t="str">
            <v/>
          </cell>
          <cell r="AF40" t="str">
            <v/>
          </cell>
          <cell r="AG40" t="str">
            <v/>
          </cell>
          <cell r="AH40" t="str">
            <v/>
          </cell>
          <cell r="AI40" t="str">
            <v/>
          </cell>
        </row>
        <row r="41">
          <cell r="A41">
            <v>40</v>
          </cell>
          <cell r="B41">
            <v>6.3</v>
          </cell>
          <cell r="C41" t="str">
            <v/>
          </cell>
          <cell r="D41" t="str">
            <v/>
          </cell>
          <cell r="E41" t="str">
            <v/>
          </cell>
          <cell r="F41" t="str">
            <v/>
          </cell>
          <cell r="G41" t="str">
            <v/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  <cell r="N41" t="str">
            <v/>
          </cell>
          <cell r="O41" t="str">
            <v/>
          </cell>
          <cell r="P41" t="str">
            <v/>
          </cell>
          <cell r="Q41" t="str">
            <v/>
          </cell>
          <cell r="R41" t="str">
            <v/>
          </cell>
          <cell r="S41" t="str">
            <v/>
          </cell>
          <cell r="T41" t="str">
            <v/>
          </cell>
          <cell r="U41" t="str">
            <v/>
          </cell>
          <cell r="V41" t="str">
            <v/>
          </cell>
          <cell r="W41" t="str">
            <v/>
          </cell>
          <cell r="X41" t="str">
            <v/>
          </cell>
          <cell r="Y41" t="str">
            <v/>
          </cell>
          <cell r="Z41" t="str">
            <v/>
          </cell>
          <cell r="AA41" t="str">
            <v/>
          </cell>
          <cell r="AB41" t="str">
            <v/>
          </cell>
          <cell r="AC41" t="str">
            <v/>
          </cell>
          <cell r="AD41" t="str">
            <v/>
          </cell>
          <cell r="AE41" t="str">
            <v/>
          </cell>
          <cell r="AF41" t="str">
            <v/>
          </cell>
          <cell r="AG41" t="str">
            <v/>
          </cell>
          <cell r="AH41" t="str">
            <v/>
          </cell>
          <cell r="AI41" t="str">
            <v/>
          </cell>
        </row>
        <row r="42">
          <cell r="A42">
            <v>41</v>
          </cell>
          <cell r="B42">
            <v>3.07</v>
          </cell>
          <cell r="C42" t="str">
            <v/>
          </cell>
          <cell r="D42" t="str">
            <v/>
          </cell>
          <cell r="E42" t="str">
            <v/>
          </cell>
          <cell r="F42" t="str">
            <v/>
          </cell>
          <cell r="G42" t="str">
            <v/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  <cell r="N42" t="str">
            <v/>
          </cell>
          <cell r="O42" t="str">
            <v/>
          </cell>
          <cell r="P42" t="str">
            <v/>
          </cell>
          <cell r="Q42" t="str">
            <v/>
          </cell>
          <cell r="R42" t="str">
            <v/>
          </cell>
          <cell r="S42" t="str">
            <v/>
          </cell>
          <cell r="T42" t="str">
            <v/>
          </cell>
          <cell r="U42" t="str">
            <v/>
          </cell>
          <cell r="V42" t="str">
            <v/>
          </cell>
          <cell r="W42" t="str">
            <v/>
          </cell>
          <cell r="X42" t="str">
            <v/>
          </cell>
          <cell r="Y42" t="str">
            <v/>
          </cell>
          <cell r="Z42" t="str">
            <v/>
          </cell>
          <cell r="AA42" t="str">
            <v/>
          </cell>
          <cell r="AB42" t="str">
            <v/>
          </cell>
          <cell r="AC42" t="str">
            <v/>
          </cell>
          <cell r="AD42" t="str">
            <v/>
          </cell>
          <cell r="AE42" t="str">
            <v/>
          </cell>
          <cell r="AF42" t="str">
            <v/>
          </cell>
          <cell r="AG42" t="str">
            <v/>
          </cell>
          <cell r="AH42" t="str">
            <v/>
          </cell>
          <cell r="AI42" t="str">
            <v/>
          </cell>
        </row>
        <row r="43">
          <cell r="A43">
            <v>42</v>
          </cell>
          <cell r="B43">
            <v>3.07</v>
          </cell>
          <cell r="C43" t="str">
            <v/>
          </cell>
          <cell r="D43" t="str">
            <v/>
          </cell>
          <cell r="E43" t="str">
            <v/>
          </cell>
          <cell r="F43" t="str">
            <v/>
          </cell>
          <cell r="G43" t="str">
            <v/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  <cell r="N43" t="str">
            <v/>
          </cell>
          <cell r="O43" t="str">
            <v/>
          </cell>
          <cell r="P43" t="str">
            <v/>
          </cell>
          <cell r="Q43" t="str">
            <v/>
          </cell>
          <cell r="R43" t="str">
            <v/>
          </cell>
          <cell r="S43" t="str">
            <v/>
          </cell>
          <cell r="T43" t="str">
            <v/>
          </cell>
          <cell r="U43" t="str">
            <v/>
          </cell>
          <cell r="V43" t="str">
            <v/>
          </cell>
          <cell r="W43" t="str">
            <v/>
          </cell>
          <cell r="X43" t="str">
            <v/>
          </cell>
          <cell r="Y43" t="str">
            <v/>
          </cell>
          <cell r="Z43" t="str">
            <v/>
          </cell>
          <cell r="AA43" t="str">
            <v/>
          </cell>
          <cell r="AB43" t="str">
            <v/>
          </cell>
          <cell r="AC43" t="str">
            <v/>
          </cell>
          <cell r="AD43" t="str">
            <v/>
          </cell>
          <cell r="AE43" t="str">
            <v/>
          </cell>
          <cell r="AF43" t="str">
            <v/>
          </cell>
          <cell r="AG43" t="str">
            <v/>
          </cell>
          <cell r="AH43" t="str">
            <v/>
          </cell>
          <cell r="AI43" t="str">
            <v/>
          </cell>
        </row>
        <row r="44">
          <cell r="A44">
            <v>43</v>
          </cell>
          <cell r="B44">
            <v>6.7</v>
          </cell>
          <cell r="C44" t="str">
            <v/>
          </cell>
          <cell r="D44" t="str">
            <v/>
          </cell>
          <cell r="E44" t="str">
            <v/>
          </cell>
          <cell r="F44" t="str">
            <v/>
          </cell>
          <cell r="G44" t="str">
            <v/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  <cell r="N44" t="str">
            <v/>
          </cell>
          <cell r="O44" t="str">
            <v/>
          </cell>
          <cell r="P44" t="str">
            <v/>
          </cell>
          <cell r="Q44" t="str">
            <v/>
          </cell>
          <cell r="R44" t="str">
            <v/>
          </cell>
          <cell r="S44" t="str">
            <v/>
          </cell>
          <cell r="T44" t="str">
            <v/>
          </cell>
          <cell r="U44" t="str">
            <v/>
          </cell>
          <cell r="V44" t="str">
            <v/>
          </cell>
          <cell r="W44" t="str">
            <v/>
          </cell>
          <cell r="X44" t="str">
            <v/>
          </cell>
          <cell r="Y44" t="str">
            <v/>
          </cell>
          <cell r="Z44" t="str">
            <v/>
          </cell>
          <cell r="AA44" t="str">
            <v/>
          </cell>
          <cell r="AB44" t="str">
            <v/>
          </cell>
          <cell r="AC44" t="str">
            <v/>
          </cell>
          <cell r="AD44" t="str">
            <v/>
          </cell>
          <cell r="AE44" t="str">
            <v/>
          </cell>
          <cell r="AF44" t="str">
            <v/>
          </cell>
          <cell r="AG44" t="str">
            <v/>
          </cell>
          <cell r="AH44" t="str">
            <v/>
          </cell>
          <cell r="AI44" t="str">
            <v/>
          </cell>
        </row>
        <row r="45">
          <cell r="A45">
            <v>44</v>
          </cell>
          <cell r="B45">
            <v>7.5</v>
          </cell>
          <cell r="C45" t="str">
            <v/>
          </cell>
          <cell r="D45" t="str">
            <v/>
          </cell>
          <cell r="E45" t="str">
            <v/>
          </cell>
          <cell r="F45" t="str">
            <v/>
          </cell>
          <cell r="G45" t="str">
            <v/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  <cell r="N45" t="str">
            <v/>
          </cell>
          <cell r="O45" t="str">
            <v/>
          </cell>
          <cell r="P45" t="str">
            <v/>
          </cell>
          <cell r="Q45" t="str">
            <v/>
          </cell>
          <cell r="R45" t="str">
            <v/>
          </cell>
          <cell r="S45" t="str">
            <v/>
          </cell>
          <cell r="T45" t="str">
            <v/>
          </cell>
          <cell r="U45" t="str">
            <v/>
          </cell>
          <cell r="V45" t="str">
            <v/>
          </cell>
          <cell r="W45" t="str">
            <v/>
          </cell>
          <cell r="X45" t="str">
            <v/>
          </cell>
          <cell r="Y45" t="str">
            <v/>
          </cell>
          <cell r="Z45" t="str">
            <v/>
          </cell>
          <cell r="AA45" t="str">
            <v/>
          </cell>
          <cell r="AB45" t="str">
            <v/>
          </cell>
          <cell r="AC45" t="str">
            <v/>
          </cell>
          <cell r="AD45" t="str">
            <v/>
          </cell>
          <cell r="AE45" t="str">
            <v/>
          </cell>
          <cell r="AF45" t="str">
            <v/>
          </cell>
          <cell r="AG45" t="str">
            <v/>
          </cell>
          <cell r="AH45" t="str">
            <v/>
          </cell>
          <cell r="AI45" t="str">
            <v/>
          </cell>
        </row>
        <row r="46">
          <cell r="A46">
            <v>45</v>
          </cell>
          <cell r="B46">
            <v>4.09</v>
          </cell>
          <cell r="C46" t="str">
            <v/>
          </cell>
          <cell r="D46" t="str">
            <v/>
          </cell>
          <cell r="E46" t="str">
            <v/>
          </cell>
          <cell r="F46" t="str">
            <v/>
          </cell>
          <cell r="G46" t="str">
            <v/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  <cell r="N46" t="str">
            <v/>
          </cell>
          <cell r="O46" t="str">
            <v/>
          </cell>
          <cell r="P46" t="str">
            <v/>
          </cell>
          <cell r="Q46" t="str">
            <v/>
          </cell>
          <cell r="R46" t="str">
            <v/>
          </cell>
          <cell r="S46" t="str">
            <v/>
          </cell>
          <cell r="T46" t="str">
            <v/>
          </cell>
          <cell r="U46" t="str">
            <v/>
          </cell>
          <cell r="V46" t="str">
            <v/>
          </cell>
          <cell r="W46" t="str">
            <v/>
          </cell>
          <cell r="X46" t="str">
            <v/>
          </cell>
          <cell r="Y46" t="str">
            <v/>
          </cell>
          <cell r="Z46" t="str">
            <v/>
          </cell>
          <cell r="AA46" t="str">
            <v/>
          </cell>
          <cell r="AB46" t="str">
            <v/>
          </cell>
          <cell r="AC46" t="str">
            <v/>
          </cell>
          <cell r="AD46" t="str">
            <v/>
          </cell>
          <cell r="AE46" t="str">
            <v/>
          </cell>
          <cell r="AF46" t="str">
            <v/>
          </cell>
          <cell r="AG46" t="str">
            <v/>
          </cell>
          <cell r="AH46" t="str">
            <v/>
          </cell>
          <cell r="AI46" t="str">
            <v/>
          </cell>
        </row>
        <row r="47">
          <cell r="A47">
            <v>46</v>
          </cell>
          <cell r="B47">
            <v>6.1</v>
          </cell>
          <cell r="C47" t="str">
            <v/>
          </cell>
          <cell r="D47" t="str">
            <v/>
          </cell>
          <cell r="E47" t="str">
            <v/>
          </cell>
          <cell r="F47" t="str">
            <v/>
          </cell>
          <cell r="G47" t="str">
            <v/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  <cell r="N47" t="str">
            <v/>
          </cell>
          <cell r="O47" t="str">
            <v/>
          </cell>
          <cell r="P47" t="str">
            <v/>
          </cell>
          <cell r="Q47" t="str">
            <v/>
          </cell>
          <cell r="R47" t="str">
            <v/>
          </cell>
          <cell r="S47" t="str">
            <v/>
          </cell>
          <cell r="T47" t="str">
            <v/>
          </cell>
          <cell r="U47" t="str">
            <v/>
          </cell>
          <cell r="V47" t="str">
            <v/>
          </cell>
          <cell r="W47" t="str">
            <v/>
          </cell>
          <cell r="X47" t="str">
            <v/>
          </cell>
          <cell r="Y47" t="str">
            <v/>
          </cell>
          <cell r="Z47" t="str">
            <v/>
          </cell>
          <cell r="AA47" t="str">
            <v/>
          </cell>
          <cell r="AB47" t="str">
            <v/>
          </cell>
          <cell r="AC47" t="str">
            <v/>
          </cell>
          <cell r="AD47" t="str">
            <v/>
          </cell>
          <cell r="AE47" t="str">
            <v/>
          </cell>
          <cell r="AF47" t="str">
            <v/>
          </cell>
          <cell r="AG47" t="str">
            <v/>
          </cell>
          <cell r="AH47" t="str">
            <v/>
          </cell>
          <cell r="AI47" t="str">
            <v/>
          </cell>
        </row>
        <row r="48">
          <cell r="A48">
            <v>47</v>
          </cell>
          <cell r="B48">
            <v>5.4</v>
          </cell>
          <cell r="C48" t="str">
            <v/>
          </cell>
          <cell r="D48" t="str">
            <v/>
          </cell>
          <cell r="E48" t="str">
            <v/>
          </cell>
          <cell r="F48" t="str">
            <v/>
          </cell>
          <cell r="G48" t="str">
            <v/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  <cell r="N48" t="str">
            <v/>
          </cell>
          <cell r="O48" t="str">
            <v/>
          </cell>
          <cell r="P48" t="str">
            <v/>
          </cell>
          <cell r="Q48" t="str">
            <v/>
          </cell>
          <cell r="R48" t="str">
            <v/>
          </cell>
          <cell r="S48" t="str">
            <v/>
          </cell>
          <cell r="T48" t="str">
            <v/>
          </cell>
          <cell r="U48" t="str">
            <v/>
          </cell>
          <cell r="V48" t="str">
            <v/>
          </cell>
          <cell r="W48" t="str">
            <v/>
          </cell>
          <cell r="X48" t="str">
            <v/>
          </cell>
          <cell r="Y48" t="str">
            <v/>
          </cell>
          <cell r="Z48" t="str">
            <v/>
          </cell>
          <cell r="AA48" t="str">
            <v/>
          </cell>
          <cell r="AB48" t="str">
            <v/>
          </cell>
          <cell r="AC48" t="str">
            <v/>
          </cell>
          <cell r="AD48" t="str">
            <v/>
          </cell>
          <cell r="AE48" t="str">
            <v/>
          </cell>
          <cell r="AF48" t="str">
            <v/>
          </cell>
          <cell r="AG48" t="str">
            <v/>
          </cell>
          <cell r="AH48" t="str">
            <v/>
          </cell>
          <cell r="AI48" t="str">
            <v/>
          </cell>
        </row>
        <row r="49">
          <cell r="A49">
            <v>48</v>
          </cell>
          <cell r="B49">
            <v>3.07</v>
          </cell>
          <cell r="C49" t="str">
            <v/>
          </cell>
          <cell r="D49" t="str">
            <v/>
          </cell>
          <cell r="E49" t="str">
            <v/>
          </cell>
          <cell r="F49" t="str">
            <v/>
          </cell>
          <cell r="G49" t="str">
            <v/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  <cell r="N49" t="str">
            <v/>
          </cell>
          <cell r="O49" t="str">
            <v/>
          </cell>
          <cell r="P49" t="str">
            <v/>
          </cell>
          <cell r="Q49" t="str">
            <v/>
          </cell>
          <cell r="R49" t="str">
            <v/>
          </cell>
          <cell r="S49" t="str">
            <v/>
          </cell>
          <cell r="T49" t="str">
            <v/>
          </cell>
          <cell r="U49" t="str">
            <v/>
          </cell>
          <cell r="V49" t="str">
            <v/>
          </cell>
          <cell r="W49" t="str">
            <v/>
          </cell>
          <cell r="X49" t="str">
            <v/>
          </cell>
          <cell r="Y49" t="str">
            <v/>
          </cell>
          <cell r="Z49" t="str">
            <v/>
          </cell>
          <cell r="AA49" t="str">
            <v/>
          </cell>
          <cell r="AB49" t="str">
            <v/>
          </cell>
          <cell r="AC49" t="str">
            <v/>
          </cell>
          <cell r="AD49" t="str">
            <v/>
          </cell>
          <cell r="AE49" t="str">
            <v/>
          </cell>
          <cell r="AF49" t="str">
            <v/>
          </cell>
          <cell r="AG49" t="str">
            <v/>
          </cell>
          <cell r="AH49" t="str">
            <v/>
          </cell>
          <cell r="AI49" t="str">
            <v/>
          </cell>
        </row>
        <row r="50">
          <cell r="A50">
            <v>49</v>
          </cell>
          <cell r="B50">
            <v>3.01</v>
          </cell>
          <cell r="C50" t="str">
            <v/>
          </cell>
          <cell r="D50" t="str">
            <v/>
          </cell>
          <cell r="E50" t="str">
            <v/>
          </cell>
          <cell r="F50" t="str">
            <v/>
          </cell>
          <cell r="G50" t="str">
            <v/>
          </cell>
          <cell r="H50" t="str">
            <v/>
          </cell>
          <cell r="I50" t="str">
            <v/>
          </cell>
          <cell r="J50" t="str">
            <v/>
          </cell>
          <cell r="K50" t="str">
            <v/>
          </cell>
          <cell r="L50" t="str">
            <v/>
          </cell>
          <cell r="M50" t="str">
            <v/>
          </cell>
          <cell r="N50" t="str">
            <v/>
          </cell>
          <cell r="O50" t="str">
            <v/>
          </cell>
          <cell r="P50" t="str">
            <v/>
          </cell>
          <cell r="Q50" t="str">
            <v/>
          </cell>
          <cell r="R50" t="str">
            <v/>
          </cell>
          <cell r="S50" t="str">
            <v/>
          </cell>
          <cell r="T50" t="str">
            <v/>
          </cell>
          <cell r="U50" t="str">
            <v/>
          </cell>
          <cell r="V50" t="str">
            <v/>
          </cell>
          <cell r="W50" t="str">
            <v/>
          </cell>
          <cell r="X50" t="str">
            <v/>
          </cell>
          <cell r="Y50" t="str">
            <v/>
          </cell>
          <cell r="Z50" t="str">
            <v/>
          </cell>
          <cell r="AA50" t="str">
            <v/>
          </cell>
          <cell r="AB50" t="str">
            <v/>
          </cell>
          <cell r="AC50" t="str">
            <v/>
          </cell>
          <cell r="AD50" t="str">
            <v/>
          </cell>
          <cell r="AE50" t="str">
            <v/>
          </cell>
          <cell r="AF50" t="str">
            <v/>
          </cell>
          <cell r="AG50" t="str">
            <v/>
          </cell>
          <cell r="AH50" t="str">
            <v/>
          </cell>
          <cell r="AI50" t="str">
            <v/>
          </cell>
        </row>
        <row r="51">
          <cell r="A51">
            <v>50</v>
          </cell>
          <cell r="B51">
            <v>6.3</v>
          </cell>
          <cell r="C51" t="str">
            <v/>
          </cell>
          <cell r="D51" t="str">
            <v/>
          </cell>
          <cell r="E51" t="str">
            <v/>
          </cell>
          <cell r="F51" t="str">
            <v/>
          </cell>
          <cell r="G51" t="str">
            <v/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  <cell r="N51" t="str">
            <v/>
          </cell>
          <cell r="O51" t="str">
            <v/>
          </cell>
          <cell r="P51" t="str">
            <v/>
          </cell>
          <cell r="Q51" t="str">
            <v/>
          </cell>
          <cell r="R51" t="str">
            <v/>
          </cell>
          <cell r="S51" t="str">
            <v/>
          </cell>
          <cell r="T51" t="str">
            <v/>
          </cell>
          <cell r="U51" t="str">
            <v/>
          </cell>
          <cell r="V51" t="str">
            <v/>
          </cell>
          <cell r="W51" t="str">
            <v/>
          </cell>
          <cell r="X51" t="str">
            <v/>
          </cell>
          <cell r="Y51" t="str">
            <v/>
          </cell>
          <cell r="Z51" t="str">
            <v/>
          </cell>
          <cell r="AA51" t="str">
            <v/>
          </cell>
          <cell r="AB51" t="str">
            <v/>
          </cell>
          <cell r="AC51" t="str">
            <v/>
          </cell>
          <cell r="AD51" t="str">
            <v/>
          </cell>
          <cell r="AE51" t="str">
            <v/>
          </cell>
          <cell r="AF51" t="str">
            <v/>
          </cell>
          <cell r="AG51" t="str">
            <v/>
          </cell>
          <cell r="AH51" t="str">
            <v/>
          </cell>
          <cell r="AI51" t="str">
            <v/>
          </cell>
        </row>
        <row r="52">
          <cell r="A52">
            <v>51</v>
          </cell>
          <cell r="B52" t="str">
            <v/>
          </cell>
          <cell r="C52" t="str">
            <v/>
          </cell>
          <cell r="D52" t="str">
            <v/>
          </cell>
          <cell r="E52" t="str">
            <v/>
          </cell>
          <cell r="F52" t="str">
            <v/>
          </cell>
          <cell r="G52" t="str">
            <v/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  <cell r="N52" t="str">
            <v/>
          </cell>
          <cell r="O52" t="str">
            <v/>
          </cell>
          <cell r="P52" t="str">
            <v/>
          </cell>
          <cell r="Q52" t="str">
            <v/>
          </cell>
          <cell r="R52" t="str">
            <v/>
          </cell>
          <cell r="S52" t="str">
            <v/>
          </cell>
          <cell r="T52" t="str">
            <v/>
          </cell>
          <cell r="U52" t="str">
            <v/>
          </cell>
          <cell r="V52" t="str">
            <v/>
          </cell>
          <cell r="W52" t="str">
            <v/>
          </cell>
          <cell r="X52" t="str">
            <v/>
          </cell>
          <cell r="Y52" t="str">
            <v/>
          </cell>
          <cell r="Z52" t="str">
            <v/>
          </cell>
          <cell r="AA52" t="str">
            <v/>
          </cell>
          <cell r="AB52" t="str">
            <v/>
          </cell>
          <cell r="AC52" t="str">
            <v/>
          </cell>
          <cell r="AD52" t="str">
            <v/>
          </cell>
          <cell r="AE52" t="str">
            <v/>
          </cell>
          <cell r="AF52" t="str">
            <v/>
          </cell>
          <cell r="AG52" t="str">
            <v/>
          </cell>
          <cell r="AH52" t="str">
            <v/>
          </cell>
          <cell r="AI52" t="str">
            <v/>
          </cell>
        </row>
        <row r="53">
          <cell r="A53">
            <v>52</v>
          </cell>
          <cell r="B53" t="str">
            <v/>
          </cell>
          <cell r="C53" t="str">
            <v/>
          </cell>
          <cell r="D53" t="str">
            <v/>
          </cell>
          <cell r="E53" t="str">
            <v/>
          </cell>
          <cell r="F53" t="str">
            <v/>
          </cell>
          <cell r="G53" t="str">
            <v/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  <cell r="N53" t="str">
            <v/>
          </cell>
          <cell r="O53" t="str">
            <v/>
          </cell>
          <cell r="P53" t="str">
            <v/>
          </cell>
          <cell r="Q53" t="str">
            <v/>
          </cell>
          <cell r="R53" t="str">
            <v/>
          </cell>
          <cell r="S53" t="str">
            <v/>
          </cell>
          <cell r="T53" t="str">
            <v/>
          </cell>
          <cell r="U53" t="str">
            <v/>
          </cell>
          <cell r="V53" t="str">
            <v/>
          </cell>
          <cell r="W53" t="str">
            <v/>
          </cell>
          <cell r="X53" t="str">
            <v/>
          </cell>
          <cell r="Y53" t="str">
            <v/>
          </cell>
          <cell r="Z53" t="str">
            <v/>
          </cell>
          <cell r="AA53" t="str">
            <v/>
          </cell>
          <cell r="AB53" t="str">
            <v/>
          </cell>
          <cell r="AC53" t="str">
            <v/>
          </cell>
          <cell r="AD53" t="str">
            <v/>
          </cell>
          <cell r="AE53" t="str">
            <v/>
          </cell>
          <cell r="AF53" t="str">
            <v/>
          </cell>
          <cell r="AG53" t="str">
            <v/>
          </cell>
          <cell r="AH53" t="str">
            <v/>
          </cell>
          <cell r="AI53" t="str">
            <v/>
          </cell>
        </row>
        <row r="54">
          <cell r="A54">
            <v>53</v>
          </cell>
          <cell r="B54" t="str">
            <v/>
          </cell>
          <cell r="C54" t="str">
            <v/>
          </cell>
          <cell r="D54" t="str">
            <v/>
          </cell>
          <cell r="E54" t="str">
            <v/>
          </cell>
          <cell r="F54" t="str">
            <v/>
          </cell>
          <cell r="G54" t="str">
            <v/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  <cell r="N54" t="str">
            <v/>
          </cell>
          <cell r="O54" t="str">
            <v/>
          </cell>
          <cell r="P54" t="str">
            <v/>
          </cell>
          <cell r="Q54" t="str">
            <v/>
          </cell>
          <cell r="R54" t="str">
            <v/>
          </cell>
          <cell r="S54" t="str">
            <v/>
          </cell>
          <cell r="T54" t="str">
            <v/>
          </cell>
          <cell r="U54" t="str">
            <v/>
          </cell>
          <cell r="V54" t="str">
            <v/>
          </cell>
          <cell r="W54" t="str">
            <v/>
          </cell>
          <cell r="X54" t="str">
            <v/>
          </cell>
          <cell r="Y54" t="str">
            <v/>
          </cell>
          <cell r="Z54" t="str">
            <v/>
          </cell>
          <cell r="AA54" t="str">
            <v/>
          </cell>
          <cell r="AB54" t="str">
            <v/>
          </cell>
          <cell r="AC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  <cell r="AH54" t="str">
            <v/>
          </cell>
          <cell r="AI54" t="str">
            <v/>
          </cell>
        </row>
        <row r="55">
          <cell r="A55">
            <v>54</v>
          </cell>
          <cell r="B55" t="str">
            <v/>
          </cell>
          <cell r="C55" t="str">
            <v/>
          </cell>
          <cell r="D55" t="str">
            <v/>
          </cell>
          <cell r="E55" t="str">
            <v/>
          </cell>
          <cell r="F55" t="str">
            <v/>
          </cell>
          <cell r="G55" t="str">
            <v/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  <cell r="N55" t="str">
            <v/>
          </cell>
          <cell r="O55" t="str">
            <v/>
          </cell>
          <cell r="P55" t="str">
            <v/>
          </cell>
          <cell r="Q55" t="str">
            <v/>
          </cell>
          <cell r="R55" t="str">
            <v/>
          </cell>
          <cell r="S55" t="str">
            <v/>
          </cell>
          <cell r="T55" t="str">
            <v/>
          </cell>
          <cell r="U55" t="str">
            <v/>
          </cell>
          <cell r="V55" t="str">
            <v/>
          </cell>
          <cell r="W55" t="str">
            <v/>
          </cell>
          <cell r="X55" t="str">
            <v/>
          </cell>
          <cell r="Y55" t="str">
            <v/>
          </cell>
          <cell r="Z55" t="str">
            <v/>
          </cell>
          <cell r="AA55" t="str">
            <v/>
          </cell>
          <cell r="AB55" t="str">
            <v/>
          </cell>
          <cell r="AC55" t="str">
            <v/>
          </cell>
          <cell r="AD55" t="str">
            <v/>
          </cell>
          <cell r="AE55" t="str">
            <v/>
          </cell>
          <cell r="AF55" t="str">
            <v/>
          </cell>
          <cell r="AG55" t="str">
            <v/>
          </cell>
          <cell r="AH55" t="str">
            <v/>
          </cell>
          <cell r="AI55" t="str">
            <v/>
          </cell>
        </row>
        <row r="56">
          <cell r="A56">
            <v>55</v>
          </cell>
          <cell r="B56" t="str">
            <v/>
          </cell>
          <cell r="C56" t="str">
            <v/>
          </cell>
          <cell r="D56" t="str">
            <v/>
          </cell>
          <cell r="E56" t="str">
            <v/>
          </cell>
          <cell r="F56" t="str">
            <v/>
          </cell>
          <cell r="G56" t="str">
            <v/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  <cell r="N56" t="str">
            <v/>
          </cell>
          <cell r="O56" t="str">
            <v/>
          </cell>
          <cell r="P56" t="str">
            <v/>
          </cell>
          <cell r="Q56" t="str">
            <v/>
          </cell>
          <cell r="R56" t="str">
            <v/>
          </cell>
          <cell r="S56" t="str">
            <v/>
          </cell>
          <cell r="T56" t="str">
            <v/>
          </cell>
          <cell r="U56" t="str">
            <v/>
          </cell>
          <cell r="V56" t="str">
            <v/>
          </cell>
          <cell r="W56" t="str">
            <v/>
          </cell>
          <cell r="X56" t="str">
            <v/>
          </cell>
          <cell r="Y56" t="str">
            <v/>
          </cell>
          <cell r="Z56" t="str">
            <v/>
          </cell>
          <cell r="AA56" t="str">
            <v/>
          </cell>
          <cell r="AB56" t="str">
            <v/>
          </cell>
          <cell r="AC56" t="str">
            <v/>
          </cell>
          <cell r="AD56" t="str">
            <v/>
          </cell>
          <cell r="AE56" t="str">
            <v/>
          </cell>
          <cell r="AF56" t="str">
            <v/>
          </cell>
          <cell r="AG56" t="str">
            <v/>
          </cell>
          <cell r="AH56" t="str">
            <v/>
          </cell>
          <cell r="AI56" t="str">
            <v/>
          </cell>
        </row>
        <row r="57">
          <cell r="A57">
            <v>56</v>
          </cell>
          <cell r="B57" t="str">
            <v/>
          </cell>
          <cell r="C57" t="str">
            <v/>
          </cell>
          <cell r="D57" t="str">
            <v/>
          </cell>
          <cell r="E57" t="str">
            <v/>
          </cell>
          <cell r="F57" t="str">
            <v/>
          </cell>
          <cell r="G57" t="str">
            <v/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  <cell r="N57" t="str">
            <v/>
          </cell>
          <cell r="O57" t="str">
            <v/>
          </cell>
          <cell r="P57" t="str">
            <v/>
          </cell>
          <cell r="Q57" t="str">
            <v/>
          </cell>
          <cell r="R57" t="str">
            <v/>
          </cell>
          <cell r="S57" t="str">
            <v/>
          </cell>
          <cell r="T57" t="str">
            <v/>
          </cell>
          <cell r="U57" t="str">
            <v/>
          </cell>
          <cell r="V57" t="str">
            <v/>
          </cell>
          <cell r="W57" t="str">
            <v/>
          </cell>
          <cell r="X57" t="str">
            <v/>
          </cell>
          <cell r="Y57" t="str">
            <v/>
          </cell>
          <cell r="Z57" t="str">
            <v/>
          </cell>
          <cell r="AA57" t="str">
            <v/>
          </cell>
          <cell r="AB57" t="str">
            <v/>
          </cell>
          <cell r="AC57" t="str">
            <v/>
          </cell>
          <cell r="AD57" t="str">
            <v/>
          </cell>
          <cell r="AE57" t="str">
            <v/>
          </cell>
          <cell r="AF57" t="str">
            <v/>
          </cell>
          <cell r="AG57" t="str">
            <v/>
          </cell>
          <cell r="AH57" t="str">
            <v/>
          </cell>
          <cell r="AI57" t="str">
            <v/>
          </cell>
        </row>
        <row r="58">
          <cell r="A58">
            <v>57</v>
          </cell>
          <cell r="B58" t="str">
            <v/>
          </cell>
          <cell r="C58" t="str">
            <v/>
          </cell>
          <cell r="D58" t="str">
            <v/>
          </cell>
          <cell r="E58" t="str">
            <v/>
          </cell>
          <cell r="F58" t="str">
            <v/>
          </cell>
          <cell r="G58" t="str">
            <v/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  <cell r="N58" t="str">
            <v/>
          </cell>
          <cell r="O58" t="str">
            <v/>
          </cell>
          <cell r="P58" t="str">
            <v/>
          </cell>
          <cell r="Q58" t="str">
            <v/>
          </cell>
          <cell r="R58" t="str">
            <v/>
          </cell>
          <cell r="S58" t="str">
            <v/>
          </cell>
          <cell r="T58" t="str">
            <v/>
          </cell>
          <cell r="U58" t="str">
            <v/>
          </cell>
          <cell r="V58" t="str">
            <v/>
          </cell>
          <cell r="W58" t="str">
            <v/>
          </cell>
          <cell r="X58" t="str">
            <v/>
          </cell>
          <cell r="Y58" t="str">
            <v/>
          </cell>
          <cell r="Z58" t="str">
            <v/>
          </cell>
          <cell r="AA58" t="str">
            <v/>
          </cell>
          <cell r="AB58" t="str">
            <v/>
          </cell>
          <cell r="AC58" t="str">
            <v/>
          </cell>
          <cell r="AD58" t="str">
            <v/>
          </cell>
          <cell r="AE58" t="str">
            <v/>
          </cell>
          <cell r="AF58" t="str">
            <v/>
          </cell>
          <cell r="AG58" t="str">
            <v/>
          </cell>
          <cell r="AH58" t="str">
            <v/>
          </cell>
          <cell r="AI58" t="str">
            <v/>
          </cell>
        </row>
        <row r="59">
          <cell r="A59">
            <v>58</v>
          </cell>
          <cell r="B59" t="str">
            <v/>
          </cell>
          <cell r="C59" t="str">
            <v/>
          </cell>
          <cell r="D59" t="str">
            <v/>
          </cell>
          <cell r="E59" t="str">
            <v/>
          </cell>
          <cell r="F59" t="str">
            <v/>
          </cell>
          <cell r="G59" t="str">
            <v/>
          </cell>
          <cell r="H59" t="str">
            <v/>
          </cell>
          <cell r="I59" t="str">
            <v/>
          </cell>
          <cell r="J59" t="str">
            <v/>
          </cell>
          <cell r="K59" t="str">
            <v/>
          </cell>
          <cell r="L59" t="str">
            <v/>
          </cell>
          <cell r="M59" t="str">
            <v/>
          </cell>
          <cell r="N59" t="str">
            <v/>
          </cell>
          <cell r="O59" t="str">
            <v/>
          </cell>
          <cell r="P59" t="str">
            <v/>
          </cell>
          <cell r="Q59" t="str">
            <v/>
          </cell>
          <cell r="R59" t="str">
            <v/>
          </cell>
          <cell r="S59" t="str">
            <v/>
          </cell>
          <cell r="T59" t="str">
            <v/>
          </cell>
          <cell r="U59" t="str">
            <v/>
          </cell>
          <cell r="V59" t="str">
            <v/>
          </cell>
          <cell r="W59" t="str">
            <v/>
          </cell>
          <cell r="X59" t="str">
            <v/>
          </cell>
          <cell r="Y59" t="str">
            <v/>
          </cell>
          <cell r="Z59" t="str">
            <v/>
          </cell>
          <cell r="AA59" t="str">
            <v/>
          </cell>
          <cell r="AB59" t="str">
            <v/>
          </cell>
          <cell r="AC59" t="str">
            <v/>
          </cell>
          <cell r="AD59" t="str">
            <v/>
          </cell>
          <cell r="AE59" t="str">
            <v/>
          </cell>
          <cell r="AF59" t="str">
            <v/>
          </cell>
          <cell r="AG59" t="str">
            <v/>
          </cell>
          <cell r="AH59" t="str">
            <v/>
          </cell>
          <cell r="AI59" t="str">
            <v/>
          </cell>
        </row>
        <row r="60">
          <cell r="A60">
            <v>59</v>
          </cell>
          <cell r="B60" t="str">
            <v/>
          </cell>
          <cell r="C60" t="str">
            <v/>
          </cell>
          <cell r="D60" t="str">
            <v/>
          </cell>
          <cell r="E60" t="str">
            <v/>
          </cell>
          <cell r="F60" t="str">
            <v/>
          </cell>
          <cell r="G60" t="str">
            <v/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  <cell r="N60" t="str">
            <v/>
          </cell>
          <cell r="O60" t="str">
            <v/>
          </cell>
          <cell r="P60" t="str">
            <v/>
          </cell>
          <cell r="Q60" t="str">
            <v/>
          </cell>
          <cell r="R60" t="str">
            <v/>
          </cell>
          <cell r="S60" t="str">
            <v/>
          </cell>
          <cell r="T60" t="str">
            <v/>
          </cell>
          <cell r="U60" t="str">
            <v/>
          </cell>
          <cell r="V60" t="str">
            <v/>
          </cell>
          <cell r="W60" t="str">
            <v/>
          </cell>
          <cell r="X60" t="str">
            <v/>
          </cell>
          <cell r="Y60" t="str">
            <v/>
          </cell>
          <cell r="Z60" t="str">
            <v/>
          </cell>
          <cell r="AA60" t="str">
            <v/>
          </cell>
          <cell r="AB60" t="str">
            <v/>
          </cell>
          <cell r="AC60" t="str">
            <v/>
          </cell>
          <cell r="AD60" t="str">
            <v/>
          </cell>
          <cell r="AE60" t="str">
            <v/>
          </cell>
          <cell r="AF60" t="str">
            <v/>
          </cell>
          <cell r="AG60" t="str">
            <v/>
          </cell>
          <cell r="AH60" t="str">
            <v/>
          </cell>
          <cell r="AI60" t="str">
            <v/>
          </cell>
        </row>
        <row r="61">
          <cell r="A61">
            <v>60</v>
          </cell>
          <cell r="B61" t="str">
            <v/>
          </cell>
          <cell r="C61" t="str">
            <v/>
          </cell>
          <cell r="D61" t="str">
            <v/>
          </cell>
          <cell r="E61" t="str">
            <v/>
          </cell>
          <cell r="F61" t="str">
            <v/>
          </cell>
          <cell r="G61" t="str">
            <v/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  <cell r="N61" t="str">
            <v/>
          </cell>
          <cell r="O61" t="str">
            <v/>
          </cell>
          <cell r="P61" t="str">
            <v/>
          </cell>
          <cell r="Q61" t="str">
            <v/>
          </cell>
          <cell r="R61" t="str">
            <v/>
          </cell>
          <cell r="S61" t="str">
            <v/>
          </cell>
          <cell r="T61" t="str">
            <v/>
          </cell>
          <cell r="U61" t="str">
            <v/>
          </cell>
          <cell r="V61" t="str">
            <v/>
          </cell>
          <cell r="W61" t="str">
            <v/>
          </cell>
          <cell r="X61" t="str">
            <v/>
          </cell>
          <cell r="Y61" t="str">
            <v/>
          </cell>
          <cell r="Z61" t="str">
            <v/>
          </cell>
          <cell r="AA61" t="str">
            <v/>
          </cell>
          <cell r="AB61" t="str">
            <v/>
          </cell>
          <cell r="AC61" t="str">
            <v/>
          </cell>
          <cell r="AD61" t="str">
            <v/>
          </cell>
          <cell r="AE61" t="str">
            <v/>
          </cell>
          <cell r="AF61" t="str">
            <v/>
          </cell>
          <cell r="AG61" t="str">
            <v/>
          </cell>
          <cell r="AH61" t="str">
            <v/>
          </cell>
          <cell r="AI61" t="str">
            <v/>
          </cell>
        </row>
        <row r="62">
          <cell r="A62">
            <v>61</v>
          </cell>
          <cell r="B62" t="str">
            <v/>
          </cell>
          <cell r="C62" t="str">
            <v/>
          </cell>
          <cell r="D62" t="str">
            <v/>
          </cell>
          <cell r="E62" t="str">
            <v/>
          </cell>
          <cell r="F62" t="str">
            <v/>
          </cell>
          <cell r="G62" t="str">
            <v/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  <cell r="N62" t="str">
            <v/>
          </cell>
          <cell r="O62" t="str">
            <v/>
          </cell>
          <cell r="P62" t="str">
            <v/>
          </cell>
          <cell r="Q62" t="str">
            <v/>
          </cell>
          <cell r="R62" t="str">
            <v/>
          </cell>
          <cell r="S62" t="str">
            <v/>
          </cell>
          <cell r="T62" t="str">
            <v/>
          </cell>
          <cell r="U62" t="str">
            <v/>
          </cell>
          <cell r="V62" t="str">
            <v/>
          </cell>
          <cell r="W62" t="str">
            <v/>
          </cell>
          <cell r="X62" t="str">
            <v/>
          </cell>
          <cell r="Y62" t="str">
            <v/>
          </cell>
          <cell r="Z62" t="str">
            <v/>
          </cell>
          <cell r="AA62" t="str">
            <v/>
          </cell>
          <cell r="AB62" t="str">
            <v/>
          </cell>
          <cell r="AC62" t="str">
            <v/>
          </cell>
          <cell r="AD62" t="str">
            <v/>
          </cell>
          <cell r="AE62" t="str">
            <v/>
          </cell>
          <cell r="AF62" t="str">
            <v/>
          </cell>
          <cell r="AG62" t="str">
            <v/>
          </cell>
          <cell r="AH62" t="str">
            <v/>
          </cell>
          <cell r="AI62" t="str">
            <v/>
          </cell>
        </row>
        <row r="63">
          <cell r="A63">
            <v>62</v>
          </cell>
          <cell r="B63" t="str">
            <v/>
          </cell>
          <cell r="C63" t="str">
            <v/>
          </cell>
          <cell r="D63" t="str">
            <v/>
          </cell>
          <cell r="E63" t="str">
            <v/>
          </cell>
          <cell r="F63" t="str">
            <v/>
          </cell>
          <cell r="G63" t="str">
            <v/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  <cell r="N63" t="str">
            <v/>
          </cell>
          <cell r="O63" t="str">
            <v/>
          </cell>
          <cell r="P63" t="str">
            <v/>
          </cell>
          <cell r="Q63" t="str">
            <v/>
          </cell>
          <cell r="R63" t="str">
            <v/>
          </cell>
          <cell r="S63" t="str">
            <v/>
          </cell>
          <cell r="T63" t="str">
            <v/>
          </cell>
          <cell r="U63" t="str">
            <v/>
          </cell>
          <cell r="V63" t="str">
            <v/>
          </cell>
          <cell r="W63" t="str">
            <v/>
          </cell>
          <cell r="X63" t="str">
            <v/>
          </cell>
          <cell r="Y63" t="str">
            <v/>
          </cell>
          <cell r="Z63" t="str">
            <v/>
          </cell>
          <cell r="AA63" t="str">
            <v/>
          </cell>
          <cell r="AB63" t="str">
            <v/>
          </cell>
          <cell r="AC63" t="str">
            <v/>
          </cell>
          <cell r="AD63" t="str">
            <v/>
          </cell>
          <cell r="AE63" t="str">
            <v/>
          </cell>
          <cell r="AF63" t="str">
            <v/>
          </cell>
          <cell r="AG63" t="str">
            <v/>
          </cell>
          <cell r="AH63" t="str">
            <v/>
          </cell>
          <cell r="AI63" t="str">
            <v/>
          </cell>
        </row>
        <row r="64">
          <cell r="A64">
            <v>63</v>
          </cell>
          <cell r="B64" t="str">
            <v/>
          </cell>
          <cell r="C64" t="str">
            <v/>
          </cell>
          <cell r="D64" t="str">
            <v/>
          </cell>
          <cell r="E64" t="str">
            <v/>
          </cell>
          <cell r="F64" t="str">
            <v/>
          </cell>
          <cell r="G64" t="str">
            <v/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  <cell r="N64" t="str">
            <v/>
          </cell>
          <cell r="O64" t="str">
            <v/>
          </cell>
          <cell r="P64" t="str">
            <v/>
          </cell>
          <cell r="Q64" t="str">
            <v/>
          </cell>
          <cell r="R64" t="str">
            <v/>
          </cell>
          <cell r="S64" t="str">
            <v/>
          </cell>
          <cell r="T64" t="str">
            <v/>
          </cell>
          <cell r="U64" t="str">
            <v/>
          </cell>
          <cell r="V64" t="str">
            <v/>
          </cell>
          <cell r="W64" t="str">
            <v/>
          </cell>
          <cell r="X64" t="str">
            <v/>
          </cell>
          <cell r="Y64" t="str">
            <v/>
          </cell>
          <cell r="Z64" t="str">
            <v/>
          </cell>
          <cell r="AA64" t="str">
            <v/>
          </cell>
          <cell r="AB64" t="str">
            <v/>
          </cell>
          <cell r="AC64" t="str">
            <v/>
          </cell>
          <cell r="AD64" t="str">
            <v/>
          </cell>
          <cell r="AE64" t="str">
            <v/>
          </cell>
          <cell r="AF64" t="str">
            <v/>
          </cell>
          <cell r="AG64" t="str">
            <v/>
          </cell>
          <cell r="AH64" t="str">
            <v/>
          </cell>
          <cell r="AI64" t="str">
            <v/>
          </cell>
        </row>
        <row r="65">
          <cell r="A65">
            <v>64</v>
          </cell>
          <cell r="B65" t="str">
            <v/>
          </cell>
          <cell r="C65" t="str">
            <v/>
          </cell>
          <cell r="D65" t="str">
            <v/>
          </cell>
          <cell r="E65" t="str">
            <v/>
          </cell>
          <cell r="F65" t="str">
            <v/>
          </cell>
          <cell r="G65" t="str">
            <v/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  <cell r="N65" t="str">
            <v/>
          </cell>
          <cell r="O65" t="str">
            <v/>
          </cell>
          <cell r="P65" t="str">
            <v/>
          </cell>
          <cell r="Q65" t="str">
            <v/>
          </cell>
          <cell r="R65" t="str">
            <v/>
          </cell>
          <cell r="S65" t="str">
            <v/>
          </cell>
          <cell r="T65" t="str">
            <v/>
          </cell>
          <cell r="U65" t="str">
            <v/>
          </cell>
          <cell r="V65" t="str">
            <v/>
          </cell>
          <cell r="W65" t="str">
            <v/>
          </cell>
          <cell r="X65" t="str">
            <v/>
          </cell>
          <cell r="Y65" t="str">
            <v/>
          </cell>
          <cell r="Z65" t="str">
            <v/>
          </cell>
          <cell r="AA65" t="str">
            <v/>
          </cell>
          <cell r="AB65" t="str">
            <v/>
          </cell>
          <cell r="AC65" t="str">
            <v/>
          </cell>
          <cell r="AD65" t="str">
            <v/>
          </cell>
          <cell r="AE65" t="str">
            <v/>
          </cell>
          <cell r="AF65" t="str">
            <v/>
          </cell>
          <cell r="AG65" t="str">
            <v/>
          </cell>
          <cell r="AH65" t="str">
            <v/>
          </cell>
          <cell r="AI65" t="str">
            <v/>
          </cell>
        </row>
        <row r="66">
          <cell r="A66">
            <v>65</v>
          </cell>
          <cell r="B66" t="str">
            <v/>
          </cell>
          <cell r="C66" t="str">
            <v/>
          </cell>
          <cell r="D66" t="str">
            <v/>
          </cell>
          <cell r="E66" t="str">
            <v/>
          </cell>
          <cell r="F66" t="str">
            <v/>
          </cell>
          <cell r="G66" t="str">
            <v/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  <cell r="N66" t="str">
            <v/>
          </cell>
          <cell r="O66" t="str">
            <v/>
          </cell>
          <cell r="P66" t="str">
            <v/>
          </cell>
          <cell r="Q66" t="str">
            <v/>
          </cell>
          <cell r="R66" t="str">
            <v/>
          </cell>
          <cell r="S66" t="str">
            <v/>
          </cell>
          <cell r="T66" t="str">
            <v/>
          </cell>
          <cell r="U66" t="str">
            <v/>
          </cell>
          <cell r="V66" t="str">
            <v/>
          </cell>
          <cell r="W66" t="str">
            <v/>
          </cell>
          <cell r="X66" t="str">
            <v/>
          </cell>
          <cell r="Y66" t="str">
            <v/>
          </cell>
          <cell r="Z66" t="str">
            <v/>
          </cell>
          <cell r="AA66" t="str">
            <v/>
          </cell>
          <cell r="AB66" t="str">
            <v/>
          </cell>
          <cell r="AC66" t="str">
            <v/>
          </cell>
          <cell r="AD66" t="str">
            <v/>
          </cell>
          <cell r="AE66" t="str">
            <v/>
          </cell>
          <cell r="AF66" t="str">
            <v/>
          </cell>
          <cell r="AG66" t="str">
            <v/>
          </cell>
          <cell r="AH66" t="str">
            <v/>
          </cell>
          <cell r="AI66" t="str">
            <v/>
          </cell>
        </row>
        <row r="67">
          <cell r="A67">
            <v>66</v>
          </cell>
          <cell r="B67" t="str">
            <v/>
          </cell>
          <cell r="C67" t="str">
            <v/>
          </cell>
          <cell r="D67" t="str">
            <v/>
          </cell>
          <cell r="E67" t="str">
            <v/>
          </cell>
          <cell r="F67" t="str">
            <v/>
          </cell>
          <cell r="G67" t="str">
            <v/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  <cell r="N67" t="str">
            <v/>
          </cell>
          <cell r="O67" t="str">
            <v/>
          </cell>
          <cell r="P67" t="str">
            <v/>
          </cell>
          <cell r="Q67" t="str">
            <v/>
          </cell>
          <cell r="R67" t="str">
            <v/>
          </cell>
          <cell r="S67" t="str">
            <v/>
          </cell>
          <cell r="T67" t="str">
            <v/>
          </cell>
          <cell r="U67" t="str">
            <v/>
          </cell>
          <cell r="V67" t="str">
            <v/>
          </cell>
          <cell r="W67" t="str">
            <v/>
          </cell>
          <cell r="X67" t="str">
            <v/>
          </cell>
          <cell r="Y67" t="str">
            <v/>
          </cell>
          <cell r="Z67" t="str">
            <v/>
          </cell>
          <cell r="AA67" t="str">
            <v/>
          </cell>
          <cell r="AB67" t="str">
            <v/>
          </cell>
          <cell r="AC67" t="str">
            <v/>
          </cell>
          <cell r="AD67" t="str">
            <v/>
          </cell>
          <cell r="AE67" t="str">
            <v/>
          </cell>
          <cell r="AF67" t="str">
            <v/>
          </cell>
          <cell r="AG67" t="str">
            <v/>
          </cell>
          <cell r="AH67" t="str">
            <v/>
          </cell>
          <cell r="AI67" t="str">
            <v/>
          </cell>
        </row>
        <row r="68">
          <cell r="A68">
            <v>67</v>
          </cell>
          <cell r="B68" t="str">
            <v/>
          </cell>
          <cell r="C68" t="str">
            <v/>
          </cell>
          <cell r="D68" t="str">
            <v/>
          </cell>
          <cell r="E68" t="str">
            <v/>
          </cell>
          <cell r="F68" t="str">
            <v/>
          </cell>
          <cell r="G68" t="str">
            <v/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  <cell r="N68" t="str">
            <v/>
          </cell>
          <cell r="O68" t="str">
            <v/>
          </cell>
          <cell r="P68" t="str">
            <v/>
          </cell>
          <cell r="Q68" t="str">
            <v/>
          </cell>
          <cell r="R68" t="str">
            <v/>
          </cell>
          <cell r="S68" t="str">
            <v/>
          </cell>
          <cell r="T68" t="str">
            <v/>
          </cell>
          <cell r="U68" t="str">
            <v/>
          </cell>
          <cell r="V68" t="str">
            <v/>
          </cell>
          <cell r="W68" t="str">
            <v/>
          </cell>
          <cell r="X68" t="str">
            <v/>
          </cell>
          <cell r="Y68" t="str">
            <v/>
          </cell>
          <cell r="Z68" t="str">
            <v/>
          </cell>
          <cell r="AA68" t="str">
            <v/>
          </cell>
          <cell r="AB68" t="str">
            <v/>
          </cell>
          <cell r="AC68" t="str">
            <v/>
          </cell>
          <cell r="AD68" t="str">
            <v/>
          </cell>
          <cell r="AE68" t="str">
            <v/>
          </cell>
          <cell r="AF68" t="str">
            <v/>
          </cell>
          <cell r="AG68" t="str">
            <v/>
          </cell>
          <cell r="AH68" t="str">
            <v/>
          </cell>
          <cell r="AI68" t="str">
            <v/>
          </cell>
        </row>
        <row r="69">
          <cell r="A69">
            <v>68</v>
          </cell>
          <cell r="B69" t="str">
            <v/>
          </cell>
          <cell r="C69" t="str">
            <v/>
          </cell>
          <cell r="D69" t="str">
            <v/>
          </cell>
          <cell r="E69" t="str">
            <v/>
          </cell>
          <cell r="F69" t="str">
            <v/>
          </cell>
          <cell r="G69" t="str">
            <v/>
          </cell>
          <cell r="H69" t="str">
            <v/>
          </cell>
          <cell r="I69" t="str">
            <v/>
          </cell>
          <cell r="J69" t="str">
            <v/>
          </cell>
          <cell r="K69" t="str">
            <v/>
          </cell>
          <cell r="L69" t="str">
            <v/>
          </cell>
          <cell r="M69" t="str">
            <v/>
          </cell>
          <cell r="N69" t="str">
            <v/>
          </cell>
          <cell r="O69" t="str">
            <v/>
          </cell>
          <cell r="P69" t="str">
            <v/>
          </cell>
          <cell r="Q69" t="str">
            <v/>
          </cell>
          <cell r="R69" t="str">
            <v/>
          </cell>
          <cell r="S69" t="str">
            <v/>
          </cell>
          <cell r="T69" t="str">
            <v/>
          </cell>
          <cell r="U69" t="str">
            <v/>
          </cell>
          <cell r="V69" t="str">
            <v/>
          </cell>
          <cell r="W69" t="str">
            <v/>
          </cell>
          <cell r="X69" t="str">
            <v/>
          </cell>
          <cell r="Y69" t="str">
            <v/>
          </cell>
          <cell r="Z69" t="str">
            <v/>
          </cell>
          <cell r="AA69" t="str">
            <v/>
          </cell>
          <cell r="AB69" t="str">
            <v/>
          </cell>
          <cell r="AC69" t="str">
            <v/>
          </cell>
          <cell r="AD69" t="str">
            <v/>
          </cell>
          <cell r="AE69" t="str">
            <v/>
          </cell>
          <cell r="AF69" t="str">
            <v/>
          </cell>
          <cell r="AG69" t="str">
            <v/>
          </cell>
          <cell r="AH69" t="str">
            <v/>
          </cell>
          <cell r="AI69" t="str">
            <v/>
          </cell>
        </row>
        <row r="70">
          <cell r="A70">
            <v>69</v>
          </cell>
          <cell r="B70" t="str">
            <v/>
          </cell>
          <cell r="C70" t="str">
            <v/>
          </cell>
          <cell r="D70" t="str">
            <v/>
          </cell>
          <cell r="E70" t="str">
            <v/>
          </cell>
          <cell r="F70" t="str">
            <v/>
          </cell>
          <cell r="G70" t="str">
            <v/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  <cell r="N70" t="str">
            <v/>
          </cell>
          <cell r="O70" t="str">
            <v/>
          </cell>
          <cell r="P70" t="str">
            <v/>
          </cell>
          <cell r="Q70" t="str">
            <v/>
          </cell>
          <cell r="R70" t="str">
            <v/>
          </cell>
          <cell r="S70" t="str">
            <v/>
          </cell>
          <cell r="T70" t="str">
            <v/>
          </cell>
          <cell r="U70" t="str">
            <v/>
          </cell>
          <cell r="V70" t="str">
            <v/>
          </cell>
          <cell r="W70" t="str">
            <v/>
          </cell>
          <cell r="X70" t="str">
            <v/>
          </cell>
          <cell r="Y70" t="str">
            <v/>
          </cell>
          <cell r="Z70" t="str">
            <v/>
          </cell>
          <cell r="AA70" t="str">
            <v/>
          </cell>
          <cell r="AB70" t="str">
            <v/>
          </cell>
          <cell r="AC70" t="str">
            <v/>
          </cell>
          <cell r="AD70" t="str">
            <v/>
          </cell>
          <cell r="AE70" t="str">
            <v/>
          </cell>
          <cell r="AF70" t="str">
            <v/>
          </cell>
          <cell r="AG70" t="str">
            <v/>
          </cell>
          <cell r="AH70" t="str">
            <v/>
          </cell>
          <cell r="AI70" t="str">
            <v/>
          </cell>
        </row>
        <row r="71">
          <cell r="A71">
            <v>70</v>
          </cell>
          <cell r="B71" t="str">
            <v/>
          </cell>
          <cell r="C71" t="str">
            <v/>
          </cell>
          <cell r="D71" t="str">
            <v/>
          </cell>
          <cell r="E71" t="str">
            <v/>
          </cell>
          <cell r="F71" t="str">
            <v/>
          </cell>
          <cell r="G71" t="str">
            <v/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  <cell r="N71" t="str">
            <v/>
          </cell>
          <cell r="O71" t="str">
            <v/>
          </cell>
          <cell r="P71" t="str">
            <v/>
          </cell>
          <cell r="Q71" t="str">
            <v/>
          </cell>
          <cell r="R71" t="str">
            <v/>
          </cell>
          <cell r="S71" t="str">
            <v/>
          </cell>
          <cell r="T71" t="str">
            <v/>
          </cell>
          <cell r="U71" t="str">
            <v/>
          </cell>
          <cell r="V71" t="str">
            <v/>
          </cell>
          <cell r="W71" t="str">
            <v/>
          </cell>
          <cell r="X71" t="str">
            <v/>
          </cell>
          <cell r="Y71" t="str">
            <v/>
          </cell>
          <cell r="Z71" t="str">
            <v/>
          </cell>
          <cell r="AA71" t="str">
            <v/>
          </cell>
          <cell r="AB71" t="str">
            <v/>
          </cell>
          <cell r="AC71" t="str">
            <v/>
          </cell>
          <cell r="AD71" t="str">
            <v/>
          </cell>
          <cell r="AE71" t="str">
            <v/>
          </cell>
          <cell r="AF71" t="str">
            <v/>
          </cell>
          <cell r="AG71" t="str">
            <v/>
          </cell>
          <cell r="AH71" t="str">
            <v/>
          </cell>
          <cell r="AI71" t="str">
            <v/>
          </cell>
        </row>
        <row r="72">
          <cell r="A72">
            <v>71</v>
          </cell>
          <cell r="B72" t="str">
            <v/>
          </cell>
          <cell r="C72" t="str">
            <v/>
          </cell>
          <cell r="D72" t="str">
            <v/>
          </cell>
          <cell r="E72" t="str">
            <v/>
          </cell>
          <cell r="F72" t="str">
            <v/>
          </cell>
          <cell r="G72" t="str">
            <v/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  <cell r="N72" t="str">
            <v/>
          </cell>
          <cell r="O72" t="str">
            <v/>
          </cell>
          <cell r="P72" t="str">
            <v/>
          </cell>
          <cell r="Q72" t="str">
            <v/>
          </cell>
          <cell r="R72" t="str">
            <v/>
          </cell>
          <cell r="S72" t="str">
            <v/>
          </cell>
          <cell r="T72" t="str">
            <v/>
          </cell>
          <cell r="U72" t="str">
            <v/>
          </cell>
          <cell r="V72" t="str">
            <v/>
          </cell>
          <cell r="W72" t="str">
            <v/>
          </cell>
          <cell r="X72" t="str">
            <v/>
          </cell>
          <cell r="Y72" t="str">
            <v/>
          </cell>
          <cell r="Z72" t="str">
            <v/>
          </cell>
          <cell r="AA72" t="str">
            <v/>
          </cell>
          <cell r="AB72" t="str">
            <v/>
          </cell>
          <cell r="AC72" t="str">
            <v/>
          </cell>
          <cell r="AD72" t="str">
            <v/>
          </cell>
          <cell r="AE72" t="str">
            <v/>
          </cell>
          <cell r="AF72" t="str">
            <v/>
          </cell>
          <cell r="AG72" t="str">
            <v/>
          </cell>
          <cell r="AH72" t="str">
            <v/>
          </cell>
          <cell r="AI72" t="str">
            <v/>
          </cell>
        </row>
        <row r="73">
          <cell r="A73">
            <v>72</v>
          </cell>
          <cell r="B73" t="str">
            <v/>
          </cell>
          <cell r="C73" t="str">
            <v/>
          </cell>
          <cell r="D73" t="str">
            <v/>
          </cell>
          <cell r="E73" t="str">
            <v/>
          </cell>
          <cell r="F73" t="str">
            <v/>
          </cell>
          <cell r="G73" t="str">
            <v/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  <cell r="N73" t="str">
            <v/>
          </cell>
          <cell r="O73" t="str">
            <v/>
          </cell>
          <cell r="P73" t="str">
            <v/>
          </cell>
          <cell r="Q73" t="str">
            <v/>
          </cell>
          <cell r="R73" t="str">
            <v/>
          </cell>
          <cell r="S73" t="str">
            <v/>
          </cell>
          <cell r="T73" t="str">
            <v/>
          </cell>
          <cell r="U73" t="str">
            <v/>
          </cell>
          <cell r="V73" t="str">
            <v/>
          </cell>
          <cell r="W73" t="str">
            <v/>
          </cell>
          <cell r="X73" t="str">
            <v/>
          </cell>
          <cell r="Y73" t="str">
            <v/>
          </cell>
          <cell r="Z73" t="str">
            <v/>
          </cell>
          <cell r="AA73" t="str">
            <v/>
          </cell>
          <cell r="AB73" t="str">
            <v/>
          </cell>
          <cell r="AC73" t="str">
            <v/>
          </cell>
          <cell r="AD73" t="str">
            <v/>
          </cell>
          <cell r="AE73" t="str">
            <v/>
          </cell>
          <cell r="AF73" t="str">
            <v/>
          </cell>
          <cell r="AG73" t="str">
            <v/>
          </cell>
          <cell r="AH73" t="str">
            <v/>
          </cell>
          <cell r="AI73" t="str">
            <v/>
          </cell>
        </row>
        <row r="74">
          <cell r="A74">
            <v>73</v>
          </cell>
          <cell r="B74" t="str">
            <v/>
          </cell>
          <cell r="C74" t="str">
            <v/>
          </cell>
          <cell r="D74" t="str">
            <v/>
          </cell>
          <cell r="E74" t="str">
            <v/>
          </cell>
          <cell r="F74" t="str">
            <v/>
          </cell>
          <cell r="G74" t="str">
            <v/>
          </cell>
          <cell r="H74" t="str">
            <v/>
          </cell>
          <cell r="I74" t="str">
            <v/>
          </cell>
          <cell r="J74" t="str">
            <v/>
          </cell>
          <cell r="K74" t="str">
            <v/>
          </cell>
          <cell r="L74" t="str">
            <v/>
          </cell>
          <cell r="M74" t="str">
            <v/>
          </cell>
          <cell r="N74" t="str">
            <v/>
          </cell>
          <cell r="O74" t="str">
            <v/>
          </cell>
          <cell r="P74" t="str">
            <v/>
          </cell>
          <cell r="Q74" t="str">
            <v/>
          </cell>
          <cell r="R74" t="str">
            <v/>
          </cell>
          <cell r="S74" t="str">
            <v/>
          </cell>
          <cell r="T74" t="str">
            <v/>
          </cell>
          <cell r="U74" t="str">
            <v/>
          </cell>
          <cell r="V74" t="str">
            <v/>
          </cell>
          <cell r="W74" t="str">
            <v/>
          </cell>
          <cell r="X74" t="str">
            <v/>
          </cell>
          <cell r="Y74" t="str">
            <v/>
          </cell>
          <cell r="Z74" t="str">
            <v/>
          </cell>
          <cell r="AA74" t="str">
            <v/>
          </cell>
          <cell r="AB74" t="str">
            <v/>
          </cell>
          <cell r="AC74" t="str">
            <v/>
          </cell>
          <cell r="AD74" t="str">
            <v/>
          </cell>
          <cell r="AE74" t="str">
            <v/>
          </cell>
          <cell r="AF74" t="str">
            <v/>
          </cell>
          <cell r="AG74" t="str">
            <v/>
          </cell>
          <cell r="AH74" t="str">
            <v/>
          </cell>
          <cell r="AI74" t="str">
            <v/>
          </cell>
        </row>
        <row r="75">
          <cell r="A75">
            <v>74</v>
          </cell>
          <cell r="B75" t="str">
            <v/>
          </cell>
          <cell r="C75" t="str">
            <v/>
          </cell>
          <cell r="D75" t="str">
            <v/>
          </cell>
          <cell r="E75" t="str">
            <v/>
          </cell>
          <cell r="F75" t="str">
            <v/>
          </cell>
          <cell r="G75" t="str">
            <v/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  <cell r="N75" t="str">
            <v/>
          </cell>
          <cell r="O75" t="str">
            <v/>
          </cell>
          <cell r="P75" t="str">
            <v/>
          </cell>
          <cell r="Q75" t="str">
            <v/>
          </cell>
          <cell r="R75" t="str">
            <v/>
          </cell>
          <cell r="S75" t="str">
            <v/>
          </cell>
          <cell r="T75" t="str">
            <v/>
          </cell>
          <cell r="U75" t="str">
            <v/>
          </cell>
          <cell r="V75" t="str">
            <v/>
          </cell>
          <cell r="W75" t="str">
            <v/>
          </cell>
          <cell r="X75" t="str">
            <v/>
          </cell>
          <cell r="Y75" t="str">
            <v/>
          </cell>
          <cell r="Z75" t="str">
            <v/>
          </cell>
          <cell r="AA75" t="str">
            <v/>
          </cell>
          <cell r="AB75" t="str">
            <v/>
          </cell>
          <cell r="AC75" t="str">
            <v/>
          </cell>
          <cell r="AD75" t="str">
            <v/>
          </cell>
          <cell r="AE75" t="str">
            <v/>
          </cell>
          <cell r="AF75" t="str">
            <v/>
          </cell>
          <cell r="AG75" t="str">
            <v/>
          </cell>
          <cell r="AH75" t="str">
            <v/>
          </cell>
          <cell r="AI75" t="str">
            <v/>
          </cell>
        </row>
        <row r="76">
          <cell r="A76">
            <v>75</v>
          </cell>
          <cell r="B76" t="str">
            <v/>
          </cell>
          <cell r="C76" t="str">
            <v/>
          </cell>
          <cell r="D76" t="str">
            <v/>
          </cell>
          <cell r="E76" t="str">
            <v/>
          </cell>
          <cell r="F76" t="str">
            <v/>
          </cell>
          <cell r="G76" t="str">
            <v/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  <cell r="N76" t="str">
            <v/>
          </cell>
          <cell r="O76" t="str">
            <v/>
          </cell>
          <cell r="P76" t="str">
            <v/>
          </cell>
          <cell r="Q76" t="str">
            <v/>
          </cell>
          <cell r="R76" t="str">
            <v/>
          </cell>
          <cell r="S76" t="str">
            <v/>
          </cell>
          <cell r="T76" t="str">
            <v/>
          </cell>
          <cell r="U76" t="str">
            <v/>
          </cell>
          <cell r="V76" t="str">
            <v/>
          </cell>
          <cell r="W76" t="str">
            <v/>
          </cell>
          <cell r="X76" t="str">
            <v/>
          </cell>
          <cell r="Y76" t="str">
            <v/>
          </cell>
          <cell r="Z76" t="str">
            <v/>
          </cell>
          <cell r="AA76" t="str">
            <v/>
          </cell>
          <cell r="AB76" t="str">
            <v/>
          </cell>
          <cell r="AC76" t="str">
            <v/>
          </cell>
          <cell r="AD76" t="str">
            <v/>
          </cell>
          <cell r="AE76" t="str">
            <v/>
          </cell>
          <cell r="AF76" t="str">
            <v/>
          </cell>
          <cell r="AG76" t="str">
            <v/>
          </cell>
          <cell r="AH76" t="str">
            <v/>
          </cell>
          <cell r="AI76" t="str">
            <v/>
          </cell>
        </row>
        <row r="77">
          <cell r="A77">
            <v>76</v>
          </cell>
          <cell r="B77" t="str">
            <v/>
          </cell>
          <cell r="C77" t="str">
            <v/>
          </cell>
          <cell r="D77" t="str">
            <v/>
          </cell>
          <cell r="E77" t="str">
            <v/>
          </cell>
          <cell r="F77" t="str">
            <v/>
          </cell>
          <cell r="G77" t="str">
            <v/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  <cell r="N77" t="str">
            <v/>
          </cell>
          <cell r="O77" t="str">
            <v/>
          </cell>
          <cell r="P77" t="str">
            <v/>
          </cell>
          <cell r="Q77" t="str">
            <v/>
          </cell>
          <cell r="R77" t="str">
            <v/>
          </cell>
          <cell r="S77" t="str">
            <v/>
          </cell>
          <cell r="T77" t="str">
            <v/>
          </cell>
          <cell r="U77" t="str">
            <v/>
          </cell>
          <cell r="V77" t="str">
            <v/>
          </cell>
          <cell r="W77" t="str">
            <v/>
          </cell>
          <cell r="X77" t="str">
            <v/>
          </cell>
          <cell r="Y77" t="str">
            <v/>
          </cell>
          <cell r="Z77" t="str">
            <v/>
          </cell>
          <cell r="AA77" t="str">
            <v/>
          </cell>
          <cell r="AB77" t="str">
            <v/>
          </cell>
          <cell r="AC77" t="str">
            <v/>
          </cell>
          <cell r="AD77" t="str">
            <v/>
          </cell>
          <cell r="AE77" t="str">
            <v/>
          </cell>
          <cell r="AF77" t="str">
            <v/>
          </cell>
          <cell r="AG77" t="str">
            <v/>
          </cell>
          <cell r="AH77" t="str">
            <v/>
          </cell>
          <cell r="AI77" t="str">
            <v/>
          </cell>
        </row>
        <row r="78">
          <cell r="A78">
            <v>77</v>
          </cell>
          <cell r="B78" t="str">
            <v/>
          </cell>
          <cell r="C78" t="str">
            <v/>
          </cell>
          <cell r="D78" t="str">
            <v/>
          </cell>
          <cell r="E78" t="str">
            <v/>
          </cell>
          <cell r="F78" t="str">
            <v/>
          </cell>
          <cell r="G78" t="str">
            <v/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  <cell r="N78" t="str">
            <v/>
          </cell>
          <cell r="O78" t="str">
            <v/>
          </cell>
          <cell r="P78" t="str">
            <v/>
          </cell>
          <cell r="Q78" t="str">
            <v/>
          </cell>
          <cell r="R78" t="str">
            <v/>
          </cell>
          <cell r="S78" t="str">
            <v/>
          </cell>
          <cell r="T78" t="str">
            <v/>
          </cell>
          <cell r="U78" t="str">
            <v/>
          </cell>
          <cell r="V78" t="str">
            <v/>
          </cell>
          <cell r="W78" t="str">
            <v/>
          </cell>
          <cell r="X78" t="str">
            <v/>
          </cell>
          <cell r="Y78" t="str">
            <v/>
          </cell>
          <cell r="Z78" t="str">
            <v/>
          </cell>
          <cell r="AA78" t="str">
            <v/>
          </cell>
          <cell r="AB78" t="str">
            <v/>
          </cell>
          <cell r="AC78" t="str">
            <v/>
          </cell>
          <cell r="AD78" t="str">
            <v/>
          </cell>
          <cell r="AE78" t="str">
            <v/>
          </cell>
          <cell r="AF78" t="str">
            <v/>
          </cell>
          <cell r="AG78" t="str">
            <v/>
          </cell>
          <cell r="AH78" t="str">
            <v/>
          </cell>
          <cell r="AI78" t="str">
            <v/>
          </cell>
        </row>
        <row r="79">
          <cell r="A79">
            <v>78</v>
          </cell>
          <cell r="B79" t="str">
            <v/>
          </cell>
          <cell r="C79" t="str">
            <v/>
          </cell>
          <cell r="D79" t="str">
            <v/>
          </cell>
          <cell r="E79" t="str">
            <v/>
          </cell>
          <cell r="F79" t="str">
            <v/>
          </cell>
          <cell r="G79" t="str">
            <v/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  <cell r="N79" t="str">
            <v/>
          </cell>
          <cell r="O79" t="str">
            <v/>
          </cell>
          <cell r="P79" t="str">
            <v/>
          </cell>
          <cell r="Q79" t="str">
            <v/>
          </cell>
          <cell r="R79" t="str">
            <v/>
          </cell>
          <cell r="S79" t="str">
            <v/>
          </cell>
          <cell r="T79" t="str">
            <v/>
          </cell>
          <cell r="U79" t="str">
            <v/>
          </cell>
          <cell r="V79" t="str">
            <v/>
          </cell>
          <cell r="W79" t="str">
            <v/>
          </cell>
          <cell r="X79" t="str">
            <v/>
          </cell>
          <cell r="Y79" t="str">
            <v/>
          </cell>
          <cell r="Z79" t="str">
            <v/>
          </cell>
          <cell r="AA79" t="str">
            <v/>
          </cell>
          <cell r="AB79" t="str">
            <v/>
          </cell>
          <cell r="AC79" t="str">
            <v/>
          </cell>
          <cell r="AD79" t="str">
            <v/>
          </cell>
          <cell r="AE79" t="str">
            <v/>
          </cell>
          <cell r="AF79" t="str">
            <v/>
          </cell>
          <cell r="AG79" t="str">
            <v/>
          </cell>
          <cell r="AH79" t="str">
            <v/>
          </cell>
          <cell r="AI79" t="str">
            <v/>
          </cell>
        </row>
        <row r="80">
          <cell r="A80">
            <v>79</v>
          </cell>
          <cell r="B80" t="str">
            <v/>
          </cell>
          <cell r="C80" t="str">
            <v/>
          </cell>
          <cell r="D80" t="str">
            <v/>
          </cell>
          <cell r="E80" t="str">
            <v/>
          </cell>
          <cell r="F80" t="str">
            <v/>
          </cell>
          <cell r="G80" t="str">
            <v/>
          </cell>
          <cell r="H80" t="str">
            <v/>
          </cell>
          <cell r="I80" t="str">
            <v/>
          </cell>
          <cell r="J80" t="str">
            <v/>
          </cell>
          <cell r="K80" t="str">
            <v/>
          </cell>
          <cell r="L80" t="str">
            <v/>
          </cell>
          <cell r="M80" t="str">
            <v/>
          </cell>
          <cell r="N80" t="str">
            <v/>
          </cell>
          <cell r="O80" t="str">
            <v/>
          </cell>
          <cell r="P80" t="str">
            <v/>
          </cell>
          <cell r="Q80" t="str">
            <v/>
          </cell>
          <cell r="R80" t="str">
            <v/>
          </cell>
          <cell r="S80" t="str">
            <v/>
          </cell>
          <cell r="T80" t="str">
            <v/>
          </cell>
          <cell r="U80" t="str">
            <v/>
          </cell>
          <cell r="V80" t="str">
            <v/>
          </cell>
          <cell r="W80" t="str">
            <v/>
          </cell>
          <cell r="X80" t="str">
            <v/>
          </cell>
          <cell r="Y80" t="str">
            <v/>
          </cell>
          <cell r="Z80" t="str">
            <v/>
          </cell>
          <cell r="AA80" t="str">
            <v/>
          </cell>
          <cell r="AB80" t="str">
            <v/>
          </cell>
          <cell r="AC80" t="str">
            <v/>
          </cell>
          <cell r="AD80" t="str">
            <v/>
          </cell>
          <cell r="AE80" t="str">
            <v/>
          </cell>
          <cell r="AF80" t="str">
            <v/>
          </cell>
          <cell r="AG80" t="str">
            <v/>
          </cell>
          <cell r="AH80" t="str">
            <v/>
          </cell>
          <cell r="AI80" t="str">
            <v/>
          </cell>
        </row>
        <row r="81">
          <cell r="A81">
            <v>80</v>
          </cell>
          <cell r="B81" t="str">
            <v/>
          </cell>
          <cell r="C81" t="str">
            <v/>
          </cell>
          <cell r="D81" t="str">
            <v/>
          </cell>
          <cell r="E81" t="str">
            <v/>
          </cell>
          <cell r="F81" t="str">
            <v/>
          </cell>
          <cell r="G81" t="str">
            <v/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  <cell r="N81" t="str">
            <v/>
          </cell>
          <cell r="O81" t="str">
            <v/>
          </cell>
          <cell r="P81" t="str">
            <v/>
          </cell>
          <cell r="Q81" t="str">
            <v/>
          </cell>
          <cell r="R81" t="str">
            <v/>
          </cell>
          <cell r="S81" t="str">
            <v/>
          </cell>
          <cell r="T81" t="str">
            <v/>
          </cell>
          <cell r="U81" t="str">
            <v/>
          </cell>
          <cell r="V81" t="str">
            <v/>
          </cell>
          <cell r="W81" t="str">
            <v/>
          </cell>
          <cell r="X81" t="str">
            <v/>
          </cell>
          <cell r="Y81" t="str">
            <v/>
          </cell>
          <cell r="Z81" t="str">
            <v/>
          </cell>
          <cell r="AA81" t="str">
            <v/>
          </cell>
          <cell r="AB81" t="str">
            <v/>
          </cell>
          <cell r="AC81" t="str">
            <v/>
          </cell>
          <cell r="AD81" t="str">
            <v/>
          </cell>
          <cell r="AE81" t="str">
            <v/>
          </cell>
          <cell r="AF81" t="str">
            <v/>
          </cell>
          <cell r="AG81" t="str">
            <v/>
          </cell>
          <cell r="AH81" t="str">
            <v/>
          </cell>
          <cell r="AI81" t="str">
            <v/>
          </cell>
        </row>
        <row r="82">
          <cell r="A82">
            <v>81</v>
          </cell>
          <cell r="B82" t="str">
            <v/>
          </cell>
          <cell r="C82" t="str">
            <v/>
          </cell>
          <cell r="D82" t="str">
            <v/>
          </cell>
          <cell r="E82" t="str">
            <v/>
          </cell>
          <cell r="F82" t="str">
            <v/>
          </cell>
          <cell r="G82" t="str">
            <v/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  <cell r="N82" t="str">
            <v/>
          </cell>
          <cell r="O82" t="str">
            <v/>
          </cell>
          <cell r="P82" t="str">
            <v/>
          </cell>
          <cell r="Q82" t="str">
            <v/>
          </cell>
          <cell r="R82" t="str">
            <v/>
          </cell>
          <cell r="S82" t="str">
            <v/>
          </cell>
          <cell r="T82" t="str">
            <v/>
          </cell>
          <cell r="U82" t="str">
            <v/>
          </cell>
          <cell r="V82" t="str">
            <v/>
          </cell>
          <cell r="W82" t="str">
            <v/>
          </cell>
          <cell r="X82" t="str">
            <v/>
          </cell>
          <cell r="Y82" t="str">
            <v/>
          </cell>
          <cell r="Z82" t="str">
            <v/>
          </cell>
          <cell r="AA82" t="str">
            <v/>
          </cell>
          <cell r="AB82" t="str">
            <v/>
          </cell>
          <cell r="AC82" t="str">
            <v/>
          </cell>
          <cell r="AD82" t="str">
            <v/>
          </cell>
          <cell r="AE82" t="str">
            <v/>
          </cell>
          <cell r="AF82" t="str">
            <v/>
          </cell>
          <cell r="AG82" t="str">
            <v/>
          </cell>
          <cell r="AH82" t="str">
            <v/>
          </cell>
          <cell r="AI82" t="str">
            <v/>
          </cell>
        </row>
        <row r="83">
          <cell r="A83">
            <v>82</v>
          </cell>
          <cell r="B83" t="str">
            <v/>
          </cell>
          <cell r="C83" t="str">
            <v/>
          </cell>
          <cell r="D83" t="str">
            <v/>
          </cell>
          <cell r="E83" t="str">
            <v/>
          </cell>
          <cell r="F83" t="str">
            <v/>
          </cell>
          <cell r="G83" t="str">
            <v/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  <cell r="N83" t="str">
            <v/>
          </cell>
          <cell r="O83" t="str">
            <v/>
          </cell>
          <cell r="P83" t="str">
            <v/>
          </cell>
          <cell r="Q83" t="str">
            <v/>
          </cell>
          <cell r="R83" t="str">
            <v/>
          </cell>
          <cell r="S83" t="str">
            <v/>
          </cell>
          <cell r="T83" t="str">
            <v/>
          </cell>
          <cell r="U83" t="str">
            <v/>
          </cell>
          <cell r="V83" t="str">
            <v/>
          </cell>
          <cell r="W83" t="str">
            <v/>
          </cell>
          <cell r="X83" t="str">
            <v/>
          </cell>
          <cell r="Y83" t="str">
            <v/>
          </cell>
          <cell r="Z83" t="str">
            <v/>
          </cell>
          <cell r="AA83" t="str">
            <v/>
          </cell>
          <cell r="AB83" t="str">
            <v/>
          </cell>
          <cell r="AC83" t="str">
            <v/>
          </cell>
          <cell r="AD83" t="str">
            <v/>
          </cell>
          <cell r="AE83" t="str">
            <v/>
          </cell>
          <cell r="AF83" t="str">
            <v/>
          </cell>
          <cell r="AG83" t="str">
            <v/>
          </cell>
          <cell r="AH83" t="str">
            <v/>
          </cell>
          <cell r="AI83" t="str">
            <v/>
          </cell>
        </row>
        <row r="84">
          <cell r="A84">
            <v>83</v>
          </cell>
          <cell r="B84" t="str">
            <v/>
          </cell>
          <cell r="C84" t="str">
            <v/>
          </cell>
          <cell r="D84" t="str">
            <v/>
          </cell>
          <cell r="E84" t="str">
            <v/>
          </cell>
          <cell r="F84" t="str">
            <v/>
          </cell>
          <cell r="G84" t="str">
            <v/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  <cell r="N84" t="str">
            <v/>
          </cell>
          <cell r="O84" t="str">
            <v/>
          </cell>
          <cell r="P84" t="str">
            <v/>
          </cell>
          <cell r="Q84" t="str">
            <v/>
          </cell>
          <cell r="R84" t="str">
            <v/>
          </cell>
          <cell r="S84" t="str">
            <v/>
          </cell>
          <cell r="T84" t="str">
            <v/>
          </cell>
          <cell r="U84" t="str">
            <v/>
          </cell>
          <cell r="V84" t="str">
            <v/>
          </cell>
          <cell r="W84" t="str">
            <v/>
          </cell>
          <cell r="X84" t="str">
            <v/>
          </cell>
          <cell r="Y84" t="str">
            <v/>
          </cell>
          <cell r="Z84" t="str">
            <v/>
          </cell>
          <cell r="AA84" t="str">
            <v/>
          </cell>
          <cell r="AB84" t="str">
            <v/>
          </cell>
          <cell r="AC84" t="str">
            <v/>
          </cell>
          <cell r="AD84" t="str">
            <v/>
          </cell>
          <cell r="AE84" t="str">
            <v/>
          </cell>
          <cell r="AF84" t="str">
            <v/>
          </cell>
          <cell r="AG84" t="str">
            <v/>
          </cell>
          <cell r="AH84" t="str">
            <v/>
          </cell>
          <cell r="AI84" t="str">
            <v/>
          </cell>
        </row>
        <row r="85">
          <cell r="A85">
            <v>84</v>
          </cell>
          <cell r="B85" t="str">
            <v/>
          </cell>
          <cell r="C85" t="str">
            <v/>
          </cell>
          <cell r="D85" t="str">
            <v/>
          </cell>
          <cell r="E85" t="str">
            <v/>
          </cell>
          <cell r="F85" t="str">
            <v/>
          </cell>
          <cell r="G85" t="str">
            <v/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  <cell r="N85" t="str">
            <v/>
          </cell>
          <cell r="O85" t="str">
            <v/>
          </cell>
          <cell r="P85" t="str">
            <v/>
          </cell>
          <cell r="Q85" t="str">
            <v/>
          </cell>
          <cell r="R85" t="str">
            <v/>
          </cell>
          <cell r="S85" t="str">
            <v/>
          </cell>
          <cell r="T85" t="str">
            <v/>
          </cell>
          <cell r="U85" t="str">
            <v/>
          </cell>
          <cell r="V85" t="str">
            <v/>
          </cell>
          <cell r="W85" t="str">
            <v/>
          </cell>
          <cell r="X85" t="str">
            <v/>
          </cell>
          <cell r="Y85" t="str">
            <v/>
          </cell>
          <cell r="Z85" t="str">
            <v/>
          </cell>
          <cell r="AA85" t="str">
            <v/>
          </cell>
          <cell r="AB85" t="str">
            <v/>
          </cell>
          <cell r="AC85" t="str">
            <v/>
          </cell>
          <cell r="AD85" t="str">
            <v/>
          </cell>
          <cell r="AE85" t="str">
            <v/>
          </cell>
          <cell r="AF85" t="str">
            <v/>
          </cell>
          <cell r="AG85" t="str">
            <v/>
          </cell>
          <cell r="AH85" t="str">
            <v/>
          </cell>
          <cell r="AI85" t="str">
            <v/>
          </cell>
        </row>
        <row r="86">
          <cell r="A86">
            <v>85</v>
          </cell>
          <cell r="B86" t="str">
            <v/>
          </cell>
          <cell r="C86" t="str">
            <v/>
          </cell>
          <cell r="D86" t="str">
            <v/>
          </cell>
          <cell r="E86" t="str">
            <v/>
          </cell>
          <cell r="F86" t="str">
            <v/>
          </cell>
          <cell r="G86" t="str">
            <v/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  <cell r="N86" t="str">
            <v/>
          </cell>
          <cell r="O86" t="str">
            <v/>
          </cell>
          <cell r="P86" t="str">
            <v/>
          </cell>
          <cell r="Q86" t="str">
            <v/>
          </cell>
          <cell r="R86" t="str">
            <v/>
          </cell>
          <cell r="S86" t="str">
            <v/>
          </cell>
          <cell r="T86" t="str">
            <v/>
          </cell>
          <cell r="U86" t="str">
            <v/>
          </cell>
          <cell r="V86" t="str">
            <v/>
          </cell>
          <cell r="W86" t="str">
            <v/>
          </cell>
          <cell r="X86" t="str">
            <v/>
          </cell>
          <cell r="Y86" t="str">
            <v/>
          </cell>
          <cell r="Z86" t="str">
            <v/>
          </cell>
          <cell r="AA86" t="str">
            <v/>
          </cell>
          <cell r="AB86" t="str">
            <v/>
          </cell>
          <cell r="AC86" t="str">
            <v/>
          </cell>
          <cell r="AD86" t="str">
            <v/>
          </cell>
          <cell r="AE86" t="str">
            <v/>
          </cell>
          <cell r="AF86" t="str">
            <v/>
          </cell>
          <cell r="AG86" t="str">
            <v/>
          </cell>
          <cell r="AH86" t="str">
            <v/>
          </cell>
          <cell r="AI86" t="str">
            <v/>
          </cell>
        </row>
        <row r="87">
          <cell r="A87">
            <v>86</v>
          </cell>
          <cell r="B87" t="str">
            <v/>
          </cell>
          <cell r="C87" t="str">
            <v/>
          </cell>
          <cell r="D87" t="str">
            <v/>
          </cell>
          <cell r="E87" t="str">
            <v/>
          </cell>
          <cell r="F87" t="str">
            <v/>
          </cell>
          <cell r="G87" t="str">
            <v/>
          </cell>
          <cell r="H87" t="str">
            <v/>
          </cell>
          <cell r="I87" t="str">
            <v/>
          </cell>
          <cell r="J87" t="str">
            <v/>
          </cell>
          <cell r="K87" t="str">
            <v/>
          </cell>
          <cell r="L87" t="str">
            <v/>
          </cell>
          <cell r="M87" t="str">
            <v/>
          </cell>
          <cell r="N87" t="str">
            <v/>
          </cell>
          <cell r="O87" t="str">
            <v/>
          </cell>
          <cell r="P87" t="str">
            <v/>
          </cell>
          <cell r="Q87" t="str">
            <v/>
          </cell>
          <cell r="R87" t="str">
            <v/>
          </cell>
          <cell r="S87" t="str">
            <v/>
          </cell>
          <cell r="T87" t="str">
            <v/>
          </cell>
          <cell r="U87" t="str">
            <v/>
          </cell>
          <cell r="V87" t="str">
            <v/>
          </cell>
          <cell r="W87" t="str">
            <v/>
          </cell>
          <cell r="X87" t="str">
            <v/>
          </cell>
          <cell r="Y87" t="str">
            <v/>
          </cell>
          <cell r="Z87" t="str">
            <v/>
          </cell>
          <cell r="AA87" t="str">
            <v/>
          </cell>
          <cell r="AB87" t="str">
            <v/>
          </cell>
          <cell r="AC87" t="str">
            <v/>
          </cell>
          <cell r="AD87" t="str">
            <v/>
          </cell>
          <cell r="AE87" t="str">
            <v/>
          </cell>
          <cell r="AF87" t="str">
            <v/>
          </cell>
          <cell r="AG87" t="str">
            <v/>
          </cell>
          <cell r="AH87" t="str">
            <v/>
          </cell>
          <cell r="AI87" t="str">
            <v/>
          </cell>
        </row>
        <row r="88">
          <cell r="A88">
            <v>87</v>
          </cell>
          <cell r="B88" t="str">
            <v/>
          </cell>
          <cell r="C88" t="str">
            <v/>
          </cell>
          <cell r="D88" t="str">
            <v/>
          </cell>
          <cell r="E88" t="str">
            <v/>
          </cell>
          <cell r="F88" t="str">
            <v/>
          </cell>
          <cell r="G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  <cell r="N88" t="str">
            <v/>
          </cell>
          <cell r="O88" t="str">
            <v/>
          </cell>
          <cell r="P88" t="str">
            <v/>
          </cell>
          <cell r="Q88" t="str">
            <v/>
          </cell>
          <cell r="R88" t="str">
            <v/>
          </cell>
          <cell r="S88" t="str">
            <v/>
          </cell>
          <cell r="T88" t="str">
            <v/>
          </cell>
          <cell r="U88" t="str">
            <v/>
          </cell>
          <cell r="V88" t="str">
            <v/>
          </cell>
          <cell r="W88" t="str">
            <v/>
          </cell>
          <cell r="X88" t="str">
            <v/>
          </cell>
          <cell r="Y88" t="str">
            <v/>
          </cell>
          <cell r="Z88" t="str">
            <v/>
          </cell>
          <cell r="AA88" t="str">
            <v/>
          </cell>
          <cell r="AB88" t="str">
            <v/>
          </cell>
          <cell r="AC88" t="str">
            <v/>
          </cell>
          <cell r="AD88" t="str">
            <v/>
          </cell>
          <cell r="AE88" t="str">
            <v/>
          </cell>
          <cell r="AF88" t="str">
            <v/>
          </cell>
          <cell r="AG88" t="str">
            <v/>
          </cell>
          <cell r="AH88" t="str">
            <v/>
          </cell>
          <cell r="AI88" t="str">
            <v/>
          </cell>
        </row>
        <row r="89">
          <cell r="A89">
            <v>88</v>
          </cell>
          <cell r="B89" t="str">
            <v/>
          </cell>
          <cell r="C89" t="str">
            <v/>
          </cell>
          <cell r="D89" t="str">
            <v/>
          </cell>
          <cell r="E89" t="str">
            <v/>
          </cell>
          <cell r="F89" t="str">
            <v/>
          </cell>
          <cell r="G89" t="str">
            <v/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  <cell r="N89" t="str">
            <v/>
          </cell>
          <cell r="O89" t="str">
            <v/>
          </cell>
          <cell r="P89" t="str">
            <v/>
          </cell>
          <cell r="Q89" t="str">
            <v/>
          </cell>
          <cell r="R89" t="str">
            <v/>
          </cell>
          <cell r="S89" t="str">
            <v/>
          </cell>
          <cell r="T89" t="str">
            <v/>
          </cell>
          <cell r="U89" t="str">
            <v/>
          </cell>
          <cell r="V89" t="str">
            <v/>
          </cell>
          <cell r="W89" t="str">
            <v/>
          </cell>
          <cell r="X89" t="str">
            <v/>
          </cell>
          <cell r="Y89" t="str">
            <v/>
          </cell>
          <cell r="Z89" t="str">
            <v/>
          </cell>
          <cell r="AA89" t="str">
            <v/>
          </cell>
          <cell r="AB89" t="str">
            <v/>
          </cell>
          <cell r="AC89" t="str">
            <v/>
          </cell>
          <cell r="AD89" t="str">
            <v/>
          </cell>
          <cell r="AE89" t="str">
            <v/>
          </cell>
          <cell r="AF89" t="str">
            <v/>
          </cell>
          <cell r="AG89" t="str">
            <v/>
          </cell>
          <cell r="AH89" t="str">
            <v/>
          </cell>
          <cell r="AI89" t="str">
            <v/>
          </cell>
        </row>
        <row r="90">
          <cell r="A90">
            <v>89</v>
          </cell>
          <cell r="B90" t="str">
            <v/>
          </cell>
          <cell r="C90" t="str">
            <v/>
          </cell>
          <cell r="D90" t="str">
            <v/>
          </cell>
          <cell r="E90" t="str">
            <v/>
          </cell>
          <cell r="F90" t="str">
            <v/>
          </cell>
          <cell r="G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  <cell r="N90" t="str">
            <v/>
          </cell>
          <cell r="O90" t="str">
            <v/>
          </cell>
          <cell r="P90" t="str">
            <v/>
          </cell>
          <cell r="Q90" t="str">
            <v/>
          </cell>
          <cell r="R90" t="str">
            <v/>
          </cell>
          <cell r="S90" t="str">
            <v/>
          </cell>
          <cell r="T90" t="str">
            <v/>
          </cell>
          <cell r="U90" t="str">
            <v/>
          </cell>
          <cell r="V90" t="str">
            <v/>
          </cell>
          <cell r="W90" t="str">
            <v/>
          </cell>
          <cell r="X90" t="str">
            <v/>
          </cell>
          <cell r="Y90" t="str">
            <v/>
          </cell>
          <cell r="Z90" t="str">
            <v/>
          </cell>
          <cell r="AA90" t="str">
            <v/>
          </cell>
          <cell r="AB90" t="str">
            <v/>
          </cell>
          <cell r="AC90" t="str">
            <v/>
          </cell>
          <cell r="AD90" t="str">
            <v/>
          </cell>
          <cell r="AE90" t="str">
            <v/>
          </cell>
          <cell r="AF90" t="str">
            <v/>
          </cell>
          <cell r="AG90" t="str">
            <v/>
          </cell>
          <cell r="AH90" t="str">
            <v/>
          </cell>
          <cell r="AI90" t="str">
            <v/>
          </cell>
        </row>
        <row r="91">
          <cell r="A91">
            <v>90</v>
          </cell>
          <cell r="B91" t="str">
            <v/>
          </cell>
          <cell r="C91" t="str">
            <v/>
          </cell>
          <cell r="D91" t="str">
            <v/>
          </cell>
          <cell r="E91" t="str">
            <v/>
          </cell>
          <cell r="F91" t="str">
            <v/>
          </cell>
          <cell r="G91" t="str">
            <v/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  <cell r="N91" t="str">
            <v/>
          </cell>
          <cell r="O91" t="str">
            <v/>
          </cell>
          <cell r="P91" t="str">
            <v/>
          </cell>
          <cell r="Q91" t="str">
            <v/>
          </cell>
          <cell r="R91" t="str">
            <v/>
          </cell>
          <cell r="S91" t="str">
            <v/>
          </cell>
          <cell r="T91" t="str">
            <v/>
          </cell>
          <cell r="U91" t="str">
            <v/>
          </cell>
          <cell r="V91" t="str">
            <v/>
          </cell>
          <cell r="W91" t="str">
            <v/>
          </cell>
          <cell r="X91" t="str">
            <v/>
          </cell>
          <cell r="Y91" t="str">
            <v/>
          </cell>
          <cell r="Z91" t="str">
            <v/>
          </cell>
          <cell r="AA91" t="str">
            <v/>
          </cell>
          <cell r="AB91" t="str">
            <v/>
          </cell>
          <cell r="AC91" t="str">
            <v/>
          </cell>
          <cell r="AD91" t="str">
            <v/>
          </cell>
          <cell r="AE91" t="str">
            <v/>
          </cell>
          <cell r="AF91" t="str">
            <v/>
          </cell>
          <cell r="AG91" t="str">
            <v/>
          </cell>
          <cell r="AH91" t="str">
            <v/>
          </cell>
          <cell r="AI91" t="str">
            <v/>
          </cell>
        </row>
        <row r="92">
          <cell r="A92">
            <v>91</v>
          </cell>
          <cell r="B92" t="str">
            <v/>
          </cell>
          <cell r="C92" t="str">
            <v/>
          </cell>
          <cell r="D92" t="str">
            <v/>
          </cell>
          <cell r="E92" t="str">
            <v/>
          </cell>
          <cell r="F92" t="str">
            <v/>
          </cell>
          <cell r="G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  <cell r="N92" t="str">
            <v/>
          </cell>
          <cell r="O92" t="str">
            <v/>
          </cell>
          <cell r="P92" t="str">
            <v/>
          </cell>
          <cell r="Q92" t="str">
            <v/>
          </cell>
          <cell r="R92" t="str">
            <v/>
          </cell>
          <cell r="S92" t="str">
            <v/>
          </cell>
          <cell r="T92" t="str">
            <v/>
          </cell>
          <cell r="U92" t="str">
            <v/>
          </cell>
          <cell r="V92" t="str">
            <v/>
          </cell>
          <cell r="W92" t="str">
            <v/>
          </cell>
          <cell r="X92" t="str">
            <v/>
          </cell>
          <cell r="Y92" t="str">
            <v/>
          </cell>
          <cell r="Z92" t="str">
            <v/>
          </cell>
          <cell r="AA92" t="str">
            <v/>
          </cell>
          <cell r="AB92" t="str">
            <v/>
          </cell>
          <cell r="AC92" t="str">
            <v/>
          </cell>
          <cell r="AD92" t="str">
            <v/>
          </cell>
          <cell r="AE92" t="str">
            <v/>
          </cell>
          <cell r="AF92" t="str">
            <v/>
          </cell>
          <cell r="AG92" t="str">
            <v/>
          </cell>
          <cell r="AH92" t="str">
            <v/>
          </cell>
          <cell r="AI92" t="str">
            <v/>
          </cell>
        </row>
        <row r="93">
          <cell r="A93">
            <v>92</v>
          </cell>
          <cell r="B93" t="str">
            <v/>
          </cell>
          <cell r="C93" t="str">
            <v/>
          </cell>
          <cell r="D93" t="str">
            <v/>
          </cell>
          <cell r="E93" t="str">
            <v/>
          </cell>
          <cell r="F93" t="str">
            <v/>
          </cell>
          <cell r="G93" t="str">
            <v/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  <cell r="N93" t="str">
            <v/>
          </cell>
          <cell r="O93" t="str">
            <v/>
          </cell>
          <cell r="P93" t="str">
            <v/>
          </cell>
          <cell r="Q93" t="str">
            <v/>
          </cell>
          <cell r="R93" t="str">
            <v/>
          </cell>
          <cell r="S93" t="str">
            <v/>
          </cell>
          <cell r="T93" t="str">
            <v/>
          </cell>
          <cell r="U93" t="str">
            <v/>
          </cell>
          <cell r="V93" t="str">
            <v/>
          </cell>
          <cell r="W93" t="str">
            <v/>
          </cell>
          <cell r="X93" t="str">
            <v/>
          </cell>
          <cell r="Y93" t="str">
            <v/>
          </cell>
          <cell r="Z93" t="str">
            <v/>
          </cell>
          <cell r="AA93" t="str">
            <v/>
          </cell>
          <cell r="AB93" t="str">
            <v/>
          </cell>
          <cell r="AC93" t="str">
            <v/>
          </cell>
          <cell r="AD93" t="str">
            <v/>
          </cell>
          <cell r="AE93" t="str">
            <v/>
          </cell>
          <cell r="AF93" t="str">
            <v/>
          </cell>
          <cell r="AG93" t="str">
            <v/>
          </cell>
          <cell r="AH93" t="str">
            <v/>
          </cell>
          <cell r="AI93" t="str">
            <v/>
          </cell>
        </row>
        <row r="94">
          <cell r="A94">
            <v>93</v>
          </cell>
          <cell r="B94" t="str">
            <v/>
          </cell>
          <cell r="C94" t="str">
            <v/>
          </cell>
          <cell r="D94" t="str">
            <v/>
          </cell>
          <cell r="E94" t="str">
            <v/>
          </cell>
          <cell r="F94" t="str">
            <v/>
          </cell>
          <cell r="G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  <cell r="N94" t="str">
            <v/>
          </cell>
          <cell r="O94" t="str">
            <v/>
          </cell>
          <cell r="P94" t="str">
            <v/>
          </cell>
          <cell r="Q94" t="str">
            <v/>
          </cell>
          <cell r="R94" t="str">
            <v/>
          </cell>
          <cell r="S94" t="str">
            <v/>
          </cell>
          <cell r="T94" t="str">
            <v/>
          </cell>
          <cell r="U94" t="str">
            <v/>
          </cell>
          <cell r="V94" t="str">
            <v/>
          </cell>
          <cell r="W94" t="str">
            <v/>
          </cell>
          <cell r="X94" t="str">
            <v/>
          </cell>
          <cell r="Y94" t="str">
            <v/>
          </cell>
          <cell r="Z94" t="str">
            <v/>
          </cell>
          <cell r="AA94" t="str">
            <v/>
          </cell>
          <cell r="AB94" t="str">
            <v/>
          </cell>
          <cell r="AC94" t="str">
            <v/>
          </cell>
          <cell r="AD94" t="str">
            <v/>
          </cell>
          <cell r="AE94" t="str">
            <v/>
          </cell>
          <cell r="AF94" t="str">
            <v/>
          </cell>
          <cell r="AG94" t="str">
            <v/>
          </cell>
          <cell r="AH94" t="str">
            <v/>
          </cell>
          <cell r="AI94" t="str">
            <v/>
          </cell>
        </row>
        <row r="95">
          <cell r="A95">
            <v>94</v>
          </cell>
          <cell r="B95" t="str">
            <v/>
          </cell>
          <cell r="C95" t="str">
            <v/>
          </cell>
          <cell r="D95" t="str">
            <v/>
          </cell>
          <cell r="E95" t="str">
            <v/>
          </cell>
          <cell r="F95" t="str">
            <v/>
          </cell>
          <cell r="G95" t="str">
            <v/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  <cell r="N95" t="str">
            <v/>
          </cell>
          <cell r="O95" t="str">
            <v/>
          </cell>
          <cell r="P95" t="str">
            <v/>
          </cell>
          <cell r="Q95" t="str">
            <v/>
          </cell>
          <cell r="R95" t="str">
            <v/>
          </cell>
          <cell r="S95" t="str">
            <v/>
          </cell>
          <cell r="T95" t="str">
            <v/>
          </cell>
          <cell r="U95" t="str">
            <v/>
          </cell>
          <cell r="V95" t="str">
            <v/>
          </cell>
          <cell r="W95" t="str">
            <v/>
          </cell>
          <cell r="X95" t="str">
            <v/>
          </cell>
          <cell r="Y95" t="str">
            <v/>
          </cell>
          <cell r="Z95" t="str">
            <v/>
          </cell>
          <cell r="AA95" t="str">
            <v/>
          </cell>
          <cell r="AB95" t="str">
            <v/>
          </cell>
          <cell r="AC95" t="str">
            <v/>
          </cell>
          <cell r="AD95" t="str">
            <v/>
          </cell>
          <cell r="AE95" t="str">
            <v/>
          </cell>
          <cell r="AF95" t="str">
            <v/>
          </cell>
          <cell r="AG95" t="str">
            <v/>
          </cell>
          <cell r="AH95" t="str">
            <v/>
          </cell>
          <cell r="AI95" t="str">
            <v/>
          </cell>
        </row>
        <row r="96">
          <cell r="A96">
            <v>95</v>
          </cell>
          <cell r="B96" t="str">
            <v/>
          </cell>
          <cell r="C96" t="str">
            <v/>
          </cell>
          <cell r="D96" t="str">
            <v/>
          </cell>
          <cell r="E96" t="str">
            <v/>
          </cell>
          <cell r="F96" t="str">
            <v/>
          </cell>
          <cell r="G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  <cell r="N96" t="str">
            <v/>
          </cell>
          <cell r="O96" t="str">
            <v/>
          </cell>
          <cell r="P96" t="str">
            <v/>
          </cell>
          <cell r="Q96" t="str">
            <v/>
          </cell>
          <cell r="R96" t="str">
            <v/>
          </cell>
          <cell r="S96" t="str">
            <v/>
          </cell>
          <cell r="T96" t="str">
            <v/>
          </cell>
          <cell r="U96" t="str">
            <v/>
          </cell>
          <cell r="V96" t="str">
            <v/>
          </cell>
          <cell r="W96" t="str">
            <v/>
          </cell>
          <cell r="X96" t="str">
            <v/>
          </cell>
          <cell r="Y96" t="str">
            <v/>
          </cell>
          <cell r="Z96" t="str">
            <v/>
          </cell>
          <cell r="AA96" t="str">
            <v/>
          </cell>
          <cell r="AB96" t="str">
            <v/>
          </cell>
          <cell r="AC96" t="str">
            <v/>
          </cell>
          <cell r="AD96" t="str">
            <v/>
          </cell>
          <cell r="AE96" t="str">
            <v/>
          </cell>
          <cell r="AF96" t="str">
            <v/>
          </cell>
          <cell r="AG96" t="str">
            <v/>
          </cell>
          <cell r="AH96" t="str">
            <v/>
          </cell>
          <cell r="AI96" t="str">
            <v/>
          </cell>
        </row>
        <row r="97">
          <cell r="A97">
            <v>96</v>
          </cell>
          <cell r="B97" t="str">
            <v/>
          </cell>
          <cell r="C97" t="str">
            <v/>
          </cell>
          <cell r="D97" t="str">
            <v/>
          </cell>
          <cell r="E97" t="str">
            <v/>
          </cell>
          <cell r="F97" t="str">
            <v/>
          </cell>
          <cell r="G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  <cell r="N97" t="str">
            <v/>
          </cell>
          <cell r="O97" t="str">
            <v/>
          </cell>
          <cell r="P97" t="str">
            <v/>
          </cell>
          <cell r="Q97" t="str">
            <v/>
          </cell>
          <cell r="R97" t="str">
            <v/>
          </cell>
          <cell r="S97" t="str">
            <v/>
          </cell>
          <cell r="T97" t="str">
            <v/>
          </cell>
          <cell r="U97" t="str">
            <v/>
          </cell>
          <cell r="V97" t="str">
            <v/>
          </cell>
          <cell r="W97" t="str">
            <v/>
          </cell>
          <cell r="X97" t="str">
            <v/>
          </cell>
          <cell r="Y97" t="str">
            <v/>
          </cell>
          <cell r="Z97" t="str">
            <v/>
          </cell>
          <cell r="AA97" t="str">
            <v/>
          </cell>
          <cell r="AB97" t="str">
            <v/>
          </cell>
          <cell r="AC97" t="str">
            <v/>
          </cell>
          <cell r="AD97" t="str">
            <v/>
          </cell>
          <cell r="AE97" t="str">
            <v/>
          </cell>
          <cell r="AF97" t="str">
            <v/>
          </cell>
          <cell r="AG97" t="str">
            <v/>
          </cell>
          <cell r="AH97" t="str">
            <v/>
          </cell>
          <cell r="AI97" t="str">
            <v/>
          </cell>
        </row>
        <row r="98">
          <cell r="A98">
            <v>97</v>
          </cell>
          <cell r="B98" t="str">
            <v/>
          </cell>
          <cell r="C98" t="str">
            <v/>
          </cell>
          <cell r="D98" t="str">
            <v/>
          </cell>
          <cell r="E98" t="str">
            <v/>
          </cell>
          <cell r="F98" t="str">
            <v/>
          </cell>
          <cell r="G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  <cell r="N98" t="str">
            <v/>
          </cell>
          <cell r="O98" t="str">
            <v/>
          </cell>
          <cell r="P98" t="str">
            <v/>
          </cell>
          <cell r="Q98" t="str">
            <v/>
          </cell>
          <cell r="R98" t="str">
            <v/>
          </cell>
          <cell r="S98" t="str">
            <v/>
          </cell>
          <cell r="T98" t="str">
            <v/>
          </cell>
          <cell r="U98" t="str">
            <v/>
          </cell>
          <cell r="V98" t="str">
            <v/>
          </cell>
          <cell r="W98" t="str">
            <v/>
          </cell>
          <cell r="X98" t="str">
            <v/>
          </cell>
          <cell r="Y98" t="str">
            <v/>
          </cell>
          <cell r="Z98" t="str">
            <v/>
          </cell>
          <cell r="AA98" t="str">
            <v/>
          </cell>
          <cell r="AB98" t="str">
            <v/>
          </cell>
          <cell r="AC98" t="str">
            <v/>
          </cell>
          <cell r="AD98" t="str">
            <v/>
          </cell>
          <cell r="AE98" t="str">
            <v/>
          </cell>
          <cell r="AF98" t="str">
            <v/>
          </cell>
          <cell r="AG98" t="str">
            <v/>
          </cell>
          <cell r="AH98" t="str">
            <v/>
          </cell>
          <cell r="AI98" t="str">
            <v/>
          </cell>
        </row>
        <row r="99">
          <cell r="A99">
            <v>98</v>
          </cell>
          <cell r="B99" t="str">
            <v/>
          </cell>
          <cell r="C99" t="str">
            <v/>
          </cell>
          <cell r="D99" t="str">
            <v/>
          </cell>
          <cell r="E99" t="str">
            <v/>
          </cell>
          <cell r="F99" t="str">
            <v/>
          </cell>
          <cell r="G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  <cell r="N99" t="str">
            <v/>
          </cell>
          <cell r="O99" t="str">
            <v/>
          </cell>
          <cell r="P99" t="str">
            <v/>
          </cell>
          <cell r="Q99" t="str">
            <v/>
          </cell>
          <cell r="R99" t="str">
            <v/>
          </cell>
          <cell r="S99" t="str">
            <v/>
          </cell>
          <cell r="T99" t="str">
            <v/>
          </cell>
          <cell r="U99" t="str">
            <v/>
          </cell>
          <cell r="V99" t="str">
            <v/>
          </cell>
          <cell r="W99" t="str">
            <v/>
          </cell>
          <cell r="X99" t="str">
            <v/>
          </cell>
          <cell r="Y99" t="str">
            <v/>
          </cell>
          <cell r="Z99" t="str">
            <v/>
          </cell>
          <cell r="AA99" t="str">
            <v/>
          </cell>
          <cell r="AB99" t="str">
            <v/>
          </cell>
          <cell r="AC99" t="str">
            <v/>
          </cell>
          <cell r="AD99" t="str">
            <v/>
          </cell>
          <cell r="AE99" t="str">
            <v/>
          </cell>
          <cell r="AF99" t="str">
            <v/>
          </cell>
          <cell r="AG99" t="str">
            <v/>
          </cell>
          <cell r="AH99" t="str">
            <v/>
          </cell>
          <cell r="AI99" t="str">
            <v/>
          </cell>
        </row>
        <row r="100">
          <cell r="A100">
            <v>99</v>
          </cell>
          <cell r="B100" t="str">
            <v/>
          </cell>
          <cell r="C100" t="str">
            <v/>
          </cell>
          <cell r="D100" t="str">
            <v/>
          </cell>
          <cell r="E100" t="str">
            <v/>
          </cell>
          <cell r="F100" t="str">
            <v/>
          </cell>
          <cell r="G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  <cell r="N100" t="str">
            <v/>
          </cell>
          <cell r="O100" t="str">
            <v/>
          </cell>
          <cell r="P100" t="str">
            <v/>
          </cell>
          <cell r="Q100" t="str">
            <v/>
          </cell>
          <cell r="R100" t="str">
            <v/>
          </cell>
          <cell r="S100" t="str">
            <v/>
          </cell>
          <cell r="T100" t="str">
            <v/>
          </cell>
          <cell r="U100" t="str">
            <v/>
          </cell>
          <cell r="V100" t="str">
            <v/>
          </cell>
          <cell r="W100" t="str">
            <v/>
          </cell>
          <cell r="X100" t="str">
            <v/>
          </cell>
          <cell r="Y100" t="str">
            <v/>
          </cell>
          <cell r="Z100" t="str">
            <v/>
          </cell>
          <cell r="AA100" t="str">
            <v/>
          </cell>
          <cell r="AB100" t="str">
            <v/>
          </cell>
          <cell r="AC100" t="str">
            <v/>
          </cell>
          <cell r="AD100" t="str">
            <v/>
          </cell>
          <cell r="AE100" t="str">
            <v/>
          </cell>
          <cell r="AF100" t="str">
            <v/>
          </cell>
          <cell r="AG100" t="str">
            <v/>
          </cell>
          <cell r="AH100" t="str">
            <v/>
          </cell>
          <cell r="AI100" t="str">
            <v/>
          </cell>
        </row>
        <row r="101">
          <cell r="A101">
            <v>100</v>
          </cell>
          <cell r="B101" t="str">
            <v/>
          </cell>
          <cell r="C101" t="str">
            <v/>
          </cell>
          <cell r="D101" t="str">
            <v/>
          </cell>
          <cell r="E101" t="str">
            <v/>
          </cell>
          <cell r="F101" t="str">
            <v/>
          </cell>
          <cell r="G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  <cell r="N101" t="str">
            <v/>
          </cell>
          <cell r="O101" t="str">
            <v/>
          </cell>
          <cell r="P101" t="str">
            <v/>
          </cell>
          <cell r="Q101" t="str">
            <v/>
          </cell>
          <cell r="R101" t="str">
            <v/>
          </cell>
          <cell r="S101" t="str">
            <v/>
          </cell>
          <cell r="T101" t="str">
            <v/>
          </cell>
          <cell r="U101" t="str">
            <v/>
          </cell>
          <cell r="V101" t="str">
            <v/>
          </cell>
          <cell r="W101" t="str">
            <v/>
          </cell>
          <cell r="X101" t="str">
            <v/>
          </cell>
          <cell r="Y101" t="str">
            <v/>
          </cell>
          <cell r="Z101" t="str">
            <v/>
          </cell>
          <cell r="AA101" t="str">
            <v/>
          </cell>
          <cell r="AB101" t="str">
            <v/>
          </cell>
          <cell r="AC101" t="str">
            <v/>
          </cell>
          <cell r="AD101" t="str">
            <v/>
          </cell>
          <cell r="AE101" t="str">
            <v/>
          </cell>
          <cell r="AF101" t="str">
            <v/>
          </cell>
          <cell r="AG101" t="str">
            <v/>
          </cell>
          <cell r="AH101" t="str">
            <v/>
          </cell>
          <cell r="AI101" t="str">
            <v/>
          </cell>
        </row>
      </sheetData>
      <sheetData sheetId="4">
        <row r="1">
          <cell r="B1" t="str">
            <v>T1</v>
          </cell>
          <cell r="E1" t="str">
            <v>T1</v>
          </cell>
        </row>
        <row r="2">
          <cell r="A2">
            <v>1</v>
          </cell>
          <cell r="B2">
            <v>2.1</v>
          </cell>
          <cell r="D2">
            <v>1</v>
          </cell>
          <cell r="E2">
            <v>2.1</v>
          </cell>
        </row>
        <row r="3">
          <cell r="A3">
            <v>2</v>
          </cell>
          <cell r="B3">
            <v>3.14</v>
          </cell>
          <cell r="D3">
            <v>2</v>
          </cell>
          <cell r="E3">
            <v>3.14</v>
          </cell>
        </row>
        <row r="4">
          <cell r="A4">
            <v>3</v>
          </cell>
          <cell r="B4">
            <v>3.11</v>
          </cell>
          <cell r="D4">
            <v>3</v>
          </cell>
          <cell r="E4">
            <v>3.11</v>
          </cell>
        </row>
        <row r="5">
          <cell r="A5">
            <v>4</v>
          </cell>
          <cell r="B5">
            <v>2.4</v>
          </cell>
          <cell r="D5">
            <v>4</v>
          </cell>
          <cell r="E5">
            <v>2.4</v>
          </cell>
        </row>
        <row r="6">
          <cell r="A6">
            <v>5</v>
          </cell>
          <cell r="B6">
            <v>3.02</v>
          </cell>
          <cell r="D6">
            <v>5</v>
          </cell>
          <cell r="E6">
            <v>3.02</v>
          </cell>
        </row>
        <row r="7">
          <cell r="A7">
            <v>6</v>
          </cell>
          <cell r="B7">
            <v>4.01</v>
          </cell>
          <cell r="D7">
            <v>6</v>
          </cell>
          <cell r="E7">
            <v>4.01</v>
          </cell>
        </row>
        <row r="8">
          <cell r="A8">
            <v>7</v>
          </cell>
          <cell r="B8">
            <v>1.4</v>
          </cell>
          <cell r="D8">
            <v>7</v>
          </cell>
          <cell r="E8">
            <v>1.4</v>
          </cell>
        </row>
        <row r="9">
          <cell r="A9">
            <v>8</v>
          </cell>
          <cell r="B9">
            <v>3.06</v>
          </cell>
          <cell r="D9">
            <v>8</v>
          </cell>
          <cell r="E9">
            <v>3.06</v>
          </cell>
        </row>
        <row r="10">
          <cell r="A10">
            <v>9</v>
          </cell>
          <cell r="B10">
            <v>3.12</v>
          </cell>
          <cell r="D10">
            <v>9</v>
          </cell>
          <cell r="E10">
            <v>3.12</v>
          </cell>
        </row>
        <row r="11">
          <cell r="A11">
            <v>10</v>
          </cell>
          <cell r="B11">
            <v>7.5</v>
          </cell>
          <cell r="D11">
            <v>10</v>
          </cell>
          <cell r="E11">
            <v>7.5</v>
          </cell>
        </row>
        <row r="12">
          <cell r="A12">
            <v>11</v>
          </cell>
          <cell r="B12">
            <v>3.08</v>
          </cell>
          <cell r="D12">
            <v>11</v>
          </cell>
          <cell r="E12">
            <v>3.08</v>
          </cell>
        </row>
        <row r="13">
          <cell r="A13">
            <v>12</v>
          </cell>
          <cell r="B13">
            <v>4.05</v>
          </cell>
          <cell r="D13">
            <v>12</v>
          </cell>
          <cell r="E13">
            <v>4.05</v>
          </cell>
        </row>
        <row r="14">
          <cell r="A14">
            <v>13</v>
          </cell>
          <cell r="B14">
            <v>7.5</v>
          </cell>
          <cell r="D14">
            <v>13</v>
          </cell>
          <cell r="E14">
            <v>7.5</v>
          </cell>
        </row>
        <row r="15">
          <cell r="A15">
            <v>14</v>
          </cell>
          <cell r="B15">
            <v>1.1000000000000001</v>
          </cell>
          <cell r="D15">
            <v>14</v>
          </cell>
          <cell r="E15">
            <v>1.1000000000000001</v>
          </cell>
        </row>
        <row r="16">
          <cell r="A16">
            <v>15</v>
          </cell>
          <cell r="B16">
            <v>5.5</v>
          </cell>
          <cell r="D16">
            <v>15</v>
          </cell>
          <cell r="E16">
            <v>5.5</v>
          </cell>
        </row>
        <row r="17">
          <cell r="A17">
            <v>16</v>
          </cell>
          <cell r="B17">
            <v>3.12</v>
          </cell>
          <cell r="D17">
            <v>16</v>
          </cell>
          <cell r="E17">
            <v>3.12</v>
          </cell>
        </row>
        <row r="18">
          <cell r="A18">
            <v>17</v>
          </cell>
          <cell r="B18">
            <v>5.2</v>
          </cell>
          <cell r="D18">
            <v>17</v>
          </cell>
          <cell r="E18">
            <v>5.2</v>
          </cell>
        </row>
        <row r="19">
          <cell r="A19">
            <v>18</v>
          </cell>
          <cell r="B19">
            <v>6.3</v>
          </cell>
          <cell r="D19">
            <v>18</v>
          </cell>
          <cell r="E19">
            <v>6.3</v>
          </cell>
        </row>
        <row r="20">
          <cell r="A20">
            <v>19</v>
          </cell>
          <cell r="B20">
            <v>3.08</v>
          </cell>
          <cell r="D20">
            <v>19</v>
          </cell>
          <cell r="E20">
            <v>3.08</v>
          </cell>
        </row>
        <row r="21">
          <cell r="A21">
            <v>20</v>
          </cell>
          <cell r="B21">
            <v>4.05</v>
          </cell>
          <cell r="D21">
            <v>20</v>
          </cell>
          <cell r="E21">
            <v>4.05</v>
          </cell>
        </row>
        <row r="22">
          <cell r="A22">
            <v>21</v>
          </cell>
          <cell r="B22">
            <v>3.12</v>
          </cell>
          <cell r="D22">
            <v>21</v>
          </cell>
          <cell r="E22">
            <v>3.12</v>
          </cell>
        </row>
        <row r="23">
          <cell r="A23">
            <v>22</v>
          </cell>
          <cell r="B23">
            <v>6.2</v>
          </cell>
          <cell r="D23">
            <v>22</v>
          </cell>
          <cell r="E23">
            <v>6.2</v>
          </cell>
        </row>
        <row r="24">
          <cell r="A24">
            <v>23</v>
          </cell>
          <cell r="B24">
            <v>3.01</v>
          </cell>
          <cell r="D24">
            <v>23</v>
          </cell>
          <cell r="E24">
            <v>3.01</v>
          </cell>
        </row>
        <row r="25">
          <cell r="A25">
            <v>24</v>
          </cell>
          <cell r="B25">
            <v>3.08</v>
          </cell>
          <cell r="D25">
            <v>24</v>
          </cell>
          <cell r="E25">
            <v>3.08</v>
          </cell>
        </row>
        <row r="26">
          <cell r="A26">
            <v>25</v>
          </cell>
          <cell r="B26">
            <v>1.2</v>
          </cell>
          <cell r="D26">
            <v>25</v>
          </cell>
          <cell r="E26">
            <v>1.2</v>
          </cell>
        </row>
        <row r="27">
          <cell r="A27">
            <v>26</v>
          </cell>
          <cell r="B27">
            <v>3.13</v>
          </cell>
          <cell r="D27">
            <v>26</v>
          </cell>
          <cell r="E27">
            <v>3.13</v>
          </cell>
        </row>
        <row r="28">
          <cell r="A28">
            <v>27</v>
          </cell>
          <cell r="B28">
            <v>3.14</v>
          </cell>
          <cell r="D28">
            <v>27</v>
          </cell>
          <cell r="E28">
            <v>3.14</v>
          </cell>
        </row>
        <row r="29">
          <cell r="A29">
            <v>28</v>
          </cell>
          <cell r="B29">
            <v>3.01</v>
          </cell>
          <cell r="D29">
            <v>28</v>
          </cell>
          <cell r="E29">
            <v>3.01</v>
          </cell>
        </row>
        <row r="30">
          <cell r="A30">
            <v>29</v>
          </cell>
          <cell r="B30">
            <v>3.01</v>
          </cell>
          <cell r="D30">
            <v>29</v>
          </cell>
          <cell r="E30">
            <v>3.01</v>
          </cell>
        </row>
        <row r="31">
          <cell r="A31">
            <v>30</v>
          </cell>
          <cell r="B31">
            <v>6.1</v>
          </cell>
          <cell r="D31">
            <v>30</v>
          </cell>
          <cell r="E31">
            <v>6.1</v>
          </cell>
        </row>
        <row r="32">
          <cell r="A32">
            <v>31</v>
          </cell>
          <cell r="B32">
            <v>3.09</v>
          </cell>
          <cell r="D32">
            <v>31</v>
          </cell>
          <cell r="E32">
            <v>3.09</v>
          </cell>
        </row>
        <row r="33">
          <cell r="A33">
            <v>32</v>
          </cell>
          <cell r="B33">
            <v>7.5</v>
          </cell>
          <cell r="D33">
            <v>32</v>
          </cell>
          <cell r="E33">
            <v>7.5</v>
          </cell>
        </row>
        <row r="34">
          <cell r="A34">
            <v>33</v>
          </cell>
          <cell r="B34">
            <v>3.17</v>
          </cell>
          <cell r="D34">
            <v>33</v>
          </cell>
          <cell r="E34">
            <v>3.17</v>
          </cell>
        </row>
        <row r="35">
          <cell r="A35">
            <v>34</v>
          </cell>
          <cell r="B35">
            <v>3.14</v>
          </cell>
          <cell r="D35">
            <v>34</v>
          </cell>
          <cell r="E35">
            <v>3.14</v>
          </cell>
        </row>
        <row r="36">
          <cell r="A36">
            <v>35</v>
          </cell>
          <cell r="B36">
            <v>6.5</v>
          </cell>
          <cell r="D36">
            <v>35</v>
          </cell>
          <cell r="E36">
            <v>6.5</v>
          </cell>
        </row>
        <row r="37">
          <cell r="A37">
            <v>36</v>
          </cell>
          <cell r="B37">
            <v>7.2</v>
          </cell>
          <cell r="D37">
            <v>36</v>
          </cell>
          <cell r="E37">
            <v>7.2</v>
          </cell>
        </row>
        <row r="38">
          <cell r="A38">
            <v>37</v>
          </cell>
          <cell r="B38">
            <v>1.1000000000000001</v>
          </cell>
          <cell r="D38">
            <v>37</v>
          </cell>
          <cell r="E38">
            <v>1.1000000000000001</v>
          </cell>
        </row>
        <row r="39">
          <cell r="A39">
            <v>38</v>
          </cell>
          <cell r="B39">
            <v>3.01</v>
          </cell>
          <cell r="D39">
            <v>38</v>
          </cell>
          <cell r="E39">
            <v>3.01</v>
          </cell>
        </row>
        <row r="40">
          <cell r="A40">
            <v>39</v>
          </cell>
          <cell r="B40">
            <v>4.0999999999999996</v>
          </cell>
          <cell r="D40">
            <v>39</v>
          </cell>
          <cell r="E40">
            <v>4.0999999999999996</v>
          </cell>
        </row>
        <row r="41">
          <cell r="A41">
            <v>40</v>
          </cell>
          <cell r="B41">
            <v>6.3</v>
          </cell>
          <cell r="D41">
            <v>40</v>
          </cell>
          <cell r="E41">
            <v>6.3</v>
          </cell>
        </row>
        <row r="42">
          <cell r="A42">
            <v>41</v>
          </cell>
          <cell r="B42">
            <v>3.07</v>
          </cell>
          <cell r="D42">
            <v>41</v>
          </cell>
          <cell r="E42">
            <v>3.07</v>
          </cell>
        </row>
        <row r="43">
          <cell r="A43">
            <v>42</v>
          </cell>
          <cell r="B43">
            <v>3.07</v>
          </cell>
          <cell r="D43">
            <v>42</v>
          </cell>
          <cell r="E43">
            <v>3.07</v>
          </cell>
        </row>
        <row r="44">
          <cell r="A44">
            <v>43</v>
          </cell>
          <cell r="B44">
            <v>6.7</v>
          </cell>
          <cell r="D44">
            <v>43</v>
          </cell>
          <cell r="E44">
            <v>6.7</v>
          </cell>
        </row>
        <row r="45">
          <cell r="A45">
            <v>44</v>
          </cell>
          <cell r="B45">
            <v>7.5</v>
          </cell>
          <cell r="D45">
            <v>44</v>
          </cell>
          <cell r="E45">
            <v>7.5</v>
          </cell>
        </row>
        <row r="46">
          <cell r="A46">
            <v>45</v>
          </cell>
          <cell r="B46">
            <v>4.09</v>
          </cell>
          <cell r="D46">
            <v>45</v>
          </cell>
          <cell r="E46">
            <v>4.09</v>
          </cell>
        </row>
        <row r="47">
          <cell r="A47">
            <v>46</v>
          </cell>
          <cell r="B47">
            <v>6.1</v>
          </cell>
          <cell r="D47">
            <v>46</v>
          </cell>
          <cell r="E47">
            <v>6.1</v>
          </cell>
        </row>
        <row r="48">
          <cell r="A48">
            <v>47</v>
          </cell>
          <cell r="B48">
            <v>5.4</v>
          </cell>
          <cell r="D48">
            <v>47</v>
          </cell>
          <cell r="E48">
            <v>5.4</v>
          </cell>
        </row>
        <row r="49">
          <cell r="A49">
            <v>48</v>
          </cell>
          <cell r="B49">
            <v>3.07</v>
          </cell>
          <cell r="D49">
            <v>48</v>
          </cell>
          <cell r="E49">
            <v>3.07</v>
          </cell>
        </row>
        <row r="50">
          <cell r="A50">
            <v>49</v>
          </cell>
          <cell r="B50">
            <v>3.01</v>
          </cell>
          <cell r="D50">
            <v>49</v>
          </cell>
          <cell r="E50">
            <v>3.01</v>
          </cell>
        </row>
        <row r="51">
          <cell r="A51">
            <v>50</v>
          </cell>
          <cell r="B51">
            <v>6.3</v>
          </cell>
          <cell r="D51">
            <v>50</v>
          </cell>
          <cell r="E51">
            <v>6.3</v>
          </cell>
        </row>
        <row r="52">
          <cell r="A52">
            <v>51</v>
          </cell>
          <cell r="B52" t="str">
            <v/>
          </cell>
          <cell r="D52">
            <v>51</v>
          </cell>
          <cell r="E52" t="str">
            <v/>
          </cell>
        </row>
        <row r="53">
          <cell r="A53">
            <v>52</v>
          </cell>
          <cell r="B53" t="str">
            <v/>
          </cell>
          <cell r="D53">
            <v>52</v>
          </cell>
          <cell r="E53" t="str">
            <v/>
          </cell>
        </row>
        <row r="54">
          <cell r="A54">
            <v>53</v>
          </cell>
          <cell r="B54" t="str">
            <v/>
          </cell>
          <cell r="D54">
            <v>53</v>
          </cell>
          <cell r="E54" t="str">
            <v/>
          </cell>
        </row>
        <row r="55">
          <cell r="A55">
            <v>54</v>
          </cell>
          <cell r="B55" t="str">
            <v/>
          </cell>
          <cell r="D55">
            <v>54</v>
          </cell>
          <cell r="E55" t="str">
            <v/>
          </cell>
        </row>
        <row r="56">
          <cell r="A56">
            <v>55</v>
          </cell>
          <cell r="B56" t="str">
            <v/>
          </cell>
          <cell r="D56">
            <v>55</v>
          </cell>
          <cell r="E56" t="str">
            <v/>
          </cell>
        </row>
        <row r="57">
          <cell r="A57">
            <v>56</v>
          </cell>
          <cell r="B57" t="str">
            <v/>
          </cell>
          <cell r="D57">
            <v>56</v>
          </cell>
          <cell r="E57" t="str">
            <v/>
          </cell>
        </row>
        <row r="58">
          <cell r="A58">
            <v>57</v>
          </cell>
          <cell r="B58" t="str">
            <v/>
          </cell>
          <cell r="D58">
            <v>57</v>
          </cell>
          <cell r="E58" t="str">
            <v/>
          </cell>
        </row>
        <row r="59">
          <cell r="A59">
            <v>58</v>
          </cell>
          <cell r="B59" t="str">
            <v/>
          </cell>
          <cell r="D59">
            <v>58</v>
          </cell>
          <cell r="E59" t="str">
            <v/>
          </cell>
        </row>
        <row r="60">
          <cell r="A60">
            <v>59</v>
          </cell>
          <cell r="B60" t="str">
            <v/>
          </cell>
          <cell r="D60">
            <v>59</v>
          </cell>
          <cell r="E60" t="str">
            <v/>
          </cell>
        </row>
        <row r="61">
          <cell r="A61">
            <v>60</v>
          </cell>
          <cell r="B61" t="str">
            <v/>
          </cell>
          <cell r="D61">
            <v>60</v>
          </cell>
          <cell r="E61" t="str">
            <v/>
          </cell>
        </row>
        <row r="62">
          <cell r="A62">
            <v>61</v>
          </cell>
          <cell r="B62" t="str">
            <v/>
          </cell>
          <cell r="D62">
            <v>61</v>
          </cell>
          <cell r="E62" t="str">
            <v/>
          </cell>
        </row>
        <row r="63">
          <cell r="A63">
            <v>62</v>
          </cell>
          <cell r="B63" t="str">
            <v/>
          </cell>
          <cell r="D63">
            <v>62</v>
          </cell>
          <cell r="E63" t="str">
            <v/>
          </cell>
        </row>
        <row r="64">
          <cell r="A64">
            <v>63</v>
          </cell>
          <cell r="B64" t="str">
            <v/>
          </cell>
          <cell r="D64">
            <v>63</v>
          </cell>
          <cell r="E64" t="str">
            <v/>
          </cell>
        </row>
        <row r="65">
          <cell r="A65">
            <v>64</v>
          </cell>
          <cell r="B65" t="str">
            <v/>
          </cell>
          <cell r="D65">
            <v>64</v>
          </cell>
          <cell r="E65" t="str">
            <v/>
          </cell>
        </row>
        <row r="66">
          <cell r="A66">
            <v>65</v>
          </cell>
          <cell r="B66" t="str">
            <v/>
          </cell>
          <cell r="D66">
            <v>65</v>
          </cell>
          <cell r="E66" t="str">
            <v/>
          </cell>
        </row>
        <row r="67">
          <cell r="A67">
            <v>66</v>
          </cell>
          <cell r="B67" t="str">
            <v/>
          </cell>
          <cell r="D67">
            <v>66</v>
          </cell>
          <cell r="E67" t="str">
            <v/>
          </cell>
        </row>
        <row r="68">
          <cell r="A68">
            <v>67</v>
          </cell>
          <cell r="B68" t="str">
            <v/>
          </cell>
          <cell r="D68">
            <v>67</v>
          </cell>
          <cell r="E68" t="str">
            <v/>
          </cell>
        </row>
        <row r="69">
          <cell r="A69">
            <v>68</v>
          </cell>
          <cell r="B69" t="str">
            <v/>
          </cell>
          <cell r="D69">
            <v>68</v>
          </cell>
          <cell r="E69" t="str">
            <v/>
          </cell>
        </row>
        <row r="70">
          <cell r="A70">
            <v>69</v>
          </cell>
          <cell r="B70" t="str">
            <v/>
          </cell>
          <cell r="D70">
            <v>69</v>
          </cell>
          <cell r="E70" t="str">
            <v/>
          </cell>
        </row>
        <row r="71">
          <cell r="A71">
            <v>70</v>
          </cell>
          <cell r="B71" t="str">
            <v/>
          </cell>
          <cell r="D71">
            <v>70</v>
          </cell>
          <cell r="E71" t="str">
            <v/>
          </cell>
        </row>
        <row r="72">
          <cell r="A72">
            <v>71</v>
          </cell>
          <cell r="B72" t="str">
            <v/>
          </cell>
          <cell r="D72">
            <v>71</v>
          </cell>
          <cell r="E72" t="str">
            <v/>
          </cell>
        </row>
        <row r="73">
          <cell r="A73">
            <v>72</v>
          </cell>
          <cell r="B73" t="str">
            <v/>
          </cell>
          <cell r="D73">
            <v>72</v>
          </cell>
          <cell r="E73" t="str">
            <v/>
          </cell>
        </row>
        <row r="74">
          <cell r="A74">
            <v>73</v>
          </cell>
          <cell r="B74" t="str">
            <v/>
          </cell>
          <cell r="D74">
            <v>73</v>
          </cell>
          <cell r="E74" t="str">
            <v/>
          </cell>
        </row>
        <row r="75">
          <cell r="A75">
            <v>74</v>
          </cell>
          <cell r="B75" t="str">
            <v/>
          </cell>
          <cell r="D75">
            <v>74</v>
          </cell>
          <cell r="E75" t="str">
            <v/>
          </cell>
        </row>
        <row r="76">
          <cell r="A76">
            <v>75</v>
          </cell>
          <cell r="B76" t="str">
            <v/>
          </cell>
          <cell r="D76">
            <v>75</v>
          </cell>
          <cell r="E76" t="str">
            <v/>
          </cell>
        </row>
        <row r="77">
          <cell r="A77">
            <v>76</v>
          </cell>
          <cell r="B77" t="str">
            <v/>
          </cell>
          <cell r="D77">
            <v>76</v>
          </cell>
          <cell r="E77" t="str">
            <v/>
          </cell>
        </row>
        <row r="78">
          <cell r="A78">
            <v>77</v>
          </cell>
          <cell r="B78" t="str">
            <v/>
          </cell>
          <cell r="D78">
            <v>77</v>
          </cell>
          <cell r="E78" t="str">
            <v/>
          </cell>
        </row>
        <row r="79">
          <cell r="A79">
            <v>78</v>
          </cell>
          <cell r="B79" t="str">
            <v/>
          </cell>
          <cell r="D79">
            <v>78</v>
          </cell>
          <cell r="E79" t="str">
            <v/>
          </cell>
        </row>
        <row r="80">
          <cell r="A80">
            <v>79</v>
          </cell>
          <cell r="B80" t="str">
            <v/>
          </cell>
          <cell r="D80">
            <v>79</v>
          </cell>
          <cell r="E80" t="str">
            <v/>
          </cell>
        </row>
        <row r="81">
          <cell r="A81">
            <v>80</v>
          </cell>
          <cell r="B81" t="str">
            <v/>
          </cell>
          <cell r="D81">
            <v>80</v>
          </cell>
          <cell r="E81" t="str">
            <v/>
          </cell>
        </row>
        <row r="82">
          <cell r="A82">
            <v>81</v>
          </cell>
          <cell r="B82" t="str">
            <v/>
          </cell>
          <cell r="D82">
            <v>81</v>
          </cell>
          <cell r="E82" t="str">
            <v/>
          </cell>
        </row>
        <row r="83">
          <cell r="A83">
            <v>82</v>
          </cell>
          <cell r="B83" t="str">
            <v/>
          </cell>
          <cell r="D83">
            <v>82</v>
          </cell>
          <cell r="E83" t="str">
            <v/>
          </cell>
        </row>
        <row r="84">
          <cell r="A84">
            <v>83</v>
          </cell>
          <cell r="B84" t="str">
            <v/>
          </cell>
          <cell r="D84">
            <v>83</v>
          </cell>
          <cell r="E84" t="str">
            <v/>
          </cell>
        </row>
        <row r="85">
          <cell r="A85">
            <v>84</v>
          </cell>
          <cell r="B85" t="str">
            <v/>
          </cell>
          <cell r="D85">
            <v>84</v>
          </cell>
          <cell r="E85" t="str">
            <v/>
          </cell>
        </row>
        <row r="86">
          <cell r="A86">
            <v>85</v>
          </cell>
          <cell r="B86" t="str">
            <v/>
          </cell>
          <cell r="D86">
            <v>85</v>
          </cell>
          <cell r="E86" t="str">
            <v/>
          </cell>
        </row>
        <row r="87">
          <cell r="A87">
            <v>86</v>
          </cell>
          <cell r="B87" t="str">
            <v/>
          </cell>
          <cell r="D87">
            <v>86</v>
          </cell>
          <cell r="E87" t="str">
            <v/>
          </cell>
        </row>
        <row r="88">
          <cell r="A88">
            <v>87</v>
          </cell>
          <cell r="B88" t="str">
            <v/>
          </cell>
          <cell r="D88">
            <v>87</v>
          </cell>
          <cell r="E88" t="str">
            <v/>
          </cell>
        </row>
        <row r="89">
          <cell r="A89">
            <v>88</v>
          </cell>
          <cell r="B89" t="str">
            <v/>
          </cell>
          <cell r="D89">
            <v>88</v>
          </cell>
          <cell r="E89" t="str">
            <v/>
          </cell>
        </row>
        <row r="90">
          <cell r="A90">
            <v>89</v>
          </cell>
          <cell r="B90" t="str">
            <v/>
          </cell>
          <cell r="D90">
            <v>89</v>
          </cell>
          <cell r="E90" t="str">
            <v/>
          </cell>
        </row>
        <row r="91">
          <cell r="A91">
            <v>90</v>
          </cell>
          <cell r="B91" t="str">
            <v/>
          </cell>
          <cell r="D91">
            <v>90</v>
          </cell>
          <cell r="E91" t="str">
            <v/>
          </cell>
        </row>
        <row r="92">
          <cell r="A92">
            <v>91</v>
          </cell>
          <cell r="B92" t="str">
            <v/>
          </cell>
          <cell r="D92">
            <v>91</v>
          </cell>
          <cell r="E92" t="str">
            <v/>
          </cell>
        </row>
        <row r="93">
          <cell r="A93">
            <v>92</v>
          </cell>
          <cell r="B93" t="str">
            <v/>
          </cell>
          <cell r="D93">
            <v>92</v>
          </cell>
          <cell r="E93" t="str">
            <v/>
          </cell>
        </row>
        <row r="94">
          <cell r="A94">
            <v>93</v>
          </cell>
          <cell r="B94" t="str">
            <v/>
          </cell>
          <cell r="D94">
            <v>93</v>
          </cell>
          <cell r="E94" t="str">
            <v/>
          </cell>
        </row>
        <row r="95">
          <cell r="A95">
            <v>94</v>
          </cell>
          <cell r="B95" t="str">
            <v/>
          </cell>
          <cell r="D95">
            <v>94</v>
          </cell>
          <cell r="E95" t="str">
            <v/>
          </cell>
        </row>
        <row r="96">
          <cell r="A96">
            <v>95</v>
          </cell>
          <cell r="B96" t="str">
            <v/>
          </cell>
          <cell r="D96">
            <v>95</v>
          </cell>
          <cell r="E96" t="str">
            <v/>
          </cell>
        </row>
        <row r="97">
          <cell r="A97">
            <v>96</v>
          </cell>
          <cell r="B97" t="str">
            <v/>
          </cell>
          <cell r="D97">
            <v>96</v>
          </cell>
          <cell r="E97" t="str">
            <v/>
          </cell>
        </row>
        <row r="98">
          <cell r="A98">
            <v>97</v>
          </cell>
          <cell r="B98" t="str">
            <v/>
          </cell>
          <cell r="D98">
            <v>97</v>
          </cell>
          <cell r="E98" t="str">
            <v/>
          </cell>
        </row>
        <row r="99">
          <cell r="A99">
            <v>98</v>
          </cell>
          <cell r="B99" t="str">
            <v/>
          </cell>
          <cell r="D99">
            <v>98</v>
          </cell>
          <cell r="E99" t="str">
            <v/>
          </cell>
        </row>
        <row r="100">
          <cell r="A100">
            <v>99</v>
          </cell>
          <cell r="B100" t="str">
            <v/>
          </cell>
          <cell r="D100">
            <v>99</v>
          </cell>
          <cell r="E100" t="str">
            <v/>
          </cell>
        </row>
        <row r="101">
          <cell r="A101">
            <v>100</v>
          </cell>
          <cell r="B101" t="str">
            <v/>
          </cell>
          <cell r="D101">
            <v>100</v>
          </cell>
          <cell r="E101" t="str">
            <v/>
          </cell>
        </row>
      </sheetData>
      <sheetData sheetId="5">
        <row r="1">
          <cell r="A1">
            <v>4</v>
          </cell>
          <cell r="B1" t="str">
            <v>T1</v>
          </cell>
          <cell r="C1" t="str">
            <v>T2</v>
          </cell>
          <cell r="D1" t="str">
            <v>T3</v>
          </cell>
          <cell r="E1" t="str">
            <v>T4</v>
          </cell>
          <cell r="F1" t="str">
            <v>T5</v>
          </cell>
          <cell r="G1" t="str">
            <v>T6</v>
          </cell>
          <cell r="H1" t="str">
            <v>T7</v>
          </cell>
          <cell r="I1" t="str">
            <v>T8</v>
          </cell>
          <cell r="J1" t="str">
            <v>T9</v>
          </cell>
          <cell r="K1" t="str">
            <v>T10</v>
          </cell>
          <cell r="L1" t="str">
            <v>T11</v>
          </cell>
          <cell r="M1" t="str">
            <v>T12</v>
          </cell>
          <cell r="N1" t="str">
            <v>P13</v>
          </cell>
          <cell r="O1" t="str">
            <v>P14</v>
          </cell>
          <cell r="P1" t="str">
            <v>P15</v>
          </cell>
          <cell r="Q1" t="str">
            <v>P16</v>
          </cell>
          <cell r="R1" t="str">
            <v>P17</v>
          </cell>
          <cell r="S1" t="str">
            <v>P18</v>
          </cell>
          <cell r="T1" t="str">
            <v>P19</v>
          </cell>
          <cell r="U1" t="str">
            <v>P20</v>
          </cell>
          <cell r="V1" t="str">
            <v>P21</v>
          </cell>
          <cell r="W1" t="str">
            <v>P22</v>
          </cell>
          <cell r="X1" t="str">
            <v>P63</v>
          </cell>
          <cell r="Y1" t="str">
            <v>P64</v>
          </cell>
          <cell r="Z1" t="str">
            <v>P65</v>
          </cell>
          <cell r="AA1" t="str">
            <v>P66</v>
          </cell>
          <cell r="AB1" t="str">
            <v>X1</v>
          </cell>
          <cell r="AC1" t="str">
            <v>X2</v>
          </cell>
          <cell r="AD1" t="str">
            <v>X3</v>
          </cell>
          <cell r="AE1">
            <v>0</v>
          </cell>
          <cell r="AF1">
            <v>0</v>
          </cell>
          <cell r="AG1">
            <v>0</v>
          </cell>
          <cell r="AH1">
            <v>0</v>
          </cell>
          <cell r="AI1">
            <v>0</v>
          </cell>
        </row>
        <row r="2">
          <cell r="A2" t="str">
            <v>Date</v>
          </cell>
          <cell r="B2" t="str">
            <v>11.22</v>
          </cell>
          <cell r="C2" t="str">
            <v/>
          </cell>
          <cell r="D2" t="str">
            <v/>
          </cell>
          <cell r="E2" t="str">
            <v/>
          </cell>
          <cell r="F2" t="str">
            <v/>
          </cell>
          <cell r="G2" t="str">
            <v/>
          </cell>
          <cell r="H2" t="str">
            <v/>
          </cell>
          <cell r="I2" t="str">
            <v/>
          </cell>
          <cell r="J2" t="str">
            <v/>
          </cell>
          <cell r="K2" t="str">
            <v/>
          </cell>
          <cell r="L2" t="str">
            <v/>
          </cell>
          <cell r="M2" t="str">
            <v/>
          </cell>
          <cell r="N2" t="str">
            <v/>
          </cell>
          <cell r="O2" t="str">
            <v/>
          </cell>
          <cell r="P2" t="str">
            <v/>
          </cell>
          <cell r="Q2" t="str">
            <v/>
          </cell>
          <cell r="R2" t="str">
            <v/>
          </cell>
          <cell r="S2" t="str">
            <v/>
          </cell>
          <cell r="T2" t="str">
            <v/>
          </cell>
          <cell r="U2" t="str">
            <v/>
          </cell>
          <cell r="V2" t="str">
            <v/>
          </cell>
          <cell r="W2" t="str">
            <v/>
          </cell>
          <cell r="X2" t="str">
            <v/>
          </cell>
          <cell r="Y2" t="str">
            <v/>
          </cell>
          <cell r="Z2" t="str">
            <v/>
          </cell>
          <cell r="AA2" t="str">
            <v/>
          </cell>
          <cell r="AB2" t="str">
            <v/>
          </cell>
          <cell r="AC2" t="str">
            <v/>
          </cell>
          <cell r="AD2" t="str">
            <v/>
          </cell>
          <cell r="AE2" t="str">
            <v/>
          </cell>
          <cell r="AF2" t="str">
            <v/>
          </cell>
          <cell r="AG2" t="str">
            <v/>
          </cell>
          <cell r="AH2" t="str">
            <v/>
          </cell>
          <cell r="AI2" t="str">
            <v/>
          </cell>
        </row>
        <row r="3">
          <cell r="A3" t="str">
            <v>R/A</v>
          </cell>
          <cell r="B3">
            <v>50</v>
          </cell>
          <cell r="C3" t="str">
            <v/>
          </cell>
          <cell r="D3" t="str">
            <v/>
          </cell>
          <cell r="E3" t="str">
            <v/>
          </cell>
          <cell r="F3" t="str">
            <v/>
          </cell>
          <cell r="G3" t="str">
            <v/>
          </cell>
          <cell r="H3" t="str">
            <v/>
          </cell>
          <cell r="I3" t="str">
            <v/>
          </cell>
          <cell r="J3" t="str">
            <v/>
          </cell>
          <cell r="K3" t="str">
            <v/>
          </cell>
          <cell r="L3" t="str">
            <v/>
          </cell>
          <cell r="M3" t="str">
            <v/>
          </cell>
          <cell r="N3" t="str">
            <v/>
          </cell>
          <cell r="O3" t="str">
            <v/>
          </cell>
          <cell r="P3" t="str">
            <v/>
          </cell>
          <cell r="Q3" t="str">
            <v/>
          </cell>
          <cell r="R3" t="str">
            <v/>
          </cell>
          <cell r="S3" t="str">
            <v/>
          </cell>
          <cell r="T3" t="str">
            <v/>
          </cell>
          <cell r="U3" t="str">
            <v/>
          </cell>
          <cell r="V3" t="str">
            <v/>
          </cell>
          <cell r="W3" t="str">
            <v/>
          </cell>
          <cell r="X3" t="str">
            <v/>
          </cell>
          <cell r="Y3" t="str">
            <v/>
          </cell>
          <cell r="Z3" t="str">
            <v/>
          </cell>
          <cell r="AA3" t="str">
            <v/>
          </cell>
          <cell r="AB3" t="str">
            <v/>
          </cell>
          <cell r="AC3" t="str">
            <v/>
          </cell>
          <cell r="AD3" t="str">
            <v/>
          </cell>
          <cell r="AE3" t="str">
            <v/>
          </cell>
          <cell r="AF3" t="str">
            <v/>
          </cell>
          <cell r="AG3" t="str">
            <v/>
          </cell>
          <cell r="AH3" t="str">
            <v/>
          </cell>
          <cell r="AI3" t="str">
            <v/>
          </cell>
        </row>
        <row r="4">
          <cell r="A4" t="str">
            <v>W/A</v>
          </cell>
          <cell r="B4">
            <v>0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Z4">
            <v>0</v>
          </cell>
          <cell r="AA4">
            <v>0</v>
          </cell>
          <cell r="AB4">
            <v>0</v>
          </cell>
          <cell r="AC4">
            <v>0</v>
          </cell>
          <cell r="AD4">
            <v>0</v>
          </cell>
          <cell r="AE4">
            <v>0</v>
          </cell>
          <cell r="AF4">
            <v>0</v>
          </cell>
          <cell r="AG4">
            <v>0</v>
          </cell>
          <cell r="AH4">
            <v>0</v>
          </cell>
          <cell r="AI4">
            <v>0</v>
          </cell>
        </row>
        <row r="5">
          <cell r="A5" t="str">
            <v>Omit</v>
          </cell>
          <cell r="B5">
            <v>10</v>
          </cell>
          <cell r="C5" t="str">
            <v/>
          </cell>
          <cell r="D5" t="str">
            <v/>
          </cell>
          <cell r="E5" t="str">
            <v/>
          </cell>
          <cell r="F5" t="str">
            <v/>
          </cell>
          <cell r="G5" t="str">
            <v/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  <cell r="N5" t="str">
            <v/>
          </cell>
          <cell r="O5" t="str">
            <v/>
          </cell>
          <cell r="P5" t="str">
            <v/>
          </cell>
          <cell r="Q5" t="str">
            <v/>
          </cell>
          <cell r="R5" t="str">
            <v/>
          </cell>
          <cell r="S5" t="str">
            <v/>
          </cell>
          <cell r="T5" t="str">
            <v/>
          </cell>
          <cell r="U5" t="str">
            <v/>
          </cell>
          <cell r="V5" t="str">
            <v/>
          </cell>
          <cell r="W5" t="str">
            <v/>
          </cell>
          <cell r="X5" t="str">
            <v/>
          </cell>
          <cell r="Y5" t="str">
            <v/>
          </cell>
          <cell r="Z5" t="str">
            <v/>
          </cell>
          <cell r="AA5" t="str">
            <v/>
          </cell>
          <cell r="AB5" t="str">
            <v/>
          </cell>
          <cell r="AC5" t="str">
            <v/>
          </cell>
          <cell r="AD5" t="str">
            <v/>
          </cell>
          <cell r="AE5" t="str">
            <v/>
          </cell>
          <cell r="AF5" t="str">
            <v/>
          </cell>
          <cell r="AG5" t="str">
            <v/>
          </cell>
          <cell r="AH5" t="str">
            <v/>
          </cell>
          <cell r="AI5" t="str">
            <v/>
          </cell>
        </row>
        <row r="6">
          <cell r="A6" t="str">
            <v>Raw</v>
          </cell>
          <cell r="B6">
            <v>50</v>
          </cell>
          <cell r="C6" t="str">
            <v/>
          </cell>
          <cell r="D6" t="str">
            <v/>
          </cell>
          <cell r="E6" t="str">
            <v/>
          </cell>
          <cell r="F6" t="str">
            <v/>
          </cell>
          <cell r="G6" t="str">
            <v/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  <cell r="N6" t="str">
            <v/>
          </cell>
          <cell r="O6" t="str">
            <v/>
          </cell>
          <cell r="P6" t="str">
            <v/>
          </cell>
          <cell r="Q6" t="str">
            <v/>
          </cell>
          <cell r="R6" t="str">
            <v/>
          </cell>
          <cell r="S6" t="str">
            <v/>
          </cell>
          <cell r="T6" t="str">
            <v/>
          </cell>
          <cell r="U6" t="str">
            <v/>
          </cell>
          <cell r="V6" t="str">
            <v/>
          </cell>
          <cell r="W6" t="str">
            <v/>
          </cell>
          <cell r="X6" t="str">
            <v/>
          </cell>
          <cell r="Y6" t="str">
            <v/>
          </cell>
          <cell r="Z6" t="str">
            <v/>
          </cell>
          <cell r="AA6" t="str">
            <v/>
          </cell>
          <cell r="AB6" t="str">
            <v/>
          </cell>
          <cell r="AC6" t="str">
            <v/>
          </cell>
          <cell r="AD6" t="str">
            <v/>
          </cell>
          <cell r="AE6" t="str">
            <v/>
          </cell>
          <cell r="AF6" t="str">
            <v/>
          </cell>
          <cell r="AG6" t="str">
            <v/>
          </cell>
          <cell r="AH6" t="str">
            <v/>
          </cell>
          <cell r="AI6" t="str">
            <v/>
          </cell>
        </row>
        <row r="7">
          <cell r="A7" t="str">
            <v>Scale</v>
          </cell>
          <cell r="B7">
            <v>800</v>
          </cell>
          <cell r="C7" t="str">
            <v/>
          </cell>
          <cell r="D7" t="str">
            <v/>
          </cell>
          <cell r="E7" t="str">
            <v/>
          </cell>
          <cell r="F7" t="str">
            <v/>
          </cell>
          <cell r="G7" t="str">
            <v/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F7" t="str">
            <v/>
          </cell>
          <cell r="AG7" t="str">
            <v/>
          </cell>
          <cell r="AH7" t="str">
            <v/>
          </cell>
          <cell r="AI7" t="str">
            <v/>
          </cell>
        </row>
      </sheetData>
      <sheetData sheetId="6"/>
      <sheetData sheetId="7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Log"/>
      <sheetName val="A1"/>
      <sheetName val="A2"/>
      <sheetName val="A3"/>
      <sheetName val="SID"/>
      <sheetName val="Math IIC Score Report - Most Re"/>
    </sheet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DEB82D0-6B63-470D-98B8-FCA827222A5D}" name="AnswerKey" displayName="AnswerKey" ref="A1:G3253" totalsRowShown="0" headerRowDxfId="20">
  <autoFilter ref="A1:G3253" xr:uid="{3EBF5337-D513-40F5-BD24-D3AC91EC5805}"/>
  <tableColumns count="7">
    <tableColumn id="1" xr3:uid="{1E4E86BB-1C1E-4B2A-BAA9-4FE423892E62}" name="UID" dataDxfId="19"/>
    <tableColumn id="2" xr3:uid="{482BA042-8CD6-4051-9DF9-CE08C8DF1CF8}" name="Test No." dataDxfId="18"/>
    <tableColumn id="3" xr3:uid="{BECBD984-6CB8-4C22-B07A-408257DD92A6}" name="Q. No." dataDxfId="17"/>
    <tableColumn id="4" xr3:uid="{05233260-4965-4F06-BBB2-0FF32FFB3469}" name="QID" dataDxfId="16"/>
    <tableColumn id="5" xr3:uid="{1530DA9B-2EF3-489D-80CC-D1D620027369}" name="Major" dataDxfId="15"/>
    <tableColumn id="8" xr3:uid="{F9696ECD-3804-4BA5-9CC7-4C61EE42E02C}" name="Sub" dataDxfId="14"/>
    <tableColumn id="10" xr3:uid="{0940C16D-7FB5-4598-9586-967A99F5090B}" name="AK" dataDxfId="1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4619FD0-8E98-4625-8843-8D115A5E4CE9}" name="S_ID" displayName="S_ID" ref="A1:B13" totalsRowShown="0" headerRowDxfId="12" dataDxfId="11" tableBorderDxfId="10">
  <autoFilter ref="A1:B13" xr:uid="{E71708CB-463A-49FF-9D06-5DFB254A0F63}"/>
  <tableColumns count="2">
    <tableColumn id="1" xr3:uid="{B14FB10D-F1F6-4B66-8301-EEDBC1D83EC6}" name="ID" dataDxfId="9"/>
    <tableColumn id="2" xr3:uid="{D7545399-DE4D-4A4F-866B-7E7E15146D4A}" name="Name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4B170E-A67F-4F7C-A9C4-CCCD34B04C48}" name="Test_Scale" displayName="Test_Scale" ref="D1:E75" totalsRowShown="0" headerRowDxfId="7" dataDxfId="6">
  <autoFilter ref="D1:E75" xr:uid="{9BB07B88-4EE1-48A8-A6CE-CEA5D157B034}"/>
  <sortState ref="D2:E52">
    <sortCondition descending="1" ref="D1:D52"/>
  </sortState>
  <tableColumns count="2">
    <tableColumn id="1" xr3:uid="{5BE454A1-239B-4384-8665-B4EFA6B4FC56}" name="Raw" dataDxfId="5"/>
    <tableColumn id="2" xr3:uid="{EE546922-8CE1-4E34-8E57-C4E8B522B6A1}" name="Scaled" dataDxfId="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DE5D77-08FC-49C7-9386-DE5BF0716AC9}" name="Category" displayName="Category" ref="G1:H34" totalsRowShown="0" headerRowDxfId="3" dataDxfId="2">
  <autoFilter ref="G1:H34" xr:uid="{CD8E1D12-2279-4AB4-9F90-A4AD46EC6842}"/>
  <tableColumns count="2">
    <tableColumn id="1" xr3:uid="{B0432710-35CC-4DAA-9FBA-84A5D5243C89}" name="CID" dataDxfId="1"/>
    <tableColumn id="2" xr3:uid="{BD3D00F9-8F8A-43E8-8EFE-7D9BA92BBB51}" name="Categor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1F5FD-D7AB-4257-A363-A779384F3CF1}">
  <sheetPr codeName="Sheet2"/>
  <dimension ref="A1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4" sqref="C4"/>
    </sheetView>
  </sheetViews>
  <sheetFormatPr defaultColWidth="8.88671875" defaultRowHeight="14.4"/>
  <cols>
    <col min="1" max="16384" width="8.88671875" style="44"/>
  </cols>
  <sheetData/>
  <sheetProtection algorithmName="SHA-512" hashValue="g3f1hlZNxguNiLl2pNlPaLoPHtddvkaNaNkjK0xW82zldMkwBuFzLmx7inO++4JMS3t1id4HcMNHrVdl36zLkw==" saltValue="WLCDOFEo3i07cY0pt2KFXA==" spinCount="100000" sheet="1" objects="1" scenarios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9651C-D681-4BEA-8AC2-41A5824C535F}">
  <sheetPr codeName="Sheet10"/>
  <dimension ref="A1:BF234"/>
  <sheetViews>
    <sheetView tabSelected="1" workbookViewId="0">
      <selection activeCell="AN2" sqref="AN2"/>
    </sheetView>
  </sheetViews>
  <sheetFormatPr defaultColWidth="4.109375" defaultRowHeight="14.4"/>
  <cols>
    <col min="1" max="10" width="4.109375" style="2"/>
    <col min="11" max="11" width="4.33203125" style="2" bestFit="1" customWidth="1"/>
    <col min="12" max="12" width="4.109375" style="2"/>
    <col min="13" max="13" width="4.33203125" style="2" bestFit="1" customWidth="1"/>
    <col min="14" max="15" width="4.109375" style="2"/>
    <col min="16" max="16" width="4.109375" style="2" customWidth="1"/>
    <col min="17" max="22" width="4.109375" style="2"/>
    <col min="23" max="24" width="4.109375" style="2" customWidth="1"/>
    <col min="25" max="25" width="4" style="2" customWidth="1"/>
    <col min="26" max="26" width="4.109375" style="2" hidden="1" customWidth="1"/>
    <col min="27" max="27" width="7.6640625" style="2" hidden="1" customWidth="1"/>
    <col min="28" max="28" width="8.33203125" style="2" hidden="1" customWidth="1"/>
    <col min="29" max="29" width="5" style="2" hidden="1" customWidth="1"/>
    <col min="30" max="30" width="7.6640625" style="2" hidden="1" customWidth="1"/>
    <col min="31" max="31" width="4.88671875" style="2" hidden="1" customWidth="1"/>
    <col min="32" max="32" width="4.33203125" style="2" hidden="1" customWidth="1"/>
    <col min="33" max="33" width="4.109375" style="2" hidden="1" customWidth="1"/>
    <col min="34" max="34" width="4.33203125" style="2" hidden="1" customWidth="1"/>
    <col min="35" max="35" width="4.109375" style="2" hidden="1" customWidth="1"/>
    <col min="36" max="36" width="7.6640625" style="2" hidden="1" customWidth="1"/>
    <col min="37" max="37" width="4.109375" style="2" hidden="1" customWidth="1"/>
    <col min="38" max="38" width="0" style="2" hidden="1" customWidth="1"/>
    <col min="39" max="39" width="4.109375" style="2"/>
    <col min="40" max="40" width="4.109375" style="2" customWidth="1"/>
    <col min="41" max="16384" width="4.109375" style="2"/>
  </cols>
  <sheetData>
    <row r="1" spans="1:58" ht="26.25" customHeight="1" thickBot="1">
      <c r="A1" s="160" t="s">
        <v>5</v>
      </c>
      <c r="B1" s="160"/>
      <c r="C1" s="160"/>
      <c r="D1" s="160"/>
      <c r="E1" s="160"/>
      <c r="F1" s="160"/>
      <c r="G1" s="160"/>
      <c r="H1" s="160"/>
      <c r="I1" s="160"/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1"/>
      <c r="AM1" s="6"/>
      <c r="AT1" s="6"/>
    </row>
    <row r="2" spans="1:58">
      <c r="A2" s="1"/>
      <c r="B2" s="1"/>
      <c r="C2" s="1"/>
      <c r="D2" s="1"/>
      <c r="E2" s="1"/>
      <c r="F2" s="1"/>
      <c r="G2" s="1"/>
      <c r="H2" s="1"/>
      <c r="I2" s="1"/>
      <c r="J2" s="83"/>
      <c r="K2" s="83"/>
      <c r="L2" s="83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</row>
    <row r="3" spans="1:58" ht="15" customHeight="1">
      <c r="A3" s="1"/>
      <c r="B3" s="1"/>
      <c r="C3" s="1"/>
      <c r="D3" s="1"/>
      <c r="E3" s="1"/>
      <c r="F3" s="1"/>
      <c r="G3" s="1"/>
      <c r="H3" s="1"/>
      <c r="I3" s="83"/>
      <c r="J3" s="83"/>
      <c r="K3" s="83"/>
      <c r="L3" s="83"/>
      <c r="M3" s="83"/>
      <c r="N3" s="83"/>
      <c r="O3" s="162" t="s">
        <v>6</v>
      </c>
      <c r="P3" s="162"/>
      <c r="Q3" s="163" t="s">
        <v>7</v>
      </c>
      <c r="R3" s="163"/>
      <c r="S3" s="163"/>
      <c r="T3" s="163"/>
      <c r="U3" s="173" t="s">
        <v>8</v>
      </c>
      <c r="V3" s="174"/>
      <c r="W3" s="175"/>
      <c r="X3" s="163" t="s">
        <v>9</v>
      </c>
      <c r="Y3" s="164"/>
      <c r="Z3" s="30"/>
      <c r="AA3" s="74"/>
      <c r="AM3" s="6"/>
      <c r="AT3" s="6"/>
    </row>
    <row r="4" spans="1:58" ht="15" customHeight="1">
      <c r="A4" s="1"/>
      <c r="B4" s="1"/>
      <c r="C4" s="1"/>
      <c r="D4" s="1"/>
      <c r="E4" s="1"/>
      <c r="F4" s="1"/>
      <c r="G4" s="1"/>
      <c r="H4" s="1"/>
      <c r="I4" s="83"/>
      <c r="J4" s="83"/>
      <c r="K4" s="83"/>
      <c r="L4" s="83"/>
      <c r="M4" s="83"/>
      <c r="N4" s="83"/>
      <c r="O4" s="165"/>
      <c r="P4" s="165"/>
      <c r="Q4" s="167" t="e">
        <f>VLOOKUP($O$4,S_ID[],2,FALSE)</f>
        <v>#N/A</v>
      </c>
      <c r="R4" s="167"/>
      <c r="S4" s="167"/>
      <c r="T4" s="167"/>
      <c r="U4" s="176"/>
      <c r="V4" s="177"/>
      <c r="W4" s="178"/>
      <c r="X4" s="169"/>
      <c r="Y4" s="170"/>
      <c r="Z4" s="30"/>
      <c r="AA4" s="6"/>
    </row>
    <row r="5" spans="1:58" ht="14.4" customHeight="1">
      <c r="A5" s="1"/>
      <c r="B5" s="1"/>
      <c r="C5" s="1"/>
      <c r="D5" s="1"/>
      <c r="E5" s="1"/>
      <c r="F5" s="1"/>
      <c r="G5" s="1"/>
      <c r="H5" s="1"/>
      <c r="I5" s="83"/>
      <c r="J5" s="83"/>
      <c r="K5" s="83"/>
      <c r="L5" s="83"/>
      <c r="M5" s="83"/>
      <c r="N5" s="83"/>
      <c r="O5" s="166"/>
      <c r="P5" s="166"/>
      <c r="Q5" s="168"/>
      <c r="R5" s="168"/>
      <c r="S5" s="168"/>
      <c r="T5" s="168"/>
      <c r="U5" s="176"/>
      <c r="V5" s="177"/>
      <c r="W5" s="178"/>
      <c r="X5" s="171"/>
      <c r="Y5" s="172"/>
      <c r="Z5" s="30"/>
      <c r="AA5" s="6"/>
      <c r="AM5" s="6"/>
      <c r="AT5" s="6"/>
    </row>
    <row r="6" spans="1:58" ht="16.5" customHeight="1">
      <c r="A6" s="83"/>
      <c r="B6" s="83"/>
      <c r="C6" s="83"/>
      <c r="D6" s="83"/>
      <c r="E6" s="83"/>
      <c r="F6" s="83"/>
      <c r="G6" s="83"/>
      <c r="H6" s="83"/>
      <c r="I6" s="83"/>
      <c r="J6" s="83"/>
      <c r="K6" s="83"/>
      <c r="L6" s="83"/>
      <c r="M6" s="83"/>
      <c r="N6" s="83"/>
      <c r="O6" s="83"/>
      <c r="P6" s="83"/>
      <c r="Q6" s="84"/>
      <c r="R6" s="84"/>
      <c r="S6" s="84"/>
      <c r="T6" s="84"/>
      <c r="U6" s="83"/>
      <c r="V6" s="83"/>
      <c r="W6" s="83"/>
      <c r="X6" s="83"/>
      <c r="Y6" s="83"/>
      <c r="AA6" s="2" t="s">
        <v>71</v>
      </c>
      <c r="AG6" s="6"/>
    </row>
    <row r="7" spans="1:58" ht="15.6" customHeight="1" thickBot="1">
      <c r="A7" s="143" t="s">
        <v>10</v>
      </c>
      <c r="B7" s="143"/>
      <c r="C7" s="143"/>
      <c r="D7" s="143"/>
      <c r="E7" s="143"/>
      <c r="F7" s="143"/>
      <c r="G7" s="143"/>
      <c r="H7" s="143"/>
      <c r="I7" s="143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7" t="s">
        <v>14</v>
      </c>
      <c r="W7" s="144" t="str">
        <f>$O$4&amp;"-"&amp;$X$4&amp;"-"&amp;TEXT($U$4,"mm/dd/yy")</f>
        <v>--01/00/00</v>
      </c>
      <c r="X7" s="144"/>
      <c r="Y7" s="144"/>
      <c r="AA7" s="2" t="s">
        <v>72</v>
      </c>
      <c r="AB7" s="3" t="s">
        <v>8</v>
      </c>
      <c r="AC7" s="2" t="s">
        <v>73</v>
      </c>
      <c r="AD7" s="3" t="s">
        <v>70</v>
      </c>
      <c r="AN7" s="78"/>
      <c r="AQ7" s="7"/>
    </row>
    <row r="8" spans="1:58" ht="15" thickTop="1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  <c r="M8" s="83"/>
      <c r="N8" s="83"/>
      <c r="O8" s="83"/>
      <c r="P8" s="83"/>
      <c r="Q8" s="83"/>
      <c r="R8" s="83"/>
      <c r="S8" s="83"/>
      <c r="T8" s="83"/>
      <c r="U8" s="83"/>
      <c r="V8" s="83"/>
      <c r="W8" s="83"/>
      <c r="X8" s="83"/>
      <c r="Y8" s="84"/>
      <c r="Z8" s="2">
        <v>1</v>
      </c>
      <c r="AA8" s="2">
        <f t="array" ref="AA8">IFERROR(INDEX(AllAns!$1:$1048576,1,SMALL(IF(AllAns!$3:$3=Report!$O$4,COLUMN(AllAns!$3:$3)),ROW(AllAns!1:1))),"")</f>
        <v>0</v>
      </c>
      <c r="AB8" s="82" t="str">
        <f>IFERROR(INDEX(AllAns!$1:$10,4,MATCH(Report!AA8,AllAns!$1:$1,0)),"")</f>
        <v/>
      </c>
      <c r="AC8" s="2" t="str">
        <f>IFERROR(INDEX(AllAns!$1:$1048576,2,MATCH(Report!AA8,AllAns!$1:$1,0)),"")</f>
        <v/>
      </c>
      <c r="AD8" s="22" t="e">
        <f>INDEX(AllAns!$1:$10,9,MATCH(Report!AA8,AllAns!$1:$1,0))</f>
        <v>#N/A</v>
      </c>
      <c r="BF8" s="6"/>
    </row>
    <row r="9" spans="1:58" ht="15" customHeight="1">
      <c r="A9" s="157" t="s">
        <v>11</v>
      </c>
      <c r="B9" s="157"/>
      <c r="C9" s="158" t="s">
        <v>12</v>
      </c>
      <c r="D9" s="158"/>
      <c r="E9" s="158" t="s">
        <v>13</v>
      </c>
      <c r="F9" s="158"/>
      <c r="G9" s="159" t="s">
        <v>20</v>
      </c>
      <c r="H9" s="159"/>
      <c r="I9" s="159" t="s">
        <v>61</v>
      </c>
      <c r="J9" s="159"/>
      <c r="K9" s="159"/>
      <c r="L9" s="159"/>
      <c r="M9" s="83"/>
      <c r="N9" s="83"/>
      <c r="O9" s="88"/>
      <c r="P9" s="88"/>
      <c r="Q9" s="88"/>
      <c r="R9" s="83"/>
      <c r="S9" s="179" t="str">
        <f>X4&amp;" Avg."</f>
        <v xml:space="preserve"> Avg.</v>
      </c>
      <c r="T9" s="181"/>
      <c r="U9" s="179" t="s">
        <v>62</v>
      </c>
      <c r="V9" s="180"/>
      <c r="W9" s="180"/>
      <c r="X9" s="180"/>
      <c r="Y9" s="181"/>
      <c r="Z9">
        <v>2</v>
      </c>
      <c r="AA9" s="2">
        <f t="array" ref="AA9">IFERROR(INDEX(AllAns!$1:$1048576,1,LARGE(IF(AllAns!$3:$3=Report!$O$4,COLUMN(AllAns!$3:$3)),ROW(AllAns!19:19))),"")</f>
        <v>0</v>
      </c>
      <c r="AB9" s="82" t="str">
        <f>IFERROR(INDEX(AllAns!$1:$10,4,MATCH(Report!AA9,AllAns!$1:$1,0)),"")</f>
        <v/>
      </c>
      <c r="AC9" s="2" t="str">
        <f>IFERROR(INDEX(AllAns!$1:$1048576,2,MATCH(Report!AA9,AllAns!$1:$1,0)),"")</f>
        <v/>
      </c>
      <c r="AD9" s="22" t="e">
        <f>INDEX(AllAns!$1:$10,9,MATCH(Report!AA9,AllAns!$1:$1,0))</f>
        <v>#N/A</v>
      </c>
      <c r="AE9"/>
    </row>
    <row r="10" spans="1:58">
      <c r="A10" s="145">
        <f>COUNTIF(D55:D88,"O")+COUNTIF(L55:L88,"O")+COUNTIF(T55:T88,"O")</f>
        <v>0</v>
      </c>
      <c r="B10" s="145"/>
      <c r="C10" s="146">
        <f>COUNTIF(D55:D88,"X")+COUNTIF(L55:L88,"X")+COUNTIF(T55:T88,"X")-E10</f>
        <v>0</v>
      </c>
      <c r="D10" s="146"/>
      <c r="E10" s="147">
        <f>COUNTBLANK(B55:B88)+COUNTBLANK(J55:J88)+COUNTBLANK(R55:R86)-COUNTIF(C55:C88,"-")-COUNTIF(K55:K88,"-")-COUNTIF(S55:S86,"-")</f>
        <v>0</v>
      </c>
      <c r="F10" s="147"/>
      <c r="G10" s="148" t="e">
        <f>ROUNDDOWN(50/(COUNTA(D55:D88,L55:L88,T55:T86)-(COUNTBLANK(D55:D88)+COUNTBLANK(L55:L88)+COUNTBLANK(T55:T86)))*(A10-0.25*C10),0)</f>
        <v>#DIV/0!</v>
      </c>
      <c r="H10" s="148"/>
      <c r="I10" s="149" t="e">
        <f>VLOOKUP(ROUNDUP(G10,1),Test_Scale[],2,FALSE)</f>
        <v>#DIV/0!</v>
      </c>
      <c r="J10" s="149"/>
      <c r="K10" s="149"/>
      <c r="L10" s="149"/>
      <c r="M10" s="83"/>
      <c r="N10" s="83"/>
      <c r="O10" s="88"/>
      <c r="P10" s="88"/>
      <c r="Q10" s="88"/>
      <c r="R10" s="83"/>
      <c r="S10" s="188" t="str">
        <f>IFERROR(ROUNDDOWN(AVERAGEIF(AllAns!2:2,Report!X4,AllAns!9:9),-1),"-")</f>
        <v>-</v>
      </c>
      <c r="T10" s="189"/>
      <c r="U10" s="182">
        <f t="array" ref="U10">IFERROR(_xlfn.PERCENTRANK.INC(INDEX(AllAns!9:9,N(IF(1,IF(AllAns!2:2=X4, COLUMN(AllAns!2:2))))),I10), 0)</f>
        <v>0</v>
      </c>
      <c r="V10" s="183"/>
      <c r="W10" s="183"/>
      <c r="X10" s="183"/>
      <c r="Y10" s="184"/>
      <c r="Z10">
        <v>3</v>
      </c>
      <c r="AA10" s="2">
        <f t="array" ref="AA10">IFERROR(INDEX(AllAns!$1:$1048576,1,LARGE(IF(AllAns!$3:$3=Report!$O$4,COLUMN(AllAns!$3:$3)),ROW(AllAns!18:18))),"")</f>
        <v>0</v>
      </c>
      <c r="AB10" s="82" t="str">
        <f>IFERROR(INDEX(AllAns!$1:$10,4,MATCH(Report!AA10,AllAns!$1:$1,0)),"")</f>
        <v/>
      </c>
      <c r="AC10" s="2" t="str">
        <f>IFERROR(INDEX(AllAns!$1:$1048576,2,MATCH(Report!AA10,AllAns!$1:$1,0)),"")</f>
        <v/>
      </c>
      <c r="AD10" s="22" t="e">
        <f>INDEX(AllAns!$1:$10,9,MATCH(Report!AA10,AllAns!$1:$1,0))</f>
        <v>#N/A</v>
      </c>
      <c r="AE10"/>
    </row>
    <row r="11" spans="1:58">
      <c r="A11" s="145"/>
      <c r="B11" s="145"/>
      <c r="C11" s="146"/>
      <c r="D11" s="146"/>
      <c r="E11" s="147"/>
      <c r="F11" s="147"/>
      <c r="G11" s="148"/>
      <c r="H11" s="148"/>
      <c r="I11" s="149"/>
      <c r="J11" s="149"/>
      <c r="K11" s="149"/>
      <c r="L11" s="149"/>
      <c r="M11" s="83"/>
      <c r="N11" s="83"/>
      <c r="O11" s="88"/>
      <c r="P11" s="88"/>
      <c r="Q11" s="88"/>
      <c r="R11" s="83"/>
      <c r="S11" s="190"/>
      <c r="T11" s="191"/>
      <c r="U11" s="185"/>
      <c r="V11" s="186"/>
      <c r="W11" s="186"/>
      <c r="X11" s="186"/>
      <c r="Y11" s="187"/>
      <c r="Z11" s="2">
        <v>4</v>
      </c>
      <c r="AA11" s="2">
        <f t="array" ref="AA11">IFERROR(INDEX(AllAns!$1:$1048576,1,LARGE(IF(AllAns!$3:$3=Report!$O$4,COLUMN(AllAns!$3:$3)),ROW(AllAns!17:17))),"")</f>
        <v>0</v>
      </c>
      <c r="AB11" s="82" t="str">
        <f>IFERROR(INDEX(AllAns!$1:$10,4,MATCH(Report!AA11,AllAns!$1:$1,0)),"")</f>
        <v/>
      </c>
      <c r="AC11" s="2" t="str">
        <f>IFERROR(INDEX(AllAns!$1:$1048576,2,MATCH(Report!AA11,AllAns!$1:$1,0)),"")</f>
        <v/>
      </c>
      <c r="AD11" s="22" t="e">
        <f>INDEX(AllAns!$1:$10,9,MATCH(Report!AA11,AllAns!$1:$1,0))</f>
        <v>#N/A</v>
      </c>
      <c r="AE11"/>
    </row>
    <row r="12" spans="1:58" customFormat="1">
      <c r="A12" s="83"/>
      <c r="B12" s="84"/>
      <c r="C12" s="83"/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8"/>
      <c r="U12" s="88"/>
      <c r="V12" s="88"/>
      <c r="W12" s="88"/>
      <c r="X12" s="88"/>
      <c r="Y12" s="88"/>
      <c r="Z12" s="2">
        <v>5</v>
      </c>
      <c r="AA12" s="2">
        <f t="array" ref="AA12">IFERROR(INDEX(AllAns!$1:$1048576,1,LARGE(IF(AllAns!$3:$3=Report!$O$4,COLUMN(AllAns!$3:$3)),ROW(AllAns!16:16))),"")</f>
        <v>0</v>
      </c>
      <c r="AB12" s="82" t="str">
        <f>IFERROR(INDEX(AllAns!$1:$10,4,MATCH(Report!AA12,AllAns!$1:$1,0)),"")</f>
        <v/>
      </c>
      <c r="AC12" s="2" t="str">
        <f>IFERROR(INDEX(AllAns!$1:$1048576,2,MATCH(Report!AA12,AllAns!$1:$1,0)),"")</f>
        <v/>
      </c>
      <c r="AD12" s="22" t="e">
        <f>INDEX(AllAns!$1:$10,9,MATCH(Report!AA12,AllAns!$1:$1,0))</f>
        <v>#N/A</v>
      </c>
      <c r="AE12" s="2"/>
    </row>
    <row r="13" spans="1:58" customFormat="1">
      <c r="A13" s="83"/>
      <c r="B13" s="83"/>
      <c r="C13" s="88"/>
      <c r="D13" s="88"/>
      <c r="E13" s="88"/>
      <c r="F13" s="88"/>
      <c r="G13" s="88"/>
      <c r="H13" s="88"/>
      <c r="I13" s="88"/>
      <c r="J13" s="88"/>
      <c r="K13" s="88"/>
      <c r="L13" s="88"/>
      <c r="M13" s="88"/>
      <c r="N13" s="88"/>
      <c r="O13" s="88"/>
      <c r="P13" s="88"/>
      <c r="Q13" s="88"/>
      <c r="R13" s="88"/>
      <c r="S13" s="88"/>
      <c r="T13" s="88"/>
      <c r="U13" s="88"/>
      <c r="V13" s="85"/>
      <c r="W13" s="88"/>
      <c r="X13" s="88"/>
      <c r="Y13" s="88"/>
      <c r="Z13" s="2">
        <v>6</v>
      </c>
      <c r="AA13" s="2">
        <f t="array" ref="AA13">IFERROR(INDEX(AllAns!$1:$1048576,1,LARGE(IF(AllAns!$3:$3=Report!$O$4,COLUMN(AllAns!$3:$3)),ROW(AllAns!15:15))),"")</f>
        <v>0</v>
      </c>
      <c r="AB13" s="82" t="str">
        <f>IFERROR(INDEX(AllAns!$1:$10,4,MATCH(Report!AA13,AllAns!$1:$1,0)),"")</f>
        <v/>
      </c>
      <c r="AC13" s="2" t="str">
        <f>IFERROR(INDEX(AllAns!$1:$1048576,2,MATCH(Report!AA13,AllAns!$1:$1,0)),"")</f>
        <v/>
      </c>
      <c r="AD13" s="22" t="e">
        <f>INDEX(AllAns!$1:$10,9,MATCH(Report!AA13,AllAns!$1:$1,0))</f>
        <v>#N/A</v>
      </c>
      <c r="AG13" s="2"/>
    </row>
    <row r="14" spans="1:58" customFormat="1">
      <c r="A14" s="83"/>
      <c r="B14" s="83"/>
      <c r="C14" s="88"/>
      <c r="D14" s="88"/>
      <c r="E14" s="88"/>
      <c r="F14" s="88"/>
      <c r="G14" s="88"/>
      <c r="H14" s="88"/>
      <c r="I14" s="88"/>
      <c r="J14" s="88"/>
      <c r="K14" s="88"/>
      <c r="L14" s="88"/>
      <c r="M14" s="83"/>
      <c r="N14" s="83"/>
      <c r="O14" s="83"/>
      <c r="P14" s="83"/>
      <c r="Q14" s="83"/>
      <c r="R14" s="83"/>
      <c r="S14" s="83"/>
      <c r="T14" s="88"/>
      <c r="U14" s="88"/>
      <c r="V14" s="88"/>
      <c r="W14" s="88"/>
      <c r="X14" s="88"/>
      <c r="Y14" s="88"/>
      <c r="Z14">
        <v>7</v>
      </c>
      <c r="AA14" s="2">
        <f t="array" ref="AA14">IFERROR(INDEX(AllAns!$1:$1048576,1,LARGE(IF(AllAns!$3:$3=Report!$O$4,COLUMN(AllAns!$3:$3)),ROW(AllAns!14:14))),"")</f>
        <v>0</v>
      </c>
      <c r="AB14" s="82" t="str">
        <f>IFERROR(INDEX(AllAns!$1:$10,4,MATCH(Report!AA14,AllAns!$1:$1,0)),"")</f>
        <v/>
      </c>
      <c r="AC14" s="2" t="str">
        <f>IFERROR(INDEX(AllAns!$1:$1048576,2,MATCH(Report!AA14,AllAns!$1:$1,0)),"")</f>
        <v/>
      </c>
      <c r="AD14" s="22" t="e">
        <f>INDEX(AllAns!$1:$10,9,MATCH(Report!AA14,AllAns!$1:$1,0))</f>
        <v>#N/A</v>
      </c>
    </row>
    <row r="15" spans="1:58" customFormat="1">
      <c r="A15" s="88"/>
      <c r="B15" s="88"/>
      <c r="C15" s="83"/>
      <c r="D15" s="83"/>
      <c r="E15" s="88"/>
      <c r="F15" s="88"/>
      <c r="G15" s="88"/>
      <c r="H15" s="88"/>
      <c r="I15" s="88"/>
      <c r="J15" s="88"/>
      <c r="K15" s="88"/>
      <c r="L15" s="88"/>
      <c r="M15" s="83"/>
      <c r="N15" s="83"/>
      <c r="O15" s="83"/>
      <c r="P15" s="83"/>
      <c r="Q15" s="83"/>
      <c r="R15" s="83"/>
      <c r="S15" s="83"/>
      <c r="T15" s="88"/>
      <c r="U15" s="88"/>
      <c r="V15" s="88"/>
      <c r="W15" s="88"/>
      <c r="X15" s="88"/>
      <c r="Y15" s="88"/>
      <c r="Z15">
        <v>8</v>
      </c>
      <c r="AA15" s="2">
        <f t="array" ref="AA15">IFERROR(INDEX(AllAns!$1:$1048576,1,LARGE(IF(AllAns!$3:$3=Report!$O$4,COLUMN(AllAns!$3:$3)),ROW(AllAns!13:13))),"")</f>
        <v>0</v>
      </c>
      <c r="AB15" s="82" t="str">
        <f>IFERROR(INDEX(AllAns!$1:$10,4,MATCH(Report!AA15,AllAns!$1:$1,0)),"")</f>
        <v/>
      </c>
      <c r="AC15" s="2" t="str">
        <f>IFERROR(INDEX(AllAns!$1:$1048576,2,MATCH(Report!AA15,AllAns!$1:$1,0)),"")</f>
        <v/>
      </c>
      <c r="AD15" s="22" t="e">
        <f>INDEX(AllAns!$1:$10,9,MATCH(Report!AA15,AllAns!$1:$1,0))</f>
        <v>#N/A</v>
      </c>
    </row>
    <row r="16" spans="1:58" customFormat="1">
      <c r="A16" s="88"/>
      <c r="B16" s="88"/>
      <c r="C16" s="83"/>
      <c r="D16" s="83"/>
      <c r="E16" s="88"/>
      <c r="F16" s="88"/>
      <c r="G16" s="88"/>
      <c r="H16" s="83"/>
      <c r="I16" s="83"/>
      <c r="J16" s="83"/>
      <c r="K16" s="83"/>
      <c r="L16" s="88"/>
      <c r="M16" s="88"/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8"/>
      <c r="Z16" s="2">
        <v>9</v>
      </c>
      <c r="AA16" s="2">
        <f t="array" ref="AA16">IFERROR(INDEX(AllAns!$1:$1048576,1,LARGE(IF(AllAns!$3:$3=Report!$O$4,COLUMN(AllAns!$3:$3)),ROW(AllAns!12:12))),"")</f>
        <v>0</v>
      </c>
      <c r="AB16" s="82" t="str">
        <f>IFERROR(INDEX(AllAns!$1:$10,4,MATCH(Report!AA16,AllAns!$1:$1,0)),"")</f>
        <v/>
      </c>
      <c r="AC16" s="2" t="str">
        <f>IFERROR(INDEX(AllAns!$1:$1048576,2,MATCH(Report!AA16,AllAns!$1:$1,0)),"")</f>
        <v/>
      </c>
      <c r="AD16" s="22" t="e">
        <f>INDEX(AllAns!$1:$10,9,MATCH(Report!AA16,AllAns!$1:$1,0))</f>
        <v>#N/A</v>
      </c>
    </row>
    <row r="17" spans="1:33" customFormat="1">
      <c r="A17" s="88"/>
      <c r="B17" s="88"/>
      <c r="C17" s="88"/>
      <c r="D17" s="88"/>
      <c r="E17" s="88"/>
      <c r="F17" s="88"/>
      <c r="G17" s="88"/>
      <c r="H17" s="83"/>
      <c r="I17" s="83"/>
      <c r="J17" s="83"/>
      <c r="K17" s="83"/>
      <c r="L17" s="88"/>
      <c r="M17" s="88"/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8"/>
      <c r="Z17" s="2">
        <v>10</v>
      </c>
      <c r="AA17" s="2">
        <f t="array" ref="AA17">IFERROR(INDEX(AllAns!$1:$1048576,1,LARGE(IF(AllAns!$3:$3=Report!$O$4,COLUMN(AllAns!$3:$3)),ROW(AllAns!11:11))),"")</f>
        <v>0</v>
      </c>
      <c r="AB17" s="82" t="str">
        <f>IFERROR(INDEX(AllAns!$1:$10,4,MATCH(Report!AA17,AllAns!$1:$1,0)),"")</f>
        <v/>
      </c>
      <c r="AC17" s="2" t="str">
        <f>IFERROR(INDEX(AllAns!$1:$1048576,2,MATCH(Report!AA17,AllAns!$1:$1,0)),"")</f>
        <v/>
      </c>
      <c r="AD17" s="22" t="e">
        <f>INDEX(AllAns!$1:$10,9,MATCH(Report!AA17,AllAns!$1:$1,0))</f>
        <v>#N/A</v>
      </c>
    </row>
    <row r="18" spans="1:33" customFormat="1">
      <c r="A18" s="88"/>
      <c r="B18" s="88"/>
      <c r="C18" s="88"/>
      <c r="D18" s="83"/>
      <c r="E18" s="83"/>
      <c r="F18" s="88"/>
      <c r="G18" s="88"/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8"/>
      <c r="Z18" s="2">
        <v>11</v>
      </c>
      <c r="AA18" s="2">
        <f t="array" ref="AA18">IFERROR(INDEX(AllAns!$1:$1048576,1,LARGE(IF(AllAns!$3:$3=Report!$O$4,COLUMN(AllAns!$3:$3)),ROW(AllAns!10:10))),"")</f>
        <v>0</v>
      </c>
      <c r="AB18" s="82" t="str">
        <f>IFERROR(INDEX(AllAns!$1:$10,4,MATCH(Report!AA18,AllAns!$1:$1,0)),"")</f>
        <v/>
      </c>
      <c r="AC18" s="2" t="str">
        <f>IFERROR(INDEX(AllAns!$1:$1048576,2,MATCH(Report!AA18,AllAns!$1:$1,0)),"")</f>
        <v/>
      </c>
      <c r="AD18" s="22" t="e">
        <f>INDEX(AllAns!$1:$10,9,MATCH(Report!AA18,AllAns!$1:$1,0))</f>
        <v>#N/A</v>
      </c>
    </row>
    <row r="19" spans="1:33" customFormat="1">
      <c r="A19" s="88"/>
      <c r="B19" s="83"/>
      <c r="C19" s="83"/>
      <c r="D19" s="83"/>
      <c r="E19" s="83"/>
      <c r="F19" s="83"/>
      <c r="G19" s="83"/>
      <c r="H19" s="83"/>
      <c r="I19" s="83"/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3"/>
      <c r="U19" s="88"/>
      <c r="V19" s="88"/>
      <c r="W19" s="88"/>
      <c r="X19" s="88"/>
      <c r="Y19" s="88"/>
      <c r="Z19" s="2">
        <v>12</v>
      </c>
      <c r="AA19" s="2">
        <f t="array" ref="AA19">IFERROR(INDEX(AllAns!$1:$1048576,1,LARGE(IF(AllAns!$3:$3=Report!$O$4,COLUMN(AllAns!$3:$3)),ROW(AllAns!9:9))),"")</f>
        <v>0</v>
      </c>
      <c r="AB19" s="82" t="str">
        <f>IFERROR(INDEX(AllAns!$1:$10,4,MATCH(Report!AA19,AllAns!$1:$1,0)),"")</f>
        <v/>
      </c>
      <c r="AC19" s="2" t="str">
        <f>IFERROR(INDEX(AllAns!$1:$1048576,2,MATCH(Report!AA19,AllAns!$1:$1,0)),"")</f>
        <v/>
      </c>
      <c r="AD19" s="22" t="e">
        <f>INDEX(AllAns!$1:$10,9,MATCH(Report!AA19,AllAns!$1:$1,0))</f>
        <v>#N/A</v>
      </c>
    </row>
    <row r="20" spans="1:33" customFormat="1">
      <c r="A20" s="88"/>
      <c r="B20" s="83"/>
      <c r="C20" s="83"/>
      <c r="D20" s="83"/>
      <c r="E20" s="83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8"/>
      <c r="V20" s="88"/>
      <c r="W20" s="88"/>
      <c r="X20" s="88"/>
      <c r="Y20" s="88"/>
      <c r="Z20" s="2">
        <v>13</v>
      </c>
      <c r="AA20" s="2">
        <f t="array" ref="AA20">IFERROR(INDEX(AllAns!$1:$1048576,1,LARGE(IF(AllAns!$3:$3=Report!$O$4,COLUMN(AllAns!$3:$3)),ROW(AllAns!8:8))),"")</f>
        <v>0</v>
      </c>
      <c r="AB20" s="82" t="str">
        <f>IFERROR(INDEX(AllAns!$1:$10,4,MATCH(Report!AA20,AllAns!$1:$1,0)),"")</f>
        <v/>
      </c>
      <c r="AC20" s="2" t="str">
        <f>IFERROR(INDEX(AllAns!$1:$1048576,2,MATCH(Report!AA20,AllAns!$1:$1,0)),"")</f>
        <v/>
      </c>
      <c r="AD20" s="22" t="e">
        <f>INDEX(AllAns!$1:$10,9,MATCH(Report!AA20,AllAns!$1:$1,0))</f>
        <v>#N/A</v>
      </c>
    </row>
    <row r="21" spans="1:33" customFormat="1">
      <c r="A21" s="88"/>
      <c r="B21" s="83"/>
      <c r="C21" s="83"/>
      <c r="D21" s="83"/>
      <c r="E21" s="83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8"/>
      <c r="V21" s="88"/>
      <c r="W21" s="88"/>
      <c r="X21" s="88"/>
      <c r="Y21" s="88"/>
      <c r="Z21" s="2">
        <v>14</v>
      </c>
      <c r="AA21" s="2">
        <f t="array" ref="AA21">IFERROR(INDEX(AllAns!$1:$1048576,1,LARGE(IF(AllAns!$3:$3=Report!$O$4,COLUMN(AllAns!$3:$3)),ROW(AllAns!7:7))),"")</f>
        <v>0</v>
      </c>
      <c r="AB21" s="82" t="str">
        <f>IFERROR(INDEX(AllAns!$1:$10,4,MATCH(Report!AA21,AllAns!$1:$1,0)),"")</f>
        <v/>
      </c>
      <c r="AC21" s="2" t="str">
        <f>IFERROR(INDEX(AllAns!$1:$1048576,2,MATCH(Report!AA21,AllAns!$1:$1,0)),"")</f>
        <v/>
      </c>
      <c r="AD21" s="22" t="e">
        <f>INDEX(AllAns!$1:$10,9,MATCH(Report!AA21,AllAns!$1:$1,0))</f>
        <v>#N/A</v>
      </c>
    </row>
    <row r="22" spans="1:33" customFormat="1">
      <c r="A22" s="88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8"/>
      <c r="V22" s="88"/>
      <c r="W22" s="88"/>
      <c r="X22" s="88"/>
      <c r="Y22" s="88"/>
      <c r="Z22" s="2">
        <v>15</v>
      </c>
      <c r="AA22" s="2">
        <f t="array" ref="AA22">IFERROR(INDEX(AllAns!$1:$1048576,1,LARGE(IF(AllAns!$3:$3=Report!$O$4,COLUMN(AllAns!$3:$3)),ROW(AllAns!6:6))),"")</f>
        <v>0</v>
      </c>
      <c r="AB22" s="82" t="str">
        <f>IFERROR(INDEX(AllAns!$1:$10,4,MATCH(Report!AA22,AllAns!$1:$1,0)),"")</f>
        <v/>
      </c>
      <c r="AC22" s="2" t="str">
        <f>IFERROR(INDEX(AllAns!$1:$1048576,2,MATCH(Report!AA22,AllAns!$1:$1,0)),"")</f>
        <v/>
      </c>
      <c r="AD22" s="22" t="e">
        <f>INDEX(AllAns!$1:$10,9,MATCH(Report!AA22,AllAns!$1:$1,0))</f>
        <v>#N/A</v>
      </c>
      <c r="AG22" s="31"/>
    </row>
    <row r="23" spans="1:33" customFormat="1">
      <c r="A23" s="88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8"/>
      <c r="V23" s="88"/>
      <c r="W23" s="88"/>
      <c r="X23" s="88"/>
      <c r="Y23" s="88"/>
      <c r="Z23" s="2">
        <v>16</v>
      </c>
      <c r="AA23" s="2">
        <f t="array" ref="AA23">IFERROR(INDEX(AllAns!$1:$1048576,1,LARGE(IF(AllAns!$3:$3=Report!$O$4,COLUMN(AllAns!$3:$3)),ROW(AllAns!5:5))),"")</f>
        <v>0</v>
      </c>
      <c r="AB23" s="82" t="str">
        <f>IFERROR(INDEX(AllAns!$1:$10,4,MATCH(Report!AA23,AllAns!$1:$1,0)),"")</f>
        <v/>
      </c>
      <c r="AC23" s="2" t="str">
        <f>IFERROR(INDEX(AllAns!$1:$1048576,2,MATCH(Report!AA23,AllAns!$1:$1,0)),"")</f>
        <v/>
      </c>
      <c r="AD23" s="22" t="e">
        <f>INDEX(AllAns!$1:$10,9,MATCH(Report!AA23,AllAns!$1:$1,0))</f>
        <v>#N/A</v>
      </c>
      <c r="AE23" s="2"/>
    </row>
    <row r="24" spans="1:33" customFormat="1">
      <c r="A24" s="88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8"/>
      <c r="V24" s="88"/>
      <c r="W24" s="88"/>
      <c r="X24" s="88"/>
      <c r="Y24" s="88"/>
      <c r="Z24" s="2">
        <v>17</v>
      </c>
      <c r="AA24" s="2">
        <f t="array" ref="AA24">IFERROR(INDEX(AllAns!$1:$1048576,1,LARGE(IF(AllAns!$3:$3=Report!$O$4,COLUMN(AllAns!$3:$3)),ROW(AllAns!4:4))),"")</f>
        <v>0</v>
      </c>
      <c r="AB24" s="82" t="str">
        <f>IFERROR(INDEX(AllAns!$1:$10,4,MATCH(Report!AA24,AllAns!$1:$1,0)),"")</f>
        <v/>
      </c>
      <c r="AC24" s="2" t="str">
        <f>IFERROR(INDEX(AllAns!$1:$1048576,2,MATCH(Report!AA24,AllAns!$1:$1,0)),"")</f>
        <v/>
      </c>
      <c r="AD24" s="22" t="e">
        <f>INDEX(AllAns!$1:$10,9,MATCH(Report!AA24,AllAns!$1:$1,0))</f>
        <v>#N/A</v>
      </c>
      <c r="AE24" s="2"/>
    </row>
    <row r="25" spans="1:33" customFormat="1">
      <c r="A25" s="88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8"/>
      <c r="V25" s="88"/>
      <c r="W25" s="88"/>
      <c r="X25" s="88"/>
      <c r="Y25" s="88"/>
      <c r="Z25" s="2">
        <v>18</v>
      </c>
      <c r="AA25" s="2">
        <f t="array" ref="AA25">IFERROR(INDEX(AllAns!$1:$1048576,1,LARGE(IF(AllAns!$3:$3=Report!$O$4,COLUMN(AllAns!$3:$3)),ROW(AllAns!3:3))),"")</f>
        <v>0</v>
      </c>
      <c r="AB25" s="82" t="str">
        <f>IFERROR(INDEX(AllAns!$1:$10,4,MATCH(Report!AA25,AllAns!$1:$1,0)),"")</f>
        <v/>
      </c>
      <c r="AC25" s="2" t="str">
        <f>IFERROR(INDEX(AllAns!$1:$1048576,2,MATCH(Report!AA25,AllAns!$1:$1,0)),"")</f>
        <v/>
      </c>
      <c r="AD25" s="22" t="e">
        <f>INDEX(AllAns!$1:$10,9,MATCH(Report!AA25,AllAns!$1:$1,0))</f>
        <v>#N/A</v>
      </c>
      <c r="AE25" s="2"/>
    </row>
    <row r="26" spans="1:33">
      <c r="A26" s="5"/>
      <c r="B26" s="5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2">
        <v>19</v>
      </c>
      <c r="AA26" s="2">
        <f t="array" ref="AA26">IFERROR(INDEX(AllAns!$1:$1048576,1,LARGE(IF(AllAns!$3:$3=Report!$O$4,COLUMN(AllAns!$3:$3)),ROW(AllAns!2:2))),"")</f>
        <v>0</v>
      </c>
      <c r="AB26" s="82" t="str">
        <f>IFERROR(INDEX(AllAns!$1:$10,4,MATCH(Report!AA26,AllAns!$1:$1,0)),"")</f>
        <v/>
      </c>
      <c r="AC26" s="2" t="str">
        <f>IFERROR(INDEX(AllAns!$1:$1048576,2,MATCH(Report!AA26,AllAns!$1:$1,0)),"")</f>
        <v/>
      </c>
      <c r="AD26" s="22" t="e">
        <f>INDEX(AllAns!$1:$10,9,MATCH(Report!AA26,AllAns!$1:$1,0))</f>
        <v>#N/A</v>
      </c>
    </row>
    <row r="27" spans="1:33" ht="15" thickBot="1">
      <c r="A27" s="150" t="s">
        <v>60</v>
      </c>
      <c r="B27" s="150"/>
      <c r="C27" s="150"/>
      <c r="D27" s="150"/>
      <c r="E27" s="150"/>
      <c r="F27" s="150"/>
      <c r="G27" s="150"/>
      <c r="H27" s="150"/>
      <c r="I27" s="150"/>
      <c r="J27" s="21"/>
      <c r="K27" s="89"/>
      <c r="L27" s="89"/>
      <c r="M27" s="89"/>
      <c r="N27" s="17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2">
        <v>20</v>
      </c>
      <c r="AA27" s="2">
        <f t="array" ref="AA27">IFERROR(INDEX(AllAns!$1:$1048576,1,LARGE(IF(AllAns!$3:$3=Report!$O$4,COLUMN(AllAns!$3:$3)),ROW(AllAns!1:1))),"")</f>
        <v>0</v>
      </c>
      <c r="AB27" s="82" t="str">
        <f>IFERROR(INDEX(AllAns!$1:$10,4,MATCH(Report!AA27,AllAns!$1:$1,0)),"")</f>
        <v/>
      </c>
      <c r="AC27" s="2" t="str">
        <f>IFERROR(INDEX(AllAns!$1:$1048576,2,MATCH(Report!AA27,AllAns!$1:$1,0)),"")</f>
        <v/>
      </c>
      <c r="AD27" s="22" t="e">
        <f>INDEX(AllAns!$1:$10,9,MATCH(Report!AA27,AllAns!$1:$1,0))</f>
        <v>#N/A</v>
      </c>
    </row>
    <row r="28" spans="1:33" ht="15" thickTop="1">
      <c r="A28" s="26"/>
      <c r="B28" s="26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</row>
    <row r="29" spans="1:33">
      <c r="A29" s="26"/>
      <c r="B29" s="26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153" t="s">
        <v>32</v>
      </c>
      <c r="P29" s="153"/>
      <c r="Q29" s="153"/>
      <c r="R29" s="153"/>
      <c r="S29" s="153"/>
      <c r="T29" s="153"/>
      <c r="U29" s="153"/>
      <c r="V29" s="153"/>
      <c r="W29" s="120" t="s">
        <v>67</v>
      </c>
      <c r="X29" s="120" t="s">
        <v>69</v>
      </c>
      <c r="Y29" s="120" t="s">
        <v>68</v>
      </c>
    </row>
    <row r="30" spans="1:33">
      <c r="A30" s="26"/>
      <c r="B30" s="26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154" t="str">
        <f>INDEX(Category[],MATCH(Z30,Info!G:G,0)-1,2)</f>
        <v>Number &amp; Operations</v>
      </c>
      <c r="P30" s="154"/>
      <c r="Q30" s="154"/>
      <c r="R30" s="154"/>
      <c r="S30" s="154"/>
      <c r="T30" s="154"/>
      <c r="U30" s="154"/>
      <c r="V30" s="154"/>
      <c r="W30" s="121" t="str">
        <f>IFERROR(IF(INDEX(Cat_Data,ROW(83:83),MATCH($O$4,CatData!$1:$1,0))="","-",INDEX(Cat_Data,ROW(83:83),MATCH($O$4,CatData!$1:$1,0))), "-")</f>
        <v>-</v>
      </c>
      <c r="X30" s="122" t="str">
        <f>IFERROR(SUMPRODUCT(U100:U105,W100:W105)/SUM(U100:U105),"-")</f>
        <v>-</v>
      </c>
      <c r="Y30" s="122" t="str">
        <f>IFERROR(SUMPRODUCT(O100:O105,Q100:Q105)/SUM(O100:O105),"-")</f>
        <v>-</v>
      </c>
      <c r="Z30" s="2">
        <v>1</v>
      </c>
    </row>
    <row r="31" spans="1:33">
      <c r="A31" s="26"/>
      <c r="B31" s="26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154" t="str">
        <f>INDEX(Category[],MATCH(Z31,Info!G:G,0)-1,2)</f>
        <v>Algebra &amp; Functions</v>
      </c>
      <c r="P31" s="155"/>
      <c r="Q31" s="155"/>
      <c r="R31" s="155"/>
      <c r="S31" s="155"/>
      <c r="T31" s="155"/>
      <c r="U31" s="155"/>
      <c r="V31" s="156"/>
      <c r="W31" s="121" t="str">
        <f>IFERROR(IF(INDEX(Cat_Data,ROW(84:84),MATCH($O$4,CatData!$1:$1,0))="","-",INDEX(Cat_Data,ROW(84:84),MATCH($O$4,CatData!$1:$1,0))), "-")</f>
        <v>-</v>
      </c>
      <c r="X31" s="122" t="str">
        <f>IFERROR(SUMPRODUCT(U106:U113,W106:W113)/SUM(U106:U113),"-")</f>
        <v>-</v>
      </c>
      <c r="Y31" s="122" t="str">
        <f>IFERROR(SUMPRODUCT(O106:O113,Q106:Q113)/SUM(O106:O113),"-")</f>
        <v>-</v>
      </c>
      <c r="Z31" s="2">
        <v>2</v>
      </c>
    </row>
    <row r="32" spans="1:33">
      <c r="A32" s="26"/>
      <c r="B32" s="26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154" t="str">
        <f>INDEX(Category[],MATCH(Z32,Info!G:G,0)-1,2)</f>
        <v>Coordinate Geometry</v>
      </c>
      <c r="P32" s="155"/>
      <c r="Q32" s="155"/>
      <c r="R32" s="155"/>
      <c r="S32" s="155"/>
      <c r="T32" s="155"/>
      <c r="U32" s="155"/>
      <c r="V32" s="156"/>
      <c r="W32" s="121" t="str">
        <f>IFERROR(IF(INDEX(Cat_Data,ROW(85:85),MATCH($O$4,CatData!$1:$1,0))="","-",INDEX(Cat_Data,ROW(85:85),MATCH($O$4,CatData!$1:$1,0))), "-")</f>
        <v>-</v>
      </c>
      <c r="X32" s="122" t="str">
        <f>IFERROR(SUMPRODUCT(U114:U117,W114:W117)/SUM(U114:U117),"-")</f>
        <v>-</v>
      </c>
      <c r="Y32" s="122" t="str">
        <f>IFERROR(SUMPRODUCT(O114:O117,Q114:Q117)/SUM(O114:O117),"-")</f>
        <v>-</v>
      </c>
      <c r="Z32" s="2">
        <v>3</v>
      </c>
    </row>
    <row r="33" spans="1:33">
      <c r="A33" s="26"/>
      <c r="B33" s="26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154" t="str">
        <f>INDEX(Category[],MATCH(Z33,Info!G:G,0)-1,2)</f>
        <v>Three-Dimensional</v>
      </c>
      <c r="P33" s="155"/>
      <c r="Q33" s="155"/>
      <c r="R33" s="155"/>
      <c r="S33" s="155"/>
      <c r="T33" s="155"/>
      <c r="U33" s="155"/>
      <c r="V33" s="156"/>
      <c r="W33" s="121" t="str">
        <f>IFERROR(IF(INDEX(Cat_Data,ROW(86:86),MATCH($O$4,CatData!$1:$1,0))="","-",INDEX(Cat_Data,ROW(86:86),MATCH($O$4,CatData!$1:$1,0))), "-")</f>
        <v>-</v>
      </c>
      <c r="X33" s="122" t="str">
        <f>IFERROR(SUMPRODUCT(U118:U119,W118:W119)/SUM(U118:U119),"-")</f>
        <v>-</v>
      </c>
      <c r="Y33" s="122" t="str">
        <f>IFERROR(SUMPRODUCT(O118:O119,Q118:Q119)/SUM(O118:O119),"-")</f>
        <v>-</v>
      </c>
      <c r="Z33" s="2">
        <v>4</v>
      </c>
    </row>
    <row r="34" spans="1:33">
      <c r="A34" s="26"/>
      <c r="B34" s="26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154" t="str">
        <f>INDEX(Category[],MATCH(Z34,Info!G:G,0)-1,2)</f>
        <v>Trigonometric</v>
      </c>
      <c r="P34" s="155"/>
      <c r="Q34" s="155"/>
      <c r="R34" s="155"/>
      <c r="S34" s="155"/>
      <c r="T34" s="155"/>
      <c r="U34" s="155"/>
      <c r="V34" s="156"/>
      <c r="W34" s="121" t="str">
        <f>IFERROR(IF(INDEX(Cat_Data,ROW(87:87),MATCH($O$4,CatData!$1:$1,0))="","-",INDEX(Cat_Data,ROW(87:87),MATCH($O$4,CatData!$1:$1,0))), "-")</f>
        <v>-</v>
      </c>
      <c r="X34" s="122" t="str">
        <f>IFERROR(SUMPRODUCT(U120:U122,W120:W122)/SUM(U120:U122),"-")</f>
        <v>-</v>
      </c>
      <c r="Y34" s="122" t="str">
        <f>IFERROR(SUMPRODUCT(O120:O122,Q120:Q122)/SUM(O120:O122),"-")</f>
        <v>-</v>
      </c>
      <c r="Z34" s="2">
        <v>5</v>
      </c>
    </row>
    <row r="35" spans="1:33">
      <c r="A35" s="26"/>
      <c r="B35" s="26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154" t="str">
        <f>INDEX(Category[],MATCH(Z35,Info!G:G,0)-1,2)</f>
        <v>Data Analysis</v>
      </c>
      <c r="P35" s="155"/>
      <c r="Q35" s="155"/>
      <c r="R35" s="155"/>
      <c r="S35" s="155"/>
      <c r="T35" s="155"/>
      <c r="U35" s="155"/>
      <c r="V35" s="156"/>
      <c r="W35" s="121" t="str">
        <f>IFERROR(IF(INDEX(Cat_Data,ROW(88:88),MATCH($O$4,CatData!$1:$1,0))="","-",INDEX(Cat_Data,ROW(88:88),MATCH($O$4,CatData!$1:$1,0))), "-")</f>
        <v>-</v>
      </c>
      <c r="X35" s="122" t="str">
        <f>IFERROR(SUMPRODUCT(U123:U126,W123:W126)/SUM(U123:U126),"-")</f>
        <v>-</v>
      </c>
      <c r="Y35" s="122" t="str">
        <f>IFERROR(SUMPRODUCT(O123:O126,Q123:Q126)/SUM(O123:O126),"-")</f>
        <v>-</v>
      </c>
      <c r="Z35" s="2">
        <v>6</v>
      </c>
    </row>
    <row r="36" spans="1:33">
      <c r="A36" s="26"/>
      <c r="B36" s="26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8"/>
      <c r="P36" s="88"/>
      <c r="Q36" s="88"/>
      <c r="R36" s="88"/>
      <c r="S36" s="88"/>
      <c r="T36" s="88"/>
      <c r="U36" s="88"/>
      <c r="V36" s="88"/>
      <c r="W36" s="88"/>
      <c r="X36" s="88"/>
      <c r="Y36" s="88"/>
      <c r="Z36"/>
      <c r="AA36"/>
      <c r="AB36"/>
      <c r="AC36"/>
      <c r="AD36"/>
      <c r="AE36"/>
      <c r="AF36"/>
      <c r="AG36"/>
    </row>
    <row r="37" spans="1:33">
      <c r="A37" s="5"/>
      <c r="B37" s="5"/>
      <c r="C37" s="26"/>
      <c r="D37" s="26"/>
      <c r="E37" s="26"/>
      <c r="F37" s="26"/>
      <c r="G37" s="26"/>
      <c r="H37" s="26"/>
      <c r="I37" s="26"/>
      <c r="J37" s="26"/>
      <c r="K37" s="90"/>
      <c r="L37" s="90"/>
      <c r="M37" s="90"/>
      <c r="N37" s="83"/>
      <c r="O37" s="192" t="s">
        <v>3171</v>
      </c>
      <c r="P37" s="193"/>
      <c r="Q37" s="193"/>
      <c r="R37" s="193"/>
      <c r="S37" s="193"/>
      <c r="T37" s="193"/>
      <c r="U37" s="193"/>
      <c r="V37" s="193"/>
      <c r="W37" s="193"/>
      <c r="X37" s="193"/>
      <c r="Y37" s="123" t="s">
        <v>19</v>
      </c>
      <c r="Z37"/>
      <c r="AB37"/>
      <c r="AC37"/>
      <c r="AD37"/>
      <c r="AE37"/>
      <c r="AF37"/>
      <c r="AG37"/>
    </row>
    <row r="38" spans="1:33">
      <c r="A38" s="5"/>
      <c r="B38" s="5"/>
      <c r="C38" s="1"/>
      <c r="D38" s="1"/>
      <c r="E38" s="1"/>
      <c r="F38" s="1"/>
      <c r="G38" s="1"/>
      <c r="H38" s="1"/>
      <c r="I38" s="1"/>
      <c r="J38" s="1"/>
      <c r="K38" s="83"/>
      <c r="L38" s="83"/>
      <c r="M38" s="83"/>
      <c r="N38" s="83"/>
      <c r="O38" s="154" t="str">
        <f t="array" ref="O38">IF(LEN(Y38),INDEX($D$100:$D$126,SMALL(IF($W$100:$W$126=Y38,ROW($1:$27)),COUNTIF($Y$38:$Y38,Y38))),"")</f>
        <v/>
      </c>
      <c r="P38" s="155"/>
      <c r="Q38" s="155"/>
      <c r="R38" s="155"/>
      <c r="S38" s="155"/>
      <c r="T38" s="155"/>
      <c r="U38" s="155"/>
      <c r="V38" s="155"/>
      <c r="W38" s="155"/>
      <c r="X38" s="156"/>
      <c r="Y38" s="124" t="str">
        <f>IFERROR(SMALL($W$100:$W$126,ROW(1:1)),"")</f>
        <v/>
      </c>
      <c r="AA38" s="6"/>
    </row>
    <row r="39" spans="1:33">
      <c r="A39" s="5"/>
      <c r="B39" s="5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54" t="str">
        <f t="array" ref="O39">IF(LEN(Y39),INDEX($D$100:$D$126,SMALL(IF($W$100:$W$126=Y39,ROW($1:$27)),COUNTIF($Y$38:$Y39,Y39))),"")</f>
        <v/>
      </c>
      <c r="P39" s="155"/>
      <c r="Q39" s="155"/>
      <c r="R39" s="155"/>
      <c r="S39" s="155"/>
      <c r="T39" s="155"/>
      <c r="U39" s="155"/>
      <c r="V39" s="155"/>
      <c r="W39" s="155"/>
      <c r="X39" s="156"/>
      <c r="Y39" s="124" t="str">
        <f t="shared" ref="Y39:Y42" si="0">IFERROR(SMALL($W$100:$W$126,ROW(2:2)),"")</f>
        <v/>
      </c>
      <c r="AA39" s="6"/>
    </row>
    <row r="40" spans="1:33">
      <c r="A40" s="5"/>
      <c r="B40" s="5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54" t="str">
        <f t="array" ref="O40">IF(LEN(Y40),INDEX($D$100:$D$126,SMALL(IF($W$100:$W$126=Y40,ROW($1:$27)),COUNTIF($Y$38:$Y40,Y40))),"")</f>
        <v/>
      </c>
      <c r="P40" s="155"/>
      <c r="Q40" s="155"/>
      <c r="R40" s="155"/>
      <c r="S40" s="155"/>
      <c r="T40" s="155"/>
      <c r="U40" s="155"/>
      <c r="V40" s="155"/>
      <c r="W40" s="155"/>
      <c r="X40" s="156"/>
      <c r="Y40" s="124" t="str">
        <f t="shared" si="0"/>
        <v/>
      </c>
      <c r="AA40" s="6"/>
    </row>
    <row r="41" spans="1:33">
      <c r="A41" s="5"/>
      <c r="B41" s="5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54" t="str">
        <f t="array" ref="O41">IF(LEN(Y41),INDEX($D$100:$D$126,SMALL(IF($W$100:$W$126=Y41,ROW($1:$27)),COUNTIF($Y$38:$Y41,Y41))),"")</f>
        <v/>
      </c>
      <c r="P41" s="155"/>
      <c r="Q41" s="155"/>
      <c r="R41" s="155"/>
      <c r="S41" s="155"/>
      <c r="T41" s="155"/>
      <c r="U41" s="155"/>
      <c r="V41" s="155"/>
      <c r="W41" s="155"/>
      <c r="X41" s="156"/>
      <c r="Y41" s="124" t="str">
        <f t="shared" si="0"/>
        <v/>
      </c>
      <c r="AA41" s="6"/>
    </row>
    <row r="42" spans="1:33">
      <c r="A42" s="5"/>
      <c r="B42" s="5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54" t="str">
        <f t="array" ref="O42">IF(LEN(Y42),INDEX($D$100:$D$126,SMALL(IF($W$100:$W$126=Y42,ROW($1:$27)),COUNTIF($Y$38:$Y42,Y42))),"")</f>
        <v/>
      </c>
      <c r="P42" s="155"/>
      <c r="Q42" s="155"/>
      <c r="R42" s="155"/>
      <c r="S42" s="155"/>
      <c r="T42" s="155"/>
      <c r="U42" s="155"/>
      <c r="V42" s="155"/>
      <c r="W42" s="155"/>
      <c r="X42" s="156"/>
      <c r="Y42" s="124" t="str">
        <f t="shared" si="0"/>
        <v/>
      </c>
      <c r="AA42" s="6"/>
    </row>
    <row r="43" spans="1:33">
      <c r="A43" s="5"/>
      <c r="B43" s="5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</row>
    <row r="44" spans="1:33">
      <c r="A44" s="5"/>
      <c r="B44" s="5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</row>
    <row r="45" spans="1:33">
      <c r="A45" s="5"/>
      <c r="B45" s="5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</row>
    <row r="46" spans="1:33" ht="14.4" customHeight="1" thickBot="1">
      <c r="A46" s="5"/>
      <c r="B46" s="5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83"/>
      <c r="P46" s="83"/>
      <c r="Q46" s="88"/>
      <c r="R46" s="88"/>
      <c r="S46" s="88"/>
      <c r="T46" s="88"/>
      <c r="U46" s="88"/>
      <c r="V46" s="88"/>
      <c r="W46" s="88"/>
      <c r="X46" s="88"/>
      <c r="Y46" s="88"/>
    </row>
    <row r="47" spans="1:33" ht="26.25" customHeight="1" thickBot="1">
      <c r="A47" s="151" t="s">
        <v>5</v>
      </c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2"/>
    </row>
    <row r="48" spans="1:33">
      <c r="A48" s="1"/>
      <c r="B48" s="1"/>
      <c r="C48" s="1"/>
      <c r="D48" s="1"/>
      <c r="E48" s="1"/>
      <c r="F48" s="1"/>
      <c r="G48" s="1"/>
      <c r="H48" s="1"/>
      <c r="I48" s="1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</row>
    <row r="49" spans="1:32">
      <c r="A49" s="1"/>
      <c r="B49" s="1"/>
      <c r="C49" s="1"/>
      <c r="D49" s="1"/>
      <c r="E49" s="1"/>
      <c r="F49" s="1"/>
      <c r="G49" s="1"/>
      <c r="H49" s="1"/>
      <c r="I49" s="83"/>
      <c r="J49" s="83"/>
      <c r="K49" s="83"/>
      <c r="L49" s="83"/>
      <c r="M49" s="83"/>
      <c r="N49" s="83"/>
      <c r="O49" s="162" t="s">
        <v>6</v>
      </c>
      <c r="P49" s="162"/>
      <c r="Q49" s="163" t="s">
        <v>7</v>
      </c>
      <c r="R49" s="163"/>
      <c r="S49" s="163"/>
      <c r="T49" s="163"/>
      <c r="U49" s="173" t="s">
        <v>8</v>
      </c>
      <c r="V49" s="174"/>
      <c r="W49" s="175"/>
      <c r="X49" s="163" t="s">
        <v>9</v>
      </c>
      <c r="Y49" s="164"/>
      <c r="Z49" s="75"/>
      <c r="AA49" s="6"/>
      <c r="AD49" s="6"/>
      <c r="AE49" s="6"/>
      <c r="AF49" s="6"/>
    </row>
    <row r="50" spans="1:32" ht="15" customHeight="1">
      <c r="A50" s="1"/>
      <c r="B50" s="1"/>
      <c r="C50" s="1"/>
      <c r="D50" s="1"/>
      <c r="E50" s="1"/>
      <c r="F50" s="1"/>
      <c r="G50" s="1"/>
      <c r="H50" s="1"/>
      <c r="I50" s="83"/>
      <c r="J50" s="83"/>
      <c r="K50" s="83"/>
      <c r="L50" s="83"/>
      <c r="M50" s="83"/>
      <c r="N50" s="83"/>
      <c r="O50" s="165">
        <f>O4</f>
        <v>0</v>
      </c>
      <c r="P50" s="165"/>
      <c r="Q50" s="167" t="e">
        <f>Q4</f>
        <v>#N/A</v>
      </c>
      <c r="R50" s="167"/>
      <c r="S50" s="167"/>
      <c r="T50" s="167"/>
      <c r="U50" s="176">
        <f>U4</f>
        <v>0</v>
      </c>
      <c r="V50" s="177"/>
      <c r="W50" s="178"/>
      <c r="X50" s="169">
        <f>X4</f>
        <v>0</v>
      </c>
      <c r="Y50" s="170"/>
      <c r="Z50" s="75"/>
      <c r="AA50" s="6"/>
      <c r="AD50" s="6"/>
      <c r="AE50" s="6"/>
      <c r="AF50" s="6"/>
    </row>
    <row r="51" spans="1:32" ht="15" customHeight="1">
      <c r="A51" s="1"/>
      <c r="B51" s="1"/>
      <c r="C51" s="1"/>
      <c r="D51" s="1"/>
      <c r="E51" s="1"/>
      <c r="F51" s="1"/>
      <c r="G51" s="1"/>
      <c r="H51" s="1"/>
      <c r="I51" s="83"/>
      <c r="J51" s="83"/>
      <c r="K51" s="83"/>
      <c r="L51" s="83"/>
      <c r="M51" s="83"/>
      <c r="N51" s="83"/>
      <c r="O51" s="166"/>
      <c r="P51" s="166"/>
      <c r="Q51" s="168"/>
      <c r="R51" s="168"/>
      <c r="S51" s="168"/>
      <c r="T51" s="168"/>
      <c r="U51" s="176"/>
      <c r="V51" s="177"/>
      <c r="W51" s="178"/>
      <c r="X51" s="171"/>
      <c r="Y51" s="172"/>
      <c r="Z51" s="75"/>
      <c r="AA51" s="6"/>
      <c r="AD51" s="6"/>
      <c r="AE51" s="6"/>
      <c r="AF51" s="6"/>
    </row>
    <row r="52" spans="1:32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</row>
    <row r="53" spans="1:32" ht="15" thickBot="1">
      <c r="A53" s="143" t="s">
        <v>3170</v>
      </c>
      <c r="B53" s="143"/>
      <c r="C53" s="143"/>
      <c r="D53" s="143"/>
      <c r="E53" s="143"/>
      <c r="F53" s="143"/>
      <c r="G53" s="143"/>
      <c r="H53" s="143"/>
      <c r="I53" s="143"/>
      <c r="J53" s="86"/>
      <c r="K53" s="86"/>
      <c r="L53" s="86"/>
      <c r="M53" s="1"/>
      <c r="N53" s="83"/>
      <c r="O53" s="83"/>
      <c r="P53" s="86"/>
      <c r="Q53" s="86"/>
      <c r="R53" s="86"/>
      <c r="S53" s="86"/>
      <c r="T53" s="86"/>
      <c r="U53" s="86"/>
      <c r="V53" s="91" t="s">
        <v>14</v>
      </c>
      <c r="W53" s="144" t="str">
        <f xml:space="preserve"> W7</f>
        <v>--01/00/00</v>
      </c>
      <c r="X53" s="144"/>
      <c r="Y53" s="144"/>
      <c r="Z53" s="27">
        <v>-1</v>
      </c>
    </row>
    <row r="54" spans="1:32" ht="15" thickTop="1">
      <c r="A54" s="106" t="s">
        <v>15</v>
      </c>
      <c r="B54" s="107" t="s">
        <v>16</v>
      </c>
      <c r="C54" s="108" t="s">
        <v>17</v>
      </c>
      <c r="D54" s="108" t="s">
        <v>18</v>
      </c>
      <c r="E54" s="196" t="s">
        <v>32</v>
      </c>
      <c r="F54" s="196"/>
      <c r="G54" s="196"/>
      <c r="H54" s="109" t="s">
        <v>19</v>
      </c>
      <c r="I54" s="109" t="s">
        <v>15</v>
      </c>
      <c r="J54" s="108" t="s">
        <v>16</v>
      </c>
      <c r="K54" s="108" t="s">
        <v>17</v>
      </c>
      <c r="L54" s="108" t="s">
        <v>18</v>
      </c>
      <c r="M54" s="196" t="s">
        <v>32</v>
      </c>
      <c r="N54" s="196"/>
      <c r="O54" s="196"/>
      <c r="P54" s="110" t="s">
        <v>19</v>
      </c>
      <c r="Q54" s="110" t="s">
        <v>15</v>
      </c>
      <c r="R54" s="110" t="s">
        <v>16</v>
      </c>
      <c r="S54" s="110" t="s">
        <v>17</v>
      </c>
      <c r="T54" s="110" t="s">
        <v>18</v>
      </c>
      <c r="U54" s="196" t="s">
        <v>32</v>
      </c>
      <c r="V54" s="196"/>
      <c r="W54" s="196"/>
      <c r="X54" s="111" t="s">
        <v>19</v>
      </c>
      <c r="Y54" s="88"/>
    </row>
    <row r="55" spans="1:32" ht="15" customHeight="1">
      <c r="A55" s="112">
        <v>1</v>
      </c>
      <c r="B55" s="94" t="str">
        <f t="shared" ref="B55:B88" si="1">_xlfn.IFNA(IF(INDEX(S_Answers,$Z$53+1,A55+1)="","",INDEX(S_Answers,$Z$53+1,A55+1)),"")</f>
        <v/>
      </c>
      <c r="C55" s="94" t="str">
        <f>_xlfn.IFNA(VLOOKUP($X$4&amp;"-"&amp;A55,AnswerKey[],7,FALSE),"-")</f>
        <v>-</v>
      </c>
      <c r="D55" s="95" t="str">
        <f>_xlfn.IFNA(IF(C55="-","",IF(B55=C55,"O","X")),"")</f>
        <v/>
      </c>
      <c r="E55" s="194" t="str">
        <f>IFERROR(_xlfn.IFS((LEFT(AC99,1)="1"),INDEX(Category[],MATCH(1,Info!G:G,0)-1,2),(LEFT(AC99,1)="2"),INDEX(Category[],MATCH(2,Info!G:G,0)-1,2),(LEFT(AC99,1)="3"),INDEX(Category[],MATCH(3,Info!G:G,0)-1,2),(LEFT(AC99,1)="4"),INDEX(Category[],MATCH(4,Info!G:G,0)-1,2),(LEFT(AC99,1)="5"),INDEX(Category[],MATCH(5,Info!G:G,0)-1,2),(LEFT(AC99,1)="6"),INDEX(Category[],MATCH(6,Info!G:G,0)-1,2)),"")</f>
        <v/>
      </c>
      <c r="F55" s="194"/>
      <c r="G55" s="194"/>
      <c r="H55" s="96" t="str">
        <f xml:space="preserve"> IFERROR(COUNTIFS(AllAns!$2:$2, $X$4, AllAns!11:11, C55)/COUNTIF(AllAns!$2:$2, $X$4),"")</f>
        <v/>
      </c>
      <c r="I55" s="113">
        <v>35</v>
      </c>
      <c r="J55" s="94" t="str">
        <f>_xlfn.IFNA(IF(INDEX(S_Answers,$Z$53+1,I55+1)="","",INDEX(S_Answers,$Z$53+1,I55+1)),"")</f>
        <v/>
      </c>
      <c r="K55" s="94" t="str">
        <f>_xlfn.IFNA(VLOOKUP($X$4&amp;"-"&amp;I55,AnswerKey[],7,FALSE),"-")</f>
        <v>-</v>
      </c>
      <c r="L55" s="94" t="str">
        <f t="shared" ref="L55:L88" si="2">_xlfn.IFNA(IF(K55="-","",IF(J55=K55,"O","X")),"")</f>
        <v/>
      </c>
      <c r="M55" s="194" t="str">
        <f>IFERROR(_xlfn.IFS((LEFT(AF99,1)="1"),INDEX(Category[],MATCH(1,Info!G:G,0)-1,2),(LEFT(AF99,1)="2"),INDEX(Category[],MATCH(2,Info!G:G,0)-1,2),(LEFT(AF99,1)="3"),INDEX(Category[],MATCH(3,Info!G:G,0)-1,2),(LEFT(AF99,1)="4"),INDEX(Category[],MATCH(4,Info!G:G,0)-1,2),(LEFT(AF99,1)="5"),INDEX(Category[],MATCH(5,Info!G:G,0)-1,2),(LEFT(AF99,1)="6"),INDEX(Category[],MATCH(6,Info!G:G,0)-1,2)),"")</f>
        <v/>
      </c>
      <c r="N55" s="194"/>
      <c r="O55" s="194"/>
      <c r="P55" s="96" t="str">
        <f xml:space="preserve"> IFERROR(COUNTIFS(AllAns!$2:$2, $X$4, AllAns!45:45, K55)/COUNTIF(AllAns!$2:$2, $X$4),"")</f>
        <v/>
      </c>
      <c r="Q55" s="114">
        <v>69</v>
      </c>
      <c r="R55" s="94" t="str">
        <f t="shared" ref="R55:R86" si="3">IFERROR(IF(INDEX(S_Answers,$Z$53+1,Q55+1)="","",INDEX(S_Answers,$Z$53+1,Q55+1)),"")</f>
        <v/>
      </c>
      <c r="S55" s="94" t="str">
        <f>_xlfn.IFNA(VLOOKUP($X$4&amp;"-"&amp;Q55,AnswerKey[],7,FALSE),"-")</f>
        <v>-</v>
      </c>
      <c r="T55" s="94" t="str">
        <f t="shared" ref="T55:T86" si="4">_xlfn.IFNA(IF(S55="-","",IF(R55=S55,"O","X")),"")</f>
        <v/>
      </c>
      <c r="U55" s="195" t="str">
        <f>IFERROR(_xlfn.IFS((LEFT(AI99,1)="1"),INDEX(Category[],MATCH(1,Info!G:G,0)-1,2),(LEFT(AI99,1)="2"),INDEX(Category[],MATCH(2,Info!G:G,0)-1,2),(LEFT(AI99,1)="3"),INDEX(Category[],MATCH(3,Info!G:G,0)-1,2),(LEFT(AI99,1)="4"),INDEX(Category[],MATCH(4,Info!G:G,0)-1,2),(LEFT(AI99,1)="5"),INDEX(Category[],MATCH(5,Info!G:G,0)-1,2),(LEFT(AI99,1)="6"),INDEX(Category[],MATCH(6,Info!G:G,0)-1,2)),"")</f>
        <v/>
      </c>
      <c r="V55" s="195"/>
      <c r="W55" s="195"/>
      <c r="X55" s="104"/>
      <c r="Y55" s="88"/>
      <c r="Z55"/>
      <c r="AC55" s="28"/>
    </row>
    <row r="56" spans="1:32" ht="15" customHeight="1">
      <c r="A56" s="112">
        <v>2</v>
      </c>
      <c r="B56" s="94" t="str">
        <f t="shared" si="1"/>
        <v/>
      </c>
      <c r="C56" s="94" t="str">
        <f>_xlfn.IFNA(VLOOKUP($X$4&amp;"-"&amp;A56,AnswerKey[],7,FALSE),"-")</f>
        <v>-</v>
      </c>
      <c r="D56" s="94" t="str">
        <f t="shared" ref="D56:D88" si="5">_xlfn.IFNA(IF(C56="-","",IF(B56=C56,"O","X")),"")</f>
        <v/>
      </c>
      <c r="E56" s="194" t="str">
        <f>IFERROR(_xlfn.IFS((LEFT(AC100,1)="1"),INDEX(Category[],MATCH(1,Info!G:G,0)-1,2),(LEFT(AC100,1)="2"),INDEX(Category[],MATCH(2,Info!G:G,0)-1,2),(LEFT(AC100,1)="3"),INDEX(Category[],MATCH(3,Info!G:G,0)-1,2),(LEFT(AC100,1)="4"),INDEX(Category[],MATCH(4,Info!G:G,0)-1,2),(LEFT(AC100,1)="5"),INDEX(Category[],MATCH(5,Info!G:G,0)-1,2),(LEFT(AC100,1)="6"),INDEX(Category[],MATCH(6,Info!G:G,0)-1,2)),"")</f>
        <v/>
      </c>
      <c r="F56" s="194"/>
      <c r="G56" s="194"/>
      <c r="H56" s="97" t="str">
        <f xml:space="preserve"> IFERROR(COUNTIFS(AllAns!$2:$2, $X$4, AllAns!12:12, C56)/COUNTIF(AllAns!$2:$2, $X$4),"")</f>
        <v/>
      </c>
      <c r="I56" s="115">
        <v>36</v>
      </c>
      <c r="J56" s="94" t="str">
        <f t="shared" ref="J56:J88" si="6">_xlfn.IFNA(IF(INDEX(S_Answers,$Z$53+1,I56+1)="","",INDEX(S_Answers,$Z$53+1,I56+1)),"")</f>
        <v/>
      </c>
      <c r="K56" s="94" t="str">
        <f>_xlfn.IFNA(VLOOKUP($X$4&amp;"-"&amp;I56,AnswerKey[],7,FALSE),"-")</f>
        <v>-</v>
      </c>
      <c r="L56" s="98" t="str">
        <f t="shared" si="2"/>
        <v/>
      </c>
      <c r="M56" s="194" t="str">
        <f>IFERROR(_xlfn.IFS((LEFT(AF100,1)="1"),INDEX(Category[],MATCH(1,Info!G:G,0)-1,2),(LEFT(AF100,1)="2"),INDEX(Category[],MATCH(2,Info!G:G,0)-1,2),(LEFT(AF100,1)="3"),INDEX(Category[],MATCH(3,Info!G:G,0)-1,2),(LEFT(AF100,1)="4"),INDEX(Category[],MATCH(4,Info!G:G,0)-1,2),(LEFT(AF100,1)="5"),INDEX(Category[],MATCH(5,Info!G:G,0)-1,2),(LEFT(AF100,1)="6"),INDEX(Category[],MATCH(6,Info!G:G,0)-1,2)),"")</f>
        <v/>
      </c>
      <c r="N56" s="194"/>
      <c r="O56" s="194"/>
      <c r="P56" s="97" t="str">
        <f xml:space="preserve"> IFERROR(COUNTIFS(AllAns!$2:$2, $X$4, AllAns!46:46, K56)/COUNTIF(AllAns!$2:$2, $X$4),"")</f>
        <v/>
      </c>
      <c r="Q56" s="114">
        <v>70</v>
      </c>
      <c r="R56" s="94" t="str">
        <f t="shared" si="3"/>
        <v/>
      </c>
      <c r="S56" s="94" t="str">
        <f>_xlfn.IFNA(VLOOKUP($X$4&amp;"-"&amp;Q56,AnswerKey[],7,FALSE),"-")</f>
        <v>-</v>
      </c>
      <c r="T56" s="94" t="str">
        <f t="shared" si="4"/>
        <v/>
      </c>
      <c r="U56" s="195" t="str">
        <f>IFERROR(_xlfn.IFS((LEFT(AI100,1)="1"),INDEX(Category[],MATCH(1,Info!G:G,0)-1,2),(LEFT(AI100,1)="2"),INDEX(Category[],MATCH(2,Info!G:G,0)-1,2),(LEFT(AI100,1)="3"),INDEX(Category[],MATCH(3,Info!G:G,0)-1,2),(LEFT(AI100,1)="4"),INDEX(Category[],MATCH(4,Info!G:G,0)-1,2),(LEFT(AI100,1)="5"),INDEX(Category[],MATCH(5,Info!G:G,0)-1,2),(LEFT(AI100,1)="6"),INDEX(Category[],MATCH(6,Info!G:G,0)-1,2)),"")</f>
        <v/>
      </c>
      <c r="V56" s="195"/>
      <c r="W56" s="195"/>
      <c r="X56" s="104"/>
      <c r="Y56" s="88"/>
      <c r="Z56"/>
      <c r="AC56" s="28"/>
    </row>
    <row r="57" spans="1:32" ht="15" customHeight="1">
      <c r="A57" s="112">
        <v>3</v>
      </c>
      <c r="B57" s="94" t="str">
        <f t="shared" si="1"/>
        <v/>
      </c>
      <c r="C57" s="94" t="str">
        <f>_xlfn.IFNA(VLOOKUP($X$4&amp;"-"&amp;A57,AnswerKey[],7,FALSE),"-")</f>
        <v>-</v>
      </c>
      <c r="D57" s="94" t="str">
        <f t="shared" si="5"/>
        <v/>
      </c>
      <c r="E57" s="194" t="str">
        <f>IFERROR(_xlfn.IFS((LEFT(AC101,1)="1"),INDEX(Category[],MATCH(1,Info!G:G,0)-1,2),(LEFT(AC101,1)="2"),INDEX(Category[],MATCH(2,Info!G:G,0)-1,2),(LEFT(AC101,1)="3"),INDEX(Category[],MATCH(3,Info!G:G,0)-1,2),(LEFT(AC101,1)="4"),INDEX(Category[],MATCH(4,Info!G:G,0)-1,2),(LEFT(AC101,1)="5"),INDEX(Category[],MATCH(5,Info!G:G,0)-1,2),(LEFT(AC101,1)="6"),INDEX(Category[],MATCH(6,Info!G:G,0)-1,2)),"")</f>
        <v/>
      </c>
      <c r="F57" s="194"/>
      <c r="G57" s="194"/>
      <c r="H57" s="96" t="str">
        <f xml:space="preserve"> IFERROR(COUNTIFS(AllAns!$2:$2, $X$4, AllAns!13:13, C57)/COUNTIF(AllAns!$2:$2, $X$4),"")</f>
        <v/>
      </c>
      <c r="I57" s="113">
        <v>37</v>
      </c>
      <c r="J57" s="94" t="str">
        <f t="shared" si="6"/>
        <v/>
      </c>
      <c r="K57" s="94" t="str">
        <f>_xlfn.IFNA(VLOOKUP($X$4&amp;"-"&amp;I57,AnswerKey[],7,FALSE),"-")</f>
        <v>-</v>
      </c>
      <c r="L57" s="94" t="str">
        <f t="shared" si="2"/>
        <v/>
      </c>
      <c r="M57" s="194" t="str">
        <f>IFERROR(_xlfn.IFS((LEFT(AF101,1)="1"),INDEX(Category[],MATCH(1,Info!G:G,0)-1,2),(LEFT(AF101,1)="2"),INDEX(Category[],MATCH(2,Info!G:G,0)-1,2),(LEFT(AF101,1)="3"),INDEX(Category[],MATCH(3,Info!G:G,0)-1,2),(LEFT(AF101,1)="4"),INDEX(Category[],MATCH(4,Info!G:G,0)-1,2),(LEFT(AF101,1)="5"),INDEX(Category[],MATCH(5,Info!G:G,0)-1,2),(LEFT(AF101,1)="6"),INDEX(Category[],MATCH(6,Info!G:G,0)-1,2)),"")</f>
        <v/>
      </c>
      <c r="N57" s="194"/>
      <c r="O57" s="194"/>
      <c r="P57" s="96" t="str">
        <f xml:space="preserve"> IFERROR(COUNTIFS(AllAns!$2:$2, $X$4, AllAns!47:47, K57)/COUNTIF(AllAns!$2:$2, $X$4),"")</f>
        <v/>
      </c>
      <c r="Q57" s="114">
        <v>71</v>
      </c>
      <c r="R57" s="94" t="str">
        <f t="shared" si="3"/>
        <v/>
      </c>
      <c r="S57" s="94" t="str">
        <f>_xlfn.IFNA(VLOOKUP($X$4&amp;"-"&amp;Q57,AnswerKey[],7,FALSE),"-")</f>
        <v>-</v>
      </c>
      <c r="T57" s="94" t="str">
        <f t="shared" si="4"/>
        <v/>
      </c>
      <c r="U57" s="195" t="str">
        <f>IFERROR(_xlfn.IFS((LEFT(AI101,1)="1"),INDEX(Category[],MATCH(1,Info!G:G,0)-1,2),(LEFT(AI101,1)="2"),INDEX(Category[],MATCH(2,Info!G:G,0)-1,2),(LEFT(AI101,1)="3"),INDEX(Category[],MATCH(3,Info!G:G,0)-1,2),(LEFT(AI101,1)="4"),INDEX(Category[],MATCH(4,Info!G:G,0)-1,2),(LEFT(AI101,1)="5"),INDEX(Category[],MATCH(5,Info!G:G,0)-1,2),(LEFT(AI101,1)="6"),INDEX(Category[],MATCH(6,Info!G:G,0)-1,2)),"")</f>
        <v/>
      </c>
      <c r="V57" s="195"/>
      <c r="W57" s="195"/>
      <c r="X57" s="104"/>
      <c r="Y57" s="88"/>
      <c r="Z57"/>
    </row>
    <row r="58" spans="1:32" ht="15" customHeight="1">
      <c r="A58" s="112">
        <v>4</v>
      </c>
      <c r="B58" s="94" t="str">
        <f t="shared" si="1"/>
        <v/>
      </c>
      <c r="C58" s="94" t="str">
        <f>_xlfn.IFNA(VLOOKUP($X$4&amp;"-"&amp;A58,AnswerKey[],7,FALSE),"-")</f>
        <v>-</v>
      </c>
      <c r="D58" s="94" t="str">
        <f t="shared" si="5"/>
        <v/>
      </c>
      <c r="E58" s="194" t="str">
        <f>IFERROR(_xlfn.IFS((LEFT(AC102,1)="1"),INDEX(Category[],MATCH(1,Info!G:G,0)-1,2),(LEFT(AC102,1)="2"),INDEX(Category[],MATCH(2,Info!G:G,0)-1,2),(LEFT(AC102,1)="3"),INDEX(Category[],MATCH(3,Info!G:G,0)-1,2),(LEFT(AC102,1)="4"),INDEX(Category[],MATCH(4,Info!G:G,0)-1,2),(LEFT(AC102,1)="5"),INDEX(Category[],MATCH(5,Info!G:G,0)-1,2),(LEFT(AC102,1)="6"),INDEX(Category[],MATCH(6,Info!G:G,0)-1,2)),"")</f>
        <v/>
      </c>
      <c r="F58" s="194"/>
      <c r="G58" s="194"/>
      <c r="H58" s="96" t="str">
        <f xml:space="preserve"> IFERROR(COUNTIFS(AllAns!$2:$2, $X$4, AllAns!14:14, C58)/COUNTIF(AllAns!$2:$2, $X$4),"")</f>
        <v/>
      </c>
      <c r="I58" s="113">
        <v>38</v>
      </c>
      <c r="J58" s="94" t="str">
        <f t="shared" si="6"/>
        <v/>
      </c>
      <c r="K58" s="94" t="str">
        <f>_xlfn.IFNA(VLOOKUP($X$4&amp;"-"&amp;I58,AnswerKey[],7,FALSE),"-")</f>
        <v>-</v>
      </c>
      <c r="L58" s="94" t="str">
        <f t="shared" si="2"/>
        <v/>
      </c>
      <c r="M58" s="194" t="str">
        <f>IFERROR(_xlfn.IFS((LEFT(AF102,1)="1"),INDEX(Category[],MATCH(1,Info!G:G,0)-1,2),(LEFT(AF102,1)="2"),INDEX(Category[],MATCH(2,Info!G:G,0)-1,2),(LEFT(AF102,1)="3"),INDEX(Category[],MATCH(3,Info!G:G,0)-1,2),(LEFT(AF102,1)="4"),INDEX(Category[],MATCH(4,Info!G:G,0)-1,2),(LEFT(AF102,1)="5"),INDEX(Category[],MATCH(5,Info!G:G,0)-1,2),(LEFT(AF102,1)="6"),INDEX(Category[],MATCH(6,Info!G:G,0)-1,2)),"")</f>
        <v/>
      </c>
      <c r="N58" s="194"/>
      <c r="O58" s="194"/>
      <c r="P58" s="96" t="str">
        <f xml:space="preserve"> IFERROR(COUNTIFS(AllAns!$2:$2, $X$4, AllAns!48:48, K58)/COUNTIF(AllAns!$2:$2, $X$4),"")</f>
        <v/>
      </c>
      <c r="Q58" s="114">
        <v>72</v>
      </c>
      <c r="R58" s="94" t="str">
        <f t="shared" si="3"/>
        <v/>
      </c>
      <c r="S58" s="94" t="str">
        <f>_xlfn.IFNA(VLOOKUP($X$4&amp;"-"&amp;Q58,AnswerKey[],7,FALSE),"-")</f>
        <v>-</v>
      </c>
      <c r="T58" s="94" t="str">
        <f t="shared" si="4"/>
        <v/>
      </c>
      <c r="U58" s="195" t="str">
        <f>IFERROR(_xlfn.IFS((LEFT(AI102,1)="1"),INDEX(Category[],MATCH(1,Info!G:G,0)-1,2),(LEFT(AI102,1)="2"),INDEX(Category[],MATCH(2,Info!G:G,0)-1,2),(LEFT(AI102,1)="3"),INDEX(Category[],MATCH(3,Info!G:G,0)-1,2),(LEFT(AI102,1)="4"),INDEX(Category[],MATCH(4,Info!G:G,0)-1,2),(LEFT(AI102,1)="5"),INDEX(Category[],MATCH(5,Info!G:G,0)-1,2),(LEFT(AI102,1)="6"),INDEX(Category[],MATCH(6,Info!G:G,0)-1,2)),"")</f>
        <v/>
      </c>
      <c r="V58" s="195"/>
      <c r="W58" s="195"/>
      <c r="X58" s="104"/>
      <c r="Y58" s="88"/>
    </row>
    <row r="59" spans="1:32" ht="15" customHeight="1">
      <c r="A59" s="112">
        <v>5</v>
      </c>
      <c r="B59" s="94" t="str">
        <f t="shared" si="1"/>
        <v/>
      </c>
      <c r="C59" s="94" t="str">
        <f>_xlfn.IFNA(VLOOKUP($X$4&amp;"-"&amp;A59,AnswerKey[],7,FALSE),"-")</f>
        <v>-</v>
      </c>
      <c r="D59" s="94" t="str">
        <f t="shared" si="5"/>
        <v/>
      </c>
      <c r="E59" s="194" t="str">
        <f>IFERROR(_xlfn.IFS((LEFT(AC103,1)="1"),INDEX(Category[],MATCH(1,Info!G:G,0)-1,2),(LEFT(AC103,1)="2"),INDEX(Category[],MATCH(2,Info!G:G,0)-1,2),(LEFT(AC103,1)="3"),INDEX(Category[],MATCH(3,Info!G:G,0)-1,2),(LEFT(AC103,1)="4"),INDEX(Category[],MATCH(4,Info!G:G,0)-1,2),(LEFT(AC103,1)="5"),INDEX(Category[],MATCH(5,Info!G:G,0)-1,2),(LEFT(AC103,1)="6"),INDEX(Category[],MATCH(6,Info!G:G,0)-1,2)),"")</f>
        <v/>
      </c>
      <c r="F59" s="194"/>
      <c r="G59" s="194"/>
      <c r="H59" s="96" t="str">
        <f xml:space="preserve"> IFERROR(COUNTIFS(AllAns!$2:$2, $X$4, AllAns!15:15, C59)/COUNTIF(AllAns!$2:$2, $X$4),"")</f>
        <v/>
      </c>
      <c r="I59" s="113">
        <v>39</v>
      </c>
      <c r="J59" s="94" t="str">
        <f t="shared" si="6"/>
        <v/>
      </c>
      <c r="K59" s="94" t="str">
        <f>_xlfn.IFNA(VLOOKUP($X$4&amp;"-"&amp;I59,AnswerKey[],7,FALSE),"-")</f>
        <v>-</v>
      </c>
      <c r="L59" s="94" t="str">
        <f t="shared" si="2"/>
        <v/>
      </c>
      <c r="M59" s="194" t="str">
        <f>IFERROR(_xlfn.IFS((LEFT(AF103,1)="1"),INDEX(Category[],MATCH(1,Info!G:G,0)-1,2),(LEFT(AF103,1)="2"),INDEX(Category[],MATCH(2,Info!G:G,0)-1,2),(LEFT(AF103,1)="3"),INDEX(Category[],MATCH(3,Info!G:G,0)-1,2),(LEFT(AF103,1)="4"),INDEX(Category[],MATCH(4,Info!G:G,0)-1,2),(LEFT(AF103,1)="5"),INDEX(Category[],MATCH(5,Info!G:G,0)-1,2),(LEFT(AF103,1)="6"),INDEX(Category[],MATCH(6,Info!G:G,0)-1,2)),"")</f>
        <v/>
      </c>
      <c r="N59" s="194"/>
      <c r="O59" s="194"/>
      <c r="P59" s="96" t="str">
        <f xml:space="preserve"> IFERROR(COUNTIFS(AllAns!$2:$2, $X$4, AllAns!49:49, K59)/COUNTIF(AllAns!$2:$2, $X$4),"")</f>
        <v/>
      </c>
      <c r="Q59" s="114">
        <v>73</v>
      </c>
      <c r="R59" s="94" t="str">
        <f t="shared" si="3"/>
        <v/>
      </c>
      <c r="S59" s="94" t="str">
        <f>_xlfn.IFNA(VLOOKUP($X$4&amp;"-"&amp;Q59,AnswerKey[],7,FALSE),"-")</f>
        <v>-</v>
      </c>
      <c r="T59" s="94" t="str">
        <f t="shared" si="4"/>
        <v/>
      </c>
      <c r="U59" s="195" t="str">
        <f>IFERROR(_xlfn.IFS((LEFT(AI103,1)="1"),INDEX(Category[],MATCH(1,Info!G:G,0)-1,2),(LEFT(AI103,1)="2"),INDEX(Category[],MATCH(2,Info!G:G,0)-1,2),(LEFT(AI103,1)="3"),INDEX(Category[],MATCH(3,Info!G:G,0)-1,2),(LEFT(AI103,1)="4"),INDEX(Category[],MATCH(4,Info!G:G,0)-1,2),(LEFT(AI103,1)="5"),INDEX(Category[],MATCH(5,Info!G:G,0)-1,2),(LEFT(AI103,1)="6"),INDEX(Category[],MATCH(6,Info!G:G,0)-1,2)),"")</f>
        <v/>
      </c>
      <c r="V59" s="195"/>
      <c r="W59" s="195"/>
      <c r="X59" s="104"/>
      <c r="Y59" s="88"/>
    </row>
    <row r="60" spans="1:32" ht="15" customHeight="1">
      <c r="A60" s="112">
        <v>6</v>
      </c>
      <c r="B60" s="94" t="str">
        <f t="shared" si="1"/>
        <v/>
      </c>
      <c r="C60" s="94" t="str">
        <f>_xlfn.IFNA(VLOOKUP($X$4&amp;"-"&amp;A60,AnswerKey[],7,FALSE),"-")</f>
        <v>-</v>
      </c>
      <c r="D60" s="94" t="str">
        <f t="shared" si="5"/>
        <v/>
      </c>
      <c r="E60" s="194" t="str">
        <f>IFERROR(_xlfn.IFS((LEFT(AC104,1)="1"),INDEX(Category[],MATCH(1,Info!G:G,0)-1,2),(LEFT(AC104,1)="2"),INDEX(Category[],MATCH(2,Info!G:G,0)-1,2),(LEFT(AC104,1)="3"),INDEX(Category[],MATCH(3,Info!G:G,0)-1,2),(LEFT(AC104,1)="4"),INDEX(Category[],MATCH(4,Info!G:G,0)-1,2),(LEFT(AC104,1)="5"),INDEX(Category[],MATCH(5,Info!G:G,0)-1,2),(LEFT(AC104,1)="6"),INDEX(Category[],MATCH(6,Info!G:G,0)-1,2)),"")</f>
        <v/>
      </c>
      <c r="F60" s="194"/>
      <c r="G60" s="194"/>
      <c r="H60" s="96" t="str">
        <f xml:space="preserve"> IFERROR(COUNTIFS(AllAns!$2:$2, $X$4, AllAns!16:16, C60)/COUNTIF(AllAns!$2:$2, $X$4),"")</f>
        <v/>
      </c>
      <c r="I60" s="113">
        <v>40</v>
      </c>
      <c r="J60" s="94" t="str">
        <f t="shared" si="6"/>
        <v/>
      </c>
      <c r="K60" s="94" t="str">
        <f>_xlfn.IFNA(VLOOKUP($X$4&amp;"-"&amp;I60,AnswerKey[],7,FALSE),"-")</f>
        <v>-</v>
      </c>
      <c r="L60" s="94" t="str">
        <f t="shared" si="2"/>
        <v/>
      </c>
      <c r="M60" s="194" t="str">
        <f>IFERROR(_xlfn.IFS((LEFT(AF104,1)="1"),INDEX(Category[],MATCH(1,Info!G:G,0)-1,2),(LEFT(AF104,1)="2"),INDEX(Category[],MATCH(2,Info!G:G,0)-1,2),(LEFT(AF104,1)="3"),INDEX(Category[],MATCH(3,Info!G:G,0)-1,2),(LEFT(AF104,1)="4"),INDEX(Category[],MATCH(4,Info!G:G,0)-1,2),(LEFT(AF104,1)="5"),INDEX(Category[],MATCH(5,Info!G:G,0)-1,2),(LEFT(AF104,1)="6"),INDEX(Category[],MATCH(6,Info!G:G,0)-1,2)),"")</f>
        <v/>
      </c>
      <c r="N60" s="194"/>
      <c r="O60" s="194"/>
      <c r="P60" s="96" t="str">
        <f xml:space="preserve"> IFERROR(COUNTIFS(AllAns!$2:$2, $X$4, AllAns!50:50, K60)/COUNTIF(AllAns!$2:$2, $X$4),"")</f>
        <v/>
      </c>
      <c r="Q60" s="114">
        <v>74</v>
      </c>
      <c r="R60" s="94" t="str">
        <f t="shared" si="3"/>
        <v/>
      </c>
      <c r="S60" s="94" t="str">
        <f>_xlfn.IFNA(VLOOKUP($X$4&amp;"-"&amp;Q60,AnswerKey[],7,FALSE),"-")</f>
        <v>-</v>
      </c>
      <c r="T60" s="94" t="str">
        <f t="shared" si="4"/>
        <v/>
      </c>
      <c r="U60" s="195" t="str">
        <f>IFERROR(_xlfn.IFS((LEFT(AI104,1)="1"),INDEX(Category[],MATCH(1,Info!G:G,0)-1,2),(LEFT(AI104,1)="2"),INDEX(Category[],MATCH(2,Info!G:G,0)-1,2),(LEFT(AI104,1)="3"),INDEX(Category[],MATCH(3,Info!G:G,0)-1,2),(LEFT(AI104,1)="4"),INDEX(Category[],MATCH(4,Info!G:G,0)-1,2),(LEFT(AI104,1)="5"),INDEX(Category[],MATCH(5,Info!G:G,0)-1,2),(LEFT(AI104,1)="6"),INDEX(Category[],MATCH(6,Info!G:G,0)-1,2)),"")</f>
        <v/>
      </c>
      <c r="V60" s="195"/>
      <c r="W60" s="195"/>
      <c r="X60" s="104"/>
      <c r="Y60" s="88"/>
    </row>
    <row r="61" spans="1:32" ht="15" customHeight="1">
      <c r="A61" s="112">
        <v>7</v>
      </c>
      <c r="B61" s="94" t="str">
        <f t="shared" si="1"/>
        <v/>
      </c>
      <c r="C61" s="94" t="str">
        <f>_xlfn.IFNA(VLOOKUP($X$4&amp;"-"&amp;A61,AnswerKey[],7,FALSE),"-")</f>
        <v>-</v>
      </c>
      <c r="D61" s="94" t="str">
        <f t="shared" si="5"/>
        <v/>
      </c>
      <c r="E61" s="194" t="str">
        <f>IFERROR(_xlfn.IFS((LEFT(AC105,1)="1"),INDEX(Category[],MATCH(1,Info!G:G,0)-1,2),(LEFT(AC105,1)="2"),INDEX(Category[],MATCH(2,Info!G:G,0)-1,2),(LEFT(AC105,1)="3"),INDEX(Category[],MATCH(3,Info!G:G,0)-1,2),(LEFT(AC105,1)="4"),INDEX(Category[],MATCH(4,Info!G:G,0)-1,2),(LEFT(AC105,1)="5"),INDEX(Category[],MATCH(5,Info!G:G,0)-1,2),(LEFT(AC105,1)="6"),INDEX(Category[],MATCH(6,Info!G:G,0)-1,2)),"")</f>
        <v/>
      </c>
      <c r="F61" s="194"/>
      <c r="G61" s="194"/>
      <c r="H61" s="96" t="str">
        <f xml:space="preserve"> IFERROR(COUNTIFS(AllAns!$2:$2, $X$4, AllAns!17:17, C61)/COUNTIF(AllAns!$2:$2, $X$4),"")</f>
        <v/>
      </c>
      <c r="I61" s="113">
        <v>41</v>
      </c>
      <c r="J61" s="94" t="str">
        <f t="shared" si="6"/>
        <v/>
      </c>
      <c r="K61" s="94" t="str">
        <f>_xlfn.IFNA(VLOOKUP($X$4&amp;"-"&amp;I61,AnswerKey[],7,FALSE),"-")</f>
        <v>-</v>
      </c>
      <c r="L61" s="94" t="str">
        <f t="shared" si="2"/>
        <v/>
      </c>
      <c r="M61" s="194" t="str">
        <f>IFERROR(_xlfn.IFS((LEFT(AF105,1)="1"),INDEX(Category[],MATCH(1,Info!G:G,0)-1,2),(LEFT(AF105,1)="2"),INDEX(Category[],MATCH(2,Info!G:G,0)-1,2),(LEFT(AF105,1)="3"),INDEX(Category[],MATCH(3,Info!G:G,0)-1,2),(LEFT(AF105,1)="4"),INDEX(Category[],MATCH(4,Info!G:G,0)-1,2),(LEFT(AF105,1)="5"),INDEX(Category[],MATCH(5,Info!G:G,0)-1,2),(LEFT(AF105,1)="6"),INDEX(Category[],MATCH(6,Info!G:G,0)-1,2)),"")</f>
        <v/>
      </c>
      <c r="N61" s="194"/>
      <c r="O61" s="194"/>
      <c r="P61" s="96" t="str">
        <f xml:space="preserve"> IFERROR(COUNTIFS(AllAns!$2:$2, $X$4, AllAns!51:51, K61)/COUNTIF(AllAns!$2:$2, $X$4),"")</f>
        <v/>
      </c>
      <c r="Q61" s="114">
        <v>75</v>
      </c>
      <c r="R61" s="94" t="str">
        <f t="shared" si="3"/>
        <v/>
      </c>
      <c r="S61" s="94" t="str">
        <f>_xlfn.IFNA(VLOOKUP($X$4&amp;"-"&amp;Q61,AnswerKey[],7,FALSE),"-")</f>
        <v>-</v>
      </c>
      <c r="T61" s="94" t="str">
        <f t="shared" si="4"/>
        <v/>
      </c>
      <c r="U61" s="195" t="str">
        <f>IFERROR(_xlfn.IFS((LEFT(AI105,1)="1"),INDEX(Category[],MATCH(1,Info!G:G,0)-1,2),(LEFT(AI105,1)="2"),INDEX(Category[],MATCH(2,Info!G:G,0)-1,2),(LEFT(AI105,1)="3"),INDEX(Category[],MATCH(3,Info!G:G,0)-1,2),(LEFT(AI105,1)="4"),INDEX(Category[],MATCH(4,Info!G:G,0)-1,2),(LEFT(AI105,1)="5"),INDEX(Category[],MATCH(5,Info!G:G,0)-1,2),(LEFT(AI105,1)="6"),INDEX(Category[],MATCH(6,Info!G:G,0)-1,2)),"")</f>
        <v/>
      </c>
      <c r="V61" s="195"/>
      <c r="W61" s="195"/>
      <c r="X61" s="104"/>
      <c r="Y61" s="88"/>
    </row>
    <row r="62" spans="1:32" ht="15" customHeight="1">
      <c r="A62" s="112">
        <v>8</v>
      </c>
      <c r="B62" s="94" t="str">
        <f t="shared" si="1"/>
        <v/>
      </c>
      <c r="C62" s="94" t="str">
        <f>_xlfn.IFNA(VLOOKUP($X$4&amp;"-"&amp;A62,AnswerKey[],7,FALSE),"-")</f>
        <v>-</v>
      </c>
      <c r="D62" s="94" t="str">
        <f t="shared" si="5"/>
        <v/>
      </c>
      <c r="E62" s="194" t="str">
        <f>IFERROR(_xlfn.IFS((LEFT(AC106,1)="1"),INDEX(Category[],MATCH(1,Info!G:G,0)-1,2),(LEFT(AC106,1)="2"),INDEX(Category[],MATCH(2,Info!G:G,0)-1,2),(LEFT(AC106,1)="3"),INDEX(Category[],MATCH(3,Info!G:G,0)-1,2),(LEFT(AC106,1)="4"),INDEX(Category[],MATCH(4,Info!G:G,0)-1,2),(LEFT(AC106,1)="5"),INDEX(Category[],MATCH(5,Info!G:G,0)-1,2),(LEFT(AC106,1)="6"),INDEX(Category[],MATCH(6,Info!G:G,0)-1,2)),"")</f>
        <v/>
      </c>
      <c r="F62" s="194"/>
      <c r="G62" s="194"/>
      <c r="H62" s="96" t="str">
        <f xml:space="preserve"> IFERROR(COUNTIFS(AllAns!$2:$2, $X$4, AllAns!18:18, C62)/COUNTIF(AllAns!$2:$2, $X$4),"")</f>
        <v/>
      </c>
      <c r="I62" s="113">
        <v>42</v>
      </c>
      <c r="J62" s="94" t="str">
        <f t="shared" si="6"/>
        <v/>
      </c>
      <c r="K62" s="94" t="str">
        <f>_xlfn.IFNA(VLOOKUP($X$4&amp;"-"&amp;I62,AnswerKey[],7,FALSE),"-")</f>
        <v>-</v>
      </c>
      <c r="L62" s="94" t="str">
        <f t="shared" si="2"/>
        <v/>
      </c>
      <c r="M62" s="194" t="str">
        <f>IFERROR(_xlfn.IFS((LEFT(AF106,1)="1"),INDEX(Category[],MATCH(1,Info!G:G,0)-1,2),(LEFT(AF106,1)="2"),INDEX(Category[],MATCH(2,Info!G:G,0)-1,2),(LEFT(AF106,1)="3"),INDEX(Category[],MATCH(3,Info!G:G,0)-1,2),(LEFT(AF106,1)="4"),INDEX(Category[],MATCH(4,Info!G:G,0)-1,2),(LEFT(AF106,1)="5"),INDEX(Category[],MATCH(5,Info!G:G,0)-1,2),(LEFT(AF106,1)="6"),INDEX(Category[],MATCH(6,Info!G:G,0)-1,2)),"")</f>
        <v/>
      </c>
      <c r="N62" s="194"/>
      <c r="O62" s="194"/>
      <c r="P62" s="96" t="str">
        <f xml:space="preserve"> IFERROR(COUNTIFS(AllAns!$2:$2, $X$4, AllAns!52:52, K62)/COUNTIF(AllAns!$2:$2, $X$4),"")</f>
        <v/>
      </c>
      <c r="Q62" s="114">
        <v>76</v>
      </c>
      <c r="R62" s="94" t="str">
        <f t="shared" si="3"/>
        <v/>
      </c>
      <c r="S62" s="94" t="str">
        <f>_xlfn.IFNA(VLOOKUP($X$4&amp;"-"&amp;Q62,AnswerKey[],7,FALSE),"-")</f>
        <v>-</v>
      </c>
      <c r="T62" s="94" t="str">
        <f t="shared" si="4"/>
        <v/>
      </c>
      <c r="U62" s="195" t="str">
        <f>IFERROR(_xlfn.IFS((LEFT(AI106,1)="1"),INDEX(Category[],MATCH(1,Info!G:G,0)-1,2),(LEFT(AI106,1)="2"),INDEX(Category[],MATCH(2,Info!G:G,0)-1,2),(LEFT(AI106,1)="3"),INDEX(Category[],MATCH(3,Info!G:G,0)-1,2),(LEFT(AI106,1)="4"),INDEX(Category[],MATCH(4,Info!G:G,0)-1,2),(LEFT(AI106,1)="5"),INDEX(Category[],MATCH(5,Info!G:G,0)-1,2),(LEFT(AI106,1)="6"),INDEX(Category[],MATCH(6,Info!G:G,0)-1,2)),"")</f>
        <v/>
      </c>
      <c r="V62" s="195"/>
      <c r="W62" s="195"/>
      <c r="X62" s="104"/>
      <c r="Y62" s="88"/>
    </row>
    <row r="63" spans="1:32" ht="15" customHeight="1">
      <c r="A63" s="112">
        <v>9</v>
      </c>
      <c r="B63" s="94" t="str">
        <f t="shared" si="1"/>
        <v/>
      </c>
      <c r="C63" s="94" t="str">
        <f>_xlfn.IFNA(VLOOKUP($X$4&amp;"-"&amp;A63,AnswerKey[],7,FALSE),"-")</f>
        <v>-</v>
      </c>
      <c r="D63" s="94" t="str">
        <f t="shared" si="5"/>
        <v/>
      </c>
      <c r="E63" s="194" t="str">
        <f>IFERROR(_xlfn.IFS((LEFT(AC107,1)="1"),INDEX(Category[],MATCH(1,Info!G:G,0)-1,2),(LEFT(AC107,1)="2"),INDEX(Category[],MATCH(2,Info!G:G,0)-1,2),(LEFT(AC107,1)="3"),INDEX(Category[],MATCH(3,Info!G:G,0)-1,2),(LEFT(AC107,1)="4"),INDEX(Category[],MATCH(4,Info!G:G,0)-1,2),(LEFT(AC107,1)="5"),INDEX(Category[],MATCH(5,Info!G:G,0)-1,2),(LEFT(AC107,1)="6"),INDEX(Category[],MATCH(6,Info!G:G,0)-1,2)),"")</f>
        <v/>
      </c>
      <c r="F63" s="194"/>
      <c r="G63" s="194"/>
      <c r="H63" s="96" t="str">
        <f xml:space="preserve"> IFERROR(COUNTIFS(AllAns!$2:$2, $X$4, AllAns!19:19, C63)/COUNTIF(AllAns!$2:$2, $X$4),"")</f>
        <v/>
      </c>
      <c r="I63" s="113">
        <v>43</v>
      </c>
      <c r="J63" s="94" t="str">
        <f t="shared" si="6"/>
        <v/>
      </c>
      <c r="K63" s="94" t="str">
        <f>_xlfn.IFNA(VLOOKUP($X$4&amp;"-"&amp;I63,AnswerKey[],7,FALSE),"-")</f>
        <v>-</v>
      </c>
      <c r="L63" s="94" t="str">
        <f t="shared" si="2"/>
        <v/>
      </c>
      <c r="M63" s="194" t="str">
        <f>IFERROR(_xlfn.IFS((LEFT(AF107,1)="1"),INDEX(Category[],MATCH(1,Info!G:G,0)-1,2),(LEFT(AF107,1)="2"),INDEX(Category[],MATCH(2,Info!G:G,0)-1,2),(LEFT(AF107,1)="3"),INDEX(Category[],MATCH(3,Info!G:G,0)-1,2),(LEFT(AF107,1)="4"),INDEX(Category[],MATCH(4,Info!G:G,0)-1,2),(LEFT(AF107,1)="5"),INDEX(Category[],MATCH(5,Info!G:G,0)-1,2),(LEFT(AF107,1)="6"),INDEX(Category[],MATCH(6,Info!G:G,0)-1,2)),"")</f>
        <v/>
      </c>
      <c r="N63" s="194"/>
      <c r="O63" s="194"/>
      <c r="P63" s="96" t="str">
        <f xml:space="preserve"> IFERROR(COUNTIFS(AllAns!$2:$2, $X$4, AllAns!53:53, K63)/COUNTIF(AllAns!$2:$2, $X$4),"")</f>
        <v/>
      </c>
      <c r="Q63" s="114">
        <v>77</v>
      </c>
      <c r="R63" s="94" t="str">
        <f t="shared" si="3"/>
        <v/>
      </c>
      <c r="S63" s="94" t="str">
        <f>_xlfn.IFNA(VLOOKUP($X$4&amp;"-"&amp;Q63,AnswerKey[],7,FALSE),"-")</f>
        <v>-</v>
      </c>
      <c r="T63" s="94" t="str">
        <f t="shared" si="4"/>
        <v/>
      </c>
      <c r="U63" s="195" t="str">
        <f>IFERROR(_xlfn.IFS((LEFT(AI107,1)="1"),INDEX(Category[],MATCH(1,Info!G:G,0)-1,2),(LEFT(AI107,1)="2"),INDEX(Category[],MATCH(2,Info!G:G,0)-1,2),(LEFT(AI107,1)="3"),INDEX(Category[],MATCH(3,Info!G:G,0)-1,2),(LEFT(AI107,1)="4"),INDEX(Category[],MATCH(4,Info!G:G,0)-1,2),(LEFT(AI107,1)="5"),INDEX(Category[],MATCH(5,Info!G:G,0)-1,2),(LEFT(AI107,1)="6"),INDEX(Category[],MATCH(6,Info!G:G,0)-1,2)),"")</f>
        <v/>
      </c>
      <c r="V63" s="195"/>
      <c r="W63" s="195"/>
      <c r="X63" s="104"/>
      <c r="Y63" s="88"/>
    </row>
    <row r="64" spans="1:32" ht="15" customHeight="1">
      <c r="A64" s="112">
        <v>10</v>
      </c>
      <c r="B64" s="94" t="str">
        <f t="shared" si="1"/>
        <v/>
      </c>
      <c r="C64" s="94" t="str">
        <f>_xlfn.IFNA(VLOOKUP($X$4&amp;"-"&amp;A64,AnswerKey[],7,FALSE),"-")</f>
        <v>-</v>
      </c>
      <c r="D64" s="94" t="str">
        <f t="shared" si="5"/>
        <v/>
      </c>
      <c r="E64" s="194" t="str">
        <f>IFERROR(_xlfn.IFS((LEFT(AC108,1)="1"),INDEX(Category[],MATCH(1,Info!G:G,0)-1,2),(LEFT(AC108,1)="2"),INDEX(Category[],MATCH(2,Info!G:G,0)-1,2),(LEFT(AC108,1)="3"),INDEX(Category[],MATCH(3,Info!G:G,0)-1,2),(LEFT(AC108,1)="4"),INDEX(Category[],MATCH(4,Info!G:G,0)-1,2),(LEFT(AC108,1)="5"),INDEX(Category[],MATCH(5,Info!G:G,0)-1,2),(LEFT(AC108,1)="6"),INDEX(Category[],MATCH(6,Info!G:G,0)-1,2)),"")</f>
        <v/>
      </c>
      <c r="F64" s="194"/>
      <c r="G64" s="194"/>
      <c r="H64" s="96" t="str">
        <f xml:space="preserve"> IFERROR(COUNTIFS(AllAns!$2:$2, $X$4, AllAns!20:20, C64)/COUNTIF(AllAns!$2:$2, $X$4),"")</f>
        <v/>
      </c>
      <c r="I64" s="113">
        <v>44</v>
      </c>
      <c r="J64" s="94" t="str">
        <f t="shared" si="6"/>
        <v/>
      </c>
      <c r="K64" s="94" t="str">
        <f>_xlfn.IFNA(VLOOKUP($X$4&amp;"-"&amp;I64,AnswerKey[],7,FALSE),"-")</f>
        <v>-</v>
      </c>
      <c r="L64" s="94" t="str">
        <f t="shared" si="2"/>
        <v/>
      </c>
      <c r="M64" s="194" t="str">
        <f>IFERROR(_xlfn.IFS((LEFT(AF108,1)="1"),INDEX(Category[],MATCH(1,Info!G:G,0)-1,2),(LEFT(AF108,1)="2"),INDEX(Category[],MATCH(2,Info!G:G,0)-1,2),(LEFT(AF108,1)="3"),INDEX(Category[],MATCH(3,Info!G:G,0)-1,2),(LEFT(AF108,1)="4"),INDEX(Category[],MATCH(4,Info!G:G,0)-1,2),(LEFT(AF108,1)="5"),INDEX(Category[],MATCH(5,Info!G:G,0)-1,2),(LEFT(AF108,1)="6"),INDEX(Category[],MATCH(6,Info!G:G,0)-1,2)),"")</f>
        <v/>
      </c>
      <c r="N64" s="194"/>
      <c r="O64" s="194"/>
      <c r="P64" s="96" t="str">
        <f xml:space="preserve"> IFERROR(COUNTIFS(AllAns!$2:$2, $X$4, AllAns!54:54, K64)/COUNTIF(AllAns!$2:$2, $X$4),"")</f>
        <v/>
      </c>
      <c r="Q64" s="114">
        <v>78</v>
      </c>
      <c r="R64" s="94" t="str">
        <f t="shared" si="3"/>
        <v/>
      </c>
      <c r="S64" s="94" t="str">
        <f>_xlfn.IFNA(VLOOKUP($X$4&amp;"-"&amp;Q64,AnswerKey[],7,FALSE),"-")</f>
        <v>-</v>
      </c>
      <c r="T64" s="94" t="str">
        <f t="shared" si="4"/>
        <v/>
      </c>
      <c r="U64" s="195" t="str">
        <f>IFERROR(_xlfn.IFS((LEFT(AI108,1)="1"),INDEX(Category[],MATCH(1,Info!G:G,0)-1,2),(LEFT(AI108,1)="2"),INDEX(Category[],MATCH(2,Info!G:G,0)-1,2),(LEFT(AI108,1)="3"),INDEX(Category[],MATCH(3,Info!G:G,0)-1,2),(LEFT(AI108,1)="4"),INDEX(Category[],MATCH(4,Info!G:G,0)-1,2),(LEFT(AI108,1)="5"),INDEX(Category[],MATCH(5,Info!G:G,0)-1,2),(LEFT(AI108,1)="6"),INDEX(Category[],MATCH(6,Info!G:G,0)-1,2)),"")</f>
        <v/>
      </c>
      <c r="V64" s="195"/>
      <c r="W64" s="195"/>
      <c r="X64" s="104"/>
      <c r="Y64" s="88"/>
    </row>
    <row r="65" spans="1:25" ht="15" customHeight="1">
      <c r="A65" s="112">
        <v>11</v>
      </c>
      <c r="B65" s="94" t="str">
        <f t="shared" si="1"/>
        <v/>
      </c>
      <c r="C65" s="94" t="str">
        <f>_xlfn.IFNA(VLOOKUP($X$4&amp;"-"&amp;A65,AnswerKey[],7,FALSE),"-")</f>
        <v>-</v>
      </c>
      <c r="D65" s="94" t="str">
        <f t="shared" si="5"/>
        <v/>
      </c>
      <c r="E65" s="194" t="str">
        <f>IFERROR(_xlfn.IFS((LEFT(AC109,1)="1"),INDEX(Category[],MATCH(1,Info!G:G,0)-1,2),(LEFT(AC109,1)="2"),INDEX(Category[],MATCH(2,Info!G:G,0)-1,2),(LEFT(AC109,1)="3"),INDEX(Category[],MATCH(3,Info!G:G,0)-1,2),(LEFT(AC109,1)="4"),INDEX(Category[],MATCH(4,Info!G:G,0)-1,2),(LEFT(AC109,1)="5"),INDEX(Category[],MATCH(5,Info!G:G,0)-1,2),(LEFT(AC109,1)="6"),INDEX(Category[],MATCH(6,Info!G:G,0)-1,2)),"")</f>
        <v/>
      </c>
      <c r="F65" s="194"/>
      <c r="G65" s="194"/>
      <c r="H65" s="96" t="str">
        <f xml:space="preserve"> IFERROR(COUNTIFS(AllAns!$2:$2, $X$4, AllAns!21:21, C65)/COUNTIF(AllAns!$2:$2, $X$4),"")</f>
        <v/>
      </c>
      <c r="I65" s="113">
        <v>45</v>
      </c>
      <c r="J65" s="94" t="str">
        <f t="shared" si="6"/>
        <v/>
      </c>
      <c r="K65" s="94" t="str">
        <f>_xlfn.IFNA(VLOOKUP($X$4&amp;"-"&amp;I65,AnswerKey[],7,FALSE),"-")</f>
        <v>-</v>
      </c>
      <c r="L65" s="94" t="str">
        <f t="shared" si="2"/>
        <v/>
      </c>
      <c r="M65" s="194" t="str">
        <f>IFERROR(_xlfn.IFS((LEFT(AF109,1)="1"),INDEX(Category[],MATCH(1,Info!G:G,0)-1,2),(LEFT(AF109,1)="2"),INDEX(Category[],MATCH(2,Info!G:G,0)-1,2),(LEFT(AF109,1)="3"),INDEX(Category[],MATCH(3,Info!G:G,0)-1,2),(LEFT(AF109,1)="4"),INDEX(Category[],MATCH(4,Info!G:G,0)-1,2),(LEFT(AF109,1)="5"),INDEX(Category[],MATCH(5,Info!G:G,0)-1,2),(LEFT(AF109,1)="6"),INDEX(Category[],MATCH(6,Info!G:G,0)-1,2)),"")</f>
        <v/>
      </c>
      <c r="N65" s="194"/>
      <c r="O65" s="194"/>
      <c r="P65" s="96" t="str">
        <f xml:space="preserve"> IFERROR(COUNTIFS(AllAns!$2:$2, $X$4, AllAns!55:55, K65)/COUNTIF(AllAns!$2:$2, $X$4),"")</f>
        <v/>
      </c>
      <c r="Q65" s="114">
        <v>79</v>
      </c>
      <c r="R65" s="94" t="str">
        <f t="shared" si="3"/>
        <v/>
      </c>
      <c r="S65" s="94" t="str">
        <f>_xlfn.IFNA(VLOOKUP($X$4&amp;"-"&amp;Q65,AnswerKey[],7,FALSE),"-")</f>
        <v>-</v>
      </c>
      <c r="T65" s="94" t="str">
        <f t="shared" si="4"/>
        <v/>
      </c>
      <c r="U65" s="195" t="str">
        <f>IFERROR(_xlfn.IFS((LEFT(AI109,1)="1"),INDEX(Category[],MATCH(1,Info!G:G,0)-1,2),(LEFT(AI109,1)="2"),INDEX(Category[],MATCH(2,Info!G:G,0)-1,2),(LEFT(AI109,1)="3"),INDEX(Category[],MATCH(3,Info!G:G,0)-1,2),(LEFT(AI109,1)="4"),INDEX(Category[],MATCH(4,Info!G:G,0)-1,2),(LEFT(AI109,1)="5"),INDEX(Category[],MATCH(5,Info!G:G,0)-1,2),(LEFT(AI109,1)="6"),INDEX(Category[],MATCH(6,Info!G:G,0)-1,2)),"")</f>
        <v/>
      </c>
      <c r="V65" s="195"/>
      <c r="W65" s="195"/>
      <c r="X65" s="104"/>
      <c r="Y65" s="88"/>
    </row>
    <row r="66" spans="1:25" ht="15" customHeight="1">
      <c r="A66" s="112">
        <v>12</v>
      </c>
      <c r="B66" s="94" t="str">
        <f t="shared" si="1"/>
        <v/>
      </c>
      <c r="C66" s="94" t="str">
        <f>_xlfn.IFNA(VLOOKUP($X$4&amp;"-"&amp;A66,AnswerKey[],7,FALSE),"-")</f>
        <v>-</v>
      </c>
      <c r="D66" s="94" t="str">
        <f t="shared" si="5"/>
        <v/>
      </c>
      <c r="E66" s="194" t="str">
        <f>IFERROR(_xlfn.IFS((LEFT(AC110,1)="1"),INDEX(Category[],MATCH(1,Info!G:G,0)-1,2),(LEFT(AC110,1)="2"),INDEX(Category[],MATCH(2,Info!G:G,0)-1,2),(LEFT(AC110,1)="3"),INDEX(Category[],MATCH(3,Info!G:G,0)-1,2),(LEFT(AC110,1)="4"),INDEX(Category[],MATCH(4,Info!G:G,0)-1,2),(LEFT(AC110,1)="5"),INDEX(Category[],MATCH(5,Info!G:G,0)-1,2),(LEFT(AC110,1)="6"),INDEX(Category[],MATCH(6,Info!G:G,0)-1,2)),"")</f>
        <v/>
      </c>
      <c r="F66" s="194"/>
      <c r="G66" s="194"/>
      <c r="H66" s="96" t="str">
        <f xml:space="preserve"> IFERROR(COUNTIFS(AllAns!$2:$2, $X$4, AllAns!22:22, C66)/COUNTIF(AllAns!$2:$2, $X$4),"")</f>
        <v/>
      </c>
      <c r="I66" s="113">
        <v>46</v>
      </c>
      <c r="J66" s="94" t="str">
        <f t="shared" si="6"/>
        <v/>
      </c>
      <c r="K66" s="94" t="str">
        <f>_xlfn.IFNA(VLOOKUP($X$4&amp;"-"&amp;I66,AnswerKey[],7,FALSE),"-")</f>
        <v>-</v>
      </c>
      <c r="L66" s="94" t="str">
        <f t="shared" si="2"/>
        <v/>
      </c>
      <c r="M66" s="194" t="str">
        <f>IFERROR(_xlfn.IFS((LEFT(AF110,1)="1"),INDEX(Category[],MATCH(1,Info!G:G,0)-1,2),(LEFT(AF110,1)="2"),INDEX(Category[],MATCH(2,Info!G:G,0)-1,2),(LEFT(AF110,1)="3"),INDEX(Category[],MATCH(3,Info!G:G,0)-1,2),(LEFT(AF110,1)="4"),INDEX(Category[],MATCH(4,Info!G:G,0)-1,2),(LEFT(AF110,1)="5"),INDEX(Category[],MATCH(5,Info!G:G,0)-1,2),(LEFT(AF110,1)="6"),INDEX(Category[],MATCH(6,Info!G:G,0)-1,2)),"")</f>
        <v/>
      </c>
      <c r="N66" s="194"/>
      <c r="O66" s="194"/>
      <c r="P66" s="96" t="str">
        <f xml:space="preserve"> IFERROR(COUNTIFS(AllAns!$2:$2, $X$4, AllAns!56:56, K66)/COUNTIF(AllAns!$2:$2, $X$4),"")</f>
        <v/>
      </c>
      <c r="Q66" s="114">
        <v>80</v>
      </c>
      <c r="R66" s="94" t="str">
        <f t="shared" si="3"/>
        <v/>
      </c>
      <c r="S66" s="94" t="str">
        <f>_xlfn.IFNA(VLOOKUP($X$4&amp;"-"&amp;Q66,AnswerKey[],7,FALSE),"-")</f>
        <v>-</v>
      </c>
      <c r="T66" s="94" t="str">
        <f t="shared" si="4"/>
        <v/>
      </c>
      <c r="U66" s="195" t="str">
        <f>IFERROR(_xlfn.IFS((LEFT(AI110,1)="1"),INDEX(Category[],MATCH(1,Info!G:G,0)-1,2),(LEFT(AI110,1)="2"),INDEX(Category[],MATCH(2,Info!G:G,0)-1,2),(LEFT(AI110,1)="3"),INDEX(Category[],MATCH(3,Info!G:G,0)-1,2),(LEFT(AI110,1)="4"),INDEX(Category[],MATCH(4,Info!G:G,0)-1,2),(LEFT(AI110,1)="5"),INDEX(Category[],MATCH(5,Info!G:G,0)-1,2),(LEFT(AI110,1)="6"),INDEX(Category[],MATCH(6,Info!G:G,0)-1,2)),"")</f>
        <v/>
      </c>
      <c r="V66" s="195"/>
      <c r="W66" s="195"/>
      <c r="X66" s="104"/>
      <c r="Y66" s="88"/>
    </row>
    <row r="67" spans="1:25" ht="15" customHeight="1">
      <c r="A67" s="112">
        <v>13</v>
      </c>
      <c r="B67" s="94" t="str">
        <f t="shared" si="1"/>
        <v/>
      </c>
      <c r="C67" s="94" t="str">
        <f>_xlfn.IFNA(VLOOKUP($X$4&amp;"-"&amp;A67,AnswerKey[],7,FALSE),"-")</f>
        <v>-</v>
      </c>
      <c r="D67" s="94" t="str">
        <f t="shared" si="5"/>
        <v/>
      </c>
      <c r="E67" s="194" t="str">
        <f>IFERROR(_xlfn.IFS((LEFT(AC111,1)="1"),INDEX(Category[],MATCH(1,Info!G:G,0)-1,2),(LEFT(AC111,1)="2"),INDEX(Category[],MATCH(2,Info!G:G,0)-1,2),(LEFT(AC111,1)="3"),INDEX(Category[],MATCH(3,Info!G:G,0)-1,2),(LEFT(AC111,1)="4"),INDEX(Category[],MATCH(4,Info!G:G,0)-1,2),(LEFT(AC111,1)="5"),INDEX(Category[],MATCH(5,Info!G:G,0)-1,2),(LEFT(AC111,1)="6"),INDEX(Category[],MATCH(6,Info!G:G,0)-1,2)),"")</f>
        <v/>
      </c>
      <c r="F67" s="194"/>
      <c r="G67" s="194"/>
      <c r="H67" s="96" t="str">
        <f xml:space="preserve"> IFERROR(COUNTIFS(AllAns!$2:$2, $X$4, AllAns!23:23, C67)/COUNTIF(AllAns!$2:$2, $X$4),"")</f>
        <v/>
      </c>
      <c r="I67" s="113">
        <v>47</v>
      </c>
      <c r="J67" s="94" t="str">
        <f t="shared" si="6"/>
        <v/>
      </c>
      <c r="K67" s="94" t="str">
        <f>_xlfn.IFNA(VLOOKUP($X$4&amp;"-"&amp;I67,AnswerKey[],7,FALSE),"-")</f>
        <v>-</v>
      </c>
      <c r="L67" s="94" t="str">
        <f t="shared" si="2"/>
        <v/>
      </c>
      <c r="M67" s="194" t="str">
        <f>IFERROR(_xlfn.IFS((LEFT(AF111,1)="1"),INDEX(Category[],MATCH(1,Info!G:G,0)-1,2),(LEFT(AF111,1)="2"),INDEX(Category[],MATCH(2,Info!G:G,0)-1,2),(LEFT(AF111,1)="3"),INDEX(Category[],MATCH(3,Info!G:G,0)-1,2),(LEFT(AF111,1)="4"),INDEX(Category[],MATCH(4,Info!G:G,0)-1,2),(LEFT(AF111,1)="5"),INDEX(Category[],MATCH(5,Info!G:G,0)-1,2),(LEFT(AF111,1)="6"),INDEX(Category[],MATCH(6,Info!G:G,0)-1,2)),"")</f>
        <v/>
      </c>
      <c r="N67" s="194"/>
      <c r="O67" s="194"/>
      <c r="P67" s="96" t="str">
        <f xml:space="preserve"> IFERROR(COUNTIFS(AllAns!$2:$2, $X$4, AllAns!57:57, K67)/COUNTIF(AllAns!$2:$2, $X$4),"")</f>
        <v/>
      </c>
      <c r="Q67" s="114">
        <v>81</v>
      </c>
      <c r="R67" s="94" t="str">
        <f t="shared" si="3"/>
        <v/>
      </c>
      <c r="S67" s="94" t="str">
        <f>_xlfn.IFNA(VLOOKUP($X$4&amp;"-"&amp;Q67,AnswerKey[],7,FALSE),"-")</f>
        <v>-</v>
      </c>
      <c r="T67" s="94" t="str">
        <f t="shared" si="4"/>
        <v/>
      </c>
      <c r="U67" s="195" t="str">
        <f>IFERROR(_xlfn.IFS((LEFT(AI111,1)="1"),INDEX(Category[],MATCH(1,Info!G:G,0)-1,2),(LEFT(AI111,1)="2"),INDEX(Category[],MATCH(2,Info!G:G,0)-1,2),(LEFT(AI111,1)="3"),INDEX(Category[],MATCH(3,Info!G:G,0)-1,2),(LEFT(AI111,1)="4"),INDEX(Category[],MATCH(4,Info!G:G,0)-1,2),(LEFT(AI111,1)="5"),INDEX(Category[],MATCH(5,Info!G:G,0)-1,2),(LEFT(AI111,1)="6"),INDEX(Category[],MATCH(6,Info!G:G,0)-1,2)),"")</f>
        <v/>
      </c>
      <c r="V67" s="195"/>
      <c r="W67" s="195"/>
      <c r="X67" s="104"/>
      <c r="Y67" s="88"/>
    </row>
    <row r="68" spans="1:25" ht="15" customHeight="1">
      <c r="A68" s="112">
        <v>14</v>
      </c>
      <c r="B68" s="94" t="str">
        <f t="shared" si="1"/>
        <v/>
      </c>
      <c r="C68" s="94" t="str">
        <f>_xlfn.IFNA(VLOOKUP($X$4&amp;"-"&amp;A68,AnswerKey[],7,FALSE),"-")</f>
        <v>-</v>
      </c>
      <c r="D68" s="94" t="str">
        <f t="shared" si="5"/>
        <v/>
      </c>
      <c r="E68" s="194" t="str">
        <f>IFERROR(_xlfn.IFS((LEFT(AC112,1)="1"),INDEX(Category[],MATCH(1,Info!G:G,0)-1,2),(LEFT(AC112,1)="2"),INDEX(Category[],MATCH(2,Info!G:G,0)-1,2),(LEFT(AC112,1)="3"),INDEX(Category[],MATCH(3,Info!G:G,0)-1,2),(LEFT(AC112,1)="4"),INDEX(Category[],MATCH(4,Info!G:G,0)-1,2),(LEFT(AC112,1)="5"),INDEX(Category[],MATCH(5,Info!G:G,0)-1,2),(LEFT(AC112,1)="6"),INDEX(Category[],MATCH(6,Info!G:G,0)-1,2)),"")</f>
        <v/>
      </c>
      <c r="F68" s="194"/>
      <c r="G68" s="194"/>
      <c r="H68" s="96" t="str">
        <f xml:space="preserve"> IFERROR(COUNTIFS(AllAns!$2:$2, $X$4, AllAns!24:24, C68)/COUNTIF(AllAns!$2:$2, $X$4),"")</f>
        <v/>
      </c>
      <c r="I68" s="113">
        <v>48</v>
      </c>
      <c r="J68" s="94" t="str">
        <f t="shared" si="6"/>
        <v/>
      </c>
      <c r="K68" s="94" t="str">
        <f>_xlfn.IFNA(VLOOKUP($X$4&amp;"-"&amp;I68,AnswerKey[],7,FALSE),"-")</f>
        <v>-</v>
      </c>
      <c r="L68" s="94" t="str">
        <f t="shared" si="2"/>
        <v/>
      </c>
      <c r="M68" s="194" t="str">
        <f>IFERROR(_xlfn.IFS((LEFT(AF112,1)="1"),INDEX(Category[],MATCH(1,Info!G:G,0)-1,2),(LEFT(AF112,1)="2"),INDEX(Category[],MATCH(2,Info!G:G,0)-1,2),(LEFT(AF112,1)="3"),INDEX(Category[],MATCH(3,Info!G:G,0)-1,2),(LEFT(AF112,1)="4"),INDEX(Category[],MATCH(4,Info!G:G,0)-1,2),(LEFT(AF112,1)="5"),INDEX(Category[],MATCH(5,Info!G:G,0)-1,2),(LEFT(AF112,1)="6"),INDEX(Category[],MATCH(6,Info!G:G,0)-1,2)),"")</f>
        <v/>
      </c>
      <c r="N68" s="194"/>
      <c r="O68" s="194"/>
      <c r="P68" s="96" t="str">
        <f xml:space="preserve"> IFERROR(COUNTIFS(AllAns!$2:$2, $X$4, AllAns!58:58, K68)/COUNTIF(AllAns!$2:$2, $X$4),"")</f>
        <v/>
      </c>
      <c r="Q68" s="114">
        <v>82</v>
      </c>
      <c r="R68" s="94" t="str">
        <f t="shared" si="3"/>
        <v/>
      </c>
      <c r="S68" s="94" t="str">
        <f>_xlfn.IFNA(VLOOKUP($X$4&amp;"-"&amp;Q68,AnswerKey[],7,FALSE),"-")</f>
        <v>-</v>
      </c>
      <c r="T68" s="94" t="str">
        <f t="shared" si="4"/>
        <v/>
      </c>
      <c r="U68" s="195" t="str">
        <f>IFERROR(_xlfn.IFS((LEFT(AI112,1)="1"),INDEX(Category[],MATCH(1,Info!G:G,0)-1,2),(LEFT(AI112,1)="2"),INDEX(Category[],MATCH(2,Info!G:G,0)-1,2),(LEFT(AI112,1)="3"),INDEX(Category[],MATCH(3,Info!G:G,0)-1,2),(LEFT(AI112,1)="4"),INDEX(Category[],MATCH(4,Info!G:G,0)-1,2),(LEFT(AI112,1)="5"),INDEX(Category[],MATCH(5,Info!G:G,0)-1,2),(LEFT(AI112,1)="6"),INDEX(Category[],MATCH(6,Info!G:G,0)-1,2)),"")</f>
        <v/>
      </c>
      <c r="V68" s="195"/>
      <c r="W68" s="195"/>
      <c r="X68" s="104"/>
      <c r="Y68" s="88"/>
    </row>
    <row r="69" spans="1:25" ht="15" customHeight="1">
      <c r="A69" s="112">
        <v>15</v>
      </c>
      <c r="B69" s="94" t="str">
        <f t="shared" si="1"/>
        <v/>
      </c>
      <c r="C69" s="94" t="str">
        <f>_xlfn.IFNA(VLOOKUP($X$4&amp;"-"&amp;A69,AnswerKey[],7,FALSE),"-")</f>
        <v>-</v>
      </c>
      <c r="D69" s="94" t="str">
        <f t="shared" si="5"/>
        <v/>
      </c>
      <c r="E69" s="194" t="str">
        <f>IFERROR(_xlfn.IFS((LEFT(AC113,1)="1"),INDEX(Category[],MATCH(1,Info!G:G,0)-1,2),(LEFT(AC113,1)="2"),INDEX(Category[],MATCH(2,Info!G:G,0)-1,2),(LEFT(AC113,1)="3"),INDEX(Category[],MATCH(3,Info!G:G,0)-1,2),(LEFT(AC113,1)="4"),INDEX(Category[],MATCH(4,Info!G:G,0)-1,2),(LEFT(AC113,1)="5"),INDEX(Category[],MATCH(5,Info!G:G,0)-1,2),(LEFT(AC113,1)="6"),INDEX(Category[],MATCH(6,Info!G:G,0)-1,2)),"")</f>
        <v/>
      </c>
      <c r="F69" s="194"/>
      <c r="G69" s="194"/>
      <c r="H69" s="96" t="str">
        <f xml:space="preserve"> IFERROR(COUNTIFS(AllAns!$2:$2, $X$4, AllAns!25:25, C69)/COUNTIF(AllAns!$2:$2, $X$4),"")</f>
        <v/>
      </c>
      <c r="I69" s="113">
        <v>49</v>
      </c>
      <c r="J69" s="94" t="str">
        <f t="shared" si="6"/>
        <v/>
      </c>
      <c r="K69" s="94" t="str">
        <f>_xlfn.IFNA(VLOOKUP($X$4&amp;"-"&amp;I69,AnswerKey[],7,FALSE),"-")</f>
        <v>-</v>
      </c>
      <c r="L69" s="94" t="str">
        <f t="shared" si="2"/>
        <v/>
      </c>
      <c r="M69" s="194" t="str">
        <f>IFERROR(_xlfn.IFS((LEFT(AF113,1)="1"),INDEX(Category[],MATCH(1,Info!G:G,0)-1,2),(LEFT(AF113,1)="2"),INDEX(Category[],MATCH(2,Info!G:G,0)-1,2),(LEFT(AF113,1)="3"),INDEX(Category[],MATCH(3,Info!G:G,0)-1,2),(LEFT(AF113,1)="4"),INDEX(Category[],MATCH(4,Info!G:G,0)-1,2),(LEFT(AF113,1)="5"),INDEX(Category[],MATCH(5,Info!G:G,0)-1,2),(LEFT(AF113,1)="6"),INDEX(Category[],MATCH(6,Info!G:G,0)-1,2)),"")</f>
        <v/>
      </c>
      <c r="N69" s="194"/>
      <c r="O69" s="194"/>
      <c r="P69" s="96" t="str">
        <f xml:space="preserve"> IFERROR(COUNTIFS(AllAns!$2:$2, $X$4, AllAns!59:59, K69)/COUNTIF(AllAns!$2:$2, $X$4),"")</f>
        <v/>
      </c>
      <c r="Q69" s="114">
        <v>83</v>
      </c>
      <c r="R69" s="94" t="str">
        <f t="shared" si="3"/>
        <v/>
      </c>
      <c r="S69" s="94" t="str">
        <f>_xlfn.IFNA(VLOOKUP($X$4&amp;"-"&amp;Q69,AnswerKey[],7,FALSE),"-")</f>
        <v>-</v>
      </c>
      <c r="T69" s="94" t="str">
        <f t="shared" si="4"/>
        <v/>
      </c>
      <c r="U69" s="195" t="str">
        <f>IFERROR(_xlfn.IFS((LEFT(AI113,1)="1"),INDEX(Category[],MATCH(1,Info!G:G,0)-1,2),(LEFT(AI113,1)="2"),INDEX(Category[],MATCH(2,Info!G:G,0)-1,2),(LEFT(AI113,1)="3"),INDEX(Category[],MATCH(3,Info!G:G,0)-1,2),(LEFT(AI113,1)="4"),INDEX(Category[],MATCH(4,Info!G:G,0)-1,2),(LEFT(AI113,1)="5"),INDEX(Category[],MATCH(5,Info!G:G,0)-1,2),(LEFT(AI113,1)="6"),INDEX(Category[],MATCH(6,Info!G:G,0)-1,2)),"")</f>
        <v/>
      </c>
      <c r="V69" s="195"/>
      <c r="W69" s="195"/>
      <c r="X69" s="104"/>
      <c r="Y69" s="88"/>
    </row>
    <row r="70" spans="1:25" ht="15" customHeight="1">
      <c r="A70" s="112">
        <v>16</v>
      </c>
      <c r="B70" s="94" t="str">
        <f t="shared" si="1"/>
        <v/>
      </c>
      <c r="C70" s="94" t="str">
        <f>_xlfn.IFNA(VLOOKUP($X$4&amp;"-"&amp;A70,AnswerKey[],7,FALSE),"-")</f>
        <v>-</v>
      </c>
      <c r="D70" s="94" t="str">
        <f t="shared" si="5"/>
        <v/>
      </c>
      <c r="E70" s="194" t="str">
        <f>IFERROR(_xlfn.IFS((LEFT(AC114,1)="1"),INDEX(Category[],MATCH(1,Info!G:G,0)-1,2),(LEFT(AC114,1)="2"),INDEX(Category[],MATCH(2,Info!G:G,0)-1,2),(LEFT(AC114,1)="3"),INDEX(Category[],MATCH(3,Info!G:G,0)-1,2),(LEFT(AC114,1)="4"),INDEX(Category[],MATCH(4,Info!G:G,0)-1,2),(LEFT(AC114,1)="5"),INDEX(Category[],MATCH(5,Info!G:G,0)-1,2),(LEFT(AC114,1)="6"),INDEX(Category[],MATCH(6,Info!G:G,0)-1,2)),"")</f>
        <v/>
      </c>
      <c r="F70" s="194"/>
      <c r="G70" s="194"/>
      <c r="H70" s="96" t="str">
        <f xml:space="preserve"> IFERROR(COUNTIFS(AllAns!$2:$2, $X$4, AllAns!26:26, C70)/COUNTIF(AllAns!$2:$2, $X$4),"")</f>
        <v/>
      </c>
      <c r="I70" s="113">
        <v>50</v>
      </c>
      <c r="J70" s="94" t="str">
        <f t="shared" si="6"/>
        <v/>
      </c>
      <c r="K70" s="94" t="str">
        <f>_xlfn.IFNA(VLOOKUP($X$4&amp;"-"&amp;I70,AnswerKey[],7,FALSE),"-")</f>
        <v>-</v>
      </c>
      <c r="L70" s="94" t="str">
        <f t="shared" si="2"/>
        <v/>
      </c>
      <c r="M70" s="194" t="str">
        <f>IFERROR(_xlfn.IFS((LEFT(AF114,1)="1"),INDEX(Category[],MATCH(1,Info!G:G,0)-1,2),(LEFT(AF114,1)="2"),INDEX(Category[],MATCH(2,Info!G:G,0)-1,2),(LEFT(AF114,1)="3"),INDEX(Category[],MATCH(3,Info!G:G,0)-1,2),(LEFT(AF114,1)="4"),INDEX(Category[],MATCH(4,Info!G:G,0)-1,2),(LEFT(AF114,1)="5"),INDEX(Category[],MATCH(5,Info!G:G,0)-1,2),(LEFT(AF114,1)="6"),INDEX(Category[],MATCH(6,Info!G:G,0)-1,2)),"")</f>
        <v/>
      </c>
      <c r="N70" s="194"/>
      <c r="O70" s="194"/>
      <c r="P70" s="96" t="str">
        <f xml:space="preserve"> IFERROR(COUNTIFS(AllAns!$2:$2, $X$4, AllAns!60:60, K70)/COUNTIF(AllAns!$2:$2, $X$4),"")</f>
        <v/>
      </c>
      <c r="Q70" s="114">
        <v>84</v>
      </c>
      <c r="R70" s="94" t="str">
        <f t="shared" si="3"/>
        <v/>
      </c>
      <c r="S70" s="94" t="str">
        <f>_xlfn.IFNA(VLOOKUP($X$4&amp;"-"&amp;Q70,AnswerKey[],7,FALSE),"-")</f>
        <v>-</v>
      </c>
      <c r="T70" s="94" t="str">
        <f t="shared" si="4"/>
        <v/>
      </c>
      <c r="U70" s="195" t="str">
        <f>IFERROR(_xlfn.IFS((LEFT(AI114,1)="1"),INDEX(Category[],MATCH(1,Info!G:G,0)-1,2),(LEFT(AI114,1)="2"),INDEX(Category[],MATCH(2,Info!G:G,0)-1,2),(LEFT(AI114,1)="3"),INDEX(Category[],MATCH(3,Info!G:G,0)-1,2),(LEFT(AI114,1)="4"),INDEX(Category[],MATCH(4,Info!G:G,0)-1,2),(LEFT(AI114,1)="5"),INDEX(Category[],MATCH(5,Info!G:G,0)-1,2),(LEFT(AI114,1)="6"),INDEX(Category[],MATCH(6,Info!G:G,0)-1,2)),"")</f>
        <v/>
      </c>
      <c r="V70" s="195"/>
      <c r="W70" s="195"/>
      <c r="X70" s="104"/>
      <c r="Y70" s="88"/>
    </row>
    <row r="71" spans="1:25" ht="15" customHeight="1">
      <c r="A71" s="112">
        <v>17</v>
      </c>
      <c r="B71" s="94" t="str">
        <f t="shared" si="1"/>
        <v/>
      </c>
      <c r="C71" s="94" t="str">
        <f>_xlfn.IFNA(VLOOKUP($X$4&amp;"-"&amp;A71,AnswerKey[],7,FALSE),"-")</f>
        <v>-</v>
      </c>
      <c r="D71" s="94" t="str">
        <f t="shared" si="5"/>
        <v/>
      </c>
      <c r="E71" s="194" t="str">
        <f>IFERROR(_xlfn.IFS((LEFT(AC115,1)="1"),INDEX(Category[],MATCH(1,Info!G:G,0)-1,2),(LEFT(AC115,1)="2"),INDEX(Category[],MATCH(2,Info!G:G,0)-1,2),(LEFT(AC115,1)="3"),INDEX(Category[],MATCH(3,Info!G:G,0)-1,2),(LEFT(AC115,1)="4"),INDEX(Category[],MATCH(4,Info!G:G,0)-1,2),(LEFT(AC115,1)="5"),INDEX(Category[],MATCH(5,Info!G:G,0)-1,2),(LEFT(AC115,1)="6"),INDEX(Category[],MATCH(6,Info!G:G,0)-1,2)),"")</f>
        <v/>
      </c>
      <c r="F71" s="194"/>
      <c r="G71" s="194"/>
      <c r="H71" s="96" t="str">
        <f xml:space="preserve"> IFERROR(COUNTIFS(AllAns!$2:$2, $X$4, AllAns!27:27, C71)/COUNTIF(AllAns!$2:$2, $X$4),"")</f>
        <v/>
      </c>
      <c r="I71" s="113">
        <v>51</v>
      </c>
      <c r="J71" s="94" t="str">
        <f t="shared" si="6"/>
        <v/>
      </c>
      <c r="K71" s="94" t="str">
        <f>_xlfn.IFNA(VLOOKUP($X$4&amp;"-"&amp;I71,AnswerKey[],7,FALSE),"-")</f>
        <v>-</v>
      </c>
      <c r="L71" s="94" t="str">
        <f t="shared" si="2"/>
        <v/>
      </c>
      <c r="M71" s="194" t="str">
        <f>IFERROR(_xlfn.IFS((LEFT(AF115,1)="1"),INDEX(Category[],MATCH(1,Info!G:G,0)-1,2),(LEFT(AF115,1)="2"),INDEX(Category[],MATCH(2,Info!G:G,0)-1,2),(LEFT(AF115,1)="3"),INDEX(Category[],MATCH(3,Info!G:G,0)-1,2),(LEFT(AF115,1)="4"),INDEX(Category[],MATCH(4,Info!G:G,0)-1,2),(LEFT(AF115,1)="5"),INDEX(Category[],MATCH(5,Info!G:G,0)-1,2),(LEFT(AF115,1)="6"),INDEX(Category[],MATCH(6,Info!G:G,0)-1,2)),"")</f>
        <v/>
      </c>
      <c r="N71" s="194"/>
      <c r="O71" s="194"/>
      <c r="P71" s="101"/>
      <c r="Q71" s="114">
        <v>85</v>
      </c>
      <c r="R71" s="94" t="str">
        <f t="shared" si="3"/>
        <v/>
      </c>
      <c r="S71" s="94" t="str">
        <f>_xlfn.IFNA(VLOOKUP($X$4&amp;"-"&amp;Q71,AnswerKey[],7,FALSE),"-")</f>
        <v>-</v>
      </c>
      <c r="T71" s="94" t="str">
        <f t="shared" si="4"/>
        <v/>
      </c>
      <c r="U71" s="195" t="str">
        <f>IFERROR(_xlfn.IFS((LEFT(AI115,1)="1"),INDEX(Category[],MATCH(1,Info!G:G,0)-1,2),(LEFT(AI115,1)="2"),INDEX(Category[],MATCH(2,Info!G:G,0)-1,2),(LEFT(AI115,1)="3"),INDEX(Category[],MATCH(3,Info!G:G,0)-1,2),(LEFT(AI115,1)="4"),INDEX(Category[],MATCH(4,Info!G:G,0)-1,2),(LEFT(AI115,1)="5"),INDEX(Category[],MATCH(5,Info!G:G,0)-1,2),(LEFT(AI115,1)="6"),INDEX(Category[],MATCH(6,Info!G:G,0)-1,2)),"")</f>
        <v/>
      </c>
      <c r="V71" s="195"/>
      <c r="W71" s="195"/>
      <c r="X71" s="104"/>
      <c r="Y71" s="88"/>
    </row>
    <row r="72" spans="1:25" ht="15" customHeight="1">
      <c r="A72" s="112">
        <v>18</v>
      </c>
      <c r="B72" s="94" t="str">
        <f t="shared" si="1"/>
        <v/>
      </c>
      <c r="C72" s="94" t="str">
        <f>_xlfn.IFNA(VLOOKUP($X$4&amp;"-"&amp;A72,AnswerKey[],7,FALSE),"-")</f>
        <v>-</v>
      </c>
      <c r="D72" s="94" t="str">
        <f t="shared" si="5"/>
        <v/>
      </c>
      <c r="E72" s="194" t="str">
        <f>IFERROR(_xlfn.IFS((LEFT(AC116,1)="1"),INDEX(Category[],MATCH(1,Info!G:G,0)-1,2),(LEFT(AC116,1)="2"),INDEX(Category[],MATCH(2,Info!G:G,0)-1,2),(LEFT(AC116,1)="3"),INDEX(Category[],MATCH(3,Info!G:G,0)-1,2),(LEFT(AC116,1)="4"),INDEX(Category[],MATCH(4,Info!G:G,0)-1,2),(LEFT(AC116,1)="5"),INDEX(Category[],MATCH(5,Info!G:G,0)-1,2),(LEFT(AC116,1)="6"),INDEX(Category[],MATCH(6,Info!G:G,0)-1,2)),"")</f>
        <v/>
      </c>
      <c r="F72" s="194"/>
      <c r="G72" s="194"/>
      <c r="H72" s="96" t="str">
        <f xml:space="preserve"> IFERROR(COUNTIFS(AllAns!$2:$2, $X$4, AllAns!28:28, C72)/COUNTIF(AllAns!$2:$2, $X$4),"")</f>
        <v/>
      </c>
      <c r="I72" s="113">
        <v>52</v>
      </c>
      <c r="J72" s="94" t="str">
        <f t="shared" si="6"/>
        <v/>
      </c>
      <c r="K72" s="94" t="str">
        <f>_xlfn.IFNA(VLOOKUP($X$4&amp;"-"&amp;I72,AnswerKey[],7,FALSE),"-")</f>
        <v>-</v>
      </c>
      <c r="L72" s="94" t="str">
        <f t="shared" si="2"/>
        <v/>
      </c>
      <c r="M72" s="194" t="str">
        <f>IFERROR(_xlfn.IFS((LEFT(AF116,1)="1"),INDEX(Category[],MATCH(1,Info!G:G,0)-1,2),(LEFT(AF116,1)="2"),INDEX(Category[],MATCH(2,Info!G:G,0)-1,2),(LEFT(AF116,1)="3"),INDEX(Category[],MATCH(3,Info!G:G,0)-1,2),(LEFT(AF116,1)="4"),INDEX(Category[],MATCH(4,Info!G:G,0)-1,2),(LEFT(AF116,1)="5"),INDEX(Category[],MATCH(5,Info!G:G,0)-1,2),(LEFT(AF116,1)="6"),INDEX(Category[],MATCH(6,Info!G:G,0)-1,2)),"")</f>
        <v/>
      </c>
      <c r="N72" s="194"/>
      <c r="O72" s="194"/>
      <c r="P72" s="101"/>
      <c r="Q72" s="114">
        <v>86</v>
      </c>
      <c r="R72" s="94" t="str">
        <f t="shared" si="3"/>
        <v/>
      </c>
      <c r="S72" s="94" t="str">
        <f>_xlfn.IFNA(VLOOKUP($X$4&amp;"-"&amp;Q72,AnswerKey[],7,FALSE),"-")</f>
        <v>-</v>
      </c>
      <c r="T72" s="94" t="str">
        <f t="shared" si="4"/>
        <v/>
      </c>
      <c r="U72" s="195" t="str">
        <f>IFERROR(_xlfn.IFS((LEFT(AI116,1)="1"),INDEX(Category[],MATCH(1,Info!G:G,0)-1,2),(LEFT(AI116,1)="2"),INDEX(Category[],MATCH(2,Info!G:G,0)-1,2),(LEFT(AI116,1)="3"),INDEX(Category[],MATCH(3,Info!G:G,0)-1,2),(LEFT(AI116,1)="4"),INDEX(Category[],MATCH(4,Info!G:G,0)-1,2),(LEFT(AI116,1)="5"),INDEX(Category[],MATCH(5,Info!G:G,0)-1,2),(LEFT(AI116,1)="6"),INDEX(Category[],MATCH(6,Info!G:G,0)-1,2)),"")</f>
        <v/>
      </c>
      <c r="V72" s="195"/>
      <c r="W72" s="195"/>
      <c r="X72" s="104"/>
      <c r="Y72" s="88"/>
    </row>
    <row r="73" spans="1:25" ht="15" customHeight="1">
      <c r="A73" s="112">
        <v>19</v>
      </c>
      <c r="B73" s="94" t="str">
        <f t="shared" si="1"/>
        <v/>
      </c>
      <c r="C73" s="94" t="str">
        <f>_xlfn.IFNA(VLOOKUP($X$4&amp;"-"&amp;A73,AnswerKey[],7,FALSE),"-")</f>
        <v>-</v>
      </c>
      <c r="D73" s="94" t="str">
        <f t="shared" si="5"/>
        <v/>
      </c>
      <c r="E73" s="194" t="str">
        <f>IFERROR(_xlfn.IFS((LEFT(AC117,1)="1"),INDEX(Category[],MATCH(1,Info!G:G,0)-1,2),(LEFT(AC117,1)="2"),INDEX(Category[],MATCH(2,Info!G:G,0)-1,2),(LEFT(AC117,1)="3"),INDEX(Category[],MATCH(3,Info!G:G,0)-1,2),(LEFT(AC117,1)="4"),INDEX(Category[],MATCH(4,Info!G:G,0)-1,2),(LEFT(AC117,1)="5"),INDEX(Category[],MATCH(5,Info!G:G,0)-1,2),(LEFT(AC117,1)="6"),INDEX(Category[],MATCH(6,Info!G:G,0)-1,2)),"")</f>
        <v/>
      </c>
      <c r="F73" s="194"/>
      <c r="G73" s="194"/>
      <c r="H73" s="96" t="str">
        <f xml:space="preserve"> IFERROR(COUNTIFS(AllAns!$2:$2, $X$4, AllAns!29:29, C73)/COUNTIF(AllAns!$2:$2, $X$4),"")</f>
        <v/>
      </c>
      <c r="I73" s="113">
        <v>53</v>
      </c>
      <c r="J73" s="94" t="str">
        <f t="shared" si="6"/>
        <v/>
      </c>
      <c r="K73" s="94" t="str">
        <f>_xlfn.IFNA(VLOOKUP($X$4&amp;"-"&amp;I73,AnswerKey[],7,FALSE),"-")</f>
        <v>-</v>
      </c>
      <c r="L73" s="94" t="str">
        <f t="shared" si="2"/>
        <v/>
      </c>
      <c r="M73" s="194" t="str">
        <f>IFERROR(_xlfn.IFS((LEFT(AF117,1)="1"),INDEX(Category[],MATCH(1,Info!G:G,0)-1,2),(LEFT(AF117,1)="2"),INDEX(Category[],MATCH(2,Info!G:G,0)-1,2),(LEFT(AF117,1)="3"),INDEX(Category[],MATCH(3,Info!G:G,0)-1,2),(LEFT(AF117,1)="4"),INDEX(Category[],MATCH(4,Info!G:G,0)-1,2),(LEFT(AF117,1)="5"),INDEX(Category[],MATCH(5,Info!G:G,0)-1,2),(LEFT(AF117,1)="6"),INDEX(Category[],MATCH(6,Info!G:G,0)-1,2)),"")</f>
        <v/>
      </c>
      <c r="N73" s="194"/>
      <c r="O73" s="194"/>
      <c r="P73" s="101"/>
      <c r="Q73" s="114">
        <v>87</v>
      </c>
      <c r="R73" s="94" t="str">
        <f t="shared" si="3"/>
        <v/>
      </c>
      <c r="S73" s="94" t="str">
        <f>_xlfn.IFNA(VLOOKUP($X$4&amp;"-"&amp;Q73,AnswerKey[],7,FALSE),"-")</f>
        <v>-</v>
      </c>
      <c r="T73" s="94" t="str">
        <f t="shared" si="4"/>
        <v/>
      </c>
      <c r="U73" s="195" t="str">
        <f>IFERROR(_xlfn.IFS((LEFT(AI117,1)="1"),INDEX(Category[],MATCH(1,Info!G:G,0)-1,2),(LEFT(AI117,1)="2"),INDEX(Category[],MATCH(2,Info!G:G,0)-1,2),(LEFT(AI117,1)="3"),INDEX(Category[],MATCH(3,Info!G:G,0)-1,2),(LEFT(AI117,1)="4"),INDEX(Category[],MATCH(4,Info!G:G,0)-1,2),(LEFT(AI117,1)="5"),INDEX(Category[],MATCH(5,Info!G:G,0)-1,2),(LEFT(AI117,1)="6"),INDEX(Category[],MATCH(6,Info!G:G,0)-1,2)),"")</f>
        <v/>
      </c>
      <c r="V73" s="195"/>
      <c r="W73" s="195"/>
      <c r="X73" s="104"/>
      <c r="Y73" s="88"/>
    </row>
    <row r="74" spans="1:25" ht="15" customHeight="1">
      <c r="A74" s="112">
        <v>20</v>
      </c>
      <c r="B74" s="94" t="str">
        <f t="shared" si="1"/>
        <v/>
      </c>
      <c r="C74" s="94" t="str">
        <f>_xlfn.IFNA(VLOOKUP($X$4&amp;"-"&amp;A74,AnswerKey[],7,FALSE),"-")</f>
        <v>-</v>
      </c>
      <c r="D74" s="94" t="str">
        <f t="shared" si="5"/>
        <v/>
      </c>
      <c r="E74" s="194" t="str">
        <f>IFERROR(_xlfn.IFS((LEFT(AC118,1)="1"),INDEX(Category[],MATCH(1,Info!G:G,0)-1,2),(LEFT(AC118,1)="2"),INDEX(Category[],MATCH(2,Info!G:G,0)-1,2),(LEFT(AC118,1)="3"),INDEX(Category[],MATCH(3,Info!G:G,0)-1,2),(LEFT(AC118,1)="4"),INDEX(Category[],MATCH(4,Info!G:G,0)-1,2),(LEFT(AC118,1)="5"),INDEX(Category[],MATCH(5,Info!G:G,0)-1,2),(LEFT(AC118,1)="6"),INDEX(Category[],MATCH(6,Info!G:G,0)-1,2)),"")</f>
        <v/>
      </c>
      <c r="F74" s="194"/>
      <c r="G74" s="194"/>
      <c r="H74" s="96" t="str">
        <f xml:space="preserve"> IFERROR(COUNTIFS(AllAns!$2:$2, $X$4, AllAns!30:30, C74)/COUNTIF(AllAns!$2:$2, $X$4),"")</f>
        <v/>
      </c>
      <c r="I74" s="113">
        <v>54</v>
      </c>
      <c r="J74" s="94" t="str">
        <f t="shared" si="6"/>
        <v/>
      </c>
      <c r="K74" s="94" t="str">
        <f>_xlfn.IFNA(VLOOKUP($X$4&amp;"-"&amp;I74,AnswerKey[],7,FALSE),"-")</f>
        <v>-</v>
      </c>
      <c r="L74" s="94" t="str">
        <f t="shared" si="2"/>
        <v/>
      </c>
      <c r="M74" s="194" t="str">
        <f>IFERROR(_xlfn.IFS((LEFT(AF118,1)="1"),INDEX(Category[],MATCH(1,Info!G:G,0)-1,2),(LEFT(AF118,1)="2"),INDEX(Category[],MATCH(2,Info!G:G,0)-1,2),(LEFT(AF118,1)="3"),INDEX(Category[],MATCH(3,Info!G:G,0)-1,2),(LEFT(AF118,1)="4"),INDEX(Category[],MATCH(4,Info!G:G,0)-1,2),(LEFT(AF118,1)="5"),INDEX(Category[],MATCH(5,Info!G:G,0)-1,2),(LEFT(AF118,1)="6"),INDEX(Category[],MATCH(6,Info!G:G,0)-1,2)),"")</f>
        <v/>
      </c>
      <c r="N74" s="194"/>
      <c r="O74" s="194"/>
      <c r="P74" s="101"/>
      <c r="Q74" s="114">
        <v>88</v>
      </c>
      <c r="R74" s="94" t="str">
        <f t="shared" si="3"/>
        <v/>
      </c>
      <c r="S74" s="94" t="str">
        <f>_xlfn.IFNA(VLOOKUP($X$4&amp;"-"&amp;Q74,AnswerKey[],7,FALSE),"-")</f>
        <v>-</v>
      </c>
      <c r="T74" s="94" t="str">
        <f t="shared" si="4"/>
        <v/>
      </c>
      <c r="U74" s="195" t="str">
        <f>IFERROR(_xlfn.IFS((LEFT(AI118,1)="1"),INDEX(Category[],MATCH(1,Info!G:G,0)-1,2),(LEFT(AI118,1)="2"),INDEX(Category[],MATCH(2,Info!G:G,0)-1,2),(LEFT(AI118,1)="3"),INDEX(Category[],MATCH(3,Info!G:G,0)-1,2),(LEFT(AI118,1)="4"),INDEX(Category[],MATCH(4,Info!G:G,0)-1,2),(LEFT(AI118,1)="5"),INDEX(Category[],MATCH(5,Info!G:G,0)-1,2),(LEFT(AI118,1)="6"),INDEX(Category[],MATCH(6,Info!G:G,0)-1,2)),"")</f>
        <v/>
      </c>
      <c r="V74" s="195"/>
      <c r="W74" s="195"/>
      <c r="X74" s="104"/>
      <c r="Y74" s="88"/>
    </row>
    <row r="75" spans="1:25" ht="15" customHeight="1">
      <c r="A75" s="112">
        <v>21</v>
      </c>
      <c r="B75" s="94" t="str">
        <f t="shared" si="1"/>
        <v/>
      </c>
      <c r="C75" s="94" t="str">
        <f>_xlfn.IFNA(VLOOKUP($X$4&amp;"-"&amp;A75,AnswerKey[],7,FALSE),"-")</f>
        <v>-</v>
      </c>
      <c r="D75" s="94" t="str">
        <f t="shared" si="5"/>
        <v/>
      </c>
      <c r="E75" s="194" t="str">
        <f>IFERROR(_xlfn.IFS((LEFT(AC119,1)="1"),INDEX(Category[],MATCH(1,Info!G:G,0)-1,2),(LEFT(AC119,1)="2"),INDEX(Category[],MATCH(2,Info!G:G,0)-1,2),(LEFT(AC119,1)="3"),INDEX(Category[],MATCH(3,Info!G:G,0)-1,2),(LEFT(AC119,1)="4"),INDEX(Category[],MATCH(4,Info!G:G,0)-1,2),(LEFT(AC119,1)="5"),INDEX(Category[],MATCH(5,Info!G:G,0)-1,2),(LEFT(AC119,1)="6"),INDEX(Category[],MATCH(6,Info!G:G,0)-1,2)),"")</f>
        <v/>
      </c>
      <c r="F75" s="194"/>
      <c r="G75" s="194"/>
      <c r="H75" s="96" t="str">
        <f xml:space="preserve"> IFERROR(COUNTIFS(AllAns!$2:$2, $X$4, AllAns!31:31, C75)/COUNTIF(AllAns!$2:$2, $X$4),"")</f>
        <v/>
      </c>
      <c r="I75" s="113">
        <v>55</v>
      </c>
      <c r="J75" s="94" t="str">
        <f t="shared" si="6"/>
        <v/>
      </c>
      <c r="K75" s="94" t="str">
        <f>_xlfn.IFNA(VLOOKUP($X$4&amp;"-"&amp;I75,AnswerKey[],7,FALSE),"-")</f>
        <v>-</v>
      </c>
      <c r="L75" s="94" t="str">
        <f t="shared" si="2"/>
        <v/>
      </c>
      <c r="M75" s="194" t="str">
        <f>IFERROR(_xlfn.IFS((LEFT(AF119,1)="1"),INDEX(Category[],MATCH(1,Info!G:G,0)-1,2),(LEFT(AF119,1)="2"),INDEX(Category[],MATCH(2,Info!G:G,0)-1,2),(LEFT(AF119,1)="3"),INDEX(Category[],MATCH(3,Info!G:G,0)-1,2),(LEFT(AF119,1)="4"),INDEX(Category[],MATCH(4,Info!G:G,0)-1,2),(LEFT(AF119,1)="5"),INDEX(Category[],MATCH(5,Info!G:G,0)-1,2),(LEFT(AF119,1)="6"),INDEX(Category[],MATCH(6,Info!G:G,0)-1,2)),"")</f>
        <v/>
      </c>
      <c r="N75" s="194"/>
      <c r="O75" s="194"/>
      <c r="P75" s="101"/>
      <c r="Q75" s="114">
        <v>89</v>
      </c>
      <c r="R75" s="94" t="str">
        <f t="shared" si="3"/>
        <v/>
      </c>
      <c r="S75" s="94" t="str">
        <f>_xlfn.IFNA(VLOOKUP($X$4&amp;"-"&amp;Q75,AnswerKey[],7,FALSE),"-")</f>
        <v>-</v>
      </c>
      <c r="T75" s="94" t="str">
        <f t="shared" si="4"/>
        <v/>
      </c>
      <c r="U75" s="195" t="str">
        <f>IFERROR(_xlfn.IFS((LEFT(AI119,1)="1"),INDEX(Category[],MATCH(1,Info!G:G,0)-1,2),(LEFT(AI119,1)="2"),INDEX(Category[],MATCH(2,Info!G:G,0)-1,2),(LEFT(AI119,1)="3"),INDEX(Category[],MATCH(3,Info!G:G,0)-1,2),(LEFT(AI119,1)="4"),INDEX(Category[],MATCH(4,Info!G:G,0)-1,2),(LEFT(AI119,1)="5"),INDEX(Category[],MATCH(5,Info!G:G,0)-1,2),(LEFT(AI119,1)="6"),INDEX(Category[],MATCH(6,Info!G:G,0)-1,2)),"")</f>
        <v/>
      </c>
      <c r="V75" s="195"/>
      <c r="W75" s="195"/>
      <c r="X75" s="104"/>
      <c r="Y75" s="88"/>
    </row>
    <row r="76" spans="1:25" ht="15" customHeight="1">
      <c r="A76" s="112">
        <v>22</v>
      </c>
      <c r="B76" s="94" t="str">
        <f t="shared" si="1"/>
        <v/>
      </c>
      <c r="C76" s="94" t="str">
        <f>_xlfn.IFNA(VLOOKUP($X$4&amp;"-"&amp;A76,AnswerKey[],7,FALSE),"-")</f>
        <v>-</v>
      </c>
      <c r="D76" s="94" t="str">
        <f t="shared" si="5"/>
        <v/>
      </c>
      <c r="E76" s="194" t="str">
        <f>IFERROR(_xlfn.IFS((LEFT(AC120,1)="1"),INDEX(Category[],MATCH(1,Info!G:G,0)-1,2),(LEFT(AC120,1)="2"),INDEX(Category[],MATCH(2,Info!G:G,0)-1,2),(LEFT(AC120,1)="3"),INDEX(Category[],MATCH(3,Info!G:G,0)-1,2),(LEFT(AC120,1)="4"),INDEX(Category[],MATCH(4,Info!G:G,0)-1,2),(LEFT(AC120,1)="5"),INDEX(Category[],MATCH(5,Info!G:G,0)-1,2),(LEFT(AC120,1)="6"),INDEX(Category[],MATCH(6,Info!G:G,0)-1,2)),"")</f>
        <v/>
      </c>
      <c r="F76" s="194"/>
      <c r="G76" s="194"/>
      <c r="H76" s="96" t="str">
        <f xml:space="preserve"> IFERROR(COUNTIFS(AllAns!$2:$2, $X$4, AllAns!32:32, C76)/COUNTIF(AllAns!$2:$2, $X$4),"")</f>
        <v/>
      </c>
      <c r="I76" s="113">
        <v>56</v>
      </c>
      <c r="J76" s="94" t="str">
        <f t="shared" si="6"/>
        <v/>
      </c>
      <c r="K76" s="94" t="str">
        <f>_xlfn.IFNA(VLOOKUP($X$4&amp;"-"&amp;I76,AnswerKey[],7,FALSE),"-")</f>
        <v>-</v>
      </c>
      <c r="L76" s="94" t="str">
        <f t="shared" si="2"/>
        <v/>
      </c>
      <c r="M76" s="194" t="str">
        <f>IFERROR(_xlfn.IFS((LEFT(AF120,1)="1"),INDEX(Category[],MATCH(1,Info!G:G,0)-1,2),(LEFT(AF120,1)="2"),INDEX(Category[],MATCH(2,Info!G:G,0)-1,2),(LEFT(AF120,1)="3"),INDEX(Category[],MATCH(3,Info!G:G,0)-1,2),(LEFT(AF120,1)="4"),INDEX(Category[],MATCH(4,Info!G:G,0)-1,2),(LEFT(AF120,1)="5"),INDEX(Category[],MATCH(5,Info!G:G,0)-1,2),(LEFT(AF120,1)="6"),INDEX(Category[],MATCH(6,Info!G:G,0)-1,2)),"")</f>
        <v/>
      </c>
      <c r="N76" s="194"/>
      <c r="O76" s="194"/>
      <c r="P76" s="101"/>
      <c r="Q76" s="114">
        <v>90</v>
      </c>
      <c r="R76" s="94" t="str">
        <f t="shared" si="3"/>
        <v/>
      </c>
      <c r="S76" s="94" t="str">
        <f>_xlfn.IFNA(VLOOKUP($X$4&amp;"-"&amp;Q76,AnswerKey[],7,FALSE),"-")</f>
        <v>-</v>
      </c>
      <c r="T76" s="94" t="str">
        <f t="shared" si="4"/>
        <v/>
      </c>
      <c r="U76" s="195" t="str">
        <f>IFERROR(_xlfn.IFS((LEFT(AI120,1)="1"),INDEX(Category[],MATCH(1,Info!G:G,0)-1,2),(LEFT(AI120,1)="2"),INDEX(Category[],MATCH(2,Info!G:G,0)-1,2),(LEFT(AI120,1)="3"),INDEX(Category[],MATCH(3,Info!G:G,0)-1,2),(LEFT(AI120,1)="4"),INDEX(Category[],MATCH(4,Info!G:G,0)-1,2),(LEFT(AI120,1)="5"),INDEX(Category[],MATCH(5,Info!G:G,0)-1,2),(LEFT(AI120,1)="6"),INDEX(Category[],MATCH(6,Info!G:G,0)-1,2)),"")</f>
        <v/>
      </c>
      <c r="V76" s="195"/>
      <c r="W76" s="195"/>
      <c r="X76" s="104"/>
      <c r="Y76" s="88"/>
    </row>
    <row r="77" spans="1:25" ht="15" customHeight="1">
      <c r="A77" s="112">
        <v>23</v>
      </c>
      <c r="B77" s="94" t="str">
        <f t="shared" si="1"/>
        <v/>
      </c>
      <c r="C77" s="94" t="str">
        <f>_xlfn.IFNA(VLOOKUP($X$4&amp;"-"&amp;A77,AnswerKey[],7,FALSE),"-")</f>
        <v>-</v>
      </c>
      <c r="D77" s="94" t="str">
        <f t="shared" si="5"/>
        <v/>
      </c>
      <c r="E77" s="194" t="str">
        <f>IFERROR(_xlfn.IFS((LEFT(AC121,1)="1"),INDEX(Category[],MATCH(1,Info!G:G,0)-1,2),(LEFT(AC121,1)="2"),INDEX(Category[],MATCH(2,Info!G:G,0)-1,2),(LEFT(AC121,1)="3"),INDEX(Category[],MATCH(3,Info!G:G,0)-1,2),(LEFT(AC121,1)="4"),INDEX(Category[],MATCH(4,Info!G:G,0)-1,2),(LEFT(AC121,1)="5"),INDEX(Category[],MATCH(5,Info!G:G,0)-1,2),(LEFT(AC121,1)="6"),INDEX(Category[],MATCH(6,Info!G:G,0)-1,2)),"")</f>
        <v/>
      </c>
      <c r="F77" s="194"/>
      <c r="G77" s="194"/>
      <c r="H77" s="96" t="str">
        <f xml:space="preserve"> IFERROR(COUNTIFS(AllAns!$2:$2, $X$4, AllAns!33:33, C77)/COUNTIF(AllAns!$2:$2, $X$4),"")</f>
        <v/>
      </c>
      <c r="I77" s="113">
        <v>57</v>
      </c>
      <c r="J77" s="94" t="str">
        <f t="shared" si="6"/>
        <v/>
      </c>
      <c r="K77" s="94" t="str">
        <f>_xlfn.IFNA(VLOOKUP($X$4&amp;"-"&amp;I77,AnswerKey[],7,FALSE),"-")</f>
        <v>-</v>
      </c>
      <c r="L77" s="94" t="str">
        <f t="shared" si="2"/>
        <v/>
      </c>
      <c r="M77" s="194" t="str">
        <f>IFERROR(_xlfn.IFS((LEFT(AF121,1)="1"),INDEX(Category[],MATCH(1,Info!G:G,0)-1,2),(LEFT(AF121,1)="2"),INDEX(Category[],MATCH(2,Info!G:G,0)-1,2),(LEFT(AF121,1)="3"),INDEX(Category[],MATCH(3,Info!G:G,0)-1,2),(LEFT(AF121,1)="4"),INDEX(Category[],MATCH(4,Info!G:G,0)-1,2),(LEFT(AF121,1)="5"),INDEX(Category[],MATCH(5,Info!G:G,0)-1,2),(LEFT(AF121,1)="6"),INDEX(Category[],MATCH(6,Info!G:G,0)-1,2)),"")</f>
        <v/>
      </c>
      <c r="N77" s="194"/>
      <c r="O77" s="194"/>
      <c r="P77" s="101"/>
      <c r="Q77" s="114">
        <v>91</v>
      </c>
      <c r="R77" s="94" t="str">
        <f t="shared" si="3"/>
        <v/>
      </c>
      <c r="S77" s="94" t="str">
        <f>_xlfn.IFNA(VLOOKUP($X$4&amp;"-"&amp;Q77,AnswerKey[],7,FALSE),"-")</f>
        <v>-</v>
      </c>
      <c r="T77" s="94" t="str">
        <f t="shared" si="4"/>
        <v/>
      </c>
      <c r="U77" s="195" t="str">
        <f>IFERROR(_xlfn.IFS((LEFT(AI121,1)="1"),INDEX(Category[],MATCH(1,Info!G:G,0)-1,2),(LEFT(AI121,1)="2"),INDEX(Category[],MATCH(2,Info!G:G,0)-1,2),(LEFT(AI121,1)="3"),INDEX(Category[],MATCH(3,Info!G:G,0)-1,2),(LEFT(AI121,1)="4"),INDEX(Category[],MATCH(4,Info!G:G,0)-1,2),(LEFT(AI121,1)="5"),INDEX(Category[],MATCH(5,Info!G:G,0)-1,2),(LEFT(AI121,1)="6"),INDEX(Category[],MATCH(6,Info!G:G,0)-1,2)),"")</f>
        <v/>
      </c>
      <c r="V77" s="195"/>
      <c r="W77" s="195"/>
      <c r="X77" s="104"/>
      <c r="Y77" s="88"/>
    </row>
    <row r="78" spans="1:25" ht="15" customHeight="1">
      <c r="A78" s="112">
        <v>24</v>
      </c>
      <c r="B78" s="94" t="str">
        <f t="shared" si="1"/>
        <v/>
      </c>
      <c r="C78" s="94" t="str">
        <f>_xlfn.IFNA(VLOOKUP($X$4&amp;"-"&amp;A78,AnswerKey[],7,FALSE),"-")</f>
        <v>-</v>
      </c>
      <c r="D78" s="94" t="str">
        <f t="shared" si="5"/>
        <v/>
      </c>
      <c r="E78" s="194" t="str">
        <f>IFERROR(_xlfn.IFS((LEFT(AC122,1)="1"),INDEX(Category[],MATCH(1,Info!G:G,0)-1,2),(LEFT(AC122,1)="2"),INDEX(Category[],MATCH(2,Info!G:G,0)-1,2),(LEFT(AC122,1)="3"),INDEX(Category[],MATCH(3,Info!G:G,0)-1,2),(LEFT(AC122,1)="4"),INDEX(Category[],MATCH(4,Info!G:G,0)-1,2),(LEFT(AC122,1)="5"),INDEX(Category[],MATCH(5,Info!G:G,0)-1,2),(LEFT(AC122,1)="6"),INDEX(Category[],MATCH(6,Info!G:G,0)-1,2)),"")</f>
        <v/>
      </c>
      <c r="F78" s="194"/>
      <c r="G78" s="194"/>
      <c r="H78" s="96" t="str">
        <f xml:space="preserve"> IFERROR(COUNTIFS(AllAns!$2:$2, $X$4, AllAns!34:34, C78)/COUNTIF(AllAns!$2:$2, $X$4),"")</f>
        <v/>
      </c>
      <c r="I78" s="113">
        <v>58</v>
      </c>
      <c r="J78" s="94" t="str">
        <f t="shared" si="6"/>
        <v/>
      </c>
      <c r="K78" s="94" t="str">
        <f>_xlfn.IFNA(VLOOKUP($X$4&amp;"-"&amp;I78,AnswerKey[],7,FALSE),"-")</f>
        <v>-</v>
      </c>
      <c r="L78" s="94" t="str">
        <f t="shared" si="2"/>
        <v/>
      </c>
      <c r="M78" s="194" t="str">
        <f>IFERROR(_xlfn.IFS((LEFT(AF122,1)="1"),INDEX(Category[],MATCH(1,Info!G:G,0)-1,2),(LEFT(AF122,1)="2"),INDEX(Category[],MATCH(2,Info!G:G,0)-1,2),(LEFT(AF122,1)="3"),INDEX(Category[],MATCH(3,Info!G:G,0)-1,2),(LEFT(AF122,1)="4"),INDEX(Category[],MATCH(4,Info!G:G,0)-1,2),(LEFT(AF122,1)="5"),INDEX(Category[],MATCH(5,Info!G:G,0)-1,2),(LEFT(AF122,1)="6"),INDEX(Category[],MATCH(6,Info!G:G,0)-1,2)),"")</f>
        <v/>
      </c>
      <c r="N78" s="194"/>
      <c r="O78" s="194"/>
      <c r="P78" s="101"/>
      <c r="Q78" s="114">
        <v>92</v>
      </c>
      <c r="R78" s="94" t="str">
        <f t="shared" si="3"/>
        <v/>
      </c>
      <c r="S78" s="94" t="str">
        <f>_xlfn.IFNA(VLOOKUP($X$4&amp;"-"&amp;Q78,AnswerKey[],7,FALSE),"-")</f>
        <v>-</v>
      </c>
      <c r="T78" s="94" t="str">
        <f t="shared" si="4"/>
        <v/>
      </c>
      <c r="U78" s="195" t="str">
        <f>IFERROR(_xlfn.IFS((LEFT(AI122,1)="1"),INDEX(Category[],MATCH(1,Info!G:G,0)-1,2),(LEFT(AI122,1)="2"),INDEX(Category[],MATCH(2,Info!G:G,0)-1,2),(LEFT(AI122,1)="3"),INDEX(Category[],MATCH(3,Info!G:G,0)-1,2),(LEFT(AI122,1)="4"),INDEX(Category[],MATCH(4,Info!G:G,0)-1,2),(LEFT(AI122,1)="5"),INDEX(Category[],MATCH(5,Info!G:G,0)-1,2),(LEFT(AI122,1)="6"),INDEX(Category[],MATCH(6,Info!G:G,0)-1,2)),"")</f>
        <v/>
      </c>
      <c r="V78" s="195"/>
      <c r="W78" s="195"/>
      <c r="X78" s="104"/>
      <c r="Y78" s="88"/>
    </row>
    <row r="79" spans="1:25" ht="15" customHeight="1">
      <c r="A79" s="112">
        <v>25</v>
      </c>
      <c r="B79" s="94" t="str">
        <f t="shared" si="1"/>
        <v/>
      </c>
      <c r="C79" s="94" t="str">
        <f>_xlfn.IFNA(VLOOKUP($X$4&amp;"-"&amp;A79,AnswerKey[],7,FALSE),"-")</f>
        <v>-</v>
      </c>
      <c r="D79" s="94" t="str">
        <f t="shared" si="5"/>
        <v/>
      </c>
      <c r="E79" s="194" t="str">
        <f>IFERROR(_xlfn.IFS((LEFT(AC123,1)="1"),INDEX(Category[],MATCH(1,Info!G:G,0)-1,2),(LEFT(AC123,1)="2"),INDEX(Category[],MATCH(2,Info!G:G,0)-1,2),(LEFT(AC123,1)="3"),INDEX(Category[],MATCH(3,Info!G:G,0)-1,2),(LEFT(AC123,1)="4"),INDEX(Category[],MATCH(4,Info!G:G,0)-1,2),(LEFT(AC123,1)="5"),INDEX(Category[],MATCH(5,Info!G:G,0)-1,2),(LEFT(AC123,1)="6"),INDEX(Category[],MATCH(6,Info!G:G,0)-1,2)),"")</f>
        <v/>
      </c>
      <c r="F79" s="194"/>
      <c r="G79" s="194"/>
      <c r="H79" s="96" t="str">
        <f xml:space="preserve"> IFERROR(COUNTIFS(AllAns!$2:$2, $X$4, AllAns!35:35, C79)/COUNTIF(AllAns!$2:$2, $X$4),"")</f>
        <v/>
      </c>
      <c r="I79" s="113">
        <v>59</v>
      </c>
      <c r="J79" s="94" t="str">
        <f t="shared" si="6"/>
        <v/>
      </c>
      <c r="K79" s="94" t="str">
        <f>_xlfn.IFNA(VLOOKUP($X$4&amp;"-"&amp;I79,AnswerKey[],7,FALSE),"-")</f>
        <v>-</v>
      </c>
      <c r="L79" s="94" t="str">
        <f t="shared" si="2"/>
        <v/>
      </c>
      <c r="M79" s="194" t="str">
        <f>IFERROR(_xlfn.IFS((LEFT(AF123,1)="1"),INDEX(Category[],MATCH(1,Info!G:G,0)-1,2),(LEFT(AF123,1)="2"),INDEX(Category[],MATCH(2,Info!G:G,0)-1,2),(LEFT(AF123,1)="3"),INDEX(Category[],MATCH(3,Info!G:G,0)-1,2),(LEFT(AF123,1)="4"),INDEX(Category[],MATCH(4,Info!G:G,0)-1,2),(LEFT(AF123,1)="5"),INDEX(Category[],MATCH(5,Info!G:G,0)-1,2),(LEFT(AF123,1)="6"),INDEX(Category[],MATCH(6,Info!G:G,0)-1,2)),"")</f>
        <v/>
      </c>
      <c r="N79" s="194"/>
      <c r="O79" s="194"/>
      <c r="P79" s="101"/>
      <c r="Q79" s="114">
        <v>93</v>
      </c>
      <c r="R79" s="94" t="str">
        <f t="shared" si="3"/>
        <v/>
      </c>
      <c r="S79" s="94" t="str">
        <f>_xlfn.IFNA(VLOOKUP($X$4&amp;"-"&amp;Q79,AnswerKey[],7,FALSE),"-")</f>
        <v>-</v>
      </c>
      <c r="T79" s="94" t="str">
        <f t="shared" si="4"/>
        <v/>
      </c>
      <c r="U79" s="195" t="str">
        <f>IFERROR(_xlfn.IFS((LEFT(AI123,1)="1"),INDEX(Category[],MATCH(1,Info!G:G,0)-1,2),(LEFT(AI123,1)="2"),INDEX(Category[],MATCH(2,Info!G:G,0)-1,2),(LEFT(AI123,1)="3"),INDEX(Category[],MATCH(3,Info!G:G,0)-1,2),(LEFT(AI123,1)="4"),INDEX(Category[],MATCH(4,Info!G:G,0)-1,2),(LEFT(AI123,1)="5"),INDEX(Category[],MATCH(5,Info!G:G,0)-1,2),(LEFT(AI123,1)="6"),INDEX(Category[],MATCH(6,Info!G:G,0)-1,2)),"")</f>
        <v/>
      </c>
      <c r="V79" s="195"/>
      <c r="W79" s="195"/>
      <c r="X79" s="104"/>
      <c r="Y79" s="88"/>
    </row>
    <row r="80" spans="1:25" ht="15" customHeight="1">
      <c r="A80" s="112">
        <v>26</v>
      </c>
      <c r="B80" s="94" t="str">
        <f t="shared" si="1"/>
        <v/>
      </c>
      <c r="C80" s="94" t="str">
        <f>_xlfn.IFNA(VLOOKUP($X$4&amp;"-"&amp;A80,AnswerKey[],7,FALSE),"-")</f>
        <v>-</v>
      </c>
      <c r="D80" s="94" t="str">
        <f t="shared" si="5"/>
        <v/>
      </c>
      <c r="E80" s="194" t="str">
        <f>IFERROR(_xlfn.IFS((LEFT(AC124,1)="1"),INDEX(Category[],MATCH(1,Info!G:G,0)-1,2),(LEFT(AC124,1)="2"),INDEX(Category[],MATCH(2,Info!G:G,0)-1,2),(LEFT(AC124,1)="3"),INDEX(Category[],MATCH(3,Info!G:G,0)-1,2),(LEFT(AC124,1)="4"),INDEX(Category[],MATCH(4,Info!G:G,0)-1,2),(LEFT(AC124,1)="5"),INDEX(Category[],MATCH(5,Info!G:G,0)-1,2),(LEFT(AC124,1)="6"),INDEX(Category[],MATCH(6,Info!G:G,0)-1,2)),"")</f>
        <v/>
      </c>
      <c r="F80" s="194"/>
      <c r="G80" s="194"/>
      <c r="H80" s="96" t="str">
        <f xml:space="preserve"> IFERROR(COUNTIFS(AllAns!$2:$2, $X$4, AllAns!36:36, C80)/COUNTIF(AllAns!$2:$2, $X$4),"")</f>
        <v/>
      </c>
      <c r="I80" s="113">
        <v>60</v>
      </c>
      <c r="J80" s="94" t="str">
        <f t="shared" si="6"/>
        <v/>
      </c>
      <c r="K80" s="94" t="str">
        <f>_xlfn.IFNA(VLOOKUP($X$4&amp;"-"&amp;I80,AnswerKey[],7,FALSE),"-")</f>
        <v>-</v>
      </c>
      <c r="L80" s="94" t="str">
        <f t="shared" si="2"/>
        <v/>
      </c>
      <c r="M80" s="194" t="str">
        <f>IFERROR(_xlfn.IFS((LEFT(AF124,1)="1"),INDEX(Category[],MATCH(1,Info!G:G,0)-1,2),(LEFT(AF124,1)="2"),INDEX(Category[],MATCH(2,Info!G:G,0)-1,2),(LEFT(AF124,1)="3"),INDEX(Category[],MATCH(3,Info!G:G,0)-1,2),(LEFT(AF124,1)="4"),INDEX(Category[],MATCH(4,Info!G:G,0)-1,2),(LEFT(AF124,1)="5"),INDEX(Category[],MATCH(5,Info!G:G,0)-1,2),(LEFT(AF124,1)="6"),INDEX(Category[],MATCH(6,Info!G:G,0)-1,2)),"")</f>
        <v/>
      </c>
      <c r="N80" s="194"/>
      <c r="O80" s="194"/>
      <c r="P80" s="101"/>
      <c r="Q80" s="114">
        <v>94</v>
      </c>
      <c r="R80" s="94" t="str">
        <f t="shared" si="3"/>
        <v/>
      </c>
      <c r="S80" s="94" t="str">
        <f>_xlfn.IFNA(VLOOKUP($X$4&amp;"-"&amp;Q80,AnswerKey[],7,FALSE),"-")</f>
        <v>-</v>
      </c>
      <c r="T80" s="94" t="str">
        <f t="shared" si="4"/>
        <v/>
      </c>
      <c r="U80" s="195" t="str">
        <f>IFERROR(_xlfn.IFS((LEFT(AI124,1)="1"),INDEX(Category[],MATCH(1,Info!G:G,0)-1,2),(LEFT(AI124,1)="2"),INDEX(Category[],MATCH(2,Info!G:G,0)-1,2),(LEFT(AI124,1)="3"),INDEX(Category[],MATCH(3,Info!G:G,0)-1,2),(LEFT(AI124,1)="4"),INDEX(Category[],MATCH(4,Info!G:G,0)-1,2),(LEFT(AI124,1)="5"),INDEX(Category[],MATCH(5,Info!G:G,0)-1,2),(LEFT(AI124,1)="6"),INDEX(Category[],MATCH(6,Info!G:G,0)-1,2)),"")</f>
        <v/>
      </c>
      <c r="V80" s="195"/>
      <c r="W80" s="195"/>
      <c r="X80" s="104"/>
      <c r="Y80" s="88"/>
    </row>
    <row r="81" spans="1:27" ht="15" customHeight="1">
      <c r="A81" s="112">
        <v>27</v>
      </c>
      <c r="B81" s="94" t="str">
        <f t="shared" si="1"/>
        <v/>
      </c>
      <c r="C81" s="94" t="str">
        <f>_xlfn.IFNA(VLOOKUP($X$4&amp;"-"&amp;A81,AnswerKey[],7,FALSE),"-")</f>
        <v>-</v>
      </c>
      <c r="D81" s="94" t="str">
        <f t="shared" si="5"/>
        <v/>
      </c>
      <c r="E81" s="194" t="str">
        <f>IFERROR(_xlfn.IFS((LEFT(AC125,1)="1"),INDEX(Category[],MATCH(1,Info!G:G,0)-1,2),(LEFT(AC125,1)="2"),INDEX(Category[],MATCH(2,Info!G:G,0)-1,2),(LEFT(AC125,1)="3"),INDEX(Category[],MATCH(3,Info!G:G,0)-1,2),(LEFT(AC125,1)="4"),INDEX(Category[],MATCH(4,Info!G:G,0)-1,2),(LEFT(AC125,1)="5"),INDEX(Category[],MATCH(5,Info!G:G,0)-1,2),(LEFT(AC125,1)="6"),INDEX(Category[],MATCH(6,Info!G:G,0)-1,2)),"")</f>
        <v/>
      </c>
      <c r="F81" s="194"/>
      <c r="G81" s="194"/>
      <c r="H81" s="96" t="str">
        <f xml:space="preserve"> IFERROR(COUNTIFS(AllAns!$2:$2, $X$4, AllAns!37:37, C81)/COUNTIF(AllAns!$2:$2, $X$4),"")</f>
        <v/>
      </c>
      <c r="I81" s="113">
        <v>61</v>
      </c>
      <c r="J81" s="94" t="str">
        <f t="shared" si="6"/>
        <v/>
      </c>
      <c r="K81" s="94" t="str">
        <f>_xlfn.IFNA(VLOOKUP($X$4&amp;"-"&amp;I81,AnswerKey[],7,FALSE),"-")</f>
        <v>-</v>
      </c>
      <c r="L81" s="94" t="str">
        <f t="shared" si="2"/>
        <v/>
      </c>
      <c r="M81" s="194" t="str">
        <f>IFERROR(_xlfn.IFS((LEFT(AF125,1)="1"),INDEX(Category[],MATCH(1,Info!G:G,0)-1,2),(LEFT(AF125,1)="2"),INDEX(Category[],MATCH(2,Info!G:G,0)-1,2),(LEFT(AF125,1)="3"),INDEX(Category[],MATCH(3,Info!G:G,0)-1,2),(LEFT(AF125,1)="4"),INDEX(Category[],MATCH(4,Info!G:G,0)-1,2),(LEFT(AF125,1)="5"),INDEX(Category[],MATCH(5,Info!G:G,0)-1,2),(LEFT(AF125,1)="6"),INDEX(Category[],MATCH(6,Info!G:G,0)-1,2)),"")</f>
        <v/>
      </c>
      <c r="N81" s="194"/>
      <c r="O81" s="194"/>
      <c r="P81" s="101"/>
      <c r="Q81" s="114">
        <v>95</v>
      </c>
      <c r="R81" s="94" t="str">
        <f t="shared" si="3"/>
        <v/>
      </c>
      <c r="S81" s="94" t="str">
        <f>_xlfn.IFNA(VLOOKUP($X$4&amp;"-"&amp;Q81,AnswerKey[],7,FALSE),"-")</f>
        <v>-</v>
      </c>
      <c r="T81" s="94" t="str">
        <f t="shared" si="4"/>
        <v/>
      </c>
      <c r="U81" s="195" t="str">
        <f>IFERROR(_xlfn.IFS((LEFT(AI125,1)="1"),INDEX(Category[],MATCH(1,Info!G:G,0)-1,2),(LEFT(AI125,1)="2"),INDEX(Category[],MATCH(2,Info!G:G,0)-1,2),(LEFT(AI125,1)="3"),INDEX(Category[],MATCH(3,Info!G:G,0)-1,2),(LEFT(AI125,1)="4"),INDEX(Category[],MATCH(4,Info!G:G,0)-1,2),(LEFT(AI125,1)="5"),INDEX(Category[],MATCH(5,Info!G:G,0)-1,2),(LEFT(AI125,1)="6"),INDEX(Category[],MATCH(6,Info!G:G,0)-1,2)),"")</f>
        <v/>
      </c>
      <c r="V81" s="195"/>
      <c r="W81" s="195"/>
      <c r="X81" s="104"/>
      <c r="Y81" s="88"/>
    </row>
    <row r="82" spans="1:27" ht="15" customHeight="1">
      <c r="A82" s="112">
        <v>28</v>
      </c>
      <c r="B82" s="94" t="str">
        <f t="shared" si="1"/>
        <v/>
      </c>
      <c r="C82" s="94" t="str">
        <f>_xlfn.IFNA(VLOOKUP($X$4&amp;"-"&amp;A82,AnswerKey[],7,FALSE),"-")</f>
        <v>-</v>
      </c>
      <c r="D82" s="94" t="str">
        <f t="shared" si="5"/>
        <v/>
      </c>
      <c r="E82" s="194" t="str">
        <f>IFERROR(_xlfn.IFS((LEFT(AC126,1)="1"),INDEX(Category[],MATCH(1,Info!G:G,0)-1,2),(LEFT(AC126,1)="2"),INDEX(Category[],MATCH(2,Info!G:G,0)-1,2),(LEFT(AC126,1)="3"),INDEX(Category[],MATCH(3,Info!G:G,0)-1,2),(LEFT(AC126,1)="4"),INDEX(Category[],MATCH(4,Info!G:G,0)-1,2),(LEFT(AC126,1)="5"),INDEX(Category[],MATCH(5,Info!G:G,0)-1,2),(LEFT(AC126,1)="6"),INDEX(Category[],MATCH(6,Info!G:G,0)-1,2)),"")</f>
        <v/>
      </c>
      <c r="F82" s="194"/>
      <c r="G82" s="194"/>
      <c r="H82" s="96" t="str">
        <f xml:space="preserve"> IFERROR(COUNTIFS(AllAns!$2:$2, $X$4, AllAns!38:38, C82)/COUNTIF(AllAns!$2:$2, $X$4),"")</f>
        <v/>
      </c>
      <c r="I82" s="113">
        <v>62</v>
      </c>
      <c r="J82" s="94" t="str">
        <f t="shared" si="6"/>
        <v/>
      </c>
      <c r="K82" s="94" t="str">
        <f>_xlfn.IFNA(VLOOKUP($X$4&amp;"-"&amp;I82,AnswerKey[],7,FALSE),"-")</f>
        <v>-</v>
      </c>
      <c r="L82" s="94" t="str">
        <f t="shared" si="2"/>
        <v/>
      </c>
      <c r="M82" s="194" t="str">
        <f>IFERROR(_xlfn.IFS((LEFT(AF126,1)="1"),INDEX(Category[],MATCH(1,Info!G:G,0)-1,2),(LEFT(AF126,1)="2"),INDEX(Category[],MATCH(2,Info!G:G,0)-1,2),(LEFT(AF126,1)="3"),INDEX(Category[],MATCH(3,Info!G:G,0)-1,2),(LEFT(AF126,1)="4"),INDEX(Category[],MATCH(4,Info!G:G,0)-1,2),(LEFT(AF126,1)="5"),INDEX(Category[],MATCH(5,Info!G:G,0)-1,2),(LEFT(AF126,1)="6"),INDEX(Category[],MATCH(6,Info!G:G,0)-1,2)),"")</f>
        <v/>
      </c>
      <c r="N82" s="194"/>
      <c r="O82" s="194"/>
      <c r="P82" s="101"/>
      <c r="Q82" s="114">
        <v>96</v>
      </c>
      <c r="R82" s="94" t="str">
        <f t="shared" si="3"/>
        <v/>
      </c>
      <c r="S82" s="94" t="str">
        <f>_xlfn.IFNA(VLOOKUP($X$4&amp;"-"&amp;Q82,AnswerKey[],7,FALSE),"-")</f>
        <v>-</v>
      </c>
      <c r="T82" s="94" t="str">
        <f t="shared" si="4"/>
        <v/>
      </c>
      <c r="U82" s="195" t="str">
        <f>IFERROR(_xlfn.IFS((LEFT(AI126,1)="1"),INDEX(Category[],MATCH(1,Info!G:G,0)-1,2),(LEFT(AI126,1)="2"),INDEX(Category[],MATCH(2,Info!G:G,0)-1,2),(LEFT(AI126,1)="3"),INDEX(Category[],MATCH(3,Info!G:G,0)-1,2),(LEFT(AI126,1)="4"),INDEX(Category[],MATCH(4,Info!G:G,0)-1,2),(LEFT(AI126,1)="5"),INDEX(Category[],MATCH(5,Info!G:G,0)-1,2),(LEFT(AI126,1)="6"),INDEX(Category[],MATCH(6,Info!G:G,0)-1,2)),"")</f>
        <v/>
      </c>
      <c r="V82" s="195"/>
      <c r="W82" s="195"/>
      <c r="X82" s="104"/>
      <c r="Y82" s="88"/>
    </row>
    <row r="83" spans="1:27" ht="15" customHeight="1">
      <c r="A83" s="112">
        <v>29</v>
      </c>
      <c r="B83" s="94" t="str">
        <f t="shared" si="1"/>
        <v/>
      </c>
      <c r="C83" s="94" t="str">
        <f>_xlfn.IFNA(VLOOKUP($X$4&amp;"-"&amp;A83,AnswerKey[],7,FALSE),"-")</f>
        <v>-</v>
      </c>
      <c r="D83" s="94" t="str">
        <f t="shared" si="5"/>
        <v/>
      </c>
      <c r="E83" s="194" t="str">
        <f>IFERROR(_xlfn.IFS((LEFT(AC127,1)="1"),INDEX(Category[],MATCH(1,Info!G:G,0)-1,2),(LEFT(AC127,1)="2"),INDEX(Category[],MATCH(2,Info!G:G,0)-1,2),(LEFT(AC127,1)="3"),INDEX(Category[],MATCH(3,Info!G:G,0)-1,2),(LEFT(AC127,1)="4"),INDEX(Category[],MATCH(4,Info!G:G,0)-1,2),(LEFT(AC127,1)="5"),INDEX(Category[],MATCH(5,Info!G:G,0)-1,2),(LEFT(AC127,1)="6"),INDEX(Category[],MATCH(6,Info!G:G,0)-1,2)),"")</f>
        <v/>
      </c>
      <c r="F83" s="194"/>
      <c r="G83" s="194"/>
      <c r="H83" s="96" t="str">
        <f xml:space="preserve"> IFERROR(COUNTIFS(AllAns!$2:$2, $X$4, AllAns!39:39, C83)/COUNTIF(AllAns!$2:$2, $X$4),"")</f>
        <v/>
      </c>
      <c r="I83" s="113">
        <v>63</v>
      </c>
      <c r="J83" s="94" t="str">
        <f t="shared" si="6"/>
        <v/>
      </c>
      <c r="K83" s="94" t="str">
        <f>_xlfn.IFNA(VLOOKUP($X$4&amp;"-"&amp;I83,AnswerKey[],7,FALSE),"-")</f>
        <v>-</v>
      </c>
      <c r="L83" s="94" t="str">
        <f t="shared" si="2"/>
        <v/>
      </c>
      <c r="M83" s="194" t="str">
        <f>IFERROR(_xlfn.IFS((LEFT(AF127,1)="1"),INDEX(Category[],MATCH(1,Info!G:G,0)-1,2),(LEFT(AF127,1)="2"),INDEX(Category[],MATCH(2,Info!G:G,0)-1,2),(LEFT(AF127,1)="3"),INDEX(Category[],MATCH(3,Info!G:G,0)-1,2),(LEFT(AF127,1)="4"),INDEX(Category[],MATCH(4,Info!G:G,0)-1,2),(LEFT(AF127,1)="5"),INDEX(Category[],MATCH(5,Info!G:G,0)-1,2),(LEFT(AF127,1)="6"),INDEX(Category[],MATCH(6,Info!G:G,0)-1,2)),"")</f>
        <v/>
      </c>
      <c r="N83" s="194"/>
      <c r="O83" s="194"/>
      <c r="P83" s="101"/>
      <c r="Q83" s="114">
        <v>97</v>
      </c>
      <c r="R83" s="94" t="str">
        <f t="shared" si="3"/>
        <v/>
      </c>
      <c r="S83" s="94" t="str">
        <f>_xlfn.IFNA(VLOOKUP($X$4&amp;"-"&amp;Q83,AnswerKey[],7,FALSE),"-")</f>
        <v>-</v>
      </c>
      <c r="T83" s="94" t="str">
        <f t="shared" si="4"/>
        <v/>
      </c>
      <c r="U83" s="195" t="str">
        <f>IFERROR(_xlfn.IFS((LEFT(AI127,1)="1"),INDEX(Category[],MATCH(1,Info!G:G,0)-1,2),(LEFT(AI127,1)="2"),INDEX(Category[],MATCH(2,Info!G:G,0)-1,2),(LEFT(AI127,1)="3"),INDEX(Category[],MATCH(3,Info!G:G,0)-1,2),(LEFT(AI127,1)="4"),INDEX(Category[],MATCH(4,Info!G:G,0)-1,2),(LEFT(AI127,1)="5"),INDEX(Category[],MATCH(5,Info!G:G,0)-1,2),(LEFT(AI127,1)="6"),INDEX(Category[],MATCH(6,Info!G:G,0)-1,2)),"")</f>
        <v/>
      </c>
      <c r="V83" s="195"/>
      <c r="W83" s="195"/>
      <c r="X83" s="104"/>
      <c r="Y83" s="88"/>
    </row>
    <row r="84" spans="1:27" ht="15" customHeight="1">
      <c r="A84" s="112">
        <v>30</v>
      </c>
      <c r="B84" s="94" t="str">
        <f t="shared" si="1"/>
        <v/>
      </c>
      <c r="C84" s="94" t="str">
        <f>_xlfn.IFNA(VLOOKUP($X$4&amp;"-"&amp;A84,AnswerKey[],7,FALSE),"-")</f>
        <v>-</v>
      </c>
      <c r="D84" s="94" t="str">
        <f t="shared" si="5"/>
        <v/>
      </c>
      <c r="E84" s="194" t="str">
        <f>IFERROR(_xlfn.IFS((LEFT(AC128,1)="1"),INDEX(Category[],MATCH(1,Info!G:G,0)-1,2),(LEFT(AC128,1)="2"),INDEX(Category[],MATCH(2,Info!G:G,0)-1,2),(LEFT(AC128,1)="3"),INDEX(Category[],MATCH(3,Info!G:G,0)-1,2),(LEFT(AC128,1)="4"),INDEX(Category[],MATCH(4,Info!G:G,0)-1,2),(LEFT(AC128,1)="5"),INDEX(Category[],MATCH(5,Info!G:G,0)-1,2),(LEFT(AC128,1)="6"),INDEX(Category[],MATCH(6,Info!G:G,0)-1,2)),"")</f>
        <v/>
      </c>
      <c r="F84" s="194"/>
      <c r="G84" s="194"/>
      <c r="H84" s="96" t="str">
        <f xml:space="preserve"> IFERROR(COUNTIFS(AllAns!$2:$2, $X$4, AllAns!40:40, C84)/COUNTIF(AllAns!$2:$2, $X$4),"")</f>
        <v/>
      </c>
      <c r="I84" s="113">
        <v>64</v>
      </c>
      <c r="J84" s="94" t="str">
        <f t="shared" si="6"/>
        <v/>
      </c>
      <c r="K84" s="94" t="str">
        <f>_xlfn.IFNA(VLOOKUP($X$4&amp;"-"&amp;I84,AnswerKey[],7,FALSE),"-")</f>
        <v>-</v>
      </c>
      <c r="L84" s="94" t="str">
        <f t="shared" si="2"/>
        <v/>
      </c>
      <c r="M84" s="194" t="str">
        <f>IFERROR(_xlfn.IFS((LEFT(AF128,1)="1"),INDEX(Category[],MATCH(1,Info!G:G,0)-1,2),(LEFT(AF128,1)="2"),INDEX(Category[],MATCH(2,Info!G:G,0)-1,2),(LEFT(AF128,1)="3"),INDEX(Category[],MATCH(3,Info!G:G,0)-1,2),(LEFT(AF128,1)="4"),INDEX(Category[],MATCH(4,Info!G:G,0)-1,2),(LEFT(AF128,1)="5"),INDEX(Category[],MATCH(5,Info!G:G,0)-1,2),(LEFT(AF128,1)="6"),INDEX(Category[],MATCH(6,Info!G:G,0)-1,2)),"")</f>
        <v/>
      </c>
      <c r="N84" s="194"/>
      <c r="O84" s="194"/>
      <c r="P84" s="101"/>
      <c r="Q84" s="114">
        <v>98</v>
      </c>
      <c r="R84" s="94" t="str">
        <f t="shared" si="3"/>
        <v/>
      </c>
      <c r="S84" s="94" t="str">
        <f>_xlfn.IFNA(VLOOKUP($X$4&amp;"-"&amp;Q84,AnswerKey[],7,FALSE),"-")</f>
        <v>-</v>
      </c>
      <c r="T84" s="94" t="str">
        <f t="shared" si="4"/>
        <v/>
      </c>
      <c r="U84" s="195" t="str">
        <f>IFERROR(_xlfn.IFS((LEFT(AI128,1)="1"),INDEX(Category[],MATCH(1,Info!G:G,0)-1,2),(LEFT(AI128,1)="2"),INDEX(Category[],MATCH(2,Info!G:G,0)-1,2),(LEFT(AI128,1)="3"),INDEX(Category[],MATCH(3,Info!G:G,0)-1,2),(LEFT(AI128,1)="4"),INDEX(Category[],MATCH(4,Info!G:G,0)-1,2),(LEFT(AI128,1)="5"),INDEX(Category[],MATCH(5,Info!G:G,0)-1,2),(LEFT(AI128,1)="6"),INDEX(Category[],MATCH(6,Info!G:G,0)-1,2)),"")</f>
        <v/>
      </c>
      <c r="V84" s="195"/>
      <c r="W84" s="195"/>
      <c r="X84" s="104"/>
      <c r="Y84" s="88"/>
    </row>
    <row r="85" spans="1:27" ht="15" customHeight="1">
      <c r="A85" s="112">
        <v>31</v>
      </c>
      <c r="B85" s="94" t="str">
        <f t="shared" si="1"/>
        <v/>
      </c>
      <c r="C85" s="94" t="str">
        <f>_xlfn.IFNA(VLOOKUP($X$4&amp;"-"&amp;A85,AnswerKey[],7,FALSE),"-")</f>
        <v>-</v>
      </c>
      <c r="D85" s="94" t="str">
        <f t="shared" si="5"/>
        <v/>
      </c>
      <c r="E85" s="194" t="str">
        <f>IFERROR(_xlfn.IFS((LEFT(AC129,1)="1"),INDEX(Category[],MATCH(1,Info!G:G,0)-1,2),(LEFT(AC129,1)="2"),INDEX(Category[],MATCH(2,Info!G:G,0)-1,2),(LEFT(AC129,1)="3"),INDEX(Category[],MATCH(3,Info!G:G,0)-1,2),(LEFT(AC129,1)="4"),INDEX(Category[],MATCH(4,Info!G:G,0)-1,2),(LEFT(AC129,1)="5"),INDEX(Category[],MATCH(5,Info!G:G,0)-1,2),(LEFT(AC129,1)="6"),INDEX(Category[],MATCH(6,Info!G:G,0)-1,2)),"")</f>
        <v/>
      </c>
      <c r="F85" s="194"/>
      <c r="G85" s="194"/>
      <c r="H85" s="96" t="str">
        <f xml:space="preserve"> IFERROR(COUNTIFS(AllAns!$2:$2, $X$4, AllAns!41:41, C85)/COUNTIF(AllAns!$2:$2, $X$4),"")</f>
        <v/>
      </c>
      <c r="I85" s="113">
        <v>65</v>
      </c>
      <c r="J85" s="94" t="str">
        <f t="shared" si="6"/>
        <v/>
      </c>
      <c r="K85" s="94" t="str">
        <f>_xlfn.IFNA(VLOOKUP($X$4&amp;"-"&amp;I85,AnswerKey[],7,FALSE),"-")</f>
        <v>-</v>
      </c>
      <c r="L85" s="94" t="str">
        <f t="shared" si="2"/>
        <v/>
      </c>
      <c r="M85" s="194" t="str">
        <f>IFERROR(_xlfn.IFS((LEFT(AF129,1)="1"),INDEX(Category[],MATCH(1,Info!G:G,0)-1,2),(LEFT(AF129,1)="2"),INDEX(Category[],MATCH(2,Info!G:G,0)-1,2),(LEFT(AF129,1)="3"),INDEX(Category[],MATCH(3,Info!G:G,0)-1,2),(LEFT(AF129,1)="4"),INDEX(Category[],MATCH(4,Info!G:G,0)-1,2),(LEFT(AF129,1)="5"),INDEX(Category[],MATCH(5,Info!G:G,0)-1,2),(LEFT(AF129,1)="6"),INDEX(Category[],MATCH(6,Info!G:G,0)-1,2)),"")</f>
        <v/>
      </c>
      <c r="N85" s="194"/>
      <c r="O85" s="194"/>
      <c r="P85" s="101"/>
      <c r="Q85" s="114">
        <v>99</v>
      </c>
      <c r="R85" s="94" t="str">
        <f t="shared" si="3"/>
        <v/>
      </c>
      <c r="S85" s="94" t="str">
        <f>_xlfn.IFNA(VLOOKUP($X$4&amp;"-"&amp;Q85,AnswerKey[],7,FALSE),"-")</f>
        <v>-</v>
      </c>
      <c r="T85" s="94" t="str">
        <f t="shared" si="4"/>
        <v/>
      </c>
      <c r="U85" s="195" t="str">
        <f>IFERROR(_xlfn.IFS((LEFT(AI129,1)="1"),INDEX(Category[],MATCH(1,Info!G:G,0)-1,2),(LEFT(AI129,1)="2"),INDEX(Category[],MATCH(2,Info!G:G,0)-1,2),(LEFT(AI129,1)="3"),INDEX(Category[],MATCH(3,Info!G:G,0)-1,2),(LEFT(AI129,1)="4"),INDEX(Category[],MATCH(4,Info!G:G,0)-1,2),(LEFT(AI129,1)="5"),INDEX(Category[],MATCH(5,Info!G:G,0)-1,2),(LEFT(AI129,1)="6"),INDEX(Category[],MATCH(6,Info!G:G,0)-1,2)),"")</f>
        <v/>
      </c>
      <c r="V85" s="195"/>
      <c r="W85" s="195"/>
      <c r="X85" s="104"/>
      <c r="Y85" s="88"/>
    </row>
    <row r="86" spans="1:27" ht="15" customHeight="1">
      <c r="A86" s="112">
        <v>32</v>
      </c>
      <c r="B86" s="94" t="str">
        <f t="shared" si="1"/>
        <v/>
      </c>
      <c r="C86" s="94" t="str">
        <f>_xlfn.IFNA(VLOOKUP($X$4&amp;"-"&amp;A86,AnswerKey[],7,FALSE),"-")</f>
        <v>-</v>
      </c>
      <c r="D86" s="94" t="str">
        <f t="shared" si="5"/>
        <v/>
      </c>
      <c r="E86" s="194" t="str">
        <f>IFERROR(_xlfn.IFS((LEFT(AC130,1)="1"),INDEX(Category[],MATCH(1,Info!G:G,0)-1,2),(LEFT(AC130,1)="2"),INDEX(Category[],MATCH(2,Info!G:G,0)-1,2),(LEFT(AC130,1)="3"),INDEX(Category[],MATCH(3,Info!G:G,0)-1,2),(LEFT(AC130,1)="4"),INDEX(Category[],MATCH(4,Info!G:G,0)-1,2),(LEFT(AC130,1)="5"),INDEX(Category[],MATCH(5,Info!G:G,0)-1,2),(LEFT(AC130,1)="6"),INDEX(Category[],MATCH(6,Info!G:G,0)-1,2)),"")</f>
        <v/>
      </c>
      <c r="F86" s="194"/>
      <c r="G86" s="194"/>
      <c r="H86" s="96" t="str">
        <f xml:space="preserve"> IFERROR(COUNTIFS(AllAns!$2:$2, $X$4, AllAns!42:42, C86)/COUNTIF(AllAns!$2:$2, $X$4),"")</f>
        <v/>
      </c>
      <c r="I86" s="113">
        <v>66</v>
      </c>
      <c r="J86" s="94" t="str">
        <f t="shared" si="6"/>
        <v/>
      </c>
      <c r="K86" s="94" t="str">
        <f>_xlfn.IFNA(VLOOKUP($X$4&amp;"-"&amp;I86,AnswerKey[],7,FALSE),"-")</f>
        <v>-</v>
      </c>
      <c r="L86" s="94" t="str">
        <f t="shared" si="2"/>
        <v/>
      </c>
      <c r="M86" s="194" t="str">
        <f>IFERROR(_xlfn.IFS((LEFT(AF130,1)="1"),INDEX(Category[],MATCH(1,Info!G:G,0)-1,2),(LEFT(AF130,1)="2"),INDEX(Category[],MATCH(2,Info!G:G,0)-1,2),(LEFT(AF130,1)="3"),INDEX(Category[],MATCH(3,Info!G:G,0)-1,2),(LEFT(AF130,1)="4"),INDEX(Category[],MATCH(4,Info!G:G,0)-1,2),(LEFT(AF130,1)="5"),INDEX(Category[],MATCH(5,Info!G:G,0)-1,2),(LEFT(AF130,1)="6"),INDEX(Category[],MATCH(6,Info!G:G,0)-1,2)),"")</f>
        <v/>
      </c>
      <c r="N86" s="194"/>
      <c r="O86" s="194"/>
      <c r="P86" s="101"/>
      <c r="Q86" s="116">
        <v>100</v>
      </c>
      <c r="R86" s="94" t="str">
        <f t="shared" si="3"/>
        <v/>
      </c>
      <c r="S86" s="94" t="str">
        <f>_xlfn.IFNA(VLOOKUP($X$4&amp;"-"&amp;Q86,AnswerKey[],7,FALSE),"-")</f>
        <v>-</v>
      </c>
      <c r="T86" s="94" t="str">
        <f t="shared" si="4"/>
        <v/>
      </c>
      <c r="U86" s="195" t="str">
        <f>IFERROR(_xlfn.IFS((LEFT(AI130,1)="1"),INDEX(Category[],MATCH(1,Info!G:G,0)-1,2),(LEFT(AI130,1)="2"),INDEX(Category[],MATCH(2,Info!G:G,0)-1,2),(LEFT(AI130,1)="3"),INDEX(Category[],MATCH(3,Info!G:G,0)-1,2),(LEFT(AI130,1)="4"),INDEX(Category[],MATCH(4,Info!G:G,0)-1,2),(LEFT(AI130,1)="5"),INDEX(Category[],MATCH(5,Info!G:G,0)-1,2),(LEFT(AI130,1)="6"),INDEX(Category[],MATCH(6,Info!G:G,0)-1,2)),"")</f>
        <v/>
      </c>
      <c r="V86" s="195"/>
      <c r="W86" s="195"/>
      <c r="X86" s="104"/>
      <c r="Y86" s="88"/>
    </row>
    <row r="87" spans="1:27" ht="15" customHeight="1">
      <c r="A87" s="112">
        <v>33</v>
      </c>
      <c r="B87" s="94" t="str">
        <f t="shared" si="1"/>
        <v/>
      </c>
      <c r="C87" s="94" t="str">
        <f>_xlfn.IFNA(VLOOKUP($X$4&amp;"-"&amp;A87,AnswerKey[],7,FALSE),"-")</f>
        <v>-</v>
      </c>
      <c r="D87" s="94" t="str">
        <f t="shared" si="5"/>
        <v/>
      </c>
      <c r="E87" s="194" t="str">
        <f>IFERROR(_xlfn.IFS((LEFT(AC131,1)="1"),INDEX(Category[],MATCH(1,Info!G:G,0)-1,2),(LEFT(AC131,1)="2"),INDEX(Category[],MATCH(2,Info!G:G,0)-1,2),(LEFT(AC131,1)="3"),INDEX(Category[],MATCH(3,Info!G:G,0)-1,2),(LEFT(AC131,1)="4"),INDEX(Category[],MATCH(4,Info!G:G,0)-1,2),(LEFT(AC131,1)="5"),INDEX(Category[],MATCH(5,Info!G:G,0)-1,2),(LEFT(AC131,1)="6"),INDEX(Category[],MATCH(6,Info!G:G,0)-1,2)),"")</f>
        <v/>
      </c>
      <c r="F87" s="194"/>
      <c r="G87" s="194"/>
      <c r="H87" s="96" t="str">
        <f xml:space="preserve"> IFERROR(COUNTIFS(AllAns!$2:$2, $X$4, AllAns!43:43, C87)/COUNTIF(AllAns!$2:$2, $X$4),"")</f>
        <v/>
      </c>
      <c r="I87" s="113">
        <v>67</v>
      </c>
      <c r="J87" s="94" t="str">
        <f t="shared" si="6"/>
        <v/>
      </c>
      <c r="K87" s="94" t="str">
        <f>_xlfn.IFNA(VLOOKUP($X$4&amp;"-"&amp;I87,AnswerKey[],7,FALSE),"-")</f>
        <v>-</v>
      </c>
      <c r="L87" s="94" t="str">
        <f t="shared" si="2"/>
        <v/>
      </c>
      <c r="M87" s="194" t="str">
        <f>IFERROR(_xlfn.IFS((LEFT(AF131,1)="1"),INDEX(Category[],MATCH(1,Info!G:G,0)-1,2),(LEFT(AF131,1)="2"),INDEX(Category[],MATCH(2,Info!G:G,0)-1,2),(LEFT(AF131,1)="3"),INDEX(Category[],MATCH(3,Info!G:G,0)-1,2),(LEFT(AF131,1)="4"),INDEX(Category[],MATCH(4,Info!G:G,0)-1,2),(LEFT(AF131,1)="5"),INDEX(Category[],MATCH(5,Info!G:G,0)-1,2),(LEFT(AF131,1)="6"),INDEX(Category[],MATCH(6,Info!G:G,0)-1,2)),"")</f>
        <v/>
      </c>
      <c r="N87" s="194"/>
      <c r="O87" s="194"/>
      <c r="P87" s="101"/>
      <c r="Q87" s="117"/>
      <c r="R87" s="102"/>
      <c r="S87" s="102"/>
      <c r="T87" s="102"/>
      <c r="U87" s="215"/>
      <c r="V87" s="215"/>
      <c r="W87" s="215"/>
      <c r="X87" s="105"/>
      <c r="Y87" s="88"/>
    </row>
    <row r="88" spans="1:27" ht="15" customHeight="1">
      <c r="A88" s="118">
        <v>34</v>
      </c>
      <c r="B88" s="94" t="str">
        <f t="shared" si="1"/>
        <v/>
      </c>
      <c r="C88" s="94" t="str">
        <f>_xlfn.IFNA(VLOOKUP($X$4&amp;"-"&amp;A88,AnswerKey[],7,FALSE),"-")</f>
        <v>-</v>
      </c>
      <c r="D88" s="94" t="str">
        <f t="shared" si="5"/>
        <v/>
      </c>
      <c r="E88" s="194" t="str">
        <f>IFERROR(_xlfn.IFS((LEFT(AC132,1)="1"),INDEX(Category[],MATCH(1,Info!G:G,0)-1,2),(LEFT(AC132,1)="2"),INDEX(Category[],MATCH(2,Info!G:G,0)-1,2),(LEFT(AC132,1)="3"),INDEX(Category[],MATCH(3,Info!G:G,0)-1,2),(LEFT(AC132,1)="4"),INDEX(Category[],MATCH(4,Info!G:G,0)-1,2),(LEFT(AC132,1)="5"),INDEX(Category[],MATCH(5,Info!G:G,0)-1,2),(LEFT(AC132,1)="6"),INDEX(Category[],MATCH(6,Info!G:G,0)-1,2)),"")</f>
        <v/>
      </c>
      <c r="F88" s="194"/>
      <c r="G88" s="194"/>
      <c r="H88" s="99" t="str">
        <f xml:space="preserve"> IFERROR(COUNTIFS(AllAns!$2:$2, $X$4, AllAns!44:44, C88)/COUNTIF(AllAns!$2:$2, $X$4),"")</f>
        <v/>
      </c>
      <c r="I88" s="119">
        <v>68</v>
      </c>
      <c r="J88" s="94" t="str">
        <f t="shared" si="6"/>
        <v/>
      </c>
      <c r="K88" s="94" t="str">
        <f>_xlfn.IFNA(VLOOKUP($X$4&amp;"-"&amp;I88,AnswerKey[],7,FALSE),"-")</f>
        <v>-</v>
      </c>
      <c r="L88" s="100" t="str">
        <f t="shared" si="2"/>
        <v/>
      </c>
      <c r="M88" s="194" t="str">
        <f>IFERROR(_xlfn.IFS((LEFT(AF132,1)="1"),INDEX(Category[],MATCH(1,Info!G:G,0)-1,2),(LEFT(AF132,1)="2"),INDEX(Category[],MATCH(2,Info!G:G,0)-1,2),(LEFT(AF132,1)="3"),INDEX(Category[],MATCH(3,Info!G:G,0)-1,2),(LEFT(AF132,1)="4"),INDEX(Category[],MATCH(4,Info!G:G,0)-1,2),(LEFT(AF132,1)="5"),INDEX(Category[],MATCH(5,Info!G:G,0)-1,2),(LEFT(AF132,1)="6"),INDEX(Category[],MATCH(6,Info!G:G,0)-1,2)),"")</f>
        <v/>
      </c>
      <c r="N88" s="194"/>
      <c r="O88" s="194"/>
      <c r="P88" s="103"/>
      <c r="Q88" s="117"/>
      <c r="R88" s="102"/>
      <c r="S88" s="102"/>
      <c r="T88" s="102"/>
      <c r="U88" s="215"/>
      <c r="V88" s="215"/>
      <c r="W88" s="215"/>
      <c r="X88" s="105"/>
      <c r="Y88" s="88"/>
    </row>
    <row r="89" spans="1:27" ht="15" customHeight="1">
      <c r="A89" s="39"/>
      <c r="B89" s="29"/>
      <c r="C89" s="38"/>
      <c r="D89" s="38"/>
      <c r="E89" s="38"/>
      <c r="F89" s="39"/>
      <c r="G89" s="29"/>
      <c r="H89" s="29"/>
      <c r="I89" s="38"/>
      <c r="J89" s="38"/>
      <c r="K89" s="37"/>
      <c r="L89" s="29"/>
      <c r="M89" s="38"/>
      <c r="N89" s="38"/>
      <c r="O89" s="38"/>
      <c r="P89" s="39"/>
      <c r="Q89" s="88"/>
      <c r="R89" s="88"/>
      <c r="S89" s="88"/>
      <c r="T89" s="88"/>
      <c r="U89" s="88"/>
      <c r="V89" s="88"/>
      <c r="W89" s="88"/>
      <c r="X89" s="88"/>
      <c r="Y89" s="32"/>
    </row>
    <row r="90" spans="1:27" ht="15" customHeight="1" thickBot="1">
      <c r="A90" s="36"/>
      <c r="B90" s="35"/>
      <c r="C90" s="34"/>
      <c r="D90" s="34"/>
      <c r="E90" s="34"/>
      <c r="F90" s="36"/>
      <c r="G90" s="35"/>
      <c r="H90" s="34"/>
      <c r="I90" s="34"/>
      <c r="J90" s="34"/>
      <c r="K90" s="33"/>
      <c r="L90" s="35"/>
      <c r="M90" s="34"/>
      <c r="N90" s="34"/>
      <c r="O90" s="34"/>
      <c r="P90" s="36"/>
      <c r="Q90" s="32"/>
      <c r="R90" s="32"/>
      <c r="S90" s="32"/>
      <c r="T90" s="32"/>
      <c r="U90" s="32"/>
      <c r="V90" s="32"/>
      <c r="W90" s="32"/>
      <c r="X90" s="32"/>
      <c r="Y90" s="32"/>
    </row>
    <row r="91" spans="1:27" ht="26.25" customHeight="1" thickBot="1">
      <c r="A91" s="151" t="s">
        <v>5</v>
      </c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2"/>
    </row>
    <row r="92" spans="1:27" ht="15" customHeight="1">
      <c r="A92" s="1"/>
      <c r="B92" s="1"/>
      <c r="C92" s="1"/>
      <c r="D92" s="1"/>
      <c r="E92" s="1"/>
      <c r="F92" s="1"/>
      <c r="G92" s="1"/>
      <c r="H92" s="1"/>
      <c r="I92" s="1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</row>
    <row r="93" spans="1:27" ht="15" customHeight="1">
      <c r="A93" s="1"/>
      <c r="B93" s="1"/>
      <c r="C93" s="1"/>
      <c r="D93" s="1"/>
      <c r="E93" s="1"/>
      <c r="F93" s="1"/>
      <c r="G93" s="1"/>
      <c r="H93" s="1"/>
      <c r="I93" s="83"/>
      <c r="J93" s="83"/>
      <c r="K93" s="83"/>
      <c r="L93" s="83"/>
      <c r="M93" s="83"/>
      <c r="N93" s="83"/>
      <c r="O93" s="162" t="s">
        <v>6</v>
      </c>
      <c r="P93" s="162"/>
      <c r="Q93" s="163" t="s">
        <v>7</v>
      </c>
      <c r="R93" s="163"/>
      <c r="S93" s="163"/>
      <c r="T93" s="163"/>
      <c r="U93" s="173" t="s">
        <v>8</v>
      </c>
      <c r="V93" s="174"/>
      <c r="W93" s="175"/>
      <c r="X93" s="163" t="s">
        <v>9</v>
      </c>
      <c r="Y93" s="164"/>
      <c r="Z93" s="6"/>
      <c r="AA93"/>
    </row>
    <row r="94" spans="1:27" ht="15" customHeight="1">
      <c r="A94" s="1"/>
      <c r="B94" s="1"/>
      <c r="C94" s="1"/>
      <c r="D94" s="1"/>
      <c r="E94" s="1"/>
      <c r="F94" s="1"/>
      <c r="G94" s="1"/>
      <c r="H94" s="1"/>
      <c r="I94" s="83"/>
      <c r="J94" s="83"/>
      <c r="K94" s="83"/>
      <c r="L94" s="83"/>
      <c r="M94" s="83"/>
      <c r="N94" s="83"/>
      <c r="O94" s="165">
        <f>O4</f>
        <v>0</v>
      </c>
      <c r="P94" s="165"/>
      <c r="Q94" s="167" t="e">
        <f>Q4</f>
        <v>#N/A</v>
      </c>
      <c r="R94" s="167"/>
      <c r="S94" s="167"/>
      <c r="T94" s="167"/>
      <c r="U94" s="176">
        <f>U4</f>
        <v>0</v>
      </c>
      <c r="V94" s="177"/>
      <c r="W94" s="178"/>
      <c r="X94" s="169">
        <f xml:space="preserve"> X4</f>
        <v>0</v>
      </c>
      <c r="Y94" s="170"/>
      <c r="Z94" s="6"/>
      <c r="AA94"/>
    </row>
    <row r="95" spans="1:27" ht="15" customHeight="1">
      <c r="A95" s="1"/>
      <c r="B95" s="1"/>
      <c r="C95" s="1"/>
      <c r="D95" s="1"/>
      <c r="E95" s="1"/>
      <c r="F95" s="1"/>
      <c r="G95" s="1"/>
      <c r="H95" s="1"/>
      <c r="I95" s="83"/>
      <c r="J95" s="83"/>
      <c r="K95" s="83"/>
      <c r="L95" s="83"/>
      <c r="M95" s="83"/>
      <c r="N95" s="83"/>
      <c r="O95" s="166"/>
      <c r="P95" s="166"/>
      <c r="Q95" s="168"/>
      <c r="R95" s="168"/>
      <c r="S95" s="168"/>
      <c r="T95" s="168"/>
      <c r="U95" s="176"/>
      <c r="V95" s="177"/>
      <c r="W95" s="178"/>
      <c r="X95" s="171"/>
      <c r="Y95" s="172"/>
      <c r="Z95" s="6"/>
      <c r="AA95"/>
    </row>
    <row r="96" spans="1:27" ht="15" customHeight="1">
      <c r="A96" s="83"/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92"/>
      <c r="W96" s="92"/>
      <c r="X96" s="83"/>
      <c r="Y96" s="83"/>
      <c r="AA96"/>
    </row>
    <row r="97" spans="1:36" ht="15" customHeight="1" thickBot="1">
      <c r="A97" s="206" t="s">
        <v>22</v>
      </c>
      <c r="B97" s="206"/>
      <c r="C97" s="206"/>
      <c r="D97" s="206"/>
      <c r="E97" s="206"/>
      <c r="F97" s="206"/>
      <c r="G97" s="206"/>
      <c r="H97" s="206"/>
      <c r="I97" s="206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83"/>
      <c r="V97" s="93" t="s">
        <v>14</v>
      </c>
      <c r="W97" s="207" t="str">
        <f xml:space="preserve"> W7</f>
        <v>--01/00/00</v>
      </c>
      <c r="X97" s="207"/>
      <c r="Y97" s="207"/>
    </row>
    <row r="98" spans="1:36" ht="15" customHeight="1" thickTop="1" thickBot="1">
      <c r="A98" s="139" t="s">
        <v>23</v>
      </c>
      <c r="B98" s="140"/>
      <c r="C98" s="140"/>
      <c r="D98" s="140"/>
      <c r="E98" s="140"/>
      <c r="F98" s="140"/>
      <c r="G98" s="140"/>
      <c r="H98" s="140"/>
      <c r="I98" s="140"/>
      <c r="J98" s="140"/>
      <c r="K98" s="140"/>
      <c r="L98" s="140"/>
      <c r="M98" s="211" t="s">
        <v>24</v>
      </c>
      <c r="N98" s="211"/>
      <c r="O98" s="211"/>
      <c r="P98" s="211"/>
      <c r="Q98" s="211"/>
      <c r="R98" s="211"/>
      <c r="S98" s="211" t="s">
        <v>25</v>
      </c>
      <c r="T98" s="211"/>
      <c r="U98" s="211"/>
      <c r="V98" s="211"/>
      <c r="W98" s="211"/>
      <c r="X98" s="212"/>
      <c r="Y98" s="4"/>
      <c r="Z98" s="8"/>
      <c r="AD98" s="2" t="s">
        <v>18</v>
      </c>
      <c r="AG98" s="2" t="s">
        <v>18</v>
      </c>
      <c r="AJ98" s="2" t="s">
        <v>18</v>
      </c>
    </row>
    <row r="99" spans="1:36" ht="15" customHeight="1" thickTop="1">
      <c r="A99" s="141"/>
      <c r="B99" s="142"/>
      <c r="C99" s="142"/>
      <c r="D99" s="142"/>
      <c r="E99" s="142"/>
      <c r="F99" s="142"/>
      <c r="G99" s="142"/>
      <c r="H99" s="142"/>
      <c r="I99" s="142"/>
      <c r="J99" s="142"/>
      <c r="K99" s="142"/>
      <c r="L99" s="142"/>
      <c r="M99" s="213" t="s">
        <v>11</v>
      </c>
      <c r="N99" s="213"/>
      <c r="O99" s="214" t="s">
        <v>26</v>
      </c>
      <c r="P99" s="214"/>
      <c r="Q99" s="214" t="s">
        <v>19</v>
      </c>
      <c r="R99" s="214"/>
      <c r="S99" s="214" t="s">
        <v>11</v>
      </c>
      <c r="T99" s="214"/>
      <c r="U99" s="214" t="s">
        <v>26</v>
      </c>
      <c r="V99" s="214"/>
      <c r="W99" s="214" t="s">
        <v>19</v>
      </c>
      <c r="X99" s="216"/>
      <c r="Y99" s="83"/>
      <c r="Z99" s="2" t="s">
        <v>31</v>
      </c>
      <c r="AB99" s="2">
        <v>1</v>
      </c>
      <c r="AC99" s="2" t="str">
        <f>IFERROR(VLOOKUP($X$94&amp;"-"&amp;$AB99,AnswerKey[],4,FALSE),"")</f>
        <v/>
      </c>
      <c r="AD99" s="2" t="str">
        <f t="shared" ref="AD99:AD132" si="7">IF(D55="O",AC99,"")</f>
        <v/>
      </c>
      <c r="AE99" s="2">
        <v>35</v>
      </c>
      <c r="AF99" s="2" t="str">
        <f>IFERROR(VLOOKUP($X$94&amp;"-"&amp;$AE99,AnswerKey[],4,FALSE),"")</f>
        <v/>
      </c>
      <c r="AG99" s="2" t="str">
        <f>IF(L55="O",AF99,"")</f>
        <v/>
      </c>
      <c r="AH99" s="2">
        <v>69</v>
      </c>
      <c r="AI99" s="2" t="str">
        <f>IFERROR(VLOOKUP($X$94&amp;"-"&amp;$AH99,AnswerKey[],4,FALSE),"")</f>
        <v/>
      </c>
      <c r="AJ99" s="2" t="str">
        <f>IF(T55="O",AI99,"")</f>
        <v/>
      </c>
    </row>
    <row r="100" spans="1:36" ht="15" customHeight="1">
      <c r="A100" s="197" t="s">
        <v>76</v>
      </c>
      <c r="B100" s="198"/>
      <c r="C100" s="199"/>
      <c r="D100" s="125" t="str">
        <f>IFERROR(INDEX(Category[],MATCH(Z100,Info!G:G,0)-1,2), "")</f>
        <v>Operations/Counting</v>
      </c>
      <c r="E100" s="126"/>
      <c r="F100" s="126"/>
      <c r="G100" s="126"/>
      <c r="H100" s="126"/>
      <c r="I100" s="126"/>
      <c r="J100" s="126"/>
      <c r="K100" s="126"/>
      <c r="L100" s="127"/>
      <c r="M100" s="128" t="str">
        <f t="shared" ref="M100:M137" si="8">IF(COUNTIF($AC$99:$AC$132,$Z100)+COUNTIF($AF$99:$AF$132,$Z100)+COUNTIF($AI$99:$AI$132,$Z100)=0,"", COUNTIF($AD$99:$AD$132,$Z100)+COUNTIF($AG$99:$AG$132,$Z100)+COUNTIF($AJ$99:$AJ$132,$Z100))</f>
        <v/>
      </c>
      <c r="N100" s="128"/>
      <c r="O100" s="128" t="str">
        <f t="shared" ref="O100:O137" si="9">IF(COUNTIF($AC$99:$AC$132,$Z100)+COUNTIF($AF$99:$AF$132,$Z100)+COUNTIF($AI$99:$AI$130,$Z100)=0,"",COUNTIF($AC$99:$AC$132,$Z100)+COUNTIF($AF$99:$AF$132,$Z100)+COUNTIF($AI99:$AI130,$Z100))</f>
        <v/>
      </c>
      <c r="P100" s="128"/>
      <c r="Q100" s="129" t="str">
        <f t="shared" ref="Q100:Q126" si="10">IFERROR(IF(AND(M100,O100)=0,"",IFERROR(M100/O100,0)),"")</f>
        <v/>
      </c>
      <c r="R100" s="129"/>
      <c r="S100" s="128" t="str">
        <f>IFERROR(IF(INDEX($U$100:$U$126,ROW(1:1))="","",INDEX(Cat_O,MATCH($Z100,CatData!$A$1:$A$41,0),MATCH($O$4,CatData!$1:$1,0))), "")</f>
        <v/>
      </c>
      <c r="T100" s="128"/>
      <c r="U100" s="128" t="str">
        <f>IFERROR(IF(INDEX(Cat_Data,MATCH($Z100,CatData!$A$43:$A$81,0)+42,MATCH($O$4,CatData!$1:$1,0))=0,"",INDEX(Cat_Data,MATCH($Z100,CatData!$A$43:$A$81,0)+42,MATCH($O$4,CatData!$1:$1,0))), "")</f>
        <v/>
      </c>
      <c r="V100" s="128"/>
      <c r="W100" s="129" t="str">
        <f t="shared" ref="W100:W126" si="11">IFERROR(IF(AND(S100,U100)=0,"",IFERROR(S100/U100,0)),"")</f>
        <v/>
      </c>
      <c r="X100" s="130"/>
      <c r="Y100" s="83"/>
      <c r="Z100" s="8">
        <v>1.1000000000000001</v>
      </c>
      <c r="AB100" s="2">
        <v>2</v>
      </c>
      <c r="AC100" s="2" t="str">
        <f>IFERROR(VLOOKUP($X$94&amp;"-"&amp;$AB100,AnswerKey[],4,FALSE),"")</f>
        <v/>
      </c>
      <c r="AD100" s="2" t="str">
        <f t="shared" si="7"/>
        <v/>
      </c>
      <c r="AE100" s="2">
        <v>36</v>
      </c>
      <c r="AF100" s="2" t="str">
        <f>IFERROR(VLOOKUP($X$94&amp;"-"&amp;$AE100,AnswerKey[],4,FALSE),"")</f>
        <v/>
      </c>
      <c r="AG100" s="2" t="str">
        <f t="shared" ref="AG100:AG132" si="12">IF(L56="O",AF100,"")</f>
        <v/>
      </c>
      <c r="AH100" s="2">
        <v>70</v>
      </c>
      <c r="AI100" s="2" t="str">
        <f>IFERROR(VLOOKUP($X$94&amp;"-"&amp;$AH100,AnswerKey[],4,FALSE),"")</f>
        <v/>
      </c>
      <c r="AJ100" s="2" t="str">
        <f t="shared" ref="AJ100:AJ130" si="13">IF(T56="O",AI100,"")</f>
        <v/>
      </c>
    </row>
    <row r="101" spans="1:36" ht="15" customHeight="1">
      <c r="A101" s="200"/>
      <c r="B101" s="201"/>
      <c r="C101" s="202"/>
      <c r="D101" s="125" t="str">
        <f>IFERROR(INDEX(Category[],MATCH(Z101,Info!G:G,0)-1,2), "")</f>
        <v>Matrices/Sets</v>
      </c>
      <c r="E101" s="126"/>
      <c r="F101" s="126"/>
      <c r="G101" s="126"/>
      <c r="H101" s="126"/>
      <c r="I101" s="126"/>
      <c r="J101" s="126"/>
      <c r="K101" s="126"/>
      <c r="L101" s="127"/>
      <c r="M101" s="128" t="str">
        <f t="shared" si="8"/>
        <v/>
      </c>
      <c r="N101" s="128"/>
      <c r="O101" s="128" t="str">
        <f t="shared" si="9"/>
        <v/>
      </c>
      <c r="P101" s="128"/>
      <c r="Q101" s="129" t="str">
        <f t="shared" si="10"/>
        <v/>
      </c>
      <c r="R101" s="129"/>
      <c r="S101" s="128" t="str">
        <f>IFERROR(IF(INDEX($U$100:$U$126,ROW(2:2))="","",INDEX(Cat_O,MATCH($Z101,CatData!$A$1:$A$41,0),MATCH($O$4,CatData!$1:$1,0))), "")</f>
        <v/>
      </c>
      <c r="T101" s="128"/>
      <c r="U101" s="128" t="str">
        <f>IFERROR(IF(INDEX(Cat_Data,MATCH($Z101,CatData!$A$43:$A$81,0)+42,MATCH($O$4,CatData!$1:$1,0))=0,"",INDEX(Cat_Data,MATCH($Z101,CatData!$A$43:$A$81,0)+42,MATCH($O$4,CatData!$1:$1,0))), "")</f>
        <v/>
      </c>
      <c r="V101" s="128"/>
      <c r="W101" s="129" t="str">
        <f t="shared" si="11"/>
        <v/>
      </c>
      <c r="X101" s="130"/>
      <c r="Y101" s="83"/>
      <c r="Z101" s="8">
        <v>1.2</v>
      </c>
      <c r="AB101" s="2">
        <v>3</v>
      </c>
      <c r="AC101" s="2" t="str">
        <f>IFERROR(VLOOKUP($X$94&amp;"-"&amp;$AB101,AnswerKey[],4,FALSE),"")</f>
        <v/>
      </c>
      <c r="AD101" s="2" t="str">
        <f t="shared" si="7"/>
        <v/>
      </c>
      <c r="AE101" s="2">
        <v>37</v>
      </c>
      <c r="AF101" s="2" t="str">
        <f>IFERROR(VLOOKUP($X$94&amp;"-"&amp;$AE101,AnswerKey[],4,FALSE),"")</f>
        <v/>
      </c>
      <c r="AG101" s="2" t="str">
        <f t="shared" si="12"/>
        <v/>
      </c>
      <c r="AH101" s="2">
        <v>71</v>
      </c>
      <c r="AI101" s="2" t="str">
        <f>IFERROR(VLOOKUP($X$94&amp;"-"&amp;$AH101,AnswerKey[],4,FALSE),"")</f>
        <v/>
      </c>
      <c r="AJ101" s="2" t="str">
        <f t="shared" si="13"/>
        <v/>
      </c>
    </row>
    <row r="102" spans="1:36" ht="15" customHeight="1">
      <c r="A102" s="200"/>
      <c r="B102" s="201"/>
      <c r="C102" s="202"/>
      <c r="D102" s="125" t="str">
        <f>IFERROR(INDEX(Category[],MATCH(Z102,Info!G:G,0)-1,2), "")</f>
        <v>Series/Sequences</v>
      </c>
      <c r="E102" s="126"/>
      <c r="F102" s="126"/>
      <c r="G102" s="126"/>
      <c r="H102" s="126"/>
      <c r="I102" s="126"/>
      <c r="J102" s="126"/>
      <c r="K102" s="126"/>
      <c r="L102" s="127"/>
      <c r="M102" s="128" t="str">
        <f t="shared" si="8"/>
        <v/>
      </c>
      <c r="N102" s="128"/>
      <c r="O102" s="128" t="str">
        <f t="shared" si="9"/>
        <v/>
      </c>
      <c r="P102" s="128"/>
      <c r="Q102" s="129" t="str">
        <f t="shared" si="10"/>
        <v/>
      </c>
      <c r="R102" s="129"/>
      <c r="S102" s="128" t="str">
        <f>IFERROR(IF(INDEX($U$100:$U$126,ROW(3:3))="","",INDEX(Cat_O,MATCH($Z102,CatData!$A$1:$A$41,0),MATCH($O$4,CatData!$1:$1,0))), "")</f>
        <v/>
      </c>
      <c r="T102" s="128"/>
      <c r="U102" s="128" t="str">
        <f>IFERROR(IF(INDEX(Cat_Data,MATCH($Z102,CatData!$A$43:$A$81,0)+42,MATCH($O$4,CatData!$1:$1,0))=0,"",INDEX(Cat_Data,MATCH($Z102,CatData!$A$43:$A$81,0)+42,MATCH($O$4,CatData!$1:$1,0))), "")</f>
        <v/>
      </c>
      <c r="V102" s="128"/>
      <c r="W102" s="129" t="str">
        <f t="shared" si="11"/>
        <v/>
      </c>
      <c r="X102" s="130"/>
      <c r="Y102" s="83"/>
      <c r="Z102" s="8">
        <v>1.3</v>
      </c>
      <c r="AB102" s="2">
        <v>4</v>
      </c>
      <c r="AC102" s="2" t="str">
        <f>IFERROR(VLOOKUP($X$94&amp;"-"&amp;$AB102,AnswerKey[],4,FALSE),"")</f>
        <v/>
      </c>
      <c r="AD102" s="2" t="str">
        <f t="shared" si="7"/>
        <v/>
      </c>
      <c r="AE102" s="2">
        <v>38</v>
      </c>
      <c r="AF102" s="2" t="str">
        <f>IFERROR(VLOOKUP($X$94&amp;"-"&amp;$AE102,AnswerKey[],4,FALSE),"")</f>
        <v/>
      </c>
      <c r="AG102" s="2" t="str">
        <f t="shared" si="12"/>
        <v/>
      </c>
      <c r="AH102" s="2">
        <v>72</v>
      </c>
      <c r="AI102" s="2" t="str">
        <f>IFERROR(VLOOKUP($X$94&amp;"-"&amp;$AH102,AnswerKey[],4,FALSE),"")</f>
        <v/>
      </c>
      <c r="AJ102" s="2" t="str">
        <f t="shared" si="13"/>
        <v/>
      </c>
    </row>
    <row r="103" spans="1:36" ht="15" customHeight="1">
      <c r="A103" s="200"/>
      <c r="B103" s="201"/>
      <c r="C103" s="202"/>
      <c r="D103" s="125" t="str">
        <f>IFERROR(INDEX(Category[],MATCH(Z103,Info!G:G,0)-1,2), "")</f>
        <v>Vectors</v>
      </c>
      <c r="E103" s="126"/>
      <c r="F103" s="126"/>
      <c r="G103" s="126"/>
      <c r="H103" s="126"/>
      <c r="I103" s="126"/>
      <c r="J103" s="126"/>
      <c r="K103" s="126"/>
      <c r="L103" s="127"/>
      <c r="M103" s="128" t="str">
        <f t="shared" si="8"/>
        <v/>
      </c>
      <c r="N103" s="128"/>
      <c r="O103" s="128" t="str">
        <f t="shared" si="9"/>
        <v/>
      </c>
      <c r="P103" s="128"/>
      <c r="Q103" s="129" t="str">
        <f t="shared" si="10"/>
        <v/>
      </c>
      <c r="R103" s="129"/>
      <c r="S103" s="128" t="str">
        <f>IFERROR(IF(INDEX($U$100:$U$126,ROW(4:4))="","",INDEX(Cat_O,MATCH($Z103,CatData!$A$1:$A$41,0),MATCH($O$4,CatData!$1:$1,0))), "")</f>
        <v/>
      </c>
      <c r="T103" s="128"/>
      <c r="U103" s="128" t="str">
        <f>IFERROR(IF(INDEX(Cat_Data,MATCH($Z103,CatData!$A$43:$A$81,0)+42,MATCH($O$4,CatData!$1:$1,0))=0,"",INDEX(Cat_Data,MATCH($Z103,CatData!$A$43:$A$81,0)+42,MATCH($O$4,CatData!$1:$1,0))), "")</f>
        <v/>
      </c>
      <c r="V103" s="128"/>
      <c r="W103" s="129" t="str">
        <f t="shared" si="11"/>
        <v/>
      </c>
      <c r="X103" s="130"/>
      <c r="Y103" s="83"/>
      <c r="Z103" s="8">
        <v>1.4</v>
      </c>
      <c r="AB103" s="2">
        <v>5</v>
      </c>
      <c r="AC103" s="2" t="str">
        <f>IFERROR(VLOOKUP($X$94&amp;"-"&amp;$AB103,AnswerKey[],4,FALSE),"")</f>
        <v/>
      </c>
      <c r="AD103" s="2" t="str">
        <f t="shared" si="7"/>
        <v/>
      </c>
      <c r="AE103" s="2">
        <v>39</v>
      </c>
      <c r="AF103" s="2" t="str">
        <f>IFERROR(VLOOKUP($X$94&amp;"-"&amp;$AE103,AnswerKey[],4,FALSE),"")</f>
        <v/>
      </c>
      <c r="AG103" s="2" t="str">
        <f t="shared" si="12"/>
        <v/>
      </c>
      <c r="AH103" s="2">
        <v>73</v>
      </c>
      <c r="AI103" s="2" t="str">
        <f>IFERROR(VLOOKUP($X$94&amp;"-"&amp;$AH103,AnswerKey[],4,FALSE),"")</f>
        <v/>
      </c>
      <c r="AJ103" s="2" t="str">
        <f t="shared" si="13"/>
        <v/>
      </c>
    </row>
    <row r="104" spans="1:36" ht="15" customHeight="1">
      <c r="A104" s="200"/>
      <c r="B104" s="201"/>
      <c r="C104" s="202"/>
      <c r="D104" s="125" t="str">
        <f>IFERROR(INDEX(Category[],MATCH(Z104,Info!G:G,0)-1,2), "")</f>
        <v>Ratios/Proportions</v>
      </c>
      <c r="E104" s="126"/>
      <c r="F104" s="126"/>
      <c r="G104" s="126"/>
      <c r="H104" s="126"/>
      <c r="I104" s="126"/>
      <c r="J104" s="126"/>
      <c r="K104" s="126"/>
      <c r="L104" s="127"/>
      <c r="M104" s="128" t="str">
        <f t="shared" si="8"/>
        <v/>
      </c>
      <c r="N104" s="128"/>
      <c r="O104" s="128" t="str">
        <f t="shared" si="9"/>
        <v/>
      </c>
      <c r="P104" s="128"/>
      <c r="Q104" s="129" t="str">
        <f t="shared" si="10"/>
        <v/>
      </c>
      <c r="R104" s="129"/>
      <c r="S104" s="128" t="str">
        <f>IFERROR(IF(INDEX($U$100:$U$126,ROW(5:5))="","",INDEX(Cat_O,MATCH($Z104,CatData!$A$1:$A$41,0),MATCH($O$4,CatData!$1:$1,0))), "")</f>
        <v/>
      </c>
      <c r="T104" s="128"/>
      <c r="U104" s="128" t="str">
        <f>IFERROR(IF(INDEX(Cat_Data,MATCH($Z104,CatData!$A$43:$A$81,0)+42,MATCH($O$4,CatData!$1:$1,0))=0,"",INDEX(Cat_Data,MATCH($Z104,CatData!$A$43:$A$81,0)+42,MATCH($O$4,CatData!$1:$1,0))), "")</f>
        <v/>
      </c>
      <c r="V104" s="128"/>
      <c r="W104" s="129" t="str">
        <f t="shared" si="11"/>
        <v/>
      </c>
      <c r="X104" s="130"/>
      <c r="Y104" s="83"/>
      <c r="Z104" s="8">
        <v>1.5</v>
      </c>
      <c r="AB104" s="2">
        <v>6</v>
      </c>
      <c r="AC104" s="2" t="str">
        <f>IFERROR(VLOOKUP($X$94&amp;"-"&amp;$AB104,AnswerKey[],4,FALSE),"")</f>
        <v/>
      </c>
      <c r="AD104" s="2" t="str">
        <f t="shared" si="7"/>
        <v/>
      </c>
      <c r="AE104" s="2">
        <v>40</v>
      </c>
      <c r="AF104" s="2" t="str">
        <f>IFERROR(VLOOKUP($X$94&amp;"-"&amp;$AE104,AnswerKey[],4,FALSE),"")</f>
        <v/>
      </c>
      <c r="AG104" s="2" t="str">
        <f t="shared" si="12"/>
        <v/>
      </c>
      <c r="AH104" s="2">
        <v>74</v>
      </c>
      <c r="AI104" s="2" t="str">
        <f>IFERROR(VLOOKUP($X$94&amp;"-"&amp;$AH104,AnswerKey[],4,FALSE),"")</f>
        <v/>
      </c>
      <c r="AJ104" s="2" t="str">
        <f t="shared" si="13"/>
        <v/>
      </c>
    </row>
    <row r="105" spans="1:36" ht="15" customHeight="1">
      <c r="A105" s="203"/>
      <c r="B105" s="204"/>
      <c r="C105" s="205"/>
      <c r="D105" s="125" t="str">
        <f>IFERROR(INDEX(Category[],MATCH(Z105,Info!G:G,0)-1,2), "")</f>
        <v>Complex Numbers</v>
      </c>
      <c r="E105" s="126"/>
      <c r="F105" s="126"/>
      <c r="G105" s="126"/>
      <c r="H105" s="126"/>
      <c r="I105" s="126"/>
      <c r="J105" s="126"/>
      <c r="K105" s="126"/>
      <c r="L105" s="127"/>
      <c r="M105" s="128" t="str">
        <f t="shared" si="8"/>
        <v/>
      </c>
      <c r="N105" s="128"/>
      <c r="O105" s="128" t="str">
        <f t="shared" si="9"/>
        <v/>
      </c>
      <c r="P105" s="128"/>
      <c r="Q105" s="129" t="str">
        <f t="shared" si="10"/>
        <v/>
      </c>
      <c r="R105" s="129"/>
      <c r="S105" s="128" t="str">
        <f>IFERROR(IF(INDEX($U$100:$U$126,ROW(6:6))="","",INDEX(Cat_O,MATCH($Z105,CatData!$A$1:$A$41,0),MATCH($O$4,CatData!$1:$1,0))), "")</f>
        <v/>
      </c>
      <c r="T105" s="128"/>
      <c r="U105" s="128" t="str">
        <f>IFERROR(IF(INDEX(Cat_Data,MATCH($Z105,CatData!$A$43:$A$81,0)+42,MATCH($O$4,CatData!$1:$1,0))=0,"",INDEX(Cat_Data,MATCH($Z105,CatData!$A$43:$A$81,0)+42,MATCH($O$4,CatData!$1:$1,0))), "")</f>
        <v/>
      </c>
      <c r="V105" s="128"/>
      <c r="W105" s="129" t="str">
        <f t="shared" si="11"/>
        <v/>
      </c>
      <c r="X105" s="130"/>
      <c r="Y105" s="83"/>
      <c r="Z105" s="8">
        <v>1.6</v>
      </c>
      <c r="AB105" s="2">
        <v>7</v>
      </c>
      <c r="AC105" s="2" t="str">
        <f>IFERROR(VLOOKUP($X$94&amp;"-"&amp;$AB105,AnswerKey[],4,FALSE),"")</f>
        <v/>
      </c>
      <c r="AD105" s="2" t="str">
        <f t="shared" si="7"/>
        <v/>
      </c>
      <c r="AE105" s="2">
        <v>41</v>
      </c>
      <c r="AF105" s="2" t="str">
        <f>IFERROR(VLOOKUP($X$94&amp;"-"&amp;$AE105,AnswerKey[],4,FALSE),"")</f>
        <v/>
      </c>
      <c r="AG105" s="2" t="str">
        <f t="shared" si="12"/>
        <v/>
      </c>
      <c r="AH105" s="2">
        <v>75</v>
      </c>
      <c r="AI105" s="2" t="str">
        <f>IFERROR(VLOOKUP($X$94&amp;"-"&amp;$AH105,AnswerKey[],4,FALSE),"")</f>
        <v/>
      </c>
      <c r="AJ105" s="2" t="str">
        <f t="shared" si="13"/>
        <v/>
      </c>
    </row>
    <row r="106" spans="1:36" ht="15" customHeight="1">
      <c r="A106" s="197" t="s">
        <v>81</v>
      </c>
      <c r="B106" s="198"/>
      <c r="C106" s="199"/>
      <c r="D106" s="125" t="str">
        <f>IFERROR(INDEX(Category[],MATCH(Z106,Info!G:G,0)-1,2), "")</f>
        <v>Equations/Inequalities</v>
      </c>
      <c r="E106" s="126"/>
      <c r="F106" s="126"/>
      <c r="G106" s="126"/>
      <c r="H106" s="126"/>
      <c r="I106" s="126"/>
      <c r="J106" s="126"/>
      <c r="K106" s="126"/>
      <c r="L106" s="127"/>
      <c r="M106" s="128" t="str">
        <f t="shared" si="8"/>
        <v/>
      </c>
      <c r="N106" s="128"/>
      <c r="O106" s="128" t="str">
        <f t="shared" si="9"/>
        <v/>
      </c>
      <c r="P106" s="128"/>
      <c r="Q106" s="129" t="str">
        <f t="shared" si="10"/>
        <v/>
      </c>
      <c r="R106" s="129"/>
      <c r="S106" s="128" t="str">
        <f>IFERROR(IF(INDEX($U$100:$U$126,ROW(7:7))="","",INDEX(Cat_O,MATCH($Z106,CatData!$A$1:$A$41,0),MATCH($O$4,CatData!$1:$1,0))), "")</f>
        <v/>
      </c>
      <c r="T106" s="128"/>
      <c r="U106" s="128" t="str">
        <f>IFERROR(IF(INDEX(Cat_Data,MATCH($Z106,CatData!$A$43:$A$81,0)+42,MATCH($O$4,CatData!$1:$1,0))=0,"",INDEX(Cat_Data,MATCH($Z106,CatData!$A$43:$A$81,0)+42,MATCH($O$4,CatData!$1:$1,0))), "")</f>
        <v/>
      </c>
      <c r="V106" s="128"/>
      <c r="W106" s="129" t="str">
        <f t="shared" si="11"/>
        <v/>
      </c>
      <c r="X106" s="130"/>
      <c r="Y106" s="83"/>
      <c r="Z106" s="8">
        <v>2.1</v>
      </c>
      <c r="AB106" s="2">
        <v>8</v>
      </c>
      <c r="AC106" s="2" t="str">
        <f>IFERROR(VLOOKUP($X$94&amp;"-"&amp;$AB106,AnswerKey[],4,FALSE),"")</f>
        <v/>
      </c>
      <c r="AD106" s="2" t="str">
        <f t="shared" si="7"/>
        <v/>
      </c>
      <c r="AE106" s="2">
        <v>42</v>
      </c>
      <c r="AF106" s="2" t="str">
        <f>IFERROR(VLOOKUP($X$94&amp;"-"&amp;$AE106,AnswerKey[],4,FALSE),"")</f>
        <v/>
      </c>
      <c r="AG106" s="2" t="str">
        <f t="shared" si="12"/>
        <v/>
      </c>
      <c r="AH106" s="2">
        <v>76</v>
      </c>
      <c r="AI106" s="2" t="str">
        <f>IFERROR(VLOOKUP($X$94&amp;"-"&amp;$AH106,AnswerKey[],4,FALSE),"")</f>
        <v/>
      </c>
      <c r="AJ106" s="2" t="str">
        <f t="shared" si="13"/>
        <v/>
      </c>
    </row>
    <row r="107" spans="1:36" ht="15" customHeight="1">
      <c r="A107" s="200"/>
      <c r="B107" s="201"/>
      <c r="C107" s="202"/>
      <c r="D107" s="125" t="str">
        <f>IFERROR(INDEX(Category[],MATCH(Z107,Info!G:G,0)-1,2), "")</f>
        <v>Expressions</v>
      </c>
      <c r="E107" s="126"/>
      <c r="F107" s="126"/>
      <c r="G107" s="126"/>
      <c r="H107" s="126"/>
      <c r="I107" s="126"/>
      <c r="J107" s="126"/>
      <c r="K107" s="126"/>
      <c r="L107" s="127"/>
      <c r="M107" s="128" t="str">
        <f t="shared" si="8"/>
        <v/>
      </c>
      <c r="N107" s="128"/>
      <c r="O107" s="128" t="str">
        <f t="shared" si="9"/>
        <v/>
      </c>
      <c r="P107" s="128"/>
      <c r="Q107" s="129" t="str">
        <f t="shared" si="10"/>
        <v/>
      </c>
      <c r="R107" s="129"/>
      <c r="S107" s="128" t="str">
        <f>IFERROR(IF(INDEX($U$100:$U$126,ROW(8:8))="","",INDEX(Cat_O,MATCH($Z107,CatData!$A$1:$A$41,0),MATCH($O$4,CatData!$1:$1,0))), "")</f>
        <v/>
      </c>
      <c r="T107" s="128"/>
      <c r="U107" s="128" t="str">
        <f>IFERROR(IF(INDEX(Cat_Data,MATCH($Z107,CatData!$A$43:$A$81,0)+42,MATCH($O$4,CatData!$1:$1,0))=0,"",INDEX(Cat_Data,MATCH($Z107,CatData!$A$43:$A$81,0)+42,MATCH($O$4,CatData!$1:$1,0))), "")</f>
        <v/>
      </c>
      <c r="V107" s="128"/>
      <c r="W107" s="129" t="str">
        <f t="shared" si="11"/>
        <v/>
      </c>
      <c r="X107" s="130"/>
      <c r="Y107" s="83"/>
      <c r="Z107" s="8">
        <v>2.2000000000000002</v>
      </c>
      <c r="AB107" s="2">
        <v>9</v>
      </c>
      <c r="AC107" s="2" t="str">
        <f>IFERROR(VLOOKUP($X$94&amp;"-"&amp;$AB107,AnswerKey[],4,FALSE),"")</f>
        <v/>
      </c>
      <c r="AD107" s="2" t="str">
        <f t="shared" si="7"/>
        <v/>
      </c>
      <c r="AE107" s="2">
        <v>43</v>
      </c>
      <c r="AF107" s="2" t="str">
        <f>IFERROR(VLOOKUP($X$94&amp;"-"&amp;$AE107,AnswerKey[],4,FALSE),"")</f>
        <v/>
      </c>
      <c r="AG107" s="2" t="str">
        <f t="shared" si="12"/>
        <v/>
      </c>
      <c r="AH107" s="2">
        <v>77</v>
      </c>
      <c r="AI107" s="2" t="str">
        <f>IFERROR(VLOOKUP($X$94&amp;"-"&amp;$AH107,AnswerKey[],4,FALSE),"")</f>
        <v/>
      </c>
      <c r="AJ107" s="2" t="str">
        <f t="shared" si="13"/>
        <v/>
      </c>
    </row>
    <row r="108" spans="1:36" ht="15" customHeight="1">
      <c r="A108" s="200"/>
      <c r="B108" s="201"/>
      <c r="C108" s="202"/>
      <c r="D108" s="125" t="str">
        <f>IFERROR(INDEX(Category[],MATCH(Z108,Info!G:G,0)-1,2), "")</f>
        <v>Function/Representation</v>
      </c>
      <c r="E108" s="126"/>
      <c r="F108" s="126"/>
      <c r="G108" s="126"/>
      <c r="H108" s="126"/>
      <c r="I108" s="126"/>
      <c r="J108" s="126"/>
      <c r="K108" s="126"/>
      <c r="L108" s="127"/>
      <c r="M108" s="128" t="str">
        <f t="shared" si="8"/>
        <v/>
      </c>
      <c r="N108" s="128"/>
      <c r="O108" s="128" t="str">
        <f t="shared" si="9"/>
        <v/>
      </c>
      <c r="P108" s="128"/>
      <c r="Q108" s="129" t="str">
        <f t="shared" si="10"/>
        <v/>
      </c>
      <c r="R108" s="129"/>
      <c r="S108" s="128" t="str">
        <f>IFERROR(IF(INDEX($U$100:$U$126,ROW(9:9))="","",INDEX(Cat_O,MATCH($Z108,CatData!$A$1:$A$41,0),MATCH($O$4,CatData!$1:$1,0))), "")</f>
        <v/>
      </c>
      <c r="T108" s="128"/>
      <c r="U108" s="128" t="str">
        <f>IFERROR(IF(INDEX(Cat_Data,MATCH($Z108,CatData!$A$43:$A$81,0)+42,MATCH($O$4,CatData!$1:$1,0))=0,"",INDEX(Cat_Data,MATCH($Z108,CatData!$A$43:$A$81,0)+42,MATCH($O$4,CatData!$1:$1,0))), "")</f>
        <v/>
      </c>
      <c r="V108" s="128"/>
      <c r="W108" s="129" t="str">
        <f t="shared" si="11"/>
        <v/>
      </c>
      <c r="X108" s="130"/>
      <c r="Y108" s="83"/>
      <c r="Z108" s="8">
        <v>2.2999999999999998</v>
      </c>
      <c r="AB108" s="2">
        <v>10</v>
      </c>
      <c r="AC108" s="2" t="str">
        <f>IFERROR(VLOOKUP($X$94&amp;"-"&amp;$AB108,AnswerKey[],4,FALSE),"")</f>
        <v/>
      </c>
      <c r="AD108" s="2" t="str">
        <f t="shared" si="7"/>
        <v/>
      </c>
      <c r="AE108" s="2">
        <v>44</v>
      </c>
      <c r="AF108" s="2" t="str">
        <f>IFERROR(VLOOKUP($X$94&amp;"-"&amp;$AE108,AnswerKey[],4,FALSE),"")</f>
        <v/>
      </c>
      <c r="AG108" s="2" t="str">
        <f t="shared" si="12"/>
        <v/>
      </c>
      <c r="AH108" s="2">
        <v>78</v>
      </c>
      <c r="AI108" s="2" t="str">
        <f>IFERROR(VLOOKUP($X$94&amp;"-"&amp;$AH108,AnswerKey[],4,FALSE),"")</f>
        <v/>
      </c>
      <c r="AJ108" s="2" t="str">
        <f t="shared" si="13"/>
        <v/>
      </c>
    </row>
    <row r="109" spans="1:36" ht="15" customHeight="1">
      <c r="A109" s="200"/>
      <c r="B109" s="201"/>
      <c r="C109" s="202"/>
      <c r="D109" s="125" t="str">
        <f>IFERROR(INDEX(Category[],MATCH(Z109,Info!G:G,0)-1,2), "")</f>
        <v>Linear, Polynomial, Rational</v>
      </c>
      <c r="E109" s="126"/>
      <c r="F109" s="126"/>
      <c r="G109" s="126"/>
      <c r="H109" s="126"/>
      <c r="I109" s="126"/>
      <c r="J109" s="126"/>
      <c r="K109" s="126"/>
      <c r="L109" s="127"/>
      <c r="M109" s="128" t="str">
        <f t="shared" si="8"/>
        <v/>
      </c>
      <c r="N109" s="128"/>
      <c r="O109" s="128" t="str">
        <f t="shared" si="9"/>
        <v/>
      </c>
      <c r="P109" s="128"/>
      <c r="Q109" s="129" t="str">
        <f t="shared" si="10"/>
        <v/>
      </c>
      <c r="R109" s="129"/>
      <c r="S109" s="128" t="str">
        <f>IFERROR(IF(INDEX($U$100:$U$126,ROW(10:10))="","",INDEX(Cat_O,MATCH($Z109,CatData!$A$1:$A$41,0),MATCH($O$4,CatData!$1:$1,0))), "")</f>
        <v/>
      </c>
      <c r="T109" s="128"/>
      <c r="U109" s="128" t="str">
        <f>IFERROR(IF(INDEX(Cat_Data,MATCH($Z109,CatData!$A$43:$A$81,0)+42,MATCH($O$4,CatData!$1:$1,0))=0,"",INDEX(Cat_Data,MATCH($Z109,CatData!$A$43:$A$81,0)+42,MATCH($O$4,CatData!$1:$1,0))), "")</f>
        <v/>
      </c>
      <c r="V109" s="128"/>
      <c r="W109" s="129" t="str">
        <f t="shared" si="11"/>
        <v/>
      </c>
      <c r="X109" s="130"/>
      <c r="Y109" s="83"/>
      <c r="Z109" s="8">
        <v>2.31</v>
      </c>
      <c r="AB109" s="2">
        <v>11</v>
      </c>
      <c r="AC109" s="2" t="str">
        <f>IFERROR(VLOOKUP($X$94&amp;"-"&amp;$AB109,AnswerKey[],4,FALSE),"")</f>
        <v/>
      </c>
      <c r="AD109" s="2" t="str">
        <f t="shared" si="7"/>
        <v/>
      </c>
      <c r="AE109" s="2">
        <v>45</v>
      </c>
      <c r="AF109" s="2" t="str">
        <f>IFERROR(VLOOKUP($X$94&amp;"-"&amp;$AE109,AnswerKey[],4,FALSE),"")</f>
        <v/>
      </c>
      <c r="AG109" s="2" t="str">
        <f t="shared" si="12"/>
        <v/>
      </c>
      <c r="AH109" s="2">
        <v>79</v>
      </c>
      <c r="AI109" s="2" t="str">
        <f>IFERROR(VLOOKUP($X$94&amp;"-"&amp;$AH109,AnswerKey[],4,FALSE),"")</f>
        <v/>
      </c>
      <c r="AJ109" s="2" t="str">
        <f t="shared" si="13"/>
        <v/>
      </c>
    </row>
    <row r="110" spans="1:36" ht="15" customHeight="1">
      <c r="A110" s="200"/>
      <c r="B110" s="201"/>
      <c r="C110" s="202"/>
      <c r="D110" s="125" t="str">
        <f>IFERROR(INDEX(Category[],MATCH(Z110,Info!G:G,0)-1,2), "")</f>
        <v>Exponential/Logarithmic</v>
      </c>
      <c r="E110" s="126"/>
      <c r="F110" s="126"/>
      <c r="G110" s="126"/>
      <c r="H110" s="126"/>
      <c r="I110" s="126"/>
      <c r="J110" s="126"/>
      <c r="K110" s="126"/>
      <c r="L110" s="127"/>
      <c r="M110" s="128" t="str">
        <f t="shared" si="8"/>
        <v/>
      </c>
      <c r="N110" s="128"/>
      <c r="O110" s="128" t="str">
        <f t="shared" si="9"/>
        <v/>
      </c>
      <c r="P110" s="128"/>
      <c r="Q110" s="129" t="str">
        <f t="shared" si="10"/>
        <v/>
      </c>
      <c r="R110" s="129"/>
      <c r="S110" s="128" t="str">
        <f>IFERROR(IF(INDEX($U$100:$U$126,ROW(11:11))="","",INDEX(Cat_O,MATCH($Z110,CatData!$A$1:$A$41,0),MATCH($O$4,CatData!$1:$1,0))), "")</f>
        <v/>
      </c>
      <c r="T110" s="128"/>
      <c r="U110" s="128" t="str">
        <f>IFERROR(IF(INDEX(Cat_Data,MATCH($Z110,CatData!$A$43:$A$81,0)+42,MATCH($O$4,CatData!$1:$1,0))=0,"",INDEX(Cat_Data,MATCH($Z110,CatData!$A$43:$A$81,0)+42,MATCH($O$4,CatData!$1:$1,0))), "")</f>
        <v/>
      </c>
      <c r="V110" s="128"/>
      <c r="W110" s="129" t="str">
        <f t="shared" si="11"/>
        <v/>
      </c>
      <c r="X110" s="130"/>
      <c r="Y110" s="83"/>
      <c r="Z110" s="8">
        <v>2.3199999999999998</v>
      </c>
      <c r="AB110" s="2">
        <v>12</v>
      </c>
      <c r="AC110" s="2" t="str">
        <f>IFERROR(VLOOKUP($X$94&amp;"-"&amp;$AB110,AnswerKey[],4,FALSE),"")</f>
        <v/>
      </c>
      <c r="AD110" s="2" t="str">
        <f t="shared" si="7"/>
        <v/>
      </c>
      <c r="AE110" s="2">
        <v>46</v>
      </c>
      <c r="AF110" s="2" t="str">
        <f>IFERROR(VLOOKUP($X$94&amp;"-"&amp;$AE110,AnswerKey[],4,FALSE),"")</f>
        <v/>
      </c>
      <c r="AG110" s="2" t="str">
        <f t="shared" si="12"/>
        <v/>
      </c>
      <c r="AH110" s="2">
        <v>80</v>
      </c>
      <c r="AI110" s="2" t="str">
        <f>IFERROR(VLOOKUP($X$94&amp;"-"&amp;$AH110,AnswerKey[],4,FALSE),"")</f>
        <v/>
      </c>
      <c r="AJ110" s="2" t="str">
        <f t="shared" si="13"/>
        <v/>
      </c>
    </row>
    <row r="111" spans="1:36" ht="15" customHeight="1">
      <c r="A111" s="200"/>
      <c r="B111" s="201"/>
      <c r="C111" s="202"/>
      <c r="D111" s="125" t="str">
        <f>IFERROR(INDEX(Category[],MATCH(Z111,Info!G:G,0)-1,2), "")</f>
        <v>Trigonometric/Inverse Trig./Periodic</v>
      </c>
      <c r="E111" s="126"/>
      <c r="F111" s="126"/>
      <c r="G111" s="126"/>
      <c r="H111" s="126"/>
      <c r="I111" s="126"/>
      <c r="J111" s="126"/>
      <c r="K111" s="126"/>
      <c r="L111" s="127"/>
      <c r="M111" s="128" t="str">
        <f t="shared" si="8"/>
        <v/>
      </c>
      <c r="N111" s="128"/>
      <c r="O111" s="128" t="str">
        <f t="shared" si="9"/>
        <v/>
      </c>
      <c r="P111" s="128"/>
      <c r="Q111" s="129" t="str">
        <f t="shared" si="10"/>
        <v/>
      </c>
      <c r="R111" s="129"/>
      <c r="S111" s="128" t="str">
        <f>IFERROR(IF(INDEX($U$100:$U$126,ROW(12:12))="","",INDEX(Cat_O,MATCH($Z111,CatData!$A$1:$A$41,0),MATCH($O$4,CatData!$1:$1,0))), "")</f>
        <v/>
      </c>
      <c r="T111" s="128"/>
      <c r="U111" s="128" t="str">
        <f>IFERROR(IF(INDEX(Cat_Data,MATCH($Z111,CatData!$A$43:$A$81,0)+42,MATCH($O$4,CatData!$1:$1,0))=0,"",INDEX(Cat_Data,MATCH($Z111,CatData!$A$43:$A$81,0)+42,MATCH($O$4,CatData!$1:$1,0))), "")</f>
        <v/>
      </c>
      <c r="V111" s="128"/>
      <c r="W111" s="129" t="str">
        <f t="shared" si="11"/>
        <v/>
      </c>
      <c r="X111" s="130"/>
      <c r="Y111" s="83"/>
      <c r="Z111" s="8">
        <v>2.33</v>
      </c>
      <c r="AB111" s="2">
        <v>13</v>
      </c>
      <c r="AC111" s="2" t="str">
        <f>IFERROR(VLOOKUP($X$94&amp;"-"&amp;$AB111,AnswerKey[],4,FALSE),"")</f>
        <v/>
      </c>
      <c r="AD111" s="2" t="str">
        <f t="shared" si="7"/>
        <v/>
      </c>
      <c r="AE111" s="2">
        <v>47</v>
      </c>
      <c r="AF111" s="2" t="str">
        <f>IFERROR(VLOOKUP($X$94&amp;"-"&amp;$AE111,AnswerKey[],4,FALSE),"")</f>
        <v/>
      </c>
      <c r="AG111" s="2" t="str">
        <f t="shared" si="12"/>
        <v/>
      </c>
      <c r="AH111" s="2">
        <v>81</v>
      </c>
      <c r="AI111" s="2" t="str">
        <f>IFERROR(VLOOKUP($X$94&amp;"-"&amp;$AH111,AnswerKey[],4,FALSE),"")</f>
        <v/>
      </c>
      <c r="AJ111" s="2" t="str">
        <f t="shared" si="13"/>
        <v/>
      </c>
    </row>
    <row r="112" spans="1:36" ht="15" customHeight="1">
      <c r="A112" s="200"/>
      <c r="B112" s="201"/>
      <c r="C112" s="202"/>
      <c r="D112" s="125" t="str">
        <f>IFERROR(INDEX(Category[],MATCH(Z112,Info!G:G,0)-1,2), "")</f>
        <v>Piecewise/Parametric/Absolute</v>
      </c>
      <c r="E112" s="126"/>
      <c r="F112" s="126"/>
      <c r="G112" s="126"/>
      <c r="H112" s="126"/>
      <c r="I112" s="126"/>
      <c r="J112" s="126"/>
      <c r="K112" s="126"/>
      <c r="L112" s="127"/>
      <c r="M112" s="128" t="str">
        <f t="shared" si="8"/>
        <v/>
      </c>
      <c r="N112" s="128"/>
      <c r="O112" s="128" t="str">
        <f t="shared" si="9"/>
        <v/>
      </c>
      <c r="P112" s="128"/>
      <c r="Q112" s="129" t="str">
        <f t="shared" si="10"/>
        <v/>
      </c>
      <c r="R112" s="129"/>
      <c r="S112" s="128" t="str">
        <f>IFERROR(IF(INDEX($U$100:$U$126,ROW(13:13))="","",INDEX(Cat_O,MATCH($Z112,CatData!$A$1:$A$41,0),MATCH($O$4,CatData!$1:$1,0))), "")</f>
        <v/>
      </c>
      <c r="T112" s="128"/>
      <c r="U112" s="128" t="str">
        <f>IFERROR(IF(INDEX(Cat_Data,MATCH($Z112,CatData!$A$43:$A$81,0)+42,MATCH($O$4,CatData!$1:$1,0))=0,"",INDEX(Cat_Data,MATCH($Z112,CatData!$A$43:$A$81,0)+42,MATCH($O$4,CatData!$1:$1,0))), "")</f>
        <v/>
      </c>
      <c r="V112" s="128"/>
      <c r="W112" s="129" t="str">
        <f t="shared" si="11"/>
        <v/>
      </c>
      <c r="X112" s="130"/>
      <c r="Y112" s="83"/>
      <c r="Z112" s="8">
        <v>2.34</v>
      </c>
      <c r="AB112" s="2">
        <v>14</v>
      </c>
      <c r="AC112" s="2" t="str">
        <f>IFERROR(VLOOKUP($X$94&amp;"-"&amp;$AB112,AnswerKey[],4,FALSE),"")</f>
        <v/>
      </c>
      <c r="AD112" s="2" t="str">
        <f t="shared" si="7"/>
        <v/>
      </c>
      <c r="AE112" s="2">
        <v>48</v>
      </c>
      <c r="AF112" s="2" t="str">
        <f>IFERROR(VLOOKUP($X$94&amp;"-"&amp;$AE112,AnswerKey[],4,FALSE),"")</f>
        <v/>
      </c>
      <c r="AG112" s="2" t="str">
        <f t="shared" si="12"/>
        <v/>
      </c>
      <c r="AH112" s="2">
        <v>82</v>
      </c>
      <c r="AI112" s="2" t="str">
        <f>IFERROR(VLOOKUP($X$94&amp;"-"&amp;$AH112,AnswerKey[],4,FALSE),"")</f>
        <v/>
      </c>
      <c r="AJ112" s="2" t="str">
        <f t="shared" si="13"/>
        <v/>
      </c>
    </row>
    <row r="113" spans="1:36" ht="15" customHeight="1">
      <c r="A113" s="208"/>
      <c r="B113" s="209"/>
      <c r="C113" s="210"/>
      <c r="D113" s="125" t="str">
        <f>IFERROR(INDEX(Category[],MATCH(Z113,Info!G:G,0)-1,2), "")</f>
        <v>Function Operations</v>
      </c>
      <c r="E113" s="126"/>
      <c r="F113" s="126"/>
      <c r="G113" s="126"/>
      <c r="H113" s="126"/>
      <c r="I113" s="126"/>
      <c r="J113" s="126"/>
      <c r="K113" s="126"/>
      <c r="L113" s="127"/>
      <c r="M113" s="128" t="str">
        <f t="shared" si="8"/>
        <v/>
      </c>
      <c r="N113" s="128"/>
      <c r="O113" s="128" t="str">
        <f t="shared" si="9"/>
        <v/>
      </c>
      <c r="P113" s="128"/>
      <c r="Q113" s="129" t="str">
        <f t="shared" si="10"/>
        <v/>
      </c>
      <c r="R113" s="129"/>
      <c r="S113" s="128" t="str">
        <f>IFERROR(IF(INDEX($U$100:$U$126,ROW(14:14))="","",INDEX(Cat_O,MATCH($Z113,CatData!$A$1:$A$41,0),MATCH($O$4,CatData!$1:$1,0))), "")</f>
        <v/>
      </c>
      <c r="T113" s="128"/>
      <c r="U113" s="128" t="str">
        <f>IFERROR(IF(INDEX(Cat_Data,MATCH($Z113,CatData!$A$43:$A$81,0)+42,MATCH($O$4,CatData!$1:$1,0))=0,"",INDEX(Cat_Data,MATCH($Z113,CatData!$A$43:$A$81,0)+42,MATCH($O$4,CatData!$1:$1,0))), "")</f>
        <v/>
      </c>
      <c r="V113" s="128"/>
      <c r="W113" s="129" t="str">
        <f t="shared" si="11"/>
        <v/>
      </c>
      <c r="X113" s="130"/>
      <c r="Y113" s="83"/>
      <c r="Z113" s="8">
        <v>2.35</v>
      </c>
      <c r="AB113" s="2">
        <v>15</v>
      </c>
      <c r="AC113" s="2" t="str">
        <f>IFERROR(VLOOKUP($X$94&amp;"-"&amp;$AB113,AnswerKey[],4,FALSE),"")</f>
        <v/>
      </c>
      <c r="AD113" s="2" t="str">
        <f t="shared" si="7"/>
        <v/>
      </c>
      <c r="AE113" s="2">
        <v>49</v>
      </c>
      <c r="AF113" s="2" t="str">
        <f>IFERROR(VLOOKUP($X$94&amp;"-"&amp;$AE113,AnswerKey[],4,FALSE),"")</f>
        <v/>
      </c>
      <c r="AG113" s="2" t="str">
        <f t="shared" si="12"/>
        <v/>
      </c>
      <c r="AH113" s="2">
        <v>83</v>
      </c>
      <c r="AI113" s="2" t="str">
        <f>IFERROR(VLOOKUP($X$94&amp;"-"&amp;$AH113,AnswerKey[],4,FALSE),"")</f>
        <v/>
      </c>
      <c r="AJ113" s="2" t="str">
        <f t="shared" si="13"/>
        <v/>
      </c>
    </row>
    <row r="114" spans="1:36" ht="15" customHeight="1">
      <c r="A114" s="217" t="s">
        <v>28</v>
      </c>
      <c r="B114" s="218"/>
      <c r="C114" s="219"/>
      <c r="D114" s="125" t="str">
        <f>IFERROR(INDEX(Category[],MATCH(Z114,Info!G:G,0)-1,2), "")</f>
        <v>Lines</v>
      </c>
      <c r="E114" s="126"/>
      <c r="F114" s="126"/>
      <c r="G114" s="126"/>
      <c r="H114" s="126"/>
      <c r="I114" s="126"/>
      <c r="J114" s="126"/>
      <c r="K114" s="126"/>
      <c r="L114" s="127"/>
      <c r="M114" s="128" t="str">
        <f t="shared" si="8"/>
        <v/>
      </c>
      <c r="N114" s="128"/>
      <c r="O114" s="128" t="str">
        <f t="shared" si="9"/>
        <v/>
      </c>
      <c r="P114" s="128"/>
      <c r="Q114" s="129" t="str">
        <f t="shared" si="10"/>
        <v/>
      </c>
      <c r="R114" s="129"/>
      <c r="S114" s="128" t="str">
        <f>IFERROR(IF(INDEX($U$100:$U$126,ROW(15:15))="","",INDEX(Cat_O,MATCH($Z114,CatData!$A$1:$A$41,0),MATCH($O$4,CatData!$1:$1,0))), "")</f>
        <v/>
      </c>
      <c r="T114" s="128"/>
      <c r="U114" s="128" t="str">
        <f>IFERROR(IF(INDEX(Cat_Data,MATCH($Z114,CatData!$A$43:$A$81,0)+42,MATCH($O$4,CatData!$1:$1,0))=0,"",INDEX(Cat_Data,MATCH($Z114,CatData!$A$43:$A$81,0)+42,MATCH($O$4,CatData!$1:$1,0))), "")</f>
        <v/>
      </c>
      <c r="V114" s="128"/>
      <c r="W114" s="129" t="str">
        <f t="shared" si="11"/>
        <v/>
      </c>
      <c r="X114" s="130"/>
      <c r="Y114" s="83"/>
      <c r="Z114" s="8">
        <v>3.1</v>
      </c>
      <c r="AB114" s="2">
        <v>16</v>
      </c>
      <c r="AC114" s="2" t="str">
        <f>IFERROR(VLOOKUP($X$94&amp;"-"&amp;$AB114,AnswerKey[],4,FALSE),"")</f>
        <v/>
      </c>
      <c r="AD114" s="2" t="str">
        <f t="shared" si="7"/>
        <v/>
      </c>
      <c r="AE114" s="2">
        <v>50</v>
      </c>
      <c r="AF114" s="2" t="str">
        <f>IFERROR(VLOOKUP($X$94&amp;"-"&amp;$AE114,AnswerKey[],4,FALSE),"")</f>
        <v/>
      </c>
      <c r="AG114" s="2" t="str">
        <f t="shared" si="12"/>
        <v/>
      </c>
      <c r="AH114" s="2">
        <v>84</v>
      </c>
      <c r="AI114" s="2" t="str">
        <f>IFERROR(VLOOKUP($X$94&amp;"-"&amp;$AH114,AnswerKey[],4,FALSE),"")</f>
        <v/>
      </c>
      <c r="AJ114" s="2" t="str">
        <f t="shared" si="13"/>
        <v/>
      </c>
    </row>
    <row r="115" spans="1:36" ht="15" customHeight="1">
      <c r="A115" s="200"/>
      <c r="B115" s="201"/>
      <c r="C115" s="202"/>
      <c r="D115" s="125" t="str">
        <f>IFERROR(INDEX(Category[],MATCH(Z115,Info!G:G,0)-1,2), "")</f>
        <v>Parabolas/Circles/Ellipses/Hyperbolas</v>
      </c>
      <c r="E115" s="126"/>
      <c r="F115" s="126"/>
      <c r="G115" s="126"/>
      <c r="H115" s="126"/>
      <c r="I115" s="126"/>
      <c r="J115" s="126"/>
      <c r="K115" s="126"/>
      <c r="L115" s="127"/>
      <c r="M115" s="128" t="str">
        <f t="shared" si="8"/>
        <v/>
      </c>
      <c r="N115" s="128"/>
      <c r="O115" s="128" t="str">
        <f t="shared" si="9"/>
        <v/>
      </c>
      <c r="P115" s="128"/>
      <c r="Q115" s="129" t="str">
        <f t="shared" si="10"/>
        <v/>
      </c>
      <c r="R115" s="129"/>
      <c r="S115" s="128" t="str">
        <f>IFERROR(IF(INDEX($U$100:$U$126,ROW(16:16))="","",INDEX(Cat_O,MATCH($Z115,CatData!$A$1:$A$41,0),MATCH($O$4,CatData!$1:$1,0))), "")</f>
        <v/>
      </c>
      <c r="T115" s="128"/>
      <c r="U115" s="128" t="str">
        <f>IFERROR(IF(INDEX(Cat_Data,MATCH($Z115,CatData!$A$43:$A$81,0)+42,MATCH($O$4,CatData!$1:$1,0))=0,"",INDEX(Cat_Data,MATCH($Z115,CatData!$A$43:$A$81,0)+42,MATCH($O$4,CatData!$1:$1,0))), "")</f>
        <v/>
      </c>
      <c r="V115" s="128"/>
      <c r="W115" s="129" t="str">
        <f t="shared" si="11"/>
        <v/>
      </c>
      <c r="X115" s="130"/>
      <c r="Y115" s="83"/>
      <c r="Z115" s="8">
        <v>3.2</v>
      </c>
      <c r="AB115" s="2">
        <v>17</v>
      </c>
      <c r="AC115" s="2" t="str">
        <f>IFERROR(VLOOKUP($X$94&amp;"-"&amp;$AB115,AnswerKey[],4,FALSE),"")</f>
        <v/>
      </c>
      <c r="AD115" s="2" t="str">
        <f t="shared" si="7"/>
        <v/>
      </c>
      <c r="AE115" s="2">
        <v>51</v>
      </c>
      <c r="AF115" s="2" t="str">
        <f>IFERROR(VLOOKUP($X$94&amp;"-"&amp;$AE115,AnswerKey[],4,FALSE),"")</f>
        <v/>
      </c>
      <c r="AG115" s="2" t="str">
        <f t="shared" si="12"/>
        <v/>
      </c>
      <c r="AH115" s="2">
        <v>85</v>
      </c>
      <c r="AI115" s="2" t="str">
        <f>IFERROR(VLOOKUP($X$94&amp;"-"&amp;$AH115,AnswerKey[],4,FALSE),"")</f>
        <v/>
      </c>
      <c r="AJ115" s="2" t="str">
        <f t="shared" si="13"/>
        <v/>
      </c>
    </row>
    <row r="116" spans="1:36" ht="15" customHeight="1">
      <c r="A116" s="200"/>
      <c r="B116" s="201"/>
      <c r="C116" s="202"/>
      <c r="D116" s="125" t="str">
        <f>IFERROR(INDEX(Category[],MATCH(Z116,Info!G:G,0)-1,2), "")</f>
        <v>Symmetry/Transformation</v>
      </c>
      <c r="E116" s="126"/>
      <c r="F116" s="126"/>
      <c r="G116" s="126"/>
      <c r="H116" s="126"/>
      <c r="I116" s="126"/>
      <c r="J116" s="126"/>
      <c r="K116" s="126"/>
      <c r="L116" s="127"/>
      <c r="M116" s="128" t="str">
        <f t="shared" si="8"/>
        <v/>
      </c>
      <c r="N116" s="128"/>
      <c r="O116" s="128" t="str">
        <f t="shared" si="9"/>
        <v/>
      </c>
      <c r="P116" s="128"/>
      <c r="Q116" s="129" t="str">
        <f t="shared" si="10"/>
        <v/>
      </c>
      <c r="R116" s="129"/>
      <c r="S116" s="128" t="str">
        <f>IFERROR(IF(INDEX($U$100:$U$126,ROW(17:17))="","",INDEX(Cat_O,MATCH($Z116,CatData!$A$1:$A$41,0),MATCH($O$4,CatData!$1:$1,0))), "")</f>
        <v/>
      </c>
      <c r="T116" s="128"/>
      <c r="U116" s="128" t="str">
        <f>IFERROR(IF(INDEX(Cat_Data,MATCH($Z116,CatData!$A$43:$A$81,0)+42,MATCH($O$4,CatData!$1:$1,0))=0,"",INDEX(Cat_Data,MATCH($Z116,CatData!$A$43:$A$81,0)+42,MATCH($O$4,CatData!$1:$1,0))), "")</f>
        <v/>
      </c>
      <c r="V116" s="128"/>
      <c r="W116" s="129" t="str">
        <f t="shared" si="11"/>
        <v/>
      </c>
      <c r="X116" s="130"/>
      <c r="Y116" s="83"/>
      <c r="Z116" s="8">
        <v>3.3</v>
      </c>
      <c r="AB116" s="2">
        <v>18</v>
      </c>
      <c r="AC116" s="2" t="str">
        <f>IFERROR(VLOOKUP($X$94&amp;"-"&amp;$AB116,AnswerKey[],4,FALSE),"")</f>
        <v/>
      </c>
      <c r="AD116" s="2" t="str">
        <f t="shared" si="7"/>
        <v/>
      </c>
      <c r="AE116" s="2">
        <v>52</v>
      </c>
      <c r="AF116" s="2" t="str">
        <f>IFERROR(VLOOKUP($X$94&amp;"-"&amp;$AE116,AnswerKey[],4,FALSE),"")</f>
        <v/>
      </c>
      <c r="AG116" s="2" t="str">
        <f t="shared" si="12"/>
        <v/>
      </c>
      <c r="AH116" s="2">
        <v>86</v>
      </c>
      <c r="AI116" s="2" t="str">
        <f>IFERROR(VLOOKUP($X$94&amp;"-"&amp;$AH116,AnswerKey[],4,FALSE),"")</f>
        <v/>
      </c>
      <c r="AJ116" s="2" t="str">
        <f t="shared" si="13"/>
        <v/>
      </c>
    </row>
    <row r="117" spans="1:36" ht="15" customHeight="1">
      <c r="A117" s="208"/>
      <c r="B117" s="209"/>
      <c r="C117" s="210"/>
      <c r="D117" s="125" t="str">
        <f>IFERROR(INDEX(Category[],MATCH(Z117,Info!G:G,0)-1,2), "")</f>
        <v>Polar Coordinates</v>
      </c>
      <c r="E117" s="126"/>
      <c r="F117" s="126"/>
      <c r="G117" s="126"/>
      <c r="H117" s="126"/>
      <c r="I117" s="126"/>
      <c r="J117" s="126"/>
      <c r="K117" s="126"/>
      <c r="L117" s="127"/>
      <c r="M117" s="128" t="str">
        <f t="shared" si="8"/>
        <v/>
      </c>
      <c r="N117" s="128"/>
      <c r="O117" s="128" t="str">
        <f t="shared" si="9"/>
        <v/>
      </c>
      <c r="P117" s="128"/>
      <c r="Q117" s="129" t="str">
        <f t="shared" si="10"/>
        <v/>
      </c>
      <c r="R117" s="129"/>
      <c r="S117" s="128" t="str">
        <f>IFERROR(IF(INDEX($U$100:$U$126,ROW(18:18))="","",INDEX(Cat_O,MATCH($Z117,CatData!$A$1:$A$41,0),MATCH($O$4,CatData!$1:$1,0))), "")</f>
        <v/>
      </c>
      <c r="T117" s="128"/>
      <c r="U117" s="128" t="str">
        <f>IFERROR(IF(INDEX(Cat_Data,MATCH($Z117,CatData!$A$43:$A$81,0)+42,MATCH($O$4,CatData!$1:$1,0))=0,"",INDEX(Cat_Data,MATCH($Z117,CatData!$A$43:$A$81,0)+42,MATCH($O$4,CatData!$1:$1,0))), "")</f>
        <v/>
      </c>
      <c r="V117" s="128"/>
      <c r="W117" s="129" t="str">
        <f t="shared" si="11"/>
        <v/>
      </c>
      <c r="X117" s="130"/>
      <c r="Y117" s="83"/>
      <c r="Z117" s="8">
        <v>3.4</v>
      </c>
      <c r="AA117"/>
      <c r="AB117" s="2">
        <v>19</v>
      </c>
      <c r="AC117" s="2" t="str">
        <f>IFERROR(VLOOKUP($X$94&amp;"-"&amp;$AB117,AnswerKey[],4,FALSE),"")</f>
        <v/>
      </c>
      <c r="AD117" s="2" t="str">
        <f t="shared" si="7"/>
        <v/>
      </c>
      <c r="AE117" s="2">
        <v>53</v>
      </c>
      <c r="AF117" s="2" t="str">
        <f>IFERROR(VLOOKUP($X$94&amp;"-"&amp;$AE117,AnswerKey[],4,FALSE),"")</f>
        <v/>
      </c>
      <c r="AG117" s="2" t="str">
        <f t="shared" si="12"/>
        <v/>
      </c>
      <c r="AH117" s="2">
        <v>87</v>
      </c>
      <c r="AI117" s="2" t="str">
        <f>IFERROR(VLOOKUP($X$94&amp;"-"&amp;$AH117,AnswerKey[],4,FALSE),"")</f>
        <v/>
      </c>
      <c r="AJ117" s="2" t="str">
        <f t="shared" si="13"/>
        <v/>
      </c>
    </row>
    <row r="118" spans="1:36" ht="15" customHeight="1">
      <c r="A118" s="217" t="s">
        <v>93</v>
      </c>
      <c r="B118" s="218"/>
      <c r="C118" s="219"/>
      <c r="D118" s="125" t="str">
        <f>IFERROR(INDEX(Category[],MATCH(Z118,Info!G:G,0)-1,2), "")</f>
        <v>Solid/Surface Area/Volume</v>
      </c>
      <c r="E118" s="126"/>
      <c r="F118" s="126"/>
      <c r="G118" s="126"/>
      <c r="H118" s="126"/>
      <c r="I118" s="126"/>
      <c r="J118" s="126"/>
      <c r="K118" s="126"/>
      <c r="L118" s="127"/>
      <c r="M118" s="128" t="str">
        <f t="shared" si="8"/>
        <v/>
      </c>
      <c r="N118" s="128"/>
      <c r="O118" s="128" t="str">
        <f t="shared" si="9"/>
        <v/>
      </c>
      <c r="P118" s="128"/>
      <c r="Q118" s="129" t="str">
        <f t="shared" si="10"/>
        <v/>
      </c>
      <c r="R118" s="129"/>
      <c r="S118" s="128" t="str">
        <f>IFERROR(IF(INDEX($U$100:$U$126,ROW(19:19))="","",INDEX(Cat_O,MATCH($Z118,CatData!$A$1:$A$41,0),MATCH($O$4,CatData!$1:$1,0))), "")</f>
        <v/>
      </c>
      <c r="T118" s="128"/>
      <c r="U118" s="128" t="str">
        <f>IFERROR(IF(INDEX(Cat_Data,MATCH($Z118,CatData!$A$43:$A$81,0)+42,MATCH($O$4,CatData!$1:$1,0))=0,"",INDEX(Cat_Data,MATCH($Z118,CatData!$A$43:$A$81,0)+42,MATCH($O$4,CatData!$1:$1,0))), "")</f>
        <v/>
      </c>
      <c r="V118" s="128"/>
      <c r="W118" s="129" t="str">
        <f t="shared" si="11"/>
        <v/>
      </c>
      <c r="X118" s="130"/>
      <c r="Y118" s="83"/>
      <c r="Z118" s="8">
        <v>4.0999999999999996</v>
      </c>
      <c r="AA118"/>
      <c r="AB118" s="2">
        <v>20</v>
      </c>
      <c r="AC118" s="2" t="str">
        <f>IFERROR(VLOOKUP($X$94&amp;"-"&amp;$AB118,AnswerKey[],4,FALSE),"")</f>
        <v/>
      </c>
      <c r="AD118" s="2" t="str">
        <f t="shared" si="7"/>
        <v/>
      </c>
      <c r="AE118" s="2">
        <v>54</v>
      </c>
      <c r="AF118" s="2" t="str">
        <f>IFERROR(VLOOKUP($X$94&amp;"-"&amp;$AE118,AnswerKey[],4,FALSE),"")</f>
        <v/>
      </c>
      <c r="AG118" s="2" t="str">
        <f t="shared" si="12"/>
        <v/>
      </c>
      <c r="AH118" s="2">
        <v>88</v>
      </c>
      <c r="AI118" s="2" t="str">
        <f>IFERROR(VLOOKUP($X$94&amp;"-"&amp;$AH118,AnswerKey[],4,FALSE),"")</f>
        <v/>
      </c>
      <c r="AJ118" s="2" t="str">
        <f t="shared" si="13"/>
        <v/>
      </c>
    </row>
    <row r="119" spans="1:36" ht="15" customHeight="1">
      <c r="A119" s="208"/>
      <c r="B119" s="209"/>
      <c r="C119" s="210"/>
      <c r="D119" s="125" t="str">
        <f>IFERROR(INDEX(Category[],MATCH(Z119,Info!G:G,0)-1,2), "")</f>
        <v>3D Coordinates/Lines</v>
      </c>
      <c r="E119" s="126"/>
      <c r="F119" s="126"/>
      <c r="G119" s="126"/>
      <c r="H119" s="126"/>
      <c r="I119" s="126"/>
      <c r="J119" s="126"/>
      <c r="K119" s="126"/>
      <c r="L119" s="127"/>
      <c r="M119" s="128" t="str">
        <f t="shared" si="8"/>
        <v/>
      </c>
      <c r="N119" s="128"/>
      <c r="O119" s="128" t="str">
        <f t="shared" si="9"/>
        <v/>
      </c>
      <c r="P119" s="128"/>
      <c r="Q119" s="129" t="str">
        <f t="shared" si="10"/>
        <v/>
      </c>
      <c r="R119" s="129"/>
      <c r="S119" s="128" t="str">
        <f>IFERROR(IF(INDEX($U$100:$U$126,ROW(20:20))="","",INDEX(Cat_O,MATCH($Z119,CatData!$A$1:$A$41,0),MATCH($O$4,CatData!$1:$1,0))), "")</f>
        <v/>
      </c>
      <c r="T119" s="128"/>
      <c r="U119" s="128" t="str">
        <f>IFERROR(IF(INDEX(Cat_Data,MATCH($Z119,CatData!$A$43:$A$81,0)+42,MATCH($O$4,CatData!$1:$1,0))=0,"",INDEX(Cat_Data,MATCH($Z119,CatData!$A$43:$A$81,0)+42,MATCH($O$4,CatData!$1:$1,0))), "")</f>
        <v/>
      </c>
      <c r="V119" s="128"/>
      <c r="W119" s="129" t="str">
        <f t="shared" si="11"/>
        <v/>
      </c>
      <c r="X119" s="130"/>
      <c r="Y119" s="83"/>
      <c r="Z119" s="8">
        <v>4.2</v>
      </c>
      <c r="AA119"/>
      <c r="AB119" s="2">
        <v>21</v>
      </c>
      <c r="AC119" s="2" t="str">
        <f>IFERROR(VLOOKUP($X$94&amp;"-"&amp;$AB119,AnswerKey[],4,FALSE),"")</f>
        <v/>
      </c>
      <c r="AD119" s="2" t="str">
        <f t="shared" si="7"/>
        <v/>
      </c>
      <c r="AE119" s="2">
        <v>55</v>
      </c>
      <c r="AF119" s="2" t="str">
        <f>IFERROR(VLOOKUP($X$94&amp;"-"&amp;$AE119,AnswerKey[],4,FALSE),"")</f>
        <v/>
      </c>
      <c r="AG119" s="2" t="str">
        <f t="shared" si="12"/>
        <v/>
      </c>
      <c r="AH119" s="2">
        <v>89</v>
      </c>
      <c r="AI119" s="2" t="str">
        <f>IFERROR(VLOOKUP($X$94&amp;"-"&amp;$AH119,AnswerKey[],4,FALSE),"")</f>
        <v/>
      </c>
      <c r="AJ119" s="2" t="str">
        <f t="shared" si="13"/>
        <v/>
      </c>
    </row>
    <row r="120" spans="1:36" ht="15" customHeight="1">
      <c r="A120" s="217" t="s">
        <v>96</v>
      </c>
      <c r="B120" s="218"/>
      <c r="C120" s="219"/>
      <c r="D120" s="125" t="str">
        <f>IFERROR(INDEX(Category[],MATCH(Z120,Info!G:G,0)-1,2), "")</f>
        <v>Identities/Law of Cosines, Sines/Double Angle</v>
      </c>
      <c r="E120" s="126"/>
      <c r="F120" s="126"/>
      <c r="G120" s="126"/>
      <c r="H120" s="126"/>
      <c r="I120" s="126"/>
      <c r="J120" s="126"/>
      <c r="K120" s="126"/>
      <c r="L120" s="127"/>
      <c r="M120" s="128" t="str">
        <f t="shared" si="8"/>
        <v/>
      </c>
      <c r="N120" s="128"/>
      <c r="O120" s="128" t="str">
        <f t="shared" si="9"/>
        <v/>
      </c>
      <c r="P120" s="128"/>
      <c r="Q120" s="129" t="str">
        <f t="shared" si="10"/>
        <v/>
      </c>
      <c r="R120" s="129"/>
      <c r="S120" s="128" t="str">
        <f>IFERROR(IF(INDEX($U$100:$U$126,ROW(21:21))="","",INDEX(Cat_O,MATCH($Z120,CatData!$A$1:$A$41,0),MATCH($O$4,CatData!$1:$1,0))), "")</f>
        <v/>
      </c>
      <c r="T120" s="128"/>
      <c r="U120" s="128" t="str">
        <f>IFERROR(IF(INDEX(Cat_Data,MATCH($Z120,CatData!$A$43:$A$81,0)+42,MATCH($O$4,CatData!$1:$1,0))=0,"",INDEX(Cat_Data,MATCH($Z120,CatData!$A$43:$A$81,0)+42,MATCH($O$4,CatData!$1:$1,0))), "")</f>
        <v/>
      </c>
      <c r="V120" s="128"/>
      <c r="W120" s="129" t="str">
        <f t="shared" si="11"/>
        <v/>
      </c>
      <c r="X120" s="130"/>
      <c r="Y120" s="83"/>
      <c r="Z120" s="8">
        <v>5.0999999999999996</v>
      </c>
      <c r="AA120" s="6"/>
      <c r="AB120" s="2">
        <v>22</v>
      </c>
      <c r="AC120" s="2" t="str">
        <f>IFERROR(VLOOKUP($X$94&amp;"-"&amp;$AB120,AnswerKey[],4,FALSE),"")</f>
        <v/>
      </c>
      <c r="AD120" s="2" t="str">
        <f t="shared" si="7"/>
        <v/>
      </c>
      <c r="AE120" s="2">
        <v>56</v>
      </c>
      <c r="AF120" s="2" t="str">
        <f>IFERROR(VLOOKUP($X$94&amp;"-"&amp;$AE120,AnswerKey[],4,FALSE),"")</f>
        <v/>
      </c>
      <c r="AG120" s="2" t="str">
        <f t="shared" si="12"/>
        <v/>
      </c>
      <c r="AH120" s="2">
        <v>90</v>
      </c>
      <c r="AI120" s="2" t="str">
        <f>IFERROR(VLOOKUP($X$94&amp;"-"&amp;$AH120,AnswerKey[],4,FALSE),"")</f>
        <v/>
      </c>
      <c r="AJ120" s="2" t="str">
        <f t="shared" si="13"/>
        <v/>
      </c>
    </row>
    <row r="121" spans="1:36" ht="15" customHeight="1">
      <c r="A121" s="200"/>
      <c r="B121" s="201"/>
      <c r="C121" s="202"/>
      <c r="D121" s="125" t="str">
        <f>IFERROR(INDEX(Category[],MATCH(Z121,Info!G:G,0)-1,2), "")</f>
        <v>Trigonometric Equations</v>
      </c>
      <c r="E121" s="126"/>
      <c r="F121" s="126"/>
      <c r="G121" s="126"/>
      <c r="H121" s="126"/>
      <c r="I121" s="126"/>
      <c r="J121" s="126"/>
      <c r="K121" s="126"/>
      <c r="L121" s="127"/>
      <c r="M121" s="128" t="str">
        <f t="shared" si="8"/>
        <v/>
      </c>
      <c r="N121" s="128"/>
      <c r="O121" s="128" t="str">
        <f t="shared" si="9"/>
        <v/>
      </c>
      <c r="P121" s="128"/>
      <c r="Q121" s="129" t="str">
        <f t="shared" si="10"/>
        <v/>
      </c>
      <c r="R121" s="129"/>
      <c r="S121" s="128" t="str">
        <f>IFERROR(IF(INDEX($U$100:$U$126,ROW(22:22))="","",INDEX(Cat_O,MATCH($Z121,CatData!$A$1:$A$41,0),MATCH($O$4,CatData!$1:$1,0))), "")</f>
        <v/>
      </c>
      <c r="T121" s="128"/>
      <c r="U121" s="128" t="str">
        <f>IFERROR(IF(INDEX(Cat_Data,MATCH($Z121,CatData!$A$43:$A$81,0)+42,MATCH($O$4,CatData!$1:$1,0))=0,"",INDEX(Cat_Data,MATCH($Z121,CatData!$A$43:$A$81,0)+42,MATCH($O$4,CatData!$1:$1,0))), "")</f>
        <v/>
      </c>
      <c r="V121" s="128"/>
      <c r="W121" s="129" t="str">
        <f t="shared" si="11"/>
        <v/>
      </c>
      <c r="X121" s="130"/>
      <c r="Y121" s="83"/>
      <c r="Z121" s="8">
        <v>5.2</v>
      </c>
      <c r="AB121" s="2">
        <v>23</v>
      </c>
      <c r="AC121" s="2" t="str">
        <f>IFERROR(VLOOKUP($X$94&amp;"-"&amp;$AB121,AnswerKey[],4,FALSE),"")</f>
        <v/>
      </c>
      <c r="AD121" s="2" t="str">
        <f t="shared" si="7"/>
        <v/>
      </c>
      <c r="AE121" s="2">
        <v>57</v>
      </c>
      <c r="AF121" s="2" t="str">
        <f>IFERROR(VLOOKUP($X$94&amp;"-"&amp;$AE121,AnswerKey[],4,FALSE),"")</f>
        <v/>
      </c>
      <c r="AG121" s="2" t="str">
        <f t="shared" si="12"/>
        <v/>
      </c>
      <c r="AH121" s="2">
        <v>91</v>
      </c>
      <c r="AI121" s="2" t="str">
        <f>IFERROR(VLOOKUP($X$94&amp;"-"&amp;$AH121,AnswerKey[],4,FALSE),"")</f>
        <v/>
      </c>
      <c r="AJ121" s="2" t="str">
        <f t="shared" si="13"/>
        <v/>
      </c>
    </row>
    <row r="122" spans="1:36" ht="15" customHeight="1">
      <c r="A122" s="208"/>
      <c r="B122" s="209"/>
      <c r="C122" s="210"/>
      <c r="D122" s="125" t="str">
        <f>IFERROR(INDEX(Category[],MATCH(Z122,Info!G:G,0)-1,2), "")</f>
        <v>Right Triangles/Radian measure</v>
      </c>
      <c r="E122" s="126"/>
      <c r="F122" s="126"/>
      <c r="G122" s="126"/>
      <c r="H122" s="126"/>
      <c r="I122" s="126"/>
      <c r="J122" s="126"/>
      <c r="K122" s="126"/>
      <c r="L122" s="127"/>
      <c r="M122" s="128" t="str">
        <f t="shared" si="8"/>
        <v/>
      </c>
      <c r="N122" s="128"/>
      <c r="O122" s="128" t="str">
        <f t="shared" si="9"/>
        <v/>
      </c>
      <c r="P122" s="128"/>
      <c r="Q122" s="129" t="str">
        <f t="shared" si="10"/>
        <v/>
      </c>
      <c r="R122" s="129"/>
      <c r="S122" s="128" t="str">
        <f>IFERROR(IF(INDEX($U$100:$U$126,ROW(23:23))="","",INDEX(Cat_O,MATCH($Z122,CatData!$A$1:$A$41,0),MATCH($O$4,CatData!$1:$1,0))), "")</f>
        <v/>
      </c>
      <c r="T122" s="128"/>
      <c r="U122" s="128" t="str">
        <f>IFERROR(IF(INDEX(Cat_Data,MATCH($Z122,CatData!$A$43:$A$81,0)+42,MATCH($O$4,CatData!$1:$1,0))=0,"",INDEX(Cat_Data,MATCH($Z122,CatData!$A$43:$A$81,0)+42,MATCH($O$4,CatData!$1:$1,0))), "")</f>
        <v/>
      </c>
      <c r="V122" s="128"/>
      <c r="W122" s="129" t="str">
        <f t="shared" si="11"/>
        <v/>
      </c>
      <c r="X122" s="130"/>
      <c r="Y122" s="83"/>
      <c r="Z122" s="8">
        <v>5.3</v>
      </c>
      <c r="AB122" s="2">
        <v>24</v>
      </c>
      <c r="AC122" s="2" t="str">
        <f>IFERROR(VLOOKUP($X$94&amp;"-"&amp;$AB122,AnswerKey[],4,FALSE),"")</f>
        <v/>
      </c>
      <c r="AD122" s="2" t="str">
        <f t="shared" si="7"/>
        <v/>
      </c>
      <c r="AE122" s="2">
        <v>58</v>
      </c>
      <c r="AF122" s="2" t="str">
        <f>IFERROR(VLOOKUP($X$94&amp;"-"&amp;$AE122,AnswerKey[],4,FALSE),"")</f>
        <v/>
      </c>
      <c r="AG122" s="2" t="str">
        <f t="shared" si="12"/>
        <v/>
      </c>
      <c r="AH122" s="2">
        <v>92</v>
      </c>
      <c r="AI122" s="2" t="str">
        <f>IFERROR(VLOOKUP($X$94&amp;"-"&amp;$AH122,AnswerKey[],4,FALSE),"")</f>
        <v/>
      </c>
      <c r="AJ122" s="2" t="str">
        <f t="shared" si="13"/>
        <v/>
      </c>
    </row>
    <row r="123" spans="1:36" ht="15" customHeight="1">
      <c r="A123" s="217" t="s">
        <v>100</v>
      </c>
      <c r="B123" s="218"/>
      <c r="C123" s="219"/>
      <c r="D123" s="125" t="str">
        <f>IFERROR(INDEX(Category[],MATCH(Z123,Info!G:G,0)-1,2), "")</f>
        <v>Mean/Median/Mode/Range/IQR/Standard Deviation</v>
      </c>
      <c r="E123" s="126"/>
      <c r="F123" s="126"/>
      <c r="G123" s="126"/>
      <c r="H123" s="126"/>
      <c r="I123" s="126"/>
      <c r="J123" s="126"/>
      <c r="K123" s="126"/>
      <c r="L123" s="127"/>
      <c r="M123" s="128" t="str">
        <f t="shared" si="8"/>
        <v/>
      </c>
      <c r="N123" s="128"/>
      <c r="O123" s="128" t="str">
        <f t="shared" si="9"/>
        <v/>
      </c>
      <c r="P123" s="128"/>
      <c r="Q123" s="129" t="str">
        <f t="shared" si="10"/>
        <v/>
      </c>
      <c r="R123" s="129"/>
      <c r="S123" s="128" t="str">
        <f>IFERROR(IF(INDEX($U$100:$U$126,ROW(24:24))="","",INDEX(Cat_O,MATCH($Z123,CatData!$A$1:$A$41,0),MATCH($O$4,CatData!$1:$1,0))), "")</f>
        <v/>
      </c>
      <c r="T123" s="128"/>
      <c r="U123" s="128" t="str">
        <f>IFERROR(IF(INDEX(Cat_Data,MATCH($Z123,CatData!$A$43:$A$81,0)+42,MATCH($O$4,CatData!$1:$1,0))=0,"",INDEX(Cat_Data,MATCH($Z123,CatData!$A$43:$A$81,0)+42,MATCH($O$4,CatData!$1:$1,0))), "")</f>
        <v/>
      </c>
      <c r="V123" s="128"/>
      <c r="W123" s="129" t="str">
        <f t="shared" si="11"/>
        <v/>
      </c>
      <c r="X123" s="130"/>
      <c r="Y123" s="83"/>
      <c r="Z123" s="8">
        <v>6.1</v>
      </c>
      <c r="AB123" s="2">
        <v>25</v>
      </c>
      <c r="AC123" s="2" t="str">
        <f>IFERROR(VLOOKUP($X$94&amp;"-"&amp;$AB123,AnswerKey[],4,FALSE),"")</f>
        <v/>
      </c>
      <c r="AD123" s="2" t="str">
        <f t="shared" si="7"/>
        <v/>
      </c>
      <c r="AE123" s="2">
        <v>59</v>
      </c>
      <c r="AF123" s="2" t="str">
        <f>IFERROR(VLOOKUP($X$94&amp;"-"&amp;$AE123,AnswerKey[],4,FALSE),"")</f>
        <v/>
      </c>
      <c r="AG123" s="2" t="str">
        <f t="shared" si="12"/>
        <v/>
      </c>
      <c r="AH123" s="2">
        <v>93</v>
      </c>
      <c r="AI123" s="2" t="str">
        <f>IFERROR(VLOOKUP($X$94&amp;"-"&amp;$AH123,AnswerKey[],4,FALSE),"")</f>
        <v/>
      </c>
      <c r="AJ123" s="2" t="str">
        <f t="shared" si="13"/>
        <v/>
      </c>
    </row>
    <row r="124" spans="1:36" ht="15" customHeight="1">
      <c r="A124" s="200"/>
      <c r="B124" s="201"/>
      <c r="C124" s="202"/>
      <c r="D124" s="125" t="str">
        <f>IFERROR(INDEX(Category[],MATCH(Z124,Info!G:G,0)-1,2), "")</f>
        <v>Graphs &amp; Plots/Regression</v>
      </c>
      <c r="E124" s="126"/>
      <c r="F124" s="126"/>
      <c r="G124" s="126"/>
      <c r="H124" s="126"/>
      <c r="I124" s="126"/>
      <c r="J124" s="126"/>
      <c r="K124" s="126"/>
      <c r="L124" s="127"/>
      <c r="M124" s="128" t="str">
        <f t="shared" si="8"/>
        <v/>
      </c>
      <c r="N124" s="128"/>
      <c r="O124" s="128" t="str">
        <f t="shared" si="9"/>
        <v/>
      </c>
      <c r="P124" s="128"/>
      <c r="Q124" s="129" t="str">
        <f t="shared" si="10"/>
        <v/>
      </c>
      <c r="R124" s="129"/>
      <c r="S124" s="128" t="str">
        <f>IFERROR(IF(INDEX($U$100:$U$126,ROW(25:25))="","",INDEX(Cat_O,MATCH($Z124,CatData!$A$1:$A$41,0),MATCH($O$4,CatData!$1:$1,0))), "")</f>
        <v/>
      </c>
      <c r="T124" s="128"/>
      <c r="U124" s="128" t="str">
        <f>IFERROR(IF(INDEX(Cat_Data,MATCH($Z124,CatData!$A$43:$A$81,0)+42,MATCH($O$4,CatData!$1:$1,0))=0,"",INDEX(Cat_Data,MATCH($Z124,CatData!$A$43:$A$81,0)+42,MATCH($O$4,CatData!$1:$1,0))), "")</f>
        <v/>
      </c>
      <c r="V124" s="128"/>
      <c r="W124" s="129" t="str">
        <f t="shared" si="11"/>
        <v/>
      </c>
      <c r="X124" s="130"/>
      <c r="Y124" s="83"/>
      <c r="Z124" s="8">
        <v>6.2</v>
      </c>
      <c r="AB124" s="2">
        <v>26</v>
      </c>
      <c r="AC124" s="2" t="str">
        <f>IFERROR(VLOOKUP($X$94&amp;"-"&amp;$AB124,AnswerKey[],4,FALSE),"")</f>
        <v/>
      </c>
      <c r="AD124" s="2" t="str">
        <f t="shared" si="7"/>
        <v/>
      </c>
      <c r="AE124" s="2">
        <v>60</v>
      </c>
      <c r="AF124" s="2" t="str">
        <f>IFERROR(VLOOKUP($X$94&amp;"-"&amp;$AE124,AnswerKey[],4,FALSE),"")</f>
        <v/>
      </c>
      <c r="AG124" s="2" t="str">
        <f t="shared" si="12"/>
        <v/>
      </c>
      <c r="AH124" s="2">
        <v>94</v>
      </c>
      <c r="AI124" s="2" t="str">
        <f>IFERROR(VLOOKUP($X$94&amp;"-"&amp;$AH124,AnswerKey[],4,FALSE),"")</f>
        <v/>
      </c>
      <c r="AJ124" s="2" t="str">
        <f t="shared" si="13"/>
        <v/>
      </c>
    </row>
    <row r="125" spans="1:36" ht="15" customHeight="1">
      <c r="A125" s="200"/>
      <c r="B125" s="201"/>
      <c r="C125" s="202"/>
      <c r="D125" s="125" t="str">
        <f>IFERROR(INDEX(Category[],MATCH(Z125,Info!G:G,0)-1,2), "")</f>
        <v>Probability/Combinations/Permutations</v>
      </c>
      <c r="E125" s="126"/>
      <c r="F125" s="126"/>
      <c r="G125" s="126"/>
      <c r="H125" s="126"/>
      <c r="I125" s="126"/>
      <c r="J125" s="126"/>
      <c r="K125" s="126"/>
      <c r="L125" s="127"/>
      <c r="M125" s="128" t="str">
        <f t="shared" si="8"/>
        <v/>
      </c>
      <c r="N125" s="128"/>
      <c r="O125" s="128" t="str">
        <f t="shared" si="9"/>
        <v/>
      </c>
      <c r="P125" s="128"/>
      <c r="Q125" s="129" t="str">
        <f t="shared" si="10"/>
        <v/>
      </c>
      <c r="R125" s="129"/>
      <c r="S125" s="128" t="str">
        <f>IFERROR(IF(INDEX($U$100:$U$126,ROW(26:26))="","",INDEX(Cat_O,MATCH($Z125,CatData!$A$1:$A$41,0),MATCH($O$4,CatData!$1:$1,0))), "")</f>
        <v/>
      </c>
      <c r="T125" s="128"/>
      <c r="U125" s="128" t="str">
        <f>IFERROR(IF(INDEX(Cat_Data,MATCH($Z125,CatData!$A$43:$A$81,0)+42,MATCH($O$4,CatData!$1:$1,0))=0,"",INDEX(Cat_Data,MATCH($Z125,CatData!$A$43:$A$81,0)+42,MATCH($O$4,CatData!$1:$1,0))), "")</f>
        <v/>
      </c>
      <c r="V125" s="128"/>
      <c r="W125" s="129" t="str">
        <f t="shared" si="11"/>
        <v/>
      </c>
      <c r="X125" s="130"/>
      <c r="Y125" s="83"/>
      <c r="Z125" s="8">
        <v>6.3</v>
      </c>
      <c r="AB125" s="2">
        <v>27</v>
      </c>
      <c r="AC125" s="2" t="str">
        <f>IFERROR(VLOOKUP($X$94&amp;"-"&amp;$AB125,AnswerKey[],4,FALSE),"")</f>
        <v/>
      </c>
      <c r="AD125" s="2" t="str">
        <f t="shared" si="7"/>
        <v/>
      </c>
      <c r="AE125" s="2">
        <v>61</v>
      </c>
      <c r="AF125" s="2" t="str">
        <f>IFERROR(VLOOKUP($X$94&amp;"-"&amp;$AE125,AnswerKey[],4,FALSE),"")</f>
        <v/>
      </c>
      <c r="AG125" s="2" t="str">
        <f t="shared" si="12"/>
        <v/>
      </c>
      <c r="AH125" s="2">
        <v>95</v>
      </c>
      <c r="AI125" s="2" t="str">
        <f>IFERROR(VLOOKUP($X$94&amp;"-"&amp;$AH125,AnswerKey[],4,FALSE),"")</f>
        <v/>
      </c>
      <c r="AJ125" s="2" t="str">
        <f t="shared" si="13"/>
        <v/>
      </c>
    </row>
    <row r="126" spans="1:36" ht="15" customHeight="1">
      <c r="A126" s="220"/>
      <c r="B126" s="221"/>
      <c r="C126" s="222"/>
      <c r="D126" s="131" t="str">
        <f>IFERROR(INDEX(Category[],MATCH(Z126,Info!G:G,0)-1,2), "")</f>
        <v>Logic</v>
      </c>
      <c r="E126" s="132"/>
      <c r="F126" s="132"/>
      <c r="G126" s="132"/>
      <c r="H126" s="132"/>
      <c r="I126" s="132"/>
      <c r="J126" s="132"/>
      <c r="K126" s="132"/>
      <c r="L126" s="133"/>
      <c r="M126" s="134" t="str">
        <f t="shared" si="8"/>
        <v/>
      </c>
      <c r="N126" s="134"/>
      <c r="O126" s="134" t="str">
        <f t="shared" si="9"/>
        <v/>
      </c>
      <c r="P126" s="134"/>
      <c r="Q126" s="135" t="str">
        <f t="shared" si="10"/>
        <v/>
      </c>
      <c r="R126" s="136"/>
      <c r="S126" s="134" t="str">
        <f>IFERROR(IF(INDEX($U$100:$U$126,ROW(27:27))="","",INDEX(Cat_O,MATCH($Z126,CatData!$A$1:$A$41,0),MATCH($O$4,CatData!$1:$1,0))), "")</f>
        <v/>
      </c>
      <c r="T126" s="134"/>
      <c r="U126" s="128" t="str">
        <f>IFERROR(IF(INDEX(Cat_Data,MATCH($Z126,CatData!$A$43:$A$81,0)+42,MATCH($O$4,CatData!$1:$1,0))=0,"",INDEX(Cat_Data,MATCH($Z126,CatData!$A$43:$A$81,0)+42,MATCH($O$4,CatData!$1:$1,0))), "")</f>
        <v/>
      </c>
      <c r="V126" s="128"/>
      <c r="W126" s="137" t="str">
        <f t="shared" si="11"/>
        <v/>
      </c>
      <c r="X126" s="138"/>
      <c r="Y126" s="83"/>
      <c r="Z126" s="8">
        <v>6.4</v>
      </c>
      <c r="AB126" s="2">
        <v>28</v>
      </c>
      <c r="AC126" s="2" t="str">
        <f>IFERROR(VLOOKUP($X$94&amp;"-"&amp;$AB126,AnswerKey[],4,FALSE),"")</f>
        <v/>
      </c>
      <c r="AD126" s="2" t="str">
        <f t="shared" si="7"/>
        <v/>
      </c>
      <c r="AE126" s="2">
        <v>62</v>
      </c>
      <c r="AF126" s="2" t="str">
        <f>IFERROR(VLOOKUP($X$94&amp;"-"&amp;$AE126,AnswerKey[],4,FALSE),"")</f>
        <v/>
      </c>
      <c r="AG126" s="2" t="str">
        <f t="shared" si="12"/>
        <v/>
      </c>
      <c r="AH126" s="2">
        <v>96</v>
      </c>
      <c r="AI126" s="2" t="str">
        <f>IFERROR(VLOOKUP($X$94&amp;"-"&amp;$AH126,AnswerKey[],4,FALSE),"")</f>
        <v/>
      </c>
      <c r="AJ126" s="2" t="str">
        <f t="shared" si="13"/>
        <v/>
      </c>
    </row>
    <row r="127" spans="1:36" ht="15" customHeight="1">
      <c r="A127" s="224"/>
      <c r="B127" s="224"/>
      <c r="C127" s="224"/>
      <c r="D127" s="226" t="str">
        <f>IFERROR(INDEX(Category[],MATCH(Z127,Info!G:G,0)-1,2), "")</f>
        <v/>
      </c>
      <c r="E127" s="226"/>
      <c r="F127" s="226"/>
      <c r="G127" s="226"/>
      <c r="H127" s="226"/>
      <c r="I127" s="226"/>
      <c r="J127" s="226"/>
      <c r="K127" s="226"/>
      <c r="L127" s="226"/>
      <c r="M127" s="224" t="str">
        <f t="shared" si="8"/>
        <v/>
      </c>
      <c r="N127" s="224"/>
      <c r="O127" s="224" t="str">
        <f t="shared" si="9"/>
        <v/>
      </c>
      <c r="P127" s="224"/>
      <c r="Q127" s="224"/>
      <c r="R127" s="224"/>
      <c r="S127" s="224" t="str">
        <f>IFERROR(IF(INDEX($U$100:$U$126,ROW(28:28))="","",INDEX(Cat_O,MATCH($Z127,CatData!$A$1:$A$41,0),MATCH($O$4,CatData!$1:$1,0))), "")</f>
        <v/>
      </c>
      <c r="T127" s="224"/>
      <c r="U127" s="224" t="str">
        <f>IFERROR(IF(INDEX(Cat_Data,MATCH($Z127,CatData!$A$43:$A$81,0)+31,MATCH($O$4,CatData!$1:$1,0))=0,"",INDEX(Cat_Data,MATCH($Z127,CatData!$A$43:$A$81,0)+31,MATCH($O$4,CatData!$1:$1,0))), "")</f>
        <v/>
      </c>
      <c r="V127" s="224"/>
      <c r="W127" s="224" t="str">
        <f t="shared" ref="W127:W137" si="14">IFERROR(IF(AND(S127,U127)=0,"",IFERROR(S127/U127,0)),"")</f>
        <v/>
      </c>
      <c r="X127" s="224"/>
      <c r="Y127" s="88"/>
      <c r="Z127" s="8"/>
      <c r="AB127" s="2">
        <v>29</v>
      </c>
      <c r="AC127" s="2" t="str">
        <f>IFERROR(VLOOKUP($X$94&amp;"-"&amp;$AB127,AnswerKey[],4,FALSE),"")</f>
        <v/>
      </c>
      <c r="AD127" s="2" t="str">
        <f t="shared" si="7"/>
        <v/>
      </c>
      <c r="AE127" s="2">
        <v>63</v>
      </c>
      <c r="AF127" s="2" t="str">
        <f>IFERROR(VLOOKUP($X$94&amp;"-"&amp;$AE127,AnswerKey[],4,FALSE),"")</f>
        <v/>
      </c>
      <c r="AG127" s="2" t="str">
        <f t="shared" si="12"/>
        <v/>
      </c>
      <c r="AH127" s="2">
        <v>97</v>
      </c>
      <c r="AI127" s="2" t="str">
        <f>IFERROR(VLOOKUP($X$94&amp;"-"&amp;$AH127,AnswerKey[],4,FALSE),"")</f>
        <v/>
      </c>
      <c r="AJ127" s="2" t="str">
        <f t="shared" si="13"/>
        <v/>
      </c>
    </row>
    <row r="128" spans="1:36">
      <c r="A128" s="225"/>
      <c r="B128" s="225"/>
      <c r="C128" s="225"/>
      <c r="D128" s="223" t="str">
        <f>IFERROR(INDEX(Category[],MATCH(Z128,Info!G:G,0)-1,2), "")</f>
        <v/>
      </c>
      <c r="E128" s="223"/>
      <c r="F128" s="223"/>
      <c r="G128" s="223"/>
      <c r="H128" s="223"/>
      <c r="I128" s="223"/>
      <c r="J128" s="223"/>
      <c r="K128" s="223"/>
      <c r="L128" s="223"/>
      <c r="M128" s="225" t="str">
        <f t="shared" si="8"/>
        <v/>
      </c>
      <c r="N128" s="225"/>
      <c r="O128" s="225" t="str">
        <f t="shared" si="9"/>
        <v/>
      </c>
      <c r="P128" s="225"/>
      <c r="Q128" s="225"/>
      <c r="R128" s="225"/>
      <c r="S128" s="225" t="str">
        <f>IFERROR(IF(INDEX($U$100:$U$126,ROW(29:29))="","",INDEX(Cat_O,MATCH($Z128,CatData!$A$1:$A$41,0),MATCH($O$4,CatData!$1:$1,0))), "")</f>
        <v/>
      </c>
      <c r="T128" s="225"/>
      <c r="U128" s="225" t="str">
        <f>IFERROR(IF(INDEX(Cat_Data,MATCH($Z128,CatData!$A$43:$A$81,0)+31,MATCH($O$4,CatData!$1:$1,0))=0,"",INDEX(Cat_Data,MATCH($Z128,CatData!$A$43:$A$81,0)+31,MATCH($O$4,CatData!$1:$1,0))), "")</f>
        <v/>
      </c>
      <c r="V128" s="225"/>
      <c r="W128" s="225" t="str">
        <f t="shared" si="14"/>
        <v/>
      </c>
      <c r="X128" s="225"/>
      <c r="Y128" s="88"/>
      <c r="Z128" s="8"/>
      <c r="AB128" s="2">
        <v>30</v>
      </c>
      <c r="AC128" s="2" t="str">
        <f>IFERROR(VLOOKUP($X$94&amp;"-"&amp;$AB128,AnswerKey[],4,FALSE),"")</f>
        <v/>
      </c>
      <c r="AD128" s="2" t="str">
        <f t="shared" si="7"/>
        <v/>
      </c>
      <c r="AE128" s="2">
        <v>64</v>
      </c>
      <c r="AF128" s="2" t="str">
        <f>IFERROR(VLOOKUP($X$94&amp;"-"&amp;$AE128,AnswerKey[],4,FALSE),"")</f>
        <v/>
      </c>
      <c r="AG128" s="2" t="str">
        <f t="shared" si="12"/>
        <v/>
      </c>
      <c r="AH128" s="2">
        <v>98</v>
      </c>
      <c r="AI128" s="2" t="str">
        <f>IFERROR(VLOOKUP($X$94&amp;"-"&amp;$AH128,AnswerKey[],4,FALSE),"")</f>
        <v/>
      </c>
      <c r="AJ128" s="2" t="str">
        <f t="shared" si="13"/>
        <v/>
      </c>
    </row>
    <row r="129" spans="1:36">
      <c r="A129" s="225"/>
      <c r="B129" s="225"/>
      <c r="C129" s="225"/>
      <c r="D129" s="223" t="str">
        <f>IFERROR(INDEX(Category[],MATCH(Z129,Info!G:G,0)-1,2), "")</f>
        <v/>
      </c>
      <c r="E129" s="223"/>
      <c r="F129" s="223"/>
      <c r="G129" s="223"/>
      <c r="H129" s="223"/>
      <c r="I129" s="223"/>
      <c r="J129" s="223"/>
      <c r="K129" s="223"/>
      <c r="L129" s="223"/>
      <c r="M129" s="225" t="str">
        <f t="shared" si="8"/>
        <v/>
      </c>
      <c r="N129" s="225"/>
      <c r="O129" s="225" t="str">
        <f t="shared" si="9"/>
        <v/>
      </c>
      <c r="P129" s="225"/>
      <c r="Q129" s="225"/>
      <c r="R129" s="225"/>
      <c r="S129" s="225" t="str">
        <f>IFERROR(IF(INDEX($U$100:$U$126,ROW(30:30))="","",INDEX(Cat_O,MATCH($Z129,CatData!$A$1:$A$41,0),MATCH($O$4,CatData!$1:$1,0))), "")</f>
        <v/>
      </c>
      <c r="T129" s="225"/>
      <c r="U129" s="225" t="str">
        <f>IFERROR(IF(INDEX(Cat_Data,MATCH($Z129,CatData!$A$43:$A$81,0)+31,MATCH($O$4,CatData!$1:$1,0))=0,"",INDEX(Cat_Data,MATCH($Z129,CatData!$A$43:$A$81,0)+31,MATCH($O$4,CatData!$1:$1,0))), "")</f>
        <v/>
      </c>
      <c r="V129" s="225"/>
      <c r="W129" s="225" t="str">
        <f t="shared" si="14"/>
        <v/>
      </c>
      <c r="X129" s="225"/>
      <c r="Y129" s="88"/>
      <c r="Z129" s="8"/>
      <c r="AB129" s="2">
        <v>31</v>
      </c>
      <c r="AC129" s="2" t="str">
        <f>IFERROR(VLOOKUP($X$94&amp;"-"&amp;$AB129,AnswerKey[],4,FALSE),"")</f>
        <v/>
      </c>
      <c r="AD129" s="2" t="str">
        <f t="shared" si="7"/>
        <v/>
      </c>
      <c r="AE129" s="2">
        <v>65</v>
      </c>
      <c r="AF129" s="2" t="str">
        <f>IFERROR(VLOOKUP($X$94&amp;"-"&amp;$AE129,AnswerKey[],4,FALSE),"")</f>
        <v/>
      </c>
      <c r="AG129" s="2" t="str">
        <f t="shared" si="12"/>
        <v/>
      </c>
      <c r="AH129" s="2">
        <v>99</v>
      </c>
      <c r="AI129" s="2" t="str">
        <f>IFERROR(VLOOKUP($X$94&amp;"-"&amp;$AH129,AnswerKey[],4,FALSE),"")</f>
        <v/>
      </c>
      <c r="AJ129" s="2" t="str">
        <f t="shared" si="13"/>
        <v/>
      </c>
    </row>
    <row r="130" spans="1:36">
      <c r="A130" s="225"/>
      <c r="B130" s="225"/>
      <c r="C130" s="225"/>
      <c r="D130" s="223" t="str">
        <f>IFERROR(INDEX(Category[],MATCH(Z130,Info!G:G,0)-1,2), "")</f>
        <v/>
      </c>
      <c r="E130" s="223"/>
      <c r="F130" s="223"/>
      <c r="G130" s="223"/>
      <c r="H130" s="223"/>
      <c r="I130" s="223"/>
      <c r="J130" s="223"/>
      <c r="K130" s="223"/>
      <c r="L130" s="223"/>
      <c r="M130" s="225" t="str">
        <f t="shared" si="8"/>
        <v/>
      </c>
      <c r="N130" s="225"/>
      <c r="O130" s="225" t="str">
        <f t="shared" si="9"/>
        <v/>
      </c>
      <c r="P130" s="225"/>
      <c r="Q130" s="225"/>
      <c r="R130" s="225"/>
      <c r="S130" s="225" t="str">
        <f>IFERROR(IF(INDEX($U$100:$U$126,ROW(31:31))="","",INDEX(Cat_O,MATCH($Z130,CatData!$A$1:$A$41,0),MATCH($O$4,CatData!$1:$1,0))), "")</f>
        <v/>
      </c>
      <c r="T130" s="225"/>
      <c r="U130" s="225" t="str">
        <f>IFERROR(IF(INDEX(Cat_Data,MATCH($Z130,CatData!$A$43:$A$81,0)+31,MATCH($O$4,CatData!$1:$1,0))=0,"",INDEX(Cat_Data,MATCH($Z130,CatData!$A$43:$A$81,0)+31,MATCH($O$4,CatData!$1:$1,0))), "")</f>
        <v/>
      </c>
      <c r="V130" s="225"/>
      <c r="W130" s="225" t="str">
        <f t="shared" si="14"/>
        <v/>
      </c>
      <c r="X130" s="225"/>
      <c r="Y130" s="88"/>
      <c r="Z130" s="8"/>
      <c r="AB130" s="2">
        <v>32</v>
      </c>
      <c r="AC130" s="2" t="str">
        <f>IFERROR(VLOOKUP($X$94&amp;"-"&amp;$AB130,AnswerKey[],4,FALSE),"")</f>
        <v/>
      </c>
      <c r="AD130" s="2" t="str">
        <f t="shared" si="7"/>
        <v/>
      </c>
      <c r="AE130" s="2">
        <v>66</v>
      </c>
      <c r="AF130" s="2" t="str">
        <f>IFERROR(VLOOKUP($X$94&amp;"-"&amp;$AE130,AnswerKey[],4,FALSE),"")</f>
        <v/>
      </c>
      <c r="AG130" s="2" t="str">
        <f t="shared" si="12"/>
        <v/>
      </c>
      <c r="AH130" s="2">
        <v>100</v>
      </c>
      <c r="AI130" s="2" t="str">
        <f>IFERROR(VLOOKUP($X$94&amp;"-"&amp;$AH130,AnswerKey[],4,FALSE),"")</f>
        <v/>
      </c>
      <c r="AJ130" s="2" t="str">
        <f t="shared" si="13"/>
        <v/>
      </c>
    </row>
    <row r="131" spans="1:36">
      <c r="A131" s="225"/>
      <c r="B131" s="225"/>
      <c r="C131" s="225"/>
      <c r="D131" s="223" t="str">
        <f>IFERROR(INDEX(Category[],MATCH(Z131,Info!G:G,0)-1,2), "")</f>
        <v/>
      </c>
      <c r="E131" s="223"/>
      <c r="F131" s="223"/>
      <c r="G131" s="223"/>
      <c r="H131" s="223"/>
      <c r="I131" s="223"/>
      <c r="J131" s="223"/>
      <c r="K131" s="223"/>
      <c r="L131" s="223"/>
      <c r="M131" s="225" t="str">
        <f t="shared" si="8"/>
        <v/>
      </c>
      <c r="N131" s="225"/>
      <c r="O131" s="225" t="str">
        <f t="shared" si="9"/>
        <v/>
      </c>
      <c r="P131" s="225"/>
      <c r="Q131" s="225"/>
      <c r="R131" s="225"/>
      <c r="S131" s="225" t="str">
        <f>IFERROR(IF(INDEX($U$100:$U$126,ROW(32:32))="","",INDEX(Cat_O,MATCH($Z131,CatData!$A$1:$A$41,0),MATCH($O$4,CatData!$1:$1,0))), "")</f>
        <v/>
      </c>
      <c r="T131" s="225"/>
      <c r="U131" s="225" t="str">
        <f>IFERROR(IF(INDEX(Cat_Data,MATCH($Z131,CatData!$A$43:$A$81,0)+31,MATCH($O$4,CatData!$1:$1,0))=0,"",INDEX(Cat_Data,MATCH($Z131,CatData!$A$43:$A$81,0)+31,MATCH($O$4,CatData!$1:$1,0))), "")</f>
        <v/>
      </c>
      <c r="V131" s="225"/>
      <c r="W131" s="225" t="str">
        <f t="shared" si="14"/>
        <v/>
      </c>
      <c r="X131" s="225"/>
      <c r="Y131" s="88"/>
      <c r="Z131" s="8"/>
      <c r="AB131" s="2">
        <v>33</v>
      </c>
      <c r="AC131" s="2" t="str">
        <f>IFERROR(VLOOKUP($X$94&amp;"-"&amp;$AB131,AnswerKey[],4,FALSE),"")</f>
        <v/>
      </c>
      <c r="AD131" s="2" t="str">
        <f t="shared" si="7"/>
        <v/>
      </c>
      <c r="AE131" s="2">
        <v>67</v>
      </c>
      <c r="AF131" s="2" t="str">
        <f>IFERROR(VLOOKUP($X$94&amp;"-"&amp;$AE131,AnswerKey[],4,FALSE),"")</f>
        <v/>
      </c>
      <c r="AG131" s="2" t="str">
        <f t="shared" si="12"/>
        <v/>
      </c>
    </row>
    <row r="132" spans="1:36">
      <c r="A132" s="225"/>
      <c r="B132" s="225"/>
      <c r="C132" s="225"/>
      <c r="D132" s="223" t="str">
        <f>IFERROR(INDEX(Category[],MATCH(Z132,Info!G:G,0)-1,2), "")</f>
        <v/>
      </c>
      <c r="E132" s="223"/>
      <c r="F132" s="223"/>
      <c r="G132" s="223"/>
      <c r="H132" s="223"/>
      <c r="I132" s="223"/>
      <c r="J132" s="223"/>
      <c r="K132" s="223"/>
      <c r="L132" s="223"/>
      <c r="M132" s="225" t="str">
        <f t="shared" si="8"/>
        <v/>
      </c>
      <c r="N132" s="225"/>
      <c r="O132" s="225" t="str">
        <f t="shared" si="9"/>
        <v/>
      </c>
      <c r="P132" s="225"/>
      <c r="Q132" s="225"/>
      <c r="R132" s="225"/>
      <c r="S132" s="225" t="str">
        <f>IFERROR(IF(INDEX($U$100:$U$126,ROW(33:33))="","",INDEX(Cat_O,MATCH($Z132,CatData!$A$1:$A$41,0),MATCH($O$4,CatData!$1:$1,0))), "")</f>
        <v/>
      </c>
      <c r="T132" s="225"/>
      <c r="U132" s="225" t="str">
        <f>IFERROR(IF(INDEX(Cat_Data,MATCH($Z132,CatData!$A$43:$A$81,0)+31,MATCH($O$4,CatData!$1:$1,0))=0,"",INDEX(Cat_Data,MATCH($Z132,CatData!$A$43:$A$81,0)+31,MATCH($O$4,CatData!$1:$1,0))), "")</f>
        <v/>
      </c>
      <c r="V132" s="225"/>
      <c r="W132" s="225" t="str">
        <f t="shared" si="14"/>
        <v/>
      </c>
      <c r="X132" s="225"/>
      <c r="Y132" s="88"/>
      <c r="Z132" s="8"/>
      <c r="AB132" s="2">
        <v>34</v>
      </c>
      <c r="AC132" s="2" t="str">
        <f>IFERROR(VLOOKUP($X$94&amp;"-"&amp;$AB132,AnswerKey[],4,FALSE),"")</f>
        <v/>
      </c>
      <c r="AD132" s="2" t="str">
        <f t="shared" si="7"/>
        <v/>
      </c>
      <c r="AE132" s="2">
        <v>68</v>
      </c>
      <c r="AF132" s="2" t="str">
        <f>IFERROR(VLOOKUP($X$94&amp;"-"&amp;$AE132,AnswerKey[],4,FALSE),"")</f>
        <v/>
      </c>
      <c r="AG132" s="2" t="str">
        <f t="shared" si="12"/>
        <v/>
      </c>
    </row>
    <row r="133" spans="1:36">
      <c r="A133" s="225"/>
      <c r="B133" s="225"/>
      <c r="C133" s="225"/>
      <c r="D133" s="223" t="str">
        <f>IFERROR(INDEX(Category[],MATCH(Z133,Info!G:G,0)-1,2), "")</f>
        <v/>
      </c>
      <c r="E133" s="223"/>
      <c r="F133" s="223"/>
      <c r="G133" s="223"/>
      <c r="H133" s="223"/>
      <c r="I133" s="223"/>
      <c r="J133" s="223"/>
      <c r="K133" s="223"/>
      <c r="L133" s="223"/>
      <c r="M133" s="225" t="str">
        <f t="shared" si="8"/>
        <v/>
      </c>
      <c r="N133" s="225"/>
      <c r="O133" s="225" t="str">
        <f t="shared" si="9"/>
        <v/>
      </c>
      <c r="P133" s="225"/>
      <c r="Q133" s="225"/>
      <c r="R133" s="225"/>
      <c r="S133" s="225" t="str">
        <f>IFERROR(IF(INDEX($U$100:$U$126,ROW(34:34))="","",INDEX(Cat_O,MATCH($Z133,CatData!$A$1:$A$41,0),MATCH($O$4,CatData!$1:$1,0))), "")</f>
        <v/>
      </c>
      <c r="T133" s="225"/>
      <c r="U133" s="225" t="str">
        <f>IFERROR(IF(INDEX(Cat_Data,MATCH($Z133,CatData!$A$43:$A$81,0)+31,MATCH($O$4,CatData!$1:$1,0))=0,"",INDEX(Cat_Data,MATCH($Z133,CatData!$A$43:$A$81,0)+31,MATCH($O$4,CatData!$1:$1,0))), "")</f>
        <v/>
      </c>
      <c r="V133" s="225"/>
      <c r="W133" s="225" t="str">
        <f t="shared" si="14"/>
        <v/>
      </c>
      <c r="X133" s="225"/>
      <c r="Y133" s="88"/>
      <c r="Z133" s="8"/>
    </row>
    <row r="134" spans="1:36">
      <c r="A134" s="225"/>
      <c r="B134" s="225"/>
      <c r="C134" s="225"/>
      <c r="D134" s="223" t="str">
        <f>IFERROR(INDEX(Category[],MATCH(Z134,Info!G:G,0)-1,2), "")</f>
        <v/>
      </c>
      <c r="E134" s="223"/>
      <c r="F134" s="223"/>
      <c r="G134" s="223"/>
      <c r="H134" s="223"/>
      <c r="I134" s="223"/>
      <c r="J134" s="223"/>
      <c r="K134" s="223"/>
      <c r="L134" s="223"/>
      <c r="M134" s="225" t="str">
        <f t="shared" si="8"/>
        <v/>
      </c>
      <c r="N134" s="225"/>
      <c r="O134" s="225" t="str">
        <f t="shared" si="9"/>
        <v/>
      </c>
      <c r="P134" s="225"/>
      <c r="Q134" s="225"/>
      <c r="R134" s="225"/>
      <c r="S134" s="225" t="str">
        <f>IFERROR(IF(INDEX($U$100:$U$126,ROW(35:35))="","",INDEX(Cat_O,MATCH($Z134,CatData!$A$1:$A$41,0),MATCH($O$4,CatData!$1:$1,0))), "")</f>
        <v/>
      </c>
      <c r="T134" s="225"/>
      <c r="U134" s="225" t="str">
        <f>IFERROR(IF(INDEX(Cat_Data,MATCH($Z134,CatData!$A$43:$A$81,0)+31,MATCH($O$4,CatData!$1:$1,0))=0,"",INDEX(Cat_Data,MATCH($Z134,CatData!$A$43:$A$81,0)+31,MATCH($O$4,CatData!$1:$1,0))), "")</f>
        <v/>
      </c>
      <c r="V134" s="225"/>
      <c r="W134" s="225" t="str">
        <f t="shared" si="14"/>
        <v/>
      </c>
      <c r="X134" s="225"/>
      <c r="Y134" s="88"/>
      <c r="Z134" s="8"/>
    </row>
    <row r="135" spans="1:36">
      <c r="A135" s="225"/>
      <c r="B135" s="225"/>
      <c r="C135" s="225"/>
      <c r="D135" s="223" t="str">
        <f>IFERROR(INDEX(Category[],MATCH(Z135,Info!G:G,0)-1,2), "")</f>
        <v/>
      </c>
      <c r="E135" s="223"/>
      <c r="F135" s="223"/>
      <c r="G135" s="223"/>
      <c r="H135" s="223"/>
      <c r="I135" s="223"/>
      <c r="J135" s="223"/>
      <c r="K135" s="223"/>
      <c r="L135" s="223"/>
      <c r="M135" s="225" t="str">
        <f t="shared" si="8"/>
        <v/>
      </c>
      <c r="N135" s="225"/>
      <c r="O135" s="225" t="str">
        <f t="shared" si="9"/>
        <v/>
      </c>
      <c r="P135" s="225"/>
      <c r="Q135" s="225"/>
      <c r="R135" s="225"/>
      <c r="S135" s="225" t="str">
        <f>IFERROR(IF(INDEX($U$100:$U$126,ROW(36:36))="","",INDEX(Cat_O,MATCH($Z135,CatData!$A$1:$A$41,0),MATCH($O$4,CatData!$1:$1,0))), "")</f>
        <v/>
      </c>
      <c r="T135" s="225"/>
      <c r="U135" s="225" t="str">
        <f>IFERROR(IF(INDEX(Cat_Data,MATCH($Z135,CatData!$A$43:$A$81,0)+31,MATCH($O$4,CatData!$1:$1,0))=0,"",INDEX(Cat_Data,MATCH($Z135,CatData!$A$43:$A$81,0)+31,MATCH($O$4,CatData!$1:$1,0))), "")</f>
        <v/>
      </c>
      <c r="V135" s="225"/>
      <c r="W135" s="225" t="str">
        <f t="shared" si="14"/>
        <v/>
      </c>
      <c r="X135" s="225"/>
      <c r="Y135" s="88"/>
      <c r="Z135" s="8"/>
      <c r="AA135" s="2">
        <v>1</v>
      </c>
      <c r="AB135" s="2" t="str">
        <f>IF(D55="X",$X$4&amp;"Q"&amp;A55,"")</f>
        <v/>
      </c>
    </row>
    <row r="136" spans="1:36">
      <c r="A136" s="225"/>
      <c r="B136" s="225"/>
      <c r="C136" s="225"/>
      <c r="D136" s="223" t="str">
        <f>IFERROR(INDEX(Category[],MATCH(Z136,Info!G:G,0)-1,2), "")</f>
        <v/>
      </c>
      <c r="E136" s="223"/>
      <c r="F136" s="223"/>
      <c r="G136" s="223"/>
      <c r="H136" s="223"/>
      <c r="I136" s="223"/>
      <c r="J136" s="223"/>
      <c r="K136" s="223"/>
      <c r="L136" s="223"/>
      <c r="M136" s="225" t="str">
        <f t="shared" si="8"/>
        <v/>
      </c>
      <c r="N136" s="225"/>
      <c r="O136" s="225" t="str">
        <f t="shared" si="9"/>
        <v/>
      </c>
      <c r="P136" s="225"/>
      <c r="Q136" s="225"/>
      <c r="R136" s="225"/>
      <c r="S136" s="225" t="str">
        <f>IFERROR(IF(INDEX($U$100:$U$126,ROW(37:37))="","",INDEX(Cat_O,MATCH($Z136,CatData!$A$1:$A$41,0),MATCH($O$4,CatData!$1:$1,0))), "")</f>
        <v/>
      </c>
      <c r="T136" s="225"/>
      <c r="U136" s="225" t="str">
        <f>IFERROR(IF(INDEX(Cat_Data,MATCH($Z136,CatData!$A$43:$A$81,0)+31,MATCH($O$4,CatData!$1:$1,0))=0,"",INDEX(Cat_Data,MATCH($Z136,CatData!$A$43:$A$81,0)+31,MATCH($O$4,CatData!$1:$1,0))), "")</f>
        <v/>
      </c>
      <c r="V136" s="225"/>
      <c r="W136" s="225" t="str">
        <f t="shared" si="14"/>
        <v/>
      </c>
      <c r="X136" s="225"/>
      <c r="Y136" s="88"/>
      <c r="Z136" s="25"/>
      <c r="AA136" s="2">
        <v>2</v>
      </c>
      <c r="AB136" s="2" t="str">
        <f>IF(D56="X",$X$4&amp;"Q"&amp;A56,"")</f>
        <v/>
      </c>
    </row>
    <row r="137" spans="1:36">
      <c r="A137" s="225"/>
      <c r="B137" s="225"/>
      <c r="C137" s="225"/>
      <c r="D137" s="223" t="str">
        <f>IFERROR(INDEX(Category[],MATCH(Z137,Info!G:G,0)-1,2), "")</f>
        <v/>
      </c>
      <c r="E137" s="223"/>
      <c r="F137" s="223"/>
      <c r="G137" s="223"/>
      <c r="H137" s="223"/>
      <c r="I137" s="223"/>
      <c r="J137" s="223"/>
      <c r="K137" s="223"/>
      <c r="L137" s="223"/>
      <c r="M137" s="225" t="str">
        <f t="shared" si="8"/>
        <v/>
      </c>
      <c r="N137" s="225"/>
      <c r="O137" s="225" t="str">
        <f t="shared" si="9"/>
        <v/>
      </c>
      <c r="P137" s="225"/>
      <c r="Q137" s="225"/>
      <c r="R137" s="225"/>
      <c r="S137" s="225" t="str">
        <f>IFERROR(IF(INDEX($U$100:$U$126,ROW(38:38))="","",INDEX(Cat_O,MATCH($Z137,CatData!$A$1:$A$41,0),MATCH($O$4,CatData!$1:$1,0))), "")</f>
        <v/>
      </c>
      <c r="T137" s="225"/>
      <c r="U137" s="225" t="str">
        <f>IFERROR(IF(INDEX(Cat_Data,MATCH($Z137,CatData!$A$43:$A$81,0)+31,MATCH($O$4,CatData!$1:$1,0))=0,"",INDEX(Cat_Data,MATCH($Z137,CatData!$A$43:$A$81,0)+31,MATCH($O$4,CatData!$1:$1,0))), "")</f>
        <v/>
      </c>
      <c r="V137" s="225"/>
      <c r="W137" s="225" t="str">
        <f t="shared" si="14"/>
        <v/>
      </c>
      <c r="X137" s="225"/>
      <c r="Y137" s="88"/>
      <c r="Z137" s="25"/>
      <c r="AA137" s="2">
        <v>3</v>
      </c>
      <c r="AB137" s="2" t="str">
        <f>IF(D57="X",$X$4&amp;"Q"&amp;A57,"")</f>
        <v/>
      </c>
    </row>
    <row r="138" spans="1:36" ht="15" customHeight="1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Z138" s="25"/>
      <c r="AA138" s="2">
        <v>4</v>
      </c>
      <c r="AB138" s="2" t="str">
        <f t="shared" ref="AB138:AB168" si="15">IF(D58="X",$X$4&amp;"Q"&amp;A58,"")</f>
        <v/>
      </c>
    </row>
    <row r="139" spans="1:36" ht="15" customHeight="1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Z139" s="8"/>
      <c r="AA139" s="2">
        <v>5</v>
      </c>
      <c r="AB139" s="2" t="str">
        <f t="shared" si="15"/>
        <v/>
      </c>
    </row>
    <row r="140" spans="1:36" ht="15" customHeight="1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Z140" s="8"/>
      <c r="AA140" s="2">
        <v>6</v>
      </c>
      <c r="AB140" s="2" t="str">
        <f t="shared" si="15"/>
        <v/>
      </c>
    </row>
    <row r="141" spans="1:36" ht="15" customHeight="1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Z141" s="8"/>
      <c r="AA141" s="2">
        <v>7</v>
      </c>
      <c r="AB141" s="2" t="str">
        <f t="shared" si="15"/>
        <v/>
      </c>
    </row>
    <row r="142" spans="1:36" ht="15" customHeight="1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Z142" s="8"/>
      <c r="AA142" s="2">
        <v>8</v>
      </c>
      <c r="AB142" s="2" t="str">
        <f t="shared" si="15"/>
        <v/>
      </c>
    </row>
    <row r="143" spans="1:36" ht="15" customHeight="1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Z143" s="8"/>
      <c r="AA143" s="2">
        <v>9</v>
      </c>
      <c r="AB143" s="2" t="str">
        <f t="shared" si="15"/>
        <v/>
      </c>
    </row>
    <row r="144" spans="1:36" ht="15" customHeight="1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Z144" s="8"/>
      <c r="AA144" s="2">
        <v>10</v>
      </c>
      <c r="AB144" s="2" t="str">
        <f t="shared" si="15"/>
        <v/>
      </c>
    </row>
    <row r="145" spans="1:28" ht="15" customHeight="1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Z145" s="8"/>
      <c r="AA145" s="2">
        <v>11</v>
      </c>
      <c r="AB145" s="2" t="str">
        <f t="shared" si="15"/>
        <v/>
      </c>
    </row>
    <row r="146" spans="1:28" ht="15" customHeight="1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Z146" s="8"/>
      <c r="AA146" s="2">
        <v>12</v>
      </c>
      <c r="AB146" s="2" t="str">
        <f t="shared" si="15"/>
        <v/>
      </c>
    </row>
    <row r="147" spans="1:28" ht="15" customHeight="1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Z147" s="8"/>
      <c r="AA147" s="2">
        <v>13</v>
      </c>
      <c r="AB147" s="2" t="str">
        <f t="shared" si="15"/>
        <v/>
      </c>
    </row>
    <row r="148" spans="1:28" ht="15" customHeight="1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Z148" s="8"/>
      <c r="AA148" s="2">
        <v>14</v>
      </c>
      <c r="AB148" s="2" t="str">
        <f t="shared" si="15"/>
        <v/>
      </c>
    </row>
    <row r="149" spans="1:28" ht="15" customHeight="1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Z149" s="8"/>
      <c r="AA149" s="2">
        <v>15</v>
      </c>
      <c r="AB149" s="2" t="str">
        <f t="shared" si="15"/>
        <v/>
      </c>
    </row>
    <row r="150" spans="1:28" ht="15" customHeight="1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Z150" s="8"/>
      <c r="AA150" s="2">
        <v>16</v>
      </c>
      <c r="AB150" s="2" t="str">
        <f t="shared" si="15"/>
        <v/>
      </c>
    </row>
    <row r="151" spans="1:28" ht="15" customHeight="1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Z151" s="8"/>
      <c r="AA151" s="2">
        <v>17</v>
      </c>
      <c r="AB151" s="2" t="str">
        <f t="shared" si="15"/>
        <v/>
      </c>
    </row>
    <row r="152" spans="1:28" ht="15" customHeight="1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Z152" s="8"/>
      <c r="AA152" s="2">
        <v>18</v>
      </c>
      <c r="AB152" s="2" t="str">
        <f t="shared" si="15"/>
        <v/>
      </c>
    </row>
    <row r="153" spans="1:28" ht="15" customHeight="1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Z153" s="8"/>
      <c r="AA153" s="2">
        <v>19</v>
      </c>
      <c r="AB153" s="2" t="str">
        <f t="shared" si="15"/>
        <v/>
      </c>
    </row>
    <row r="154" spans="1:28" ht="15" customHeight="1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Z154" s="8"/>
      <c r="AA154" s="2">
        <v>20</v>
      </c>
      <c r="AB154" s="2" t="str">
        <f t="shared" si="15"/>
        <v/>
      </c>
    </row>
    <row r="155" spans="1:28" ht="15" customHeight="1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Z155" s="8"/>
      <c r="AA155" s="2">
        <v>21</v>
      </c>
      <c r="AB155" s="2" t="str">
        <f t="shared" si="15"/>
        <v/>
      </c>
    </row>
    <row r="156" spans="1:28" ht="15" customHeight="1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Z156" s="8"/>
      <c r="AA156" s="2">
        <v>22</v>
      </c>
      <c r="AB156" s="2" t="str">
        <f t="shared" si="15"/>
        <v/>
      </c>
    </row>
    <row r="157" spans="1:28" ht="15" customHeight="1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Z157" s="8"/>
      <c r="AA157" s="2">
        <v>23</v>
      </c>
      <c r="AB157" s="2" t="str">
        <f t="shared" si="15"/>
        <v/>
      </c>
    </row>
    <row r="158" spans="1:28" ht="15" customHeight="1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Z158" s="8"/>
      <c r="AA158" s="2">
        <v>24</v>
      </c>
      <c r="AB158" s="2" t="str">
        <f t="shared" si="15"/>
        <v/>
      </c>
    </row>
    <row r="159" spans="1:28">
      <c r="Z159" s="8"/>
      <c r="AA159" s="2">
        <v>25</v>
      </c>
      <c r="AB159" s="2" t="str">
        <f t="shared" si="15"/>
        <v/>
      </c>
    </row>
    <row r="160" spans="1:28">
      <c r="Z160" s="8"/>
      <c r="AA160" s="2">
        <v>26</v>
      </c>
      <c r="AB160" s="2" t="str">
        <f t="shared" si="15"/>
        <v/>
      </c>
    </row>
    <row r="161" spans="27:28">
      <c r="AA161" s="2">
        <v>27</v>
      </c>
      <c r="AB161" s="2" t="str">
        <f t="shared" si="15"/>
        <v/>
      </c>
    </row>
    <row r="162" spans="27:28">
      <c r="AA162" s="2">
        <v>28</v>
      </c>
      <c r="AB162" s="2" t="str">
        <f t="shared" si="15"/>
        <v/>
      </c>
    </row>
    <row r="163" spans="27:28">
      <c r="AA163" s="2">
        <v>29</v>
      </c>
      <c r="AB163" s="2" t="str">
        <f t="shared" si="15"/>
        <v/>
      </c>
    </row>
    <row r="164" spans="27:28">
      <c r="AA164" s="2">
        <v>30</v>
      </c>
      <c r="AB164" s="2" t="str">
        <f t="shared" si="15"/>
        <v/>
      </c>
    </row>
    <row r="165" spans="27:28">
      <c r="AA165" s="2">
        <v>31</v>
      </c>
      <c r="AB165" s="2" t="str">
        <f t="shared" si="15"/>
        <v/>
      </c>
    </row>
    <row r="166" spans="27:28">
      <c r="AA166" s="2">
        <v>32</v>
      </c>
      <c r="AB166" s="2" t="str">
        <f t="shared" si="15"/>
        <v/>
      </c>
    </row>
    <row r="167" spans="27:28">
      <c r="AA167" s="2">
        <v>33</v>
      </c>
      <c r="AB167" s="2" t="str">
        <f t="shared" si="15"/>
        <v/>
      </c>
    </row>
    <row r="168" spans="27:28">
      <c r="AA168" s="2">
        <v>34</v>
      </c>
      <c r="AB168" s="2" t="str">
        <f t="shared" si="15"/>
        <v/>
      </c>
    </row>
    <row r="169" spans="27:28">
      <c r="AA169" s="2">
        <v>35</v>
      </c>
      <c r="AB169" s="2" t="str">
        <f>IF(L55="X",$X$4&amp;"Q"&amp;I55,"")</f>
        <v/>
      </c>
    </row>
    <row r="170" spans="27:28">
      <c r="AA170" s="2">
        <v>36</v>
      </c>
      <c r="AB170" s="2" t="str">
        <f t="shared" ref="AB170:AB202" si="16">IF(L56="X",$X$4&amp;"Q"&amp;I56,"")</f>
        <v/>
      </c>
    </row>
    <row r="171" spans="27:28">
      <c r="AA171" s="2">
        <v>37</v>
      </c>
      <c r="AB171" s="2" t="str">
        <f t="shared" si="16"/>
        <v/>
      </c>
    </row>
    <row r="172" spans="27:28">
      <c r="AA172" s="2">
        <v>38</v>
      </c>
      <c r="AB172" s="2" t="str">
        <f t="shared" si="16"/>
        <v/>
      </c>
    </row>
    <row r="173" spans="27:28">
      <c r="AA173" s="2">
        <v>39</v>
      </c>
      <c r="AB173" s="2" t="str">
        <f t="shared" si="16"/>
        <v/>
      </c>
    </row>
    <row r="174" spans="27:28">
      <c r="AA174" s="2">
        <v>40</v>
      </c>
      <c r="AB174" s="2" t="str">
        <f t="shared" si="16"/>
        <v/>
      </c>
    </row>
    <row r="175" spans="27:28">
      <c r="AA175" s="2">
        <v>41</v>
      </c>
      <c r="AB175" s="2" t="str">
        <f t="shared" si="16"/>
        <v/>
      </c>
    </row>
    <row r="176" spans="27:28">
      <c r="AA176" s="2">
        <v>42</v>
      </c>
      <c r="AB176" s="2" t="str">
        <f t="shared" si="16"/>
        <v/>
      </c>
    </row>
    <row r="177" spans="27:28">
      <c r="AA177" s="2">
        <v>43</v>
      </c>
      <c r="AB177" s="2" t="str">
        <f t="shared" si="16"/>
        <v/>
      </c>
    </row>
    <row r="178" spans="27:28">
      <c r="AA178" s="2">
        <v>44</v>
      </c>
      <c r="AB178" s="2" t="str">
        <f t="shared" si="16"/>
        <v/>
      </c>
    </row>
    <row r="179" spans="27:28">
      <c r="AA179" s="2">
        <v>45</v>
      </c>
      <c r="AB179" s="2" t="str">
        <f t="shared" si="16"/>
        <v/>
      </c>
    </row>
    <row r="180" spans="27:28">
      <c r="AA180" s="2">
        <v>46</v>
      </c>
      <c r="AB180" s="2" t="str">
        <f t="shared" si="16"/>
        <v/>
      </c>
    </row>
    <row r="181" spans="27:28">
      <c r="AA181" s="2">
        <v>47</v>
      </c>
      <c r="AB181" s="2" t="str">
        <f t="shared" si="16"/>
        <v/>
      </c>
    </row>
    <row r="182" spans="27:28">
      <c r="AA182" s="2">
        <v>48</v>
      </c>
      <c r="AB182" s="2" t="str">
        <f t="shared" si="16"/>
        <v/>
      </c>
    </row>
    <row r="183" spans="27:28">
      <c r="AA183" s="2">
        <v>49</v>
      </c>
      <c r="AB183" s="2" t="str">
        <f t="shared" si="16"/>
        <v/>
      </c>
    </row>
    <row r="184" spans="27:28">
      <c r="AA184" s="2">
        <v>50</v>
      </c>
      <c r="AB184" s="2" t="str">
        <f t="shared" si="16"/>
        <v/>
      </c>
    </row>
    <row r="185" spans="27:28">
      <c r="AA185" s="2">
        <v>51</v>
      </c>
      <c r="AB185" s="2" t="str">
        <f t="shared" si="16"/>
        <v/>
      </c>
    </row>
    <row r="186" spans="27:28">
      <c r="AA186" s="2">
        <v>52</v>
      </c>
      <c r="AB186" s="2" t="str">
        <f t="shared" si="16"/>
        <v/>
      </c>
    </row>
    <row r="187" spans="27:28">
      <c r="AA187" s="2">
        <v>53</v>
      </c>
      <c r="AB187" s="2" t="str">
        <f t="shared" si="16"/>
        <v/>
      </c>
    </row>
    <row r="188" spans="27:28">
      <c r="AA188" s="2">
        <v>54</v>
      </c>
      <c r="AB188" s="2" t="str">
        <f t="shared" si="16"/>
        <v/>
      </c>
    </row>
    <row r="189" spans="27:28">
      <c r="AA189" s="2">
        <v>55</v>
      </c>
      <c r="AB189" s="2" t="str">
        <f t="shared" si="16"/>
        <v/>
      </c>
    </row>
    <row r="190" spans="27:28">
      <c r="AA190" s="2">
        <v>56</v>
      </c>
      <c r="AB190" s="2" t="str">
        <f t="shared" si="16"/>
        <v/>
      </c>
    </row>
    <row r="191" spans="27:28">
      <c r="AA191" s="2">
        <v>57</v>
      </c>
      <c r="AB191" s="2" t="str">
        <f t="shared" si="16"/>
        <v/>
      </c>
    </row>
    <row r="192" spans="27:28">
      <c r="AA192" s="2">
        <v>58</v>
      </c>
      <c r="AB192" s="2" t="str">
        <f t="shared" si="16"/>
        <v/>
      </c>
    </row>
    <row r="193" spans="27:28">
      <c r="AA193" s="2">
        <v>59</v>
      </c>
      <c r="AB193" s="2" t="str">
        <f t="shared" si="16"/>
        <v/>
      </c>
    </row>
    <row r="194" spans="27:28">
      <c r="AA194" s="2">
        <v>60</v>
      </c>
      <c r="AB194" s="2" t="str">
        <f t="shared" si="16"/>
        <v/>
      </c>
    </row>
    <row r="195" spans="27:28">
      <c r="AA195" s="2">
        <v>61</v>
      </c>
      <c r="AB195" s="2" t="str">
        <f t="shared" si="16"/>
        <v/>
      </c>
    </row>
    <row r="196" spans="27:28">
      <c r="AA196" s="2">
        <v>62</v>
      </c>
      <c r="AB196" s="2" t="str">
        <f t="shared" si="16"/>
        <v/>
      </c>
    </row>
    <row r="197" spans="27:28">
      <c r="AA197" s="2">
        <v>63</v>
      </c>
      <c r="AB197" s="2" t="str">
        <f t="shared" si="16"/>
        <v/>
      </c>
    </row>
    <row r="198" spans="27:28">
      <c r="AA198" s="2">
        <v>64</v>
      </c>
      <c r="AB198" s="2" t="str">
        <f t="shared" si="16"/>
        <v/>
      </c>
    </row>
    <row r="199" spans="27:28">
      <c r="AA199" s="2">
        <v>65</v>
      </c>
      <c r="AB199" s="2" t="str">
        <f t="shared" si="16"/>
        <v/>
      </c>
    </row>
    <row r="200" spans="27:28">
      <c r="AA200" s="2">
        <v>66</v>
      </c>
      <c r="AB200" s="2" t="str">
        <f t="shared" si="16"/>
        <v/>
      </c>
    </row>
    <row r="201" spans="27:28">
      <c r="AA201" s="2">
        <v>67</v>
      </c>
      <c r="AB201" s="2" t="str">
        <f t="shared" si="16"/>
        <v/>
      </c>
    </row>
    <row r="202" spans="27:28">
      <c r="AA202" s="2">
        <v>68</v>
      </c>
      <c r="AB202" s="2" t="str">
        <f t="shared" si="16"/>
        <v/>
      </c>
    </row>
    <row r="203" spans="27:28">
      <c r="AA203" s="2">
        <v>69</v>
      </c>
      <c r="AB203" s="2" t="str">
        <f>IF(T55="X",$X$4&amp;"Q"&amp;Q55,"")</f>
        <v/>
      </c>
    </row>
    <row r="204" spans="27:28">
      <c r="AA204" s="2">
        <v>70</v>
      </c>
      <c r="AB204" s="2" t="str">
        <f t="shared" ref="AB204:AB234" si="17">IF(T56="X",$X$4&amp;"Q"&amp;Q56,"")</f>
        <v/>
      </c>
    </row>
    <row r="205" spans="27:28">
      <c r="AA205" s="2">
        <v>71</v>
      </c>
      <c r="AB205" s="2" t="str">
        <f t="shared" si="17"/>
        <v/>
      </c>
    </row>
    <row r="206" spans="27:28">
      <c r="AA206" s="2">
        <v>72</v>
      </c>
      <c r="AB206" s="2" t="str">
        <f t="shared" si="17"/>
        <v/>
      </c>
    </row>
    <row r="207" spans="27:28">
      <c r="AA207" s="2">
        <v>73</v>
      </c>
      <c r="AB207" s="2" t="str">
        <f t="shared" si="17"/>
        <v/>
      </c>
    </row>
    <row r="208" spans="27:28">
      <c r="AA208" s="2">
        <v>74</v>
      </c>
      <c r="AB208" s="2" t="str">
        <f t="shared" si="17"/>
        <v/>
      </c>
    </row>
    <row r="209" spans="27:28">
      <c r="AA209" s="2">
        <v>75</v>
      </c>
      <c r="AB209" s="2" t="str">
        <f t="shared" si="17"/>
        <v/>
      </c>
    </row>
    <row r="210" spans="27:28">
      <c r="AA210" s="2">
        <v>76</v>
      </c>
      <c r="AB210" s="2" t="str">
        <f t="shared" si="17"/>
        <v/>
      </c>
    </row>
    <row r="211" spans="27:28">
      <c r="AA211" s="2">
        <v>77</v>
      </c>
      <c r="AB211" s="2" t="str">
        <f t="shared" si="17"/>
        <v/>
      </c>
    </row>
    <row r="212" spans="27:28">
      <c r="AA212" s="2">
        <v>78</v>
      </c>
      <c r="AB212" s="2" t="str">
        <f t="shared" si="17"/>
        <v/>
      </c>
    </row>
    <row r="213" spans="27:28">
      <c r="AA213" s="2">
        <v>79</v>
      </c>
      <c r="AB213" s="2" t="str">
        <f t="shared" si="17"/>
        <v/>
      </c>
    </row>
    <row r="214" spans="27:28">
      <c r="AA214" s="2">
        <v>80</v>
      </c>
      <c r="AB214" s="2" t="str">
        <f t="shared" si="17"/>
        <v/>
      </c>
    </row>
    <row r="215" spans="27:28">
      <c r="AA215" s="2">
        <v>81</v>
      </c>
      <c r="AB215" s="2" t="str">
        <f t="shared" si="17"/>
        <v/>
      </c>
    </row>
    <row r="216" spans="27:28">
      <c r="AA216" s="2">
        <v>82</v>
      </c>
      <c r="AB216" s="2" t="str">
        <f t="shared" si="17"/>
        <v/>
      </c>
    </row>
    <row r="217" spans="27:28">
      <c r="AA217" s="2">
        <v>83</v>
      </c>
      <c r="AB217" s="2" t="str">
        <f t="shared" si="17"/>
        <v/>
      </c>
    </row>
    <row r="218" spans="27:28">
      <c r="AA218" s="2">
        <v>84</v>
      </c>
      <c r="AB218" s="2" t="str">
        <f t="shared" si="17"/>
        <v/>
      </c>
    </row>
    <row r="219" spans="27:28">
      <c r="AA219" s="2">
        <v>85</v>
      </c>
      <c r="AB219" s="2" t="str">
        <f t="shared" si="17"/>
        <v/>
      </c>
    </row>
    <row r="220" spans="27:28">
      <c r="AA220" s="2">
        <v>86</v>
      </c>
      <c r="AB220" s="2" t="str">
        <f t="shared" si="17"/>
        <v/>
      </c>
    </row>
    <row r="221" spans="27:28">
      <c r="AA221" s="2">
        <v>87</v>
      </c>
      <c r="AB221" s="2" t="str">
        <f t="shared" si="17"/>
        <v/>
      </c>
    </row>
    <row r="222" spans="27:28">
      <c r="AA222" s="2">
        <v>88</v>
      </c>
      <c r="AB222" s="2" t="str">
        <f t="shared" si="17"/>
        <v/>
      </c>
    </row>
    <row r="223" spans="27:28">
      <c r="AA223" s="2">
        <v>89</v>
      </c>
      <c r="AB223" s="2" t="str">
        <f t="shared" si="17"/>
        <v/>
      </c>
    </row>
    <row r="224" spans="27:28">
      <c r="AA224" s="2">
        <v>90</v>
      </c>
      <c r="AB224" s="2" t="str">
        <f t="shared" si="17"/>
        <v/>
      </c>
    </row>
    <row r="225" spans="27:28">
      <c r="AA225" s="2">
        <v>91</v>
      </c>
      <c r="AB225" s="2" t="str">
        <f t="shared" si="17"/>
        <v/>
      </c>
    </row>
    <row r="226" spans="27:28">
      <c r="AA226" s="2">
        <v>92</v>
      </c>
      <c r="AB226" s="2" t="str">
        <f t="shared" si="17"/>
        <v/>
      </c>
    </row>
    <row r="227" spans="27:28">
      <c r="AA227" s="2">
        <v>93</v>
      </c>
      <c r="AB227" s="2" t="str">
        <f t="shared" si="17"/>
        <v/>
      </c>
    </row>
    <row r="228" spans="27:28">
      <c r="AA228" s="2">
        <v>94</v>
      </c>
      <c r="AB228" s="2" t="str">
        <f t="shared" si="17"/>
        <v/>
      </c>
    </row>
    <row r="229" spans="27:28">
      <c r="AA229" s="2">
        <v>95</v>
      </c>
      <c r="AB229" s="2" t="str">
        <f t="shared" si="17"/>
        <v/>
      </c>
    </row>
    <row r="230" spans="27:28">
      <c r="AA230" s="2">
        <v>96</v>
      </c>
      <c r="AB230" s="2" t="str">
        <f t="shared" si="17"/>
        <v/>
      </c>
    </row>
    <row r="231" spans="27:28">
      <c r="AA231" s="2">
        <v>97</v>
      </c>
      <c r="AB231" s="2" t="str">
        <f t="shared" si="17"/>
        <v/>
      </c>
    </row>
    <row r="232" spans="27:28">
      <c r="AA232" s="2">
        <v>98</v>
      </c>
      <c r="AB232" s="2" t="str">
        <f t="shared" si="17"/>
        <v/>
      </c>
    </row>
    <row r="233" spans="27:28">
      <c r="AA233" s="2">
        <v>99</v>
      </c>
      <c r="AB233" s="2" t="str">
        <f t="shared" si="17"/>
        <v/>
      </c>
    </row>
    <row r="234" spans="27:28">
      <c r="AA234" s="2">
        <v>100</v>
      </c>
      <c r="AB234" s="2" t="str">
        <f t="shared" si="17"/>
        <v/>
      </c>
    </row>
  </sheetData>
  <sheetProtection algorithmName="SHA-512" hashValue="v7+aIjtH2zwRNsCDgWGDMwr4oN8NNVQE/A8FE5rhzJk/HnqvuZQpAjvK4Sc2Eb5nf0bfi4eg44/gbs/ocD66rQ==" saltValue="cUwpXcZdq7xyvlT64YvxLg==" spinCount="100000" sheet="1" objects="1" scenarios="1"/>
  <mergeCells count="458">
    <mergeCell ref="W136:X136"/>
    <mergeCell ref="W137:X137"/>
    <mergeCell ref="A127:C127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W127:X127"/>
    <mergeCell ref="W128:X128"/>
    <mergeCell ref="W129:X129"/>
    <mergeCell ref="W130:X130"/>
    <mergeCell ref="W131:X131"/>
    <mergeCell ref="W132:X132"/>
    <mergeCell ref="W133:X133"/>
    <mergeCell ref="W134:X134"/>
    <mergeCell ref="W135:X135"/>
    <mergeCell ref="S136:T136"/>
    <mergeCell ref="S137:T137"/>
    <mergeCell ref="U136:V136"/>
    <mergeCell ref="U137:V137"/>
    <mergeCell ref="S127:T127"/>
    <mergeCell ref="S128:T128"/>
    <mergeCell ref="S129:T129"/>
    <mergeCell ref="S130:T130"/>
    <mergeCell ref="S131:T131"/>
    <mergeCell ref="S132:T132"/>
    <mergeCell ref="S133:T133"/>
    <mergeCell ref="S134:T134"/>
    <mergeCell ref="S135:T135"/>
    <mergeCell ref="U127:V127"/>
    <mergeCell ref="U128:V128"/>
    <mergeCell ref="U129:V129"/>
    <mergeCell ref="U130:V130"/>
    <mergeCell ref="U131:V131"/>
    <mergeCell ref="U132:V132"/>
    <mergeCell ref="U133:V133"/>
    <mergeCell ref="U134:V134"/>
    <mergeCell ref="U135:V135"/>
    <mergeCell ref="O136:P136"/>
    <mergeCell ref="O137:P137"/>
    <mergeCell ref="Q127:R127"/>
    <mergeCell ref="Q128:R128"/>
    <mergeCell ref="Q129:R129"/>
    <mergeCell ref="Q130:R130"/>
    <mergeCell ref="Q131:R131"/>
    <mergeCell ref="Q132:R132"/>
    <mergeCell ref="Q133:R133"/>
    <mergeCell ref="Q134:R134"/>
    <mergeCell ref="Q135:R135"/>
    <mergeCell ref="Q136:R136"/>
    <mergeCell ref="Q137:R137"/>
    <mergeCell ref="O127:P127"/>
    <mergeCell ref="O128:P128"/>
    <mergeCell ref="O129:P129"/>
    <mergeCell ref="O130:P130"/>
    <mergeCell ref="O131:P131"/>
    <mergeCell ref="O132:P132"/>
    <mergeCell ref="O133:P133"/>
    <mergeCell ref="O134:P134"/>
    <mergeCell ref="O135:P135"/>
    <mergeCell ref="D136:L136"/>
    <mergeCell ref="D137:L137"/>
    <mergeCell ref="M127:N127"/>
    <mergeCell ref="M128:N128"/>
    <mergeCell ref="M129:N129"/>
    <mergeCell ref="M130:N130"/>
    <mergeCell ref="M131:N131"/>
    <mergeCell ref="M132:N132"/>
    <mergeCell ref="M133:N133"/>
    <mergeCell ref="M134:N134"/>
    <mergeCell ref="M135:N135"/>
    <mergeCell ref="M136:N136"/>
    <mergeCell ref="M137:N137"/>
    <mergeCell ref="D127:L127"/>
    <mergeCell ref="D128:L128"/>
    <mergeCell ref="D129:L129"/>
    <mergeCell ref="D130:L130"/>
    <mergeCell ref="D131:L131"/>
    <mergeCell ref="D132:L132"/>
    <mergeCell ref="D133:L133"/>
    <mergeCell ref="D134:L134"/>
    <mergeCell ref="D135:L135"/>
    <mergeCell ref="A120:C122"/>
    <mergeCell ref="A123:C126"/>
    <mergeCell ref="M82:O82"/>
    <mergeCell ref="M83:O83"/>
    <mergeCell ref="M84:O84"/>
    <mergeCell ref="M85:O85"/>
    <mergeCell ref="M86:O86"/>
    <mergeCell ref="M87:O87"/>
    <mergeCell ref="M88:O88"/>
    <mergeCell ref="E82:G82"/>
    <mergeCell ref="E83:G83"/>
    <mergeCell ref="E84:G84"/>
    <mergeCell ref="E85:G85"/>
    <mergeCell ref="E86:G86"/>
    <mergeCell ref="E87:G87"/>
    <mergeCell ref="E88:G88"/>
    <mergeCell ref="A91:Y91"/>
    <mergeCell ref="O93:P93"/>
    <mergeCell ref="Q93:T93"/>
    <mergeCell ref="X93:Y93"/>
    <mergeCell ref="X94:Y95"/>
    <mergeCell ref="A114:C117"/>
    <mergeCell ref="A118:C119"/>
    <mergeCell ref="U85:W85"/>
    <mergeCell ref="A106:C113"/>
    <mergeCell ref="M80:O80"/>
    <mergeCell ref="M81:O81"/>
    <mergeCell ref="M98:R98"/>
    <mergeCell ref="S98:X98"/>
    <mergeCell ref="M99:N99"/>
    <mergeCell ref="O99:P99"/>
    <mergeCell ref="Q99:R99"/>
    <mergeCell ref="S99:T99"/>
    <mergeCell ref="U99:V99"/>
    <mergeCell ref="M101:N101"/>
    <mergeCell ref="O101:P101"/>
    <mergeCell ref="Q101:R101"/>
    <mergeCell ref="S101:T101"/>
    <mergeCell ref="U101:V101"/>
    <mergeCell ref="W101:X101"/>
    <mergeCell ref="U87:W87"/>
    <mergeCell ref="U88:W88"/>
    <mergeCell ref="U82:W82"/>
    <mergeCell ref="U83:W83"/>
    <mergeCell ref="U84:W84"/>
    <mergeCell ref="U80:W80"/>
    <mergeCell ref="U81:W81"/>
    <mergeCell ref="W99:X99"/>
    <mergeCell ref="U72:W72"/>
    <mergeCell ref="U73:W73"/>
    <mergeCell ref="U74:W74"/>
    <mergeCell ref="U75:W75"/>
    <mergeCell ref="M77:O77"/>
    <mergeCell ref="A100:C105"/>
    <mergeCell ref="O94:P95"/>
    <mergeCell ref="Q94:T95"/>
    <mergeCell ref="A97:I97"/>
    <mergeCell ref="E81:G81"/>
    <mergeCell ref="E77:G77"/>
    <mergeCell ref="E78:G78"/>
    <mergeCell ref="E79:G79"/>
    <mergeCell ref="E80:G80"/>
    <mergeCell ref="M78:O78"/>
    <mergeCell ref="M79:O79"/>
    <mergeCell ref="W97:Y97"/>
    <mergeCell ref="U93:W93"/>
    <mergeCell ref="U94:W95"/>
    <mergeCell ref="U86:W86"/>
    <mergeCell ref="U76:W76"/>
    <mergeCell ref="U77:W77"/>
    <mergeCell ref="U78:W78"/>
    <mergeCell ref="U79:W79"/>
    <mergeCell ref="U67:W67"/>
    <mergeCell ref="U68:W68"/>
    <mergeCell ref="U69:W69"/>
    <mergeCell ref="U70:W70"/>
    <mergeCell ref="U71:W71"/>
    <mergeCell ref="U54:W54"/>
    <mergeCell ref="U55:W55"/>
    <mergeCell ref="U56:W56"/>
    <mergeCell ref="U57:W57"/>
    <mergeCell ref="U58:W58"/>
    <mergeCell ref="U59:W59"/>
    <mergeCell ref="U60:W60"/>
    <mergeCell ref="U61:W61"/>
    <mergeCell ref="U62:W62"/>
    <mergeCell ref="M72:O72"/>
    <mergeCell ref="M73:O73"/>
    <mergeCell ref="M74:O74"/>
    <mergeCell ref="M75:O75"/>
    <mergeCell ref="M76:O76"/>
    <mergeCell ref="E72:G72"/>
    <mergeCell ref="E75:G75"/>
    <mergeCell ref="E76:G76"/>
    <mergeCell ref="E73:G73"/>
    <mergeCell ref="E74:G74"/>
    <mergeCell ref="E64:G64"/>
    <mergeCell ref="E65:G65"/>
    <mergeCell ref="E66:G66"/>
    <mergeCell ref="E67:G67"/>
    <mergeCell ref="E68:G68"/>
    <mergeCell ref="E69:G69"/>
    <mergeCell ref="E70:G70"/>
    <mergeCell ref="E71:G71"/>
    <mergeCell ref="M69:O69"/>
    <mergeCell ref="M70:O70"/>
    <mergeCell ref="M71:O71"/>
    <mergeCell ref="M67:O67"/>
    <mergeCell ref="M68:O68"/>
    <mergeCell ref="O50:P51"/>
    <mergeCell ref="Q50:T51"/>
    <mergeCell ref="U50:W51"/>
    <mergeCell ref="E54:G54"/>
    <mergeCell ref="E55:G55"/>
    <mergeCell ref="X50:Y51"/>
    <mergeCell ref="A53:I53"/>
    <mergeCell ref="W53:Y53"/>
    <mergeCell ref="M63:O63"/>
    <mergeCell ref="E56:G56"/>
    <mergeCell ref="E57:G57"/>
    <mergeCell ref="E58:G58"/>
    <mergeCell ref="E59:G59"/>
    <mergeCell ref="E60:G60"/>
    <mergeCell ref="E61:G61"/>
    <mergeCell ref="E62:G62"/>
    <mergeCell ref="M62:O62"/>
    <mergeCell ref="U63:W63"/>
    <mergeCell ref="E63:G63"/>
    <mergeCell ref="M54:O54"/>
    <mergeCell ref="M55:O55"/>
    <mergeCell ref="M56:O56"/>
    <mergeCell ref="M57:O57"/>
    <mergeCell ref="M58:O58"/>
    <mergeCell ref="M59:O59"/>
    <mergeCell ref="M60:O60"/>
    <mergeCell ref="M61:O61"/>
    <mergeCell ref="M64:O64"/>
    <mergeCell ref="M65:O65"/>
    <mergeCell ref="M66:O66"/>
    <mergeCell ref="U64:W64"/>
    <mergeCell ref="U65:W65"/>
    <mergeCell ref="U66:W66"/>
    <mergeCell ref="X49:Y49"/>
    <mergeCell ref="U9:Y9"/>
    <mergeCell ref="U10:Y11"/>
    <mergeCell ref="S9:T9"/>
    <mergeCell ref="S10:T11"/>
    <mergeCell ref="O37:X37"/>
    <mergeCell ref="O38:X38"/>
    <mergeCell ref="O39:X39"/>
    <mergeCell ref="O40:X40"/>
    <mergeCell ref="O41:X41"/>
    <mergeCell ref="O42:X42"/>
    <mergeCell ref="O49:P49"/>
    <mergeCell ref="Q49:T49"/>
    <mergeCell ref="U49:W49"/>
    <mergeCell ref="A1:Y1"/>
    <mergeCell ref="O3:P3"/>
    <mergeCell ref="Q3:T3"/>
    <mergeCell ref="X3:Y3"/>
    <mergeCell ref="O4:P5"/>
    <mergeCell ref="Q4:T5"/>
    <mergeCell ref="X4:Y5"/>
    <mergeCell ref="U3:W3"/>
    <mergeCell ref="U4:W5"/>
    <mergeCell ref="A7:I7"/>
    <mergeCell ref="W7:Y7"/>
    <mergeCell ref="A10:B11"/>
    <mergeCell ref="C10:D11"/>
    <mergeCell ref="E10:F11"/>
    <mergeCell ref="G10:H11"/>
    <mergeCell ref="I10:L11"/>
    <mergeCell ref="A27:I27"/>
    <mergeCell ref="A47:Y47"/>
    <mergeCell ref="O29:V29"/>
    <mergeCell ref="O30:V30"/>
    <mergeCell ref="O31:V31"/>
    <mergeCell ref="O32:V32"/>
    <mergeCell ref="O33:V33"/>
    <mergeCell ref="O34:V34"/>
    <mergeCell ref="O35:V35"/>
    <mergeCell ref="A9:B9"/>
    <mergeCell ref="C9:D9"/>
    <mergeCell ref="E9:F9"/>
    <mergeCell ref="G9:H9"/>
    <mergeCell ref="I9:L9"/>
    <mergeCell ref="D100:L100"/>
    <mergeCell ref="M100:N100"/>
    <mergeCell ref="O100:P100"/>
    <mergeCell ref="Q100:R100"/>
    <mergeCell ref="S100:T100"/>
    <mergeCell ref="U100:V100"/>
    <mergeCell ref="W100:X100"/>
    <mergeCell ref="D101:L101"/>
    <mergeCell ref="A98:L99"/>
    <mergeCell ref="W102:X102"/>
    <mergeCell ref="D103:L103"/>
    <mergeCell ref="M103:N103"/>
    <mergeCell ref="O103:P103"/>
    <mergeCell ref="Q103:R103"/>
    <mergeCell ref="S103:T103"/>
    <mergeCell ref="U103:V103"/>
    <mergeCell ref="W103:X103"/>
    <mergeCell ref="D102:L102"/>
    <mergeCell ref="M102:N102"/>
    <mergeCell ref="O102:P102"/>
    <mergeCell ref="Q102:R102"/>
    <mergeCell ref="S102:T102"/>
    <mergeCell ref="U102:V102"/>
    <mergeCell ref="W104:X104"/>
    <mergeCell ref="D105:L105"/>
    <mergeCell ref="M105:N105"/>
    <mergeCell ref="O105:P105"/>
    <mergeCell ref="Q105:R105"/>
    <mergeCell ref="S105:T105"/>
    <mergeCell ref="U105:V105"/>
    <mergeCell ref="W105:X105"/>
    <mergeCell ref="D104:L104"/>
    <mergeCell ref="M104:N104"/>
    <mergeCell ref="O104:P104"/>
    <mergeCell ref="Q104:R104"/>
    <mergeCell ref="S104:T104"/>
    <mergeCell ref="U104:V104"/>
    <mergeCell ref="M108:N108"/>
    <mergeCell ref="O108:P108"/>
    <mergeCell ref="Q108:R108"/>
    <mergeCell ref="S108:T108"/>
    <mergeCell ref="U108:V108"/>
    <mergeCell ref="W108:X108"/>
    <mergeCell ref="W106:X106"/>
    <mergeCell ref="D107:L107"/>
    <mergeCell ref="M107:N107"/>
    <mergeCell ref="O107:P107"/>
    <mergeCell ref="Q107:R107"/>
    <mergeCell ref="S107:T107"/>
    <mergeCell ref="U107:V107"/>
    <mergeCell ref="W107:X107"/>
    <mergeCell ref="D108:L108"/>
    <mergeCell ref="D106:L106"/>
    <mergeCell ref="M106:N106"/>
    <mergeCell ref="O106:P106"/>
    <mergeCell ref="Q106:R106"/>
    <mergeCell ref="S106:T106"/>
    <mergeCell ref="U106:V106"/>
    <mergeCell ref="W109:X109"/>
    <mergeCell ref="D110:L110"/>
    <mergeCell ref="M110:N110"/>
    <mergeCell ref="O110:P110"/>
    <mergeCell ref="Q110:R110"/>
    <mergeCell ref="S110:T110"/>
    <mergeCell ref="U110:V110"/>
    <mergeCell ref="W110:X110"/>
    <mergeCell ref="D109:L109"/>
    <mergeCell ref="M109:N109"/>
    <mergeCell ref="O109:P109"/>
    <mergeCell ref="Q109:R109"/>
    <mergeCell ref="S109:T109"/>
    <mergeCell ref="U109:V109"/>
    <mergeCell ref="U111:V111"/>
    <mergeCell ref="W111:X111"/>
    <mergeCell ref="D112:L112"/>
    <mergeCell ref="M112:N112"/>
    <mergeCell ref="O112:P112"/>
    <mergeCell ref="Q112:R112"/>
    <mergeCell ref="S112:T112"/>
    <mergeCell ref="U112:V112"/>
    <mergeCell ref="W112:X112"/>
    <mergeCell ref="D111:L111"/>
    <mergeCell ref="M111:N111"/>
    <mergeCell ref="O111:P111"/>
    <mergeCell ref="Q111:R111"/>
    <mergeCell ref="S111:T111"/>
    <mergeCell ref="S113:T113"/>
    <mergeCell ref="U113:V113"/>
    <mergeCell ref="W113:X113"/>
    <mergeCell ref="D114:L114"/>
    <mergeCell ref="M114:N114"/>
    <mergeCell ref="O114:P114"/>
    <mergeCell ref="Q114:R114"/>
    <mergeCell ref="S114:T114"/>
    <mergeCell ref="U114:V114"/>
    <mergeCell ref="W114:X114"/>
    <mergeCell ref="D113:L113"/>
    <mergeCell ref="M113:N113"/>
    <mergeCell ref="O113:P113"/>
    <mergeCell ref="Q113:R113"/>
    <mergeCell ref="W115:X115"/>
    <mergeCell ref="D116:L116"/>
    <mergeCell ref="M116:N116"/>
    <mergeCell ref="O116:P116"/>
    <mergeCell ref="Q116:R116"/>
    <mergeCell ref="S116:T116"/>
    <mergeCell ref="U116:V116"/>
    <mergeCell ref="W116:X116"/>
    <mergeCell ref="D115:L115"/>
    <mergeCell ref="M115:N115"/>
    <mergeCell ref="O115:P115"/>
    <mergeCell ref="Q115:R115"/>
    <mergeCell ref="S115:T115"/>
    <mergeCell ref="U115:V115"/>
    <mergeCell ref="W117:X117"/>
    <mergeCell ref="D118:L118"/>
    <mergeCell ref="M118:N118"/>
    <mergeCell ref="O118:P118"/>
    <mergeCell ref="Q118:R118"/>
    <mergeCell ref="S118:T118"/>
    <mergeCell ref="U118:V118"/>
    <mergeCell ref="W118:X118"/>
    <mergeCell ref="D117:L117"/>
    <mergeCell ref="M117:N117"/>
    <mergeCell ref="O117:P117"/>
    <mergeCell ref="Q117:R117"/>
    <mergeCell ref="S117:T117"/>
    <mergeCell ref="U117:V117"/>
    <mergeCell ref="W119:X119"/>
    <mergeCell ref="D120:L120"/>
    <mergeCell ref="M120:N120"/>
    <mergeCell ref="O120:P120"/>
    <mergeCell ref="Q120:R120"/>
    <mergeCell ref="S120:T120"/>
    <mergeCell ref="U120:V120"/>
    <mergeCell ref="W120:X120"/>
    <mergeCell ref="D119:L119"/>
    <mergeCell ref="M119:N119"/>
    <mergeCell ref="O119:P119"/>
    <mergeCell ref="Q119:R119"/>
    <mergeCell ref="S119:T119"/>
    <mergeCell ref="U119:V119"/>
    <mergeCell ref="D123:L123"/>
    <mergeCell ref="M123:N123"/>
    <mergeCell ref="O123:P123"/>
    <mergeCell ref="Q123:R123"/>
    <mergeCell ref="S123:T123"/>
    <mergeCell ref="U123:V123"/>
    <mergeCell ref="W121:X121"/>
    <mergeCell ref="D122:L122"/>
    <mergeCell ref="M122:N122"/>
    <mergeCell ref="O122:P122"/>
    <mergeCell ref="Q122:R122"/>
    <mergeCell ref="S122:T122"/>
    <mergeCell ref="U122:V122"/>
    <mergeCell ref="W122:X122"/>
    <mergeCell ref="D121:L121"/>
    <mergeCell ref="M121:N121"/>
    <mergeCell ref="O121:P121"/>
    <mergeCell ref="Q121:R121"/>
    <mergeCell ref="S121:T121"/>
    <mergeCell ref="U121:V121"/>
    <mergeCell ref="W123:X123"/>
    <mergeCell ref="D124:L124"/>
    <mergeCell ref="M124:N124"/>
    <mergeCell ref="O124:P124"/>
    <mergeCell ref="Q124:R124"/>
    <mergeCell ref="S124:T124"/>
    <mergeCell ref="U124:V124"/>
    <mergeCell ref="W124:X124"/>
    <mergeCell ref="W125:X125"/>
    <mergeCell ref="D126:L126"/>
    <mergeCell ref="M126:N126"/>
    <mergeCell ref="O126:P126"/>
    <mergeCell ref="Q126:R126"/>
    <mergeCell ref="S126:T126"/>
    <mergeCell ref="U126:V126"/>
    <mergeCell ref="W126:X126"/>
    <mergeCell ref="D125:L125"/>
    <mergeCell ref="M125:N125"/>
    <mergeCell ref="O125:P125"/>
    <mergeCell ref="Q125:R125"/>
    <mergeCell ref="S125:T125"/>
    <mergeCell ref="U125:V125"/>
  </mergeCells>
  <conditionalFormatting sqref="U10">
    <cfRule type="dataBar" priority="1">
      <dataBar>
        <cfvo type="num" val="0"/>
        <cfvo type="num" val="1"/>
        <color theme="7" tint="0.39997558519241921"/>
      </dataBar>
      <extLst>
        <ext xmlns:x14="http://schemas.microsoft.com/office/spreadsheetml/2009/9/main" uri="{B025F937-C7B1-47D3-B67F-A62EFF666E3E}">
          <x14:id>{B4C5B4F0-62C9-4E2D-8280-398FB9F60476}</x14:id>
        </ext>
      </extLst>
    </cfRule>
  </conditionalFormatting>
  <pageMargins left="0.25" right="0.25" top="0.75" bottom="0.75" header="0.3" footer="0.3"/>
  <pageSetup scale="98" fitToWidth="0" fitToHeight="0" orientation="portrait" r:id="rId1"/>
  <rowBreaks count="1" manualBreakCount="1">
    <brk id="90" max="16383" man="1"/>
  </row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4C5B4F0-62C9-4E2D-8280-398FB9F6047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U10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2192AB-CFD2-4B9C-ACEB-74E9613A6A87}">
  <sheetPr codeName="Sheet3"/>
  <dimension ref="A1:A110"/>
  <sheetViews>
    <sheetView workbookViewId="0">
      <pane xSplit="1" ySplit="10" topLeftCell="B11" activePane="bottomRight" state="frozen"/>
      <selection activeCell="A2" sqref="A2"/>
      <selection pane="topRight" activeCell="A2" sqref="A2"/>
      <selection pane="bottomLeft" activeCell="A2" sqref="A2"/>
      <selection pane="bottomRight" activeCell="B1" sqref="B1:B1048576"/>
    </sheetView>
  </sheetViews>
  <sheetFormatPr defaultColWidth="9.109375" defaultRowHeight="14.4"/>
  <cols>
    <col min="1" max="1" width="7.5546875" style="20" bestFit="1" customWidth="1"/>
    <col min="2" max="16384" width="9.109375" style="22"/>
  </cols>
  <sheetData>
    <row r="1" spans="1:1">
      <c r="A1" s="79" t="s">
        <v>65</v>
      </c>
    </row>
    <row r="2" spans="1:1">
      <c r="A2" s="79" t="s">
        <v>63</v>
      </c>
    </row>
    <row r="3" spans="1:1">
      <c r="A3" s="79" t="s">
        <v>64</v>
      </c>
    </row>
    <row r="4" spans="1:1">
      <c r="A4" s="79" t="s">
        <v>8</v>
      </c>
    </row>
    <row r="5" spans="1:1">
      <c r="A5" s="79" t="s">
        <v>11</v>
      </c>
    </row>
    <row r="6" spans="1:1">
      <c r="A6" s="79" t="s">
        <v>12</v>
      </c>
    </row>
    <row r="7" spans="1:1">
      <c r="A7" s="79" t="s">
        <v>13</v>
      </c>
    </row>
    <row r="8" spans="1:1">
      <c r="A8" s="79" t="s">
        <v>20</v>
      </c>
    </row>
    <row r="9" spans="1:1">
      <c r="A9" s="79" t="s">
        <v>21</v>
      </c>
    </row>
    <row r="10" spans="1:1" s="23" customFormat="1">
      <c r="A10" s="80" t="s">
        <v>67</v>
      </c>
    </row>
    <row r="11" spans="1:1">
      <c r="A11" s="81">
        <v>1</v>
      </c>
    </row>
    <row r="12" spans="1:1">
      <c r="A12" s="81">
        <v>2</v>
      </c>
    </row>
    <row r="13" spans="1:1">
      <c r="A13" s="81">
        <v>3</v>
      </c>
    </row>
    <row r="14" spans="1:1">
      <c r="A14" s="81">
        <v>4</v>
      </c>
    </row>
    <row r="15" spans="1:1">
      <c r="A15" s="81">
        <v>5</v>
      </c>
    </row>
    <row r="16" spans="1:1">
      <c r="A16" s="81">
        <v>6</v>
      </c>
    </row>
    <row r="17" spans="1:1">
      <c r="A17" s="81">
        <v>7</v>
      </c>
    </row>
    <row r="18" spans="1:1">
      <c r="A18" s="81">
        <v>8</v>
      </c>
    </row>
    <row r="19" spans="1:1">
      <c r="A19" s="81">
        <v>9</v>
      </c>
    </row>
    <row r="20" spans="1:1">
      <c r="A20" s="81">
        <v>10</v>
      </c>
    </row>
    <row r="21" spans="1:1">
      <c r="A21" s="81">
        <v>11</v>
      </c>
    </row>
    <row r="22" spans="1:1">
      <c r="A22" s="81">
        <v>12</v>
      </c>
    </row>
    <row r="23" spans="1:1">
      <c r="A23" s="81">
        <v>13</v>
      </c>
    </row>
    <row r="24" spans="1:1">
      <c r="A24" s="81">
        <v>14</v>
      </c>
    </row>
    <row r="25" spans="1:1">
      <c r="A25" s="81">
        <v>15</v>
      </c>
    </row>
    <row r="26" spans="1:1">
      <c r="A26" s="81">
        <v>16</v>
      </c>
    </row>
    <row r="27" spans="1:1">
      <c r="A27" s="81">
        <v>17</v>
      </c>
    </row>
    <row r="28" spans="1:1">
      <c r="A28" s="81">
        <v>18</v>
      </c>
    </row>
    <row r="29" spans="1:1">
      <c r="A29" s="81">
        <v>19</v>
      </c>
    </row>
    <row r="30" spans="1:1">
      <c r="A30" s="81">
        <v>20</v>
      </c>
    </row>
    <row r="31" spans="1:1">
      <c r="A31" s="81">
        <v>21</v>
      </c>
    </row>
    <row r="32" spans="1:1">
      <c r="A32" s="81">
        <v>22</v>
      </c>
    </row>
    <row r="33" spans="1:1">
      <c r="A33" s="81">
        <v>23</v>
      </c>
    </row>
    <row r="34" spans="1:1">
      <c r="A34" s="81">
        <v>24</v>
      </c>
    </row>
    <row r="35" spans="1:1">
      <c r="A35" s="81">
        <v>25</v>
      </c>
    </row>
    <row r="36" spans="1:1">
      <c r="A36" s="81">
        <v>26</v>
      </c>
    </row>
    <row r="37" spans="1:1">
      <c r="A37" s="81">
        <v>27</v>
      </c>
    </row>
    <row r="38" spans="1:1">
      <c r="A38" s="81">
        <v>28</v>
      </c>
    </row>
    <row r="39" spans="1:1">
      <c r="A39" s="81">
        <v>29</v>
      </c>
    </row>
    <row r="40" spans="1:1">
      <c r="A40" s="81">
        <v>30</v>
      </c>
    </row>
    <row r="41" spans="1:1">
      <c r="A41" s="81">
        <v>31</v>
      </c>
    </row>
    <row r="42" spans="1:1">
      <c r="A42" s="81">
        <v>32</v>
      </c>
    </row>
    <row r="43" spans="1:1">
      <c r="A43" s="81">
        <v>33</v>
      </c>
    </row>
    <row r="44" spans="1:1">
      <c r="A44" s="81">
        <v>34</v>
      </c>
    </row>
    <row r="45" spans="1:1">
      <c r="A45" s="81">
        <v>35</v>
      </c>
    </row>
    <row r="46" spans="1:1">
      <c r="A46" s="81">
        <v>36</v>
      </c>
    </row>
    <row r="47" spans="1:1">
      <c r="A47" s="81">
        <v>37</v>
      </c>
    </row>
    <row r="48" spans="1:1">
      <c r="A48" s="81">
        <v>38</v>
      </c>
    </row>
    <row r="49" spans="1:1">
      <c r="A49" s="81">
        <v>39</v>
      </c>
    </row>
    <row r="50" spans="1:1">
      <c r="A50" s="81">
        <v>40</v>
      </c>
    </row>
    <row r="51" spans="1:1">
      <c r="A51" s="81">
        <v>41</v>
      </c>
    </row>
    <row r="52" spans="1:1">
      <c r="A52" s="81">
        <v>42</v>
      </c>
    </row>
    <row r="53" spans="1:1">
      <c r="A53" s="81">
        <v>43</v>
      </c>
    </row>
    <row r="54" spans="1:1">
      <c r="A54" s="81">
        <v>44</v>
      </c>
    </row>
    <row r="55" spans="1:1">
      <c r="A55" s="81">
        <v>45</v>
      </c>
    </row>
    <row r="56" spans="1:1">
      <c r="A56" s="81">
        <v>46</v>
      </c>
    </row>
    <row r="57" spans="1:1">
      <c r="A57" s="81">
        <v>47</v>
      </c>
    </row>
    <row r="58" spans="1:1">
      <c r="A58" s="81">
        <v>48</v>
      </c>
    </row>
    <row r="59" spans="1:1">
      <c r="A59" s="81">
        <v>49</v>
      </c>
    </row>
    <row r="60" spans="1:1">
      <c r="A60" s="81">
        <v>50</v>
      </c>
    </row>
    <row r="61" spans="1:1">
      <c r="A61" s="81">
        <v>51</v>
      </c>
    </row>
    <row r="62" spans="1:1">
      <c r="A62" s="81">
        <v>52</v>
      </c>
    </row>
    <row r="63" spans="1:1">
      <c r="A63" s="81">
        <v>53</v>
      </c>
    </row>
    <row r="64" spans="1:1">
      <c r="A64" s="81">
        <v>54</v>
      </c>
    </row>
    <row r="65" spans="1:1">
      <c r="A65" s="81">
        <v>55</v>
      </c>
    </row>
    <row r="66" spans="1:1">
      <c r="A66" s="81">
        <v>56</v>
      </c>
    </row>
    <row r="67" spans="1:1">
      <c r="A67" s="81">
        <v>57</v>
      </c>
    </row>
    <row r="68" spans="1:1">
      <c r="A68" s="81">
        <v>58</v>
      </c>
    </row>
    <row r="69" spans="1:1">
      <c r="A69" s="81">
        <v>59</v>
      </c>
    </row>
    <row r="70" spans="1:1">
      <c r="A70" s="81">
        <v>60</v>
      </c>
    </row>
    <row r="71" spans="1:1">
      <c r="A71" s="81">
        <v>61</v>
      </c>
    </row>
    <row r="72" spans="1:1">
      <c r="A72" s="81">
        <v>62</v>
      </c>
    </row>
    <row r="73" spans="1:1">
      <c r="A73" s="81">
        <v>63</v>
      </c>
    </row>
    <row r="74" spans="1:1">
      <c r="A74" s="81">
        <v>64</v>
      </c>
    </row>
    <row r="75" spans="1:1">
      <c r="A75" s="81">
        <v>65</v>
      </c>
    </row>
    <row r="76" spans="1:1">
      <c r="A76" s="81">
        <v>66</v>
      </c>
    </row>
    <row r="77" spans="1:1">
      <c r="A77" s="81">
        <v>67</v>
      </c>
    </row>
    <row r="78" spans="1:1">
      <c r="A78" s="81">
        <v>68</v>
      </c>
    </row>
    <row r="79" spans="1:1">
      <c r="A79" s="81">
        <v>69</v>
      </c>
    </row>
    <row r="80" spans="1:1">
      <c r="A80" s="81">
        <v>70</v>
      </c>
    </row>
    <row r="81" spans="1:1">
      <c r="A81" s="81">
        <v>71</v>
      </c>
    </row>
    <row r="82" spans="1:1">
      <c r="A82" s="81">
        <v>72</v>
      </c>
    </row>
    <row r="83" spans="1:1">
      <c r="A83" s="81">
        <v>73</v>
      </c>
    </row>
    <row r="84" spans="1:1">
      <c r="A84" s="81">
        <v>74</v>
      </c>
    </row>
    <row r="85" spans="1:1">
      <c r="A85" s="81">
        <v>75</v>
      </c>
    </row>
    <row r="86" spans="1:1">
      <c r="A86" s="81">
        <v>76</v>
      </c>
    </row>
    <row r="87" spans="1:1">
      <c r="A87" s="81">
        <v>77</v>
      </c>
    </row>
    <row r="88" spans="1:1">
      <c r="A88" s="81">
        <v>78</v>
      </c>
    </row>
    <row r="89" spans="1:1">
      <c r="A89" s="81">
        <v>79</v>
      </c>
    </row>
    <row r="90" spans="1:1">
      <c r="A90" s="81">
        <v>80</v>
      </c>
    </row>
    <row r="91" spans="1:1">
      <c r="A91" s="81">
        <v>81</v>
      </c>
    </row>
    <row r="92" spans="1:1">
      <c r="A92" s="81">
        <v>82</v>
      </c>
    </row>
    <row r="93" spans="1:1">
      <c r="A93" s="81">
        <v>83</v>
      </c>
    </row>
    <row r="94" spans="1:1">
      <c r="A94" s="81">
        <v>84</v>
      </c>
    </row>
    <row r="95" spans="1:1">
      <c r="A95" s="81">
        <v>85</v>
      </c>
    </row>
    <row r="96" spans="1:1">
      <c r="A96" s="81">
        <v>86</v>
      </c>
    </row>
    <row r="97" spans="1:1">
      <c r="A97" s="81">
        <v>87</v>
      </c>
    </row>
    <row r="98" spans="1:1">
      <c r="A98" s="81">
        <v>88</v>
      </c>
    </row>
    <row r="99" spans="1:1">
      <c r="A99" s="81">
        <v>89</v>
      </c>
    </row>
    <row r="100" spans="1:1">
      <c r="A100" s="81">
        <v>90</v>
      </c>
    </row>
    <row r="101" spans="1:1">
      <c r="A101" s="81">
        <v>91</v>
      </c>
    </row>
    <row r="102" spans="1:1">
      <c r="A102" s="81">
        <v>92</v>
      </c>
    </row>
    <row r="103" spans="1:1">
      <c r="A103" s="81">
        <v>93</v>
      </c>
    </row>
    <row r="104" spans="1:1">
      <c r="A104" s="81">
        <v>94</v>
      </c>
    </row>
    <row r="105" spans="1:1">
      <c r="A105" s="81">
        <v>95</v>
      </c>
    </row>
    <row r="106" spans="1:1">
      <c r="A106" s="81">
        <v>96</v>
      </c>
    </row>
    <row r="107" spans="1:1">
      <c r="A107" s="81">
        <v>97</v>
      </c>
    </row>
    <row r="108" spans="1:1">
      <c r="A108" s="81">
        <v>98</v>
      </c>
    </row>
    <row r="109" spans="1:1">
      <c r="A109" s="81">
        <v>99</v>
      </c>
    </row>
    <row r="110" spans="1:1">
      <c r="A110" s="81">
        <v>100</v>
      </c>
    </row>
  </sheetData>
  <sheetProtection algorithmName="SHA-512" hashValue="COrhe3w8LoRSMUC+0UbjHQ5Tw2rMFHKzH43E1RVTT8SNWHzl+vLfa+t1BCPRChg01lC8/cuhGOoh/4tq7Fds6w==" saltValue="CXqVCZ3/Vrp5MNcOBxD3LA==" spinCount="100000" sheet="1" objects="1" scenario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AB480-56E7-4326-891B-468653ABD0AE}">
  <sheetPr codeName="Sheet6"/>
  <dimension ref="A1:A90"/>
  <sheetViews>
    <sheetView workbookViewId="0">
      <pane xSplit="1" ySplit="1" topLeftCell="B2" activePane="bottomRight" state="frozen"/>
      <selection activeCell="A2" sqref="A2"/>
      <selection pane="topRight" activeCell="A2" sqref="A2"/>
      <selection pane="bottomLeft" activeCell="A2" sqref="A2"/>
      <selection pane="bottomRight" activeCell="B1" sqref="B1:B1048576"/>
    </sheetView>
  </sheetViews>
  <sheetFormatPr defaultRowHeight="14.4"/>
  <sheetData>
    <row r="1" spans="1:1" s="18" customFormat="1">
      <c r="A1" s="24" t="s">
        <v>66</v>
      </c>
    </row>
    <row r="2" spans="1:1" s="30" customFormat="1">
      <c r="A2" s="40" t="s">
        <v>75</v>
      </c>
    </row>
    <row r="3" spans="1:1" s="43" customFormat="1">
      <c r="A3" s="77">
        <v>1.1000000000000001</v>
      </c>
    </row>
    <row r="4" spans="1:1" s="43" customFormat="1">
      <c r="A4" s="77">
        <v>1.2</v>
      </c>
    </row>
    <row r="5" spans="1:1" s="43" customFormat="1">
      <c r="A5" s="77">
        <v>1.3</v>
      </c>
    </row>
    <row r="6" spans="1:1" s="43" customFormat="1">
      <c r="A6" s="77">
        <v>1.4</v>
      </c>
    </row>
    <row r="7" spans="1:1" s="43" customFormat="1">
      <c r="A7" s="77">
        <v>1.5</v>
      </c>
    </row>
    <row r="8" spans="1:1" s="43" customFormat="1">
      <c r="A8" s="77">
        <v>1.6</v>
      </c>
    </row>
    <row r="9" spans="1:1" s="43" customFormat="1">
      <c r="A9" s="77">
        <v>2.1</v>
      </c>
    </row>
    <row r="10" spans="1:1">
      <c r="A10" s="77">
        <v>2.2000000000000002</v>
      </c>
    </row>
    <row r="11" spans="1:1">
      <c r="A11" s="77">
        <v>2.2999999999999998</v>
      </c>
    </row>
    <row r="12" spans="1:1">
      <c r="A12" s="77">
        <v>2.31</v>
      </c>
    </row>
    <row r="13" spans="1:1">
      <c r="A13" s="77">
        <v>2.3199999999999998</v>
      </c>
    </row>
    <row r="14" spans="1:1">
      <c r="A14" s="77">
        <v>2.33</v>
      </c>
    </row>
    <row r="15" spans="1:1">
      <c r="A15" s="77">
        <v>2.34</v>
      </c>
    </row>
    <row r="16" spans="1:1">
      <c r="A16" s="77">
        <v>2.35</v>
      </c>
    </row>
    <row r="17" spans="1:1">
      <c r="A17" s="77">
        <v>3.1</v>
      </c>
    </row>
    <row r="18" spans="1:1">
      <c r="A18" s="77">
        <v>3.2</v>
      </c>
    </row>
    <row r="19" spans="1:1">
      <c r="A19" s="77">
        <v>3.3</v>
      </c>
    </row>
    <row r="20" spans="1:1">
      <c r="A20" s="77">
        <v>3.4</v>
      </c>
    </row>
    <row r="21" spans="1:1">
      <c r="A21" s="77">
        <v>4.0999999999999996</v>
      </c>
    </row>
    <row r="22" spans="1:1">
      <c r="A22" s="77">
        <v>4.2</v>
      </c>
    </row>
    <row r="23" spans="1:1">
      <c r="A23" s="77">
        <v>5.0999999999999996</v>
      </c>
    </row>
    <row r="24" spans="1:1">
      <c r="A24" s="77">
        <v>5.2</v>
      </c>
    </row>
    <row r="25" spans="1:1">
      <c r="A25" s="77">
        <v>5.3</v>
      </c>
    </row>
    <row r="26" spans="1:1">
      <c r="A26" s="77">
        <v>6.1</v>
      </c>
    </row>
    <row r="27" spans="1:1">
      <c r="A27" s="77">
        <v>6.2</v>
      </c>
    </row>
    <row r="28" spans="1:1">
      <c r="A28" s="77">
        <v>6.3</v>
      </c>
    </row>
    <row r="29" spans="1:1">
      <c r="A29" s="77">
        <v>6.4</v>
      </c>
    </row>
    <row r="30" spans="1:1">
      <c r="A30" s="77"/>
    </row>
    <row r="31" spans="1:1">
      <c r="A31" s="77"/>
    </row>
    <row r="32" spans="1:1">
      <c r="A32" s="77"/>
    </row>
    <row r="33" spans="1:1">
      <c r="A33" s="77"/>
    </row>
    <row r="34" spans="1:1">
      <c r="A34" s="77"/>
    </row>
    <row r="35" spans="1:1">
      <c r="A35" s="77"/>
    </row>
    <row r="36" spans="1:1">
      <c r="A36" s="77"/>
    </row>
    <row r="37" spans="1:1">
      <c r="A37" s="77"/>
    </row>
    <row r="38" spans="1:1">
      <c r="A38" s="77"/>
    </row>
    <row r="39" spans="1:1">
      <c r="A39" s="77"/>
    </row>
    <row r="40" spans="1:1">
      <c r="A40" s="77"/>
    </row>
    <row r="41" spans="1:1">
      <c r="A41" s="19"/>
    </row>
    <row r="42" spans="1:1" s="42" customFormat="1">
      <c r="A42" s="41" t="s">
        <v>74</v>
      </c>
    </row>
    <row r="43" spans="1:1">
      <c r="A43" s="77">
        <v>1.1000000000000001</v>
      </c>
    </row>
    <row r="44" spans="1:1">
      <c r="A44" s="77">
        <v>1.2</v>
      </c>
    </row>
    <row r="45" spans="1:1">
      <c r="A45" s="77">
        <v>1.3</v>
      </c>
    </row>
    <row r="46" spans="1:1">
      <c r="A46" s="77">
        <v>1.4</v>
      </c>
    </row>
    <row r="47" spans="1:1">
      <c r="A47" s="77">
        <v>1.5</v>
      </c>
    </row>
    <row r="48" spans="1:1">
      <c r="A48" s="77">
        <v>1.6</v>
      </c>
    </row>
    <row r="49" spans="1:1">
      <c r="A49" s="77">
        <v>2.1</v>
      </c>
    </row>
    <row r="50" spans="1:1">
      <c r="A50" s="77">
        <v>2.2000000000000002</v>
      </c>
    </row>
    <row r="51" spans="1:1">
      <c r="A51" s="77">
        <v>2.2999999999999998</v>
      </c>
    </row>
    <row r="52" spans="1:1">
      <c r="A52" s="77">
        <v>2.31</v>
      </c>
    </row>
    <row r="53" spans="1:1">
      <c r="A53" s="77">
        <v>2.3199999999999998</v>
      </c>
    </row>
    <row r="54" spans="1:1">
      <c r="A54" s="77">
        <v>2.33</v>
      </c>
    </row>
    <row r="55" spans="1:1">
      <c r="A55" s="77">
        <v>2.34</v>
      </c>
    </row>
    <row r="56" spans="1:1">
      <c r="A56" s="77">
        <v>2.35</v>
      </c>
    </row>
    <row r="57" spans="1:1">
      <c r="A57" s="77">
        <v>3.1</v>
      </c>
    </row>
    <row r="58" spans="1:1">
      <c r="A58" s="77">
        <v>3.2</v>
      </c>
    </row>
    <row r="59" spans="1:1">
      <c r="A59" s="77">
        <v>3.3</v>
      </c>
    </row>
    <row r="60" spans="1:1">
      <c r="A60" s="77">
        <v>3.4</v>
      </c>
    </row>
    <row r="61" spans="1:1">
      <c r="A61" s="77">
        <v>4.0999999999999996</v>
      </c>
    </row>
    <row r="62" spans="1:1">
      <c r="A62" s="77">
        <v>4.2</v>
      </c>
    </row>
    <row r="63" spans="1:1">
      <c r="A63" s="77">
        <v>5.0999999999999996</v>
      </c>
    </row>
    <row r="64" spans="1:1">
      <c r="A64" s="77">
        <v>5.2</v>
      </c>
    </row>
    <row r="65" spans="1:1">
      <c r="A65" s="77">
        <v>5.3</v>
      </c>
    </row>
    <row r="66" spans="1:1">
      <c r="A66" s="77">
        <v>6.1</v>
      </c>
    </row>
    <row r="67" spans="1:1">
      <c r="A67" s="77">
        <v>6.2</v>
      </c>
    </row>
    <row r="68" spans="1:1">
      <c r="A68" s="77">
        <v>6.3</v>
      </c>
    </row>
    <row r="69" spans="1:1">
      <c r="A69" s="77">
        <v>6.4</v>
      </c>
    </row>
    <row r="70" spans="1:1">
      <c r="A70" s="77"/>
    </row>
    <row r="71" spans="1:1">
      <c r="A71" s="77"/>
    </row>
    <row r="72" spans="1:1">
      <c r="A72" s="77"/>
    </row>
    <row r="73" spans="1:1">
      <c r="A73" s="77"/>
    </row>
    <row r="74" spans="1:1">
      <c r="A74" s="77"/>
    </row>
    <row r="75" spans="1:1">
      <c r="A75" s="77"/>
    </row>
    <row r="76" spans="1:1">
      <c r="A76" s="77"/>
    </row>
    <row r="77" spans="1:1">
      <c r="A77" s="77"/>
    </row>
    <row r="78" spans="1:1">
      <c r="A78" s="77"/>
    </row>
    <row r="79" spans="1:1">
      <c r="A79" s="77"/>
    </row>
    <row r="80" spans="1:1">
      <c r="A80" s="77"/>
    </row>
    <row r="81" spans="1:1">
      <c r="A81" s="19"/>
    </row>
    <row r="82" spans="1:1" s="42" customFormat="1">
      <c r="A82" s="41" t="s">
        <v>67</v>
      </c>
    </row>
    <row r="83" spans="1:1">
      <c r="A83" s="76">
        <v>1</v>
      </c>
    </row>
    <row r="84" spans="1:1">
      <c r="A84" s="76">
        <v>2</v>
      </c>
    </row>
    <row r="85" spans="1:1">
      <c r="A85" s="76">
        <v>3</v>
      </c>
    </row>
    <row r="86" spans="1:1">
      <c r="A86" s="76">
        <v>4</v>
      </c>
    </row>
    <row r="87" spans="1:1">
      <c r="A87" s="76">
        <v>5</v>
      </c>
    </row>
    <row r="88" spans="1:1">
      <c r="A88" s="76">
        <v>6</v>
      </c>
    </row>
    <row r="89" spans="1:1">
      <c r="A89" s="76"/>
    </row>
    <row r="90" spans="1:1">
      <c r="A90" s="76"/>
    </row>
  </sheetData>
  <sheetProtection algorithmName="SHA-512" hashValue="T9cKB2qRE9UURCwH+CMSWoYo1H5KGUq/lQZnAXcCuUkwYJmeL48xWSoZdnE0uHM5RV35trw4kdOWw8QxWj8eXA==" saltValue="IHUaC5c3BlVGADRcHZKeHg==" spinCount="100000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A6757-7AC9-4EE7-8609-440D67AD5C4C}">
  <sheetPr codeName="Sheet7"/>
  <dimension ref="A1:U3253"/>
  <sheetViews>
    <sheetView workbookViewId="0">
      <pane ySplit="1" topLeftCell="A2" activePane="bottomLeft" state="frozen"/>
      <selection activeCell="A2" sqref="A2"/>
      <selection pane="bottomLeft" activeCell="D31" sqref="D31"/>
    </sheetView>
  </sheetViews>
  <sheetFormatPr defaultRowHeight="14.4"/>
  <cols>
    <col min="1" max="1" width="10.109375" bestFit="1" customWidth="1"/>
    <col min="2" max="2" width="10.5546875" bestFit="1" customWidth="1"/>
    <col min="3" max="3" width="8.88671875" bestFit="1" customWidth="1"/>
    <col min="4" max="4" width="6.5546875" bestFit="1" customWidth="1"/>
    <col min="5" max="5" width="19" bestFit="1" customWidth="1"/>
    <col min="6" max="6" width="44.6640625" bestFit="1" customWidth="1"/>
  </cols>
  <sheetData>
    <row r="1" spans="1:7">
      <c r="A1" s="2" t="s">
        <v>105</v>
      </c>
      <c r="B1" s="45" t="s">
        <v>9</v>
      </c>
      <c r="C1" s="46" t="s">
        <v>106</v>
      </c>
      <c r="D1" s="46" t="s">
        <v>31</v>
      </c>
      <c r="E1" s="46" t="s">
        <v>107</v>
      </c>
      <c r="F1" s="46" t="s">
        <v>108</v>
      </c>
      <c r="G1" s="47" t="s">
        <v>17</v>
      </c>
    </row>
    <row r="2" spans="1:7">
      <c r="A2" s="48" t="s">
        <v>369</v>
      </c>
      <c r="B2" s="49" t="s">
        <v>109</v>
      </c>
      <c r="C2" s="50">
        <v>1</v>
      </c>
      <c r="D2" s="50">
        <v>2.1</v>
      </c>
      <c r="E2" s="51" t="s">
        <v>81</v>
      </c>
      <c r="F2" s="50" t="s">
        <v>82</v>
      </c>
      <c r="G2" s="52" t="s">
        <v>2</v>
      </c>
    </row>
    <row r="3" spans="1:7">
      <c r="A3" s="48" t="s">
        <v>370</v>
      </c>
      <c r="B3" s="49" t="s">
        <v>109</v>
      </c>
      <c r="C3" s="50">
        <v>2</v>
      </c>
      <c r="D3" s="50">
        <v>2.2000000000000002</v>
      </c>
      <c r="E3" s="51" t="s">
        <v>81</v>
      </c>
      <c r="F3" s="50" t="s">
        <v>83</v>
      </c>
      <c r="G3" s="52" t="s">
        <v>2</v>
      </c>
    </row>
    <row r="4" spans="1:7">
      <c r="A4" s="48" t="s">
        <v>371</v>
      </c>
      <c r="B4" s="49" t="s">
        <v>109</v>
      </c>
      <c r="C4" s="50">
        <v>3</v>
      </c>
      <c r="D4" s="50">
        <v>2.31</v>
      </c>
      <c r="E4" s="51" t="s">
        <v>81</v>
      </c>
      <c r="F4" s="50" t="s">
        <v>85</v>
      </c>
      <c r="G4" s="52" t="s">
        <v>0</v>
      </c>
    </row>
    <row r="5" spans="1:7">
      <c r="A5" s="48" t="s">
        <v>372</v>
      </c>
      <c r="B5" s="49" t="s">
        <v>109</v>
      </c>
      <c r="C5" s="50">
        <v>4</v>
      </c>
      <c r="D5" s="50">
        <v>2.2000000000000002</v>
      </c>
      <c r="E5" s="51" t="s">
        <v>81</v>
      </c>
      <c r="F5" s="50" t="s">
        <v>83</v>
      </c>
      <c r="G5" s="52" t="s">
        <v>0</v>
      </c>
    </row>
    <row r="6" spans="1:7">
      <c r="A6" s="48" t="s">
        <v>373</v>
      </c>
      <c r="B6" s="49" t="s">
        <v>109</v>
      </c>
      <c r="C6" s="50">
        <v>5</v>
      </c>
      <c r="D6" s="50">
        <v>1.1000000000000001</v>
      </c>
      <c r="E6" s="51" t="s">
        <v>76</v>
      </c>
      <c r="F6" s="50" t="s">
        <v>77</v>
      </c>
      <c r="G6" s="52" t="s">
        <v>3</v>
      </c>
    </row>
    <row r="7" spans="1:7">
      <c r="A7" s="48" t="s">
        <v>374</v>
      </c>
      <c r="B7" s="49" t="s">
        <v>109</v>
      </c>
      <c r="C7" s="50">
        <v>6</v>
      </c>
      <c r="D7" s="50">
        <v>2.35</v>
      </c>
      <c r="E7" s="51" t="s">
        <v>76</v>
      </c>
      <c r="F7" s="50" t="s">
        <v>89</v>
      </c>
      <c r="G7" s="52" t="s">
        <v>4</v>
      </c>
    </row>
    <row r="8" spans="1:7">
      <c r="A8" s="48" t="s">
        <v>375</v>
      </c>
      <c r="B8" s="49" t="s">
        <v>109</v>
      </c>
      <c r="C8" s="50">
        <v>7</v>
      </c>
      <c r="D8" s="50">
        <v>4.0999999999999996</v>
      </c>
      <c r="E8" s="51" t="s">
        <v>96</v>
      </c>
      <c r="F8" s="50" t="s">
        <v>94</v>
      </c>
      <c r="G8" s="52" t="s">
        <v>3</v>
      </c>
    </row>
    <row r="9" spans="1:7">
      <c r="A9" s="48" t="s">
        <v>376</v>
      </c>
      <c r="B9" s="49" t="s">
        <v>109</v>
      </c>
      <c r="C9" s="50">
        <v>8</v>
      </c>
      <c r="D9" s="50">
        <v>1.6</v>
      </c>
      <c r="E9" s="51" t="s">
        <v>81</v>
      </c>
      <c r="F9" s="50" t="s">
        <v>27</v>
      </c>
      <c r="G9" s="52" t="s">
        <v>4</v>
      </c>
    </row>
    <row r="10" spans="1:7">
      <c r="A10" s="48" t="s">
        <v>377</v>
      </c>
      <c r="B10" s="49" t="s">
        <v>109</v>
      </c>
      <c r="C10" s="50">
        <v>9</v>
      </c>
      <c r="D10" s="50">
        <v>2.31</v>
      </c>
      <c r="E10" s="51" t="s">
        <v>81</v>
      </c>
      <c r="F10" s="50" t="s">
        <v>85</v>
      </c>
      <c r="G10" s="52" t="s">
        <v>1</v>
      </c>
    </row>
    <row r="11" spans="1:7">
      <c r="A11" s="48" t="s">
        <v>378</v>
      </c>
      <c r="B11" s="49" t="s">
        <v>109</v>
      </c>
      <c r="C11" s="50">
        <v>10</v>
      </c>
      <c r="D11" s="50">
        <v>4.2</v>
      </c>
      <c r="E11" s="51" t="s">
        <v>81</v>
      </c>
      <c r="F11" s="50" t="s">
        <v>95</v>
      </c>
      <c r="G11" s="52" t="s">
        <v>4</v>
      </c>
    </row>
    <row r="12" spans="1:7">
      <c r="A12" s="48" t="s">
        <v>379</v>
      </c>
      <c r="B12" s="49" t="s">
        <v>109</v>
      </c>
      <c r="C12" s="50">
        <v>11</v>
      </c>
      <c r="D12" s="50">
        <v>3.1</v>
      </c>
      <c r="E12" s="51" t="s">
        <v>96</v>
      </c>
      <c r="F12" s="50" t="s">
        <v>90</v>
      </c>
      <c r="G12" s="52" t="s">
        <v>1</v>
      </c>
    </row>
    <row r="13" spans="1:7">
      <c r="A13" s="48" t="s">
        <v>380</v>
      </c>
      <c r="B13" s="49" t="s">
        <v>109</v>
      </c>
      <c r="C13" s="50">
        <v>12</v>
      </c>
      <c r="D13" s="50">
        <v>6.1</v>
      </c>
      <c r="E13" s="51" t="s">
        <v>100</v>
      </c>
      <c r="F13" s="53" t="s">
        <v>101</v>
      </c>
      <c r="G13" s="52" t="s">
        <v>4</v>
      </c>
    </row>
    <row r="14" spans="1:7">
      <c r="A14" s="48" t="s">
        <v>381</v>
      </c>
      <c r="B14" s="49" t="s">
        <v>109</v>
      </c>
      <c r="C14" s="50">
        <v>13</v>
      </c>
      <c r="D14" s="50">
        <v>5.0999999999999996</v>
      </c>
      <c r="E14" s="51" t="s">
        <v>28</v>
      </c>
      <c r="F14" s="50" t="s">
        <v>97</v>
      </c>
      <c r="G14" s="52" t="s">
        <v>0</v>
      </c>
    </row>
    <row r="15" spans="1:7">
      <c r="A15" s="48" t="s">
        <v>382</v>
      </c>
      <c r="B15" s="49" t="s">
        <v>109</v>
      </c>
      <c r="C15" s="50">
        <v>14</v>
      </c>
      <c r="D15" s="50">
        <v>2.33</v>
      </c>
      <c r="E15" s="51" t="s">
        <v>96</v>
      </c>
      <c r="F15" s="50" t="s">
        <v>87</v>
      </c>
      <c r="G15" s="52" t="s">
        <v>2</v>
      </c>
    </row>
    <row r="16" spans="1:7">
      <c r="A16" s="48" t="s">
        <v>383</v>
      </c>
      <c r="B16" s="49" t="s">
        <v>109</v>
      </c>
      <c r="C16" s="50">
        <v>15</v>
      </c>
      <c r="D16" s="50">
        <v>2.31</v>
      </c>
      <c r="E16" s="51" t="s">
        <v>93</v>
      </c>
      <c r="F16" s="50" t="s">
        <v>85</v>
      </c>
      <c r="G16" s="52" t="s">
        <v>4</v>
      </c>
    </row>
    <row r="17" spans="1:20">
      <c r="A17" s="48" t="s">
        <v>384</v>
      </c>
      <c r="B17" s="49" t="s">
        <v>109</v>
      </c>
      <c r="C17" s="50">
        <v>16</v>
      </c>
      <c r="D17" s="50">
        <v>2.35</v>
      </c>
      <c r="E17" s="51" t="s">
        <v>96</v>
      </c>
      <c r="F17" s="50" t="s">
        <v>89</v>
      </c>
      <c r="G17" s="52" t="s">
        <v>2</v>
      </c>
    </row>
    <row r="18" spans="1:20">
      <c r="A18" s="48" t="s">
        <v>385</v>
      </c>
      <c r="B18" s="49" t="s">
        <v>109</v>
      </c>
      <c r="C18" s="50">
        <v>17</v>
      </c>
      <c r="D18" s="50">
        <v>1.3</v>
      </c>
      <c r="E18" s="51" t="s">
        <v>96</v>
      </c>
      <c r="F18" s="50" t="s">
        <v>79</v>
      </c>
      <c r="G18" s="52" t="s">
        <v>4</v>
      </c>
    </row>
    <row r="19" spans="1:20">
      <c r="A19" s="48" t="s">
        <v>386</v>
      </c>
      <c r="B19" s="49" t="s">
        <v>109</v>
      </c>
      <c r="C19" s="50">
        <v>18</v>
      </c>
      <c r="D19" s="50">
        <v>3.2</v>
      </c>
      <c r="E19" s="51" t="s">
        <v>81</v>
      </c>
      <c r="F19" s="50" t="s">
        <v>91</v>
      </c>
      <c r="G19" s="52" t="s">
        <v>1</v>
      </c>
    </row>
    <row r="20" spans="1:20">
      <c r="A20" s="48" t="s">
        <v>387</v>
      </c>
      <c r="B20" s="49" t="s">
        <v>109</v>
      </c>
      <c r="C20" s="50">
        <v>19</v>
      </c>
      <c r="D20" s="50">
        <v>1.3</v>
      </c>
      <c r="E20" s="51" t="s">
        <v>81</v>
      </c>
      <c r="F20" s="50" t="s">
        <v>79</v>
      </c>
      <c r="G20" s="52" t="s">
        <v>2</v>
      </c>
    </row>
    <row r="21" spans="1:20">
      <c r="A21" s="48" t="s">
        <v>388</v>
      </c>
      <c r="B21" s="49" t="s">
        <v>109</v>
      </c>
      <c r="C21" s="50">
        <v>20</v>
      </c>
      <c r="D21" s="50">
        <v>3.1</v>
      </c>
      <c r="E21" s="51" t="s">
        <v>81</v>
      </c>
      <c r="F21" s="50" t="s">
        <v>90</v>
      </c>
      <c r="G21" s="52" t="s">
        <v>4</v>
      </c>
    </row>
    <row r="22" spans="1:20">
      <c r="A22" s="48" t="s">
        <v>389</v>
      </c>
      <c r="B22" s="49" t="s">
        <v>109</v>
      </c>
      <c r="C22" s="50">
        <v>21</v>
      </c>
      <c r="D22" s="50">
        <v>2.1</v>
      </c>
      <c r="E22" s="51" t="s">
        <v>81</v>
      </c>
      <c r="F22" s="50" t="s">
        <v>82</v>
      </c>
      <c r="G22" s="52" t="s">
        <v>2</v>
      </c>
    </row>
    <row r="23" spans="1:20">
      <c r="A23" s="48" t="s">
        <v>390</v>
      </c>
      <c r="B23" s="49" t="s">
        <v>109</v>
      </c>
      <c r="C23" s="50">
        <v>22</v>
      </c>
      <c r="D23" s="50">
        <v>2.33</v>
      </c>
      <c r="E23" s="51" t="s">
        <v>81</v>
      </c>
      <c r="F23" s="50" t="s">
        <v>87</v>
      </c>
      <c r="G23" s="52" t="s">
        <v>1</v>
      </c>
    </row>
    <row r="24" spans="1:20">
      <c r="A24" s="48" t="s">
        <v>391</v>
      </c>
      <c r="B24" s="49" t="s">
        <v>109</v>
      </c>
      <c r="C24" s="50">
        <v>23</v>
      </c>
      <c r="D24" s="50">
        <v>2.31</v>
      </c>
      <c r="E24" s="51" t="s">
        <v>76</v>
      </c>
      <c r="F24" s="50" t="s">
        <v>85</v>
      </c>
      <c r="G24" s="52" t="s">
        <v>0</v>
      </c>
    </row>
    <row r="25" spans="1:20">
      <c r="A25" s="48" t="s">
        <v>392</v>
      </c>
      <c r="B25" s="49" t="s">
        <v>109</v>
      </c>
      <c r="C25" s="50">
        <v>24</v>
      </c>
      <c r="D25" s="50">
        <v>5.2</v>
      </c>
      <c r="E25" s="51" t="s">
        <v>93</v>
      </c>
      <c r="F25" s="50" t="s">
        <v>98</v>
      </c>
      <c r="G25" s="52" t="s">
        <v>4</v>
      </c>
    </row>
    <row r="26" spans="1:20">
      <c r="A26" s="48" t="s">
        <v>393</v>
      </c>
      <c r="B26" s="49" t="s">
        <v>109</v>
      </c>
      <c r="C26" s="50">
        <v>25</v>
      </c>
      <c r="D26" s="50">
        <v>2.35</v>
      </c>
      <c r="E26" s="51" t="s">
        <v>96</v>
      </c>
      <c r="F26" s="50" t="s">
        <v>89</v>
      </c>
      <c r="G26" s="52" t="s">
        <v>2</v>
      </c>
    </row>
    <row r="27" spans="1:20">
      <c r="A27" s="48" t="s">
        <v>394</v>
      </c>
      <c r="B27" s="49" t="s">
        <v>109</v>
      </c>
      <c r="C27" s="50">
        <v>26</v>
      </c>
      <c r="D27" s="50">
        <v>2.31</v>
      </c>
      <c r="E27" s="51" t="s">
        <v>93</v>
      </c>
      <c r="F27" s="50" t="s">
        <v>85</v>
      </c>
      <c r="G27" s="52" t="s">
        <v>0</v>
      </c>
    </row>
    <row r="28" spans="1:20">
      <c r="A28" s="48" t="s">
        <v>395</v>
      </c>
      <c r="B28" s="49" t="s">
        <v>109</v>
      </c>
      <c r="C28" s="50">
        <v>27</v>
      </c>
      <c r="D28" s="50">
        <v>3.2</v>
      </c>
      <c r="E28" s="51" t="s">
        <v>81</v>
      </c>
      <c r="F28" s="50" t="s">
        <v>91</v>
      </c>
      <c r="G28" s="52" t="s">
        <v>3</v>
      </c>
    </row>
    <row r="29" spans="1:20">
      <c r="A29" s="48" t="s">
        <v>396</v>
      </c>
      <c r="B29" s="49" t="s">
        <v>109</v>
      </c>
      <c r="C29" s="50">
        <v>28</v>
      </c>
      <c r="D29" s="50">
        <v>2.31</v>
      </c>
      <c r="E29" s="51" t="s">
        <v>96</v>
      </c>
      <c r="F29" s="50" t="s">
        <v>85</v>
      </c>
      <c r="G29" s="52" t="s">
        <v>1</v>
      </c>
    </row>
    <row r="30" spans="1:20">
      <c r="A30" s="48" t="s">
        <v>397</v>
      </c>
      <c r="B30" s="49" t="s">
        <v>109</v>
      </c>
      <c r="C30" s="50">
        <v>29</v>
      </c>
      <c r="D30" s="50">
        <v>2.1</v>
      </c>
      <c r="E30" s="51" t="s">
        <v>81</v>
      </c>
      <c r="F30" s="50" t="s">
        <v>82</v>
      </c>
      <c r="G30" s="52" t="s">
        <v>0</v>
      </c>
      <c r="T30" t="e">
        <f>SUMPRODUCT(L100:L106,N100:N106)/SUM(L100:L106)</f>
        <v>#DIV/0!</v>
      </c>
    </row>
    <row r="31" spans="1:20">
      <c r="A31" s="48" t="s">
        <v>398</v>
      </c>
      <c r="B31" s="49" t="s">
        <v>109</v>
      </c>
      <c r="C31" s="50">
        <v>30</v>
      </c>
      <c r="D31" s="50">
        <v>2.35</v>
      </c>
      <c r="E31" s="51" t="s">
        <v>28</v>
      </c>
      <c r="F31" s="50" t="s">
        <v>89</v>
      </c>
      <c r="G31" s="52" t="s">
        <v>4</v>
      </c>
    </row>
    <row r="32" spans="1:20">
      <c r="A32" s="48" t="s">
        <v>399</v>
      </c>
      <c r="B32" s="49" t="s">
        <v>109</v>
      </c>
      <c r="C32" s="50">
        <v>31</v>
      </c>
      <c r="D32" s="50">
        <v>5.3</v>
      </c>
      <c r="E32" s="51" t="s">
        <v>76</v>
      </c>
      <c r="F32" s="50" t="s">
        <v>99</v>
      </c>
      <c r="G32" s="52" t="s">
        <v>2</v>
      </c>
    </row>
    <row r="33" spans="1:7">
      <c r="A33" s="48" t="s">
        <v>400</v>
      </c>
      <c r="B33" s="49" t="s">
        <v>109</v>
      </c>
      <c r="C33" s="50">
        <v>32</v>
      </c>
      <c r="D33" s="50">
        <v>1.6</v>
      </c>
      <c r="E33" s="51" t="s">
        <v>76</v>
      </c>
      <c r="F33" s="50" t="s">
        <v>27</v>
      </c>
      <c r="G33" s="52" t="s">
        <v>0</v>
      </c>
    </row>
    <row r="34" spans="1:7">
      <c r="A34" s="48" t="s">
        <v>401</v>
      </c>
      <c r="B34" s="49" t="s">
        <v>109</v>
      </c>
      <c r="C34" s="50">
        <v>33</v>
      </c>
      <c r="D34" s="50">
        <v>2.2000000000000002</v>
      </c>
      <c r="E34" s="51" t="s">
        <v>96</v>
      </c>
      <c r="F34" s="50" t="s">
        <v>83</v>
      </c>
      <c r="G34" s="52" t="s">
        <v>3</v>
      </c>
    </row>
    <row r="35" spans="1:7">
      <c r="A35" s="48" t="s">
        <v>402</v>
      </c>
      <c r="B35" s="49" t="s">
        <v>109</v>
      </c>
      <c r="C35" s="50">
        <v>34</v>
      </c>
      <c r="D35" s="50">
        <v>2.1</v>
      </c>
      <c r="E35" s="51" t="s">
        <v>81</v>
      </c>
      <c r="F35" s="50" t="s">
        <v>82</v>
      </c>
      <c r="G35" s="52" t="s">
        <v>1</v>
      </c>
    </row>
    <row r="36" spans="1:7">
      <c r="A36" s="48" t="s">
        <v>403</v>
      </c>
      <c r="B36" s="49" t="s">
        <v>109</v>
      </c>
      <c r="C36" s="50">
        <v>35</v>
      </c>
      <c r="D36" s="50">
        <v>1.3</v>
      </c>
      <c r="E36" s="51" t="s">
        <v>96</v>
      </c>
      <c r="F36" s="50" t="s">
        <v>79</v>
      </c>
      <c r="G36" s="52" t="s">
        <v>3</v>
      </c>
    </row>
    <row r="37" spans="1:7">
      <c r="A37" s="48" t="s">
        <v>404</v>
      </c>
      <c r="B37" s="49" t="s">
        <v>109</v>
      </c>
      <c r="C37" s="50">
        <v>36</v>
      </c>
      <c r="D37" s="50">
        <v>2.35</v>
      </c>
      <c r="E37" s="51" t="s">
        <v>81</v>
      </c>
      <c r="F37" s="50" t="s">
        <v>89</v>
      </c>
      <c r="G37" s="52" t="s">
        <v>3</v>
      </c>
    </row>
    <row r="38" spans="1:7">
      <c r="A38" s="48" t="s">
        <v>405</v>
      </c>
      <c r="B38" s="49" t="s">
        <v>109</v>
      </c>
      <c r="C38" s="50">
        <v>37</v>
      </c>
      <c r="D38" s="50">
        <v>5.3</v>
      </c>
      <c r="E38" s="51" t="s">
        <v>81</v>
      </c>
      <c r="F38" s="50" t="s">
        <v>99</v>
      </c>
      <c r="G38" s="52" t="s">
        <v>2</v>
      </c>
    </row>
    <row r="39" spans="1:7">
      <c r="A39" s="48" t="s">
        <v>406</v>
      </c>
      <c r="B39" s="49" t="s">
        <v>109</v>
      </c>
      <c r="C39" s="50">
        <v>38</v>
      </c>
      <c r="D39" s="50">
        <v>1.1000000000000001</v>
      </c>
      <c r="E39" s="51" t="s">
        <v>96</v>
      </c>
      <c r="F39" s="50" t="s">
        <v>77</v>
      </c>
      <c r="G39" s="52" t="s">
        <v>1</v>
      </c>
    </row>
    <row r="40" spans="1:7">
      <c r="A40" s="48" t="s">
        <v>407</v>
      </c>
      <c r="B40" s="49" t="s">
        <v>109</v>
      </c>
      <c r="C40" s="50">
        <v>39</v>
      </c>
      <c r="D40" s="50">
        <v>2.34</v>
      </c>
      <c r="E40" s="51" t="s">
        <v>81</v>
      </c>
      <c r="F40" s="50" t="s">
        <v>88</v>
      </c>
      <c r="G40" s="52" t="s">
        <v>4</v>
      </c>
    </row>
    <row r="41" spans="1:7">
      <c r="A41" s="48" t="s">
        <v>408</v>
      </c>
      <c r="B41" s="49" t="s">
        <v>109</v>
      </c>
      <c r="C41" s="50">
        <v>40</v>
      </c>
      <c r="D41" s="50">
        <v>3.1</v>
      </c>
      <c r="E41" s="51" t="s">
        <v>96</v>
      </c>
      <c r="F41" s="50" t="s">
        <v>90</v>
      </c>
      <c r="G41" s="52" t="s">
        <v>3</v>
      </c>
    </row>
    <row r="42" spans="1:7">
      <c r="A42" s="48" t="s">
        <v>409</v>
      </c>
      <c r="B42" s="49" t="s">
        <v>109</v>
      </c>
      <c r="C42" s="50">
        <v>41</v>
      </c>
      <c r="D42" s="50">
        <v>2.1</v>
      </c>
      <c r="E42" s="51" t="s">
        <v>28</v>
      </c>
      <c r="F42" s="50" t="s">
        <v>82</v>
      </c>
      <c r="G42" s="52" t="s">
        <v>0</v>
      </c>
    </row>
    <row r="43" spans="1:7">
      <c r="A43" s="48" t="s">
        <v>410</v>
      </c>
      <c r="B43" s="49" t="s">
        <v>109</v>
      </c>
      <c r="C43" s="50">
        <v>42</v>
      </c>
      <c r="D43" s="50">
        <v>4.0999999999999996</v>
      </c>
      <c r="E43" s="51" t="s">
        <v>81</v>
      </c>
      <c r="F43" s="50" t="s">
        <v>94</v>
      </c>
      <c r="G43" s="52" t="s">
        <v>4</v>
      </c>
    </row>
    <row r="44" spans="1:7">
      <c r="A44" s="48" t="s">
        <v>411</v>
      </c>
      <c r="B44" s="49" t="s">
        <v>109</v>
      </c>
      <c r="C44" s="50">
        <v>43</v>
      </c>
      <c r="D44" s="50">
        <v>1.3</v>
      </c>
      <c r="E44" s="51" t="s">
        <v>93</v>
      </c>
      <c r="F44" s="50" t="s">
        <v>79</v>
      </c>
      <c r="G44" s="52" t="s">
        <v>0</v>
      </c>
    </row>
    <row r="45" spans="1:7">
      <c r="A45" s="48" t="s">
        <v>412</v>
      </c>
      <c r="B45" s="49" t="s">
        <v>109</v>
      </c>
      <c r="C45" s="50">
        <v>44</v>
      </c>
      <c r="D45" s="50">
        <v>2.31</v>
      </c>
      <c r="E45" s="51" t="s">
        <v>81</v>
      </c>
      <c r="F45" s="50" t="s">
        <v>85</v>
      </c>
      <c r="G45" s="52" t="s">
        <v>2</v>
      </c>
    </row>
    <row r="46" spans="1:7">
      <c r="A46" s="48" t="s">
        <v>413</v>
      </c>
      <c r="B46" s="49" t="s">
        <v>109</v>
      </c>
      <c r="C46" s="50">
        <v>45</v>
      </c>
      <c r="D46" s="50">
        <v>1.6</v>
      </c>
      <c r="E46" s="51" t="s">
        <v>96</v>
      </c>
      <c r="F46" s="50" t="s">
        <v>27</v>
      </c>
      <c r="G46" s="52" t="s">
        <v>4</v>
      </c>
    </row>
    <row r="47" spans="1:7">
      <c r="A47" s="48" t="s">
        <v>414</v>
      </c>
      <c r="B47" s="49" t="s">
        <v>109</v>
      </c>
      <c r="C47" s="50">
        <v>46</v>
      </c>
      <c r="D47" s="50">
        <v>2.31</v>
      </c>
      <c r="E47" s="51" t="s">
        <v>76</v>
      </c>
      <c r="F47" s="50" t="s">
        <v>85</v>
      </c>
      <c r="G47" s="52" t="s">
        <v>0</v>
      </c>
    </row>
    <row r="48" spans="1:7">
      <c r="A48" s="48" t="s">
        <v>415</v>
      </c>
      <c r="B48" s="49" t="s">
        <v>109</v>
      </c>
      <c r="C48" s="50">
        <v>47</v>
      </c>
      <c r="D48" s="50">
        <v>2.35</v>
      </c>
      <c r="E48" s="51" t="s">
        <v>28</v>
      </c>
      <c r="F48" s="50" t="s">
        <v>89</v>
      </c>
      <c r="G48" s="52" t="s">
        <v>1</v>
      </c>
    </row>
    <row r="49" spans="1:7">
      <c r="A49" s="48" t="s">
        <v>416</v>
      </c>
      <c r="B49" s="49" t="s">
        <v>109</v>
      </c>
      <c r="C49" s="50">
        <v>48</v>
      </c>
      <c r="D49" s="50">
        <v>2.1</v>
      </c>
      <c r="E49" s="51" t="s">
        <v>76</v>
      </c>
      <c r="F49" s="50" t="s">
        <v>82</v>
      </c>
      <c r="G49" s="52" t="s">
        <v>4</v>
      </c>
    </row>
    <row r="50" spans="1:7">
      <c r="A50" s="48" t="s">
        <v>417</v>
      </c>
      <c r="B50" s="49" t="s">
        <v>109</v>
      </c>
      <c r="C50" s="50">
        <v>49</v>
      </c>
      <c r="D50" s="50">
        <v>3.2</v>
      </c>
      <c r="E50" s="51" t="s">
        <v>93</v>
      </c>
      <c r="F50" s="50" t="s">
        <v>91</v>
      </c>
      <c r="G50" s="52" t="s">
        <v>2</v>
      </c>
    </row>
    <row r="51" spans="1:7">
      <c r="A51" s="48" t="s">
        <v>418</v>
      </c>
      <c r="B51" s="49" t="s">
        <v>109</v>
      </c>
      <c r="C51" s="50">
        <v>50</v>
      </c>
      <c r="D51" s="50">
        <v>2.1</v>
      </c>
      <c r="E51" s="51" t="s">
        <v>81</v>
      </c>
      <c r="F51" s="50" t="s">
        <v>82</v>
      </c>
      <c r="G51" s="52" t="s">
        <v>2</v>
      </c>
    </row>
    <row r="52" spans="1:7">
      <c r="A52" s="48" t="s">
        <v>419</v>
      </c>
      <c r="B52" s="49" t="s">
        <v>110</v>
      </c>
      <c r="C52" s="50">
        <v>1</v>
      </c>
      <c r="D52" s="50">
        <v>2.1</v>
      </c>
      <c r="E52" s="51" t="s">
        <v>81</v>
      </c>
      <c r="F52" s="50" t="s">
        <v>82</v>
      </c>
      <c r="G52" s="52" t="s">
        <v>2</v>
      </c>
    </row>
    <row r="53" spans="1:7">
      <c r="A53" s="48" t="s">
        <v>420</v>
      </c>
      <c r="B53" s="49" t="s">
        <v>110</v>
      </c>
      <c r="C53" s="50">
        <v>2</v>
      </c>
      <c r="D53" s="50">
        <v>3.1</v>
      </c>
      <c r="E53" s="51" t="s">
        <v>76</v>
      </c>
      <c r="F53" s="50" t="s">
        <v>90</v>
      </c>
      <c r="G53" s="52" t="s">
        <v>3</v>
      </c>
    </row>
    <row r="54" spans="1:7">
      <c r="A54" s="48" t="s">
        <v>421</v>
      </c>
      <c r="B54" s="49" t="s">
        <v>110</v>
      </c>
      <c r="C54" s="50">
        <v>3</v>
      </c>
      <c r="D54" s="50">
        <v>2.31</v>
      </c>
      <c r="E54" s="51" t="s">
        <v>81</v>
      </c>
      <c r="F54" s="50" t="s">
        <v>85</v>
      </c>
      <c r="G54" s="52" t="s">
        <v>1</v>
      </c>
    </row>
    <row r="55" spans="1:7">
      <c r="A55" s="48" t="s">
        <v>422</v>
      </c>
      <c r="B55" s="49" t="s">
        <v>110</v>
      </c>
      <c r="C55" s="50">
        <v>4</v>
      </c>
      <c r="D55" s="50">
        <v>2.1</v>
      </c>
      <c r="E55" s="51" t="s">
        <v>81</v>
      </c>
      <c r="F55" s="50" t="s">
        <v>82</v>
      </c>
      <c r="G55" s="52" t="s">
        <v>0</v>
      </c>
    </row>
    <row r="56" spans="1:7">
      <c r="A56" s="48" t="s">
        <v>423</v>
      </c>
      <c r="B56" s="49" t="s">
        <v>110</v>
      </c>
      <c r="C56" s="50">
        <v>5</v>
      </c>
      <c r="D56" s="50">
        <v>1.6</v>
      </c>
      <c r="E56" s="51" t="s">
        <v>81</v>
      </c>
      <c r="F56" s="50" t="s">
        <v>27</v>
      </c>
      <c r="G56" s="52" t="s">
        <v>4</v>
      </c>
    </row>
    <row r="57" spans="1:7">
      <c r="A57" s="48" t="s">
        <v>424</v>
      </c>
      <c r="B57" s="49" t="s">
        <v>110</v>
      </c>
      <c r="C57" s="50">
        <v>6</v>
      </c>
      <c r="D57" s="50">
        <v>1.6</v>
      </c>
      <c r="E57" s="51" t="s">
        <v>81</v>
      </c>
      <c r="F57" s="50" t="s">
        <v>27</v>
      </c>
      <c r="G57" s="52" t="s">
        <v>0</v>
      </c>
    </row>
    <row r="58" spans="1:7">
      <c r="A58" s="48" t="s">
        <v>425</v>
      </c>
      <c r="B58" s="49" t="s">
        <v>110</v>
      </c>
      <c r="C58" s="50">
        <v>7</v>
      </c>
      <c r="D58" s="50">
        <v>5.2</v>
      </c>
      <c r="E58" s="51" t="s">
        <v>96</v>
      </c>
      <c r="F58" s="50" t="s">
        <v>98</v>
      </c>
      <c r="G58" s="52" t="s">
        <v>3</v>
      </c>
    </row>
    <row r="59" spans="1:7">
      <c r="A59" s="48" t="s">
        <v>426</v>
      </c>
      <c r="B59" s="49" t="s">
        <v>110</v>
      </c>
      <c r="C59" s="50">
        <v>8</v>
      </c>
      <c r="D59" s="50">
        <v>3.3</v>
      </c>
      <c r="E59" s="51" t="s">
        <v>81</v>
      </c>
      <c r="F59" s="50" t="s">
        <v>92</v>
      </c>
      <c r="G59" s="52" t="s">
        <v>4</v>
      </c>
    </row>
    <row r="60" spans="1:7">
      <c r="A60" s="48" t="s">
        <v>427</v>
      </c>
      <c r="B60" s="49" t="s">
        <v>110</v>
      </c>
      <c r="C60" s="50">
        <v>9</v>
      </c>
      <c r="D60" s="50">
        <v>2.31</v>
      </c>
      <c r="E60" s="51" t="s">
        <v>28</v>
      </c>
      <c r="F60" s="50" t="s">
        <v>85</v>
      </c>
      <c r="G60" s="52" t="s">
        <v>2</v>
      </c>
    </row>
    <row r="61" spans="1:7">
      <c r="A61" s="48" t="s">
        <v>428</v>
      </c>
      <c r="B61" s="49" t="s">
        <v>110</v>
      </c>
      <c r="C61" s="50">
        <v>10</v>
      </c>
      <c r="D61" s="50">
        <v>2.33</v>
      </c>
      <c r="E61" s="51" t="s">
        <v>81</v>
      </c>
      <c r="F61" s="50" t="s">
        <v>87</v>
      </c>
      <c r="G61" s="52" t="s">
        <v>4</v>
      </c>
    </row>
    <row r="62" spans="1:7">
      <c r="A62" s="48" t="s">
        <v>429</v>
      </c>
      <c r="B62" s="49" t="s">
        <v>110</v>
      </c>
      <c r="C62" s="50">
        <v>11</v>
      </c>
      <c r="D62" s="50">
        <v>5.0999999999999996</v>
      </c>
      <c r="E62" s="51" t="s">
        <v>96</v>
      </c>
      <c r="F62" s="50" t="s">
        <v>97</v>
      </c>
      <c r="G62" s="52" t="s">
        <v>2</v>
      </c>
    </row>
    <row r="63" spans="1:7">
      <c r="A63" s="48" t="s">
        <v>430</v>
      </c>
      <c r="B63" s="49" t="s">
        <v>110</v>
      </c>
      <c r="C63" s="50">
        <v>12</v>
      </c>
      <c r="D63" s="50">
        <v>6.3</v>
      </c>
      <c r="E63" s="51" t="s">
        <v>81</v>
      </c>
      <c r="F63" s="50" t="s">
        <v>103</v>
      </c>
      <c r="G63" s="52" t="s">
        <v>3</v>
      </c>
    </row>
    <row r="64" spans="1:7">
      <c r="A64" s="48" t="s">
        <v>431</v>
      </c>
      <c r="B64" s="49" t="s">
        <v>110</v>
      </c>
      <c r="C64" s="50">
        <v>13</v>
      </c>
      <c r="D64" s="50">
        <v>3.3</v>
      </c>
      <c r="E64" s="51" t="s">
        <v>81</v>
      </c>
      <c r="F64" s="50" t="s">
        <v>92</v>
      </c>
      <c r="G64" s="52" t="s">
        <v>0</v>
      </c>
    </row>
    <row r="65" spans="1:7">
      <c r="A65" s="48" t="s">
        <v>432</v>
      </c>
      <c r="B65" s="49" t="s">
        <v>110</v>
      </c>
      <c r="C65" s="50">
        <v>14</v>
      </c>
      <c r="D65" s="50">
        <v>5.3</v>
      </c>
      <c r="E65" s="51" t="s">
        <v>81</v>
      </c>
      <c r="F65" s="50" t="s">
        <v>99</v>
      </c>
      <c r="G65" s="52" t="s">
        <v>4</v>
      </c>
    </row>
    <row r="66" spans="1:7">
      <c r="A66" s="48" t="s">
        <v>433</v>
      </c>
      <c r="B66" s="49" t="s">
        <v>110</v>
      </c>
      <c r="C66" s="50">
        <v>15</v>
      </c>
      <c r="D66" s="50">
        <v>4.0999999999999996</v>
      </c>
      <c r="E66" s="51" t="s">
        <v>81</v>
      </c>
      <c r="F66" s="50" t="s">
        <v>94</v>
      </c>
      <c r="G66" s="52" t="s">
        <v>0</v>
      </c>
    </row>
    <row r="67" spans="1:7">
      <c r="A67" s="48" t="s">
        <v>434</v>
      </c>
      <c r="B67" s="49" t="s">
        <v>110</v>
      </c>
      <c r="C67" s="50">
        <v>16</v>
      </c>
      <c r="D67" s="50">
        <v>5.0999999999999996</v>
      </c>
      <c r="E67" s="51" t="s">
        <v>81</v>
      </c>
      <c r="F67" s="50" t="s">
        <v>97</v>
      </c>
      <c r="G67" s="52" t="s">
        <v>0</v>
      </c>
    </row>
    <row r="68" spans="1:7">
      <c r="A68" s="48" t="s">
        <v>435</v>
      </c>
      <c r="B68" s="49" t="s">
        <v>110</v>
      </c>
      <c r="C68" s="50">
        <v>17</v>
      </c>
      <c r="D68" s="50">
        <v>5.2</v>
      </c>
      <c r="E68" s="51" t="s">
        <v>28</v>
      </c>
      <c r="F68" s="50" t="s">
        <v>98</v>
      </c>
      <c r="G68" s="52" t="s">
        <v>2</v>
      </c>
    </row>
    <row r="69" spans="1:7">
      <c r="A69" s="48" t="s">
        <v>436</v>
      </c>
      <c r="B69" s="49" t="s">
        <v>110</v>
      </c>
      <c r="C69" s="50">
        <v>18</v>
      </c>
      <c r="D69" s="50">
        <v>2.3199999999999998</v>
      </c>
      <c r="E69" s="51" t="s">
        <v>81</v>
      </c>
      <c r="F69" s="50" t="s">
        <v>86</v>
      </c>
      <c r="G69" s="52" t="s">
        <v>0</v>
      </c>
    </row>
    <row r="70" spans="1:7">
      <c r="A70" s="48" t="s">
        <v>437</v>
      </c>
      <c r="B70" s="49" t="s">
        <v>110</v>
      </c>
      <c r="C70" s="50">
        <v>19</v>
      </c>
      <c r="D70" s="50">
        <v>6.2</v>
      </c>
      <c r="E70" s="51" t="s">
        <v>93</v>
      </c>
      <c r="F70" s="50" t="s">
        <v>102</v>
      </c>
      <c r="G70" s="52" t="s">
        <v>1</v>
      </c>
    </row>
    <row r="71" spans="1:7">
      <c r="A71" s="48" t="s">
        <v>438</v>
      </c>
      <c r="B71" s="49" t="s">
        <v>110</v>
      </c>
      <c r="C71" s="50">
        <v>20</v>
      </c>
      <c r="D71" s="50">
        <v>2.31</v>
      </c>
      <c r="E71" s="51" t="s">
        <v>81</v>
      </c>
      <c r="F71" s="50" t="s">
        <v>85</v>
      </c>
      <c r="G71" s="52" t="s">
        <v>4</v>
      </c>
    </row>
    <row r="72" spans="1:7">
      <c r="A72" s="48" t="s">
        <v>439</v>
      </c>
      <c r="B72" s="49" t="s">
        <v>110</v>
      </c>
      <c r="C72" s="50">
        <v>21</v>
      </c>
      <c r="D72" s="50">
        <v>2.34</v>
      </c>
      <c r="E72" s="51" t="s">
        <v>76</v>
      </c>
      <c r="F72" s="50" t="s">
        <v>88</v>
      </c>
      <c r="G72" s="52" t="s">
        <v>1</v>
      </c>
    </row>
    <row r="73" spans="1:7">
      <c r="A73" s="48" t="s">
        <v>440</v>
      </c>
      <c r="B73" s="49" t="s">
        <v>110</v>
      </c>
      <c r="C73" s="50">
        <v>22</v>
      </c>
      <c r="D73" s="50">
        <v>2.1</v>
      </c>
      <c r="E73" s="51" t="s">
        <v>81</v>
      </c>
      <c r="F73" s="50" t="s">
        <v>82</v>
      </c>
      <c r="G73" s="52" t="s">
        <v>2</v>
      </c>
    </row>
    <row r="74" spans="1:7">
      <c r="A74" s="48" t="s">
        <v>441</v>
      </c>
      <c r="B74" s="49" t="s">
        <v>110</v>
      </c>
      <c r="C74" s="50">
        <v>23</v>
      </c>
      <c r="D74" s="50">
        <v>1.3</v>
      </c>
      <c r="E74" s="51" t="s">
        <v>100</v>
      </c>
      <c r="F74" s="50" t="s">
        <v>79</v>
      </c>
      <c r="G74" s="52" t="s">
        <v>2</v>
      </c>
    </row>
    <row r="75" spans="1:7">
      <c r="A75" s="48" t="s">
        <v>442</v>
      </c>
      <c r="B75" s="49" t="s">
        <v>110</v>
      </c>
      <c r="C75" s="50">
        <v>24</v>
      </c>
      <c r="D75" s="50">
        <v>4.0999999999999996</v>
      </c>
      <c r="E75" s="51" t="s">
        <v>100</v>
      </c>
      <c r="F75" s="50" t="s">
        <v>94</v>
      </c>
      <c r="G75" s="52" t="s">
        <v>3</v>
      </c>
    </row>
    <row r="76" spans="1:7">
      <c r="A76" s="48" t="s">
        <v>443</v>
      </c>
      <c r="B76" s="49" t="s">
        <v>110</v>
      </c>
      <c r="C76" s="50">
        <v>25</v>
      </c>
      <c r="D76" s="50">
        <v>5.2</v>
      </c>
      <c r="E76" s="51" t="s">
        <v>100</v>
      </c>
      <c r="F76" s="50" t="s">
        <v>98</v>
      </c>
      <c r="G76" s="52" t="s">
        <v>2</v>
      </c>
    </row>
    <row r="77" spans="1:7">
      <c r="A77" s="48" t="s">
        <v>444</v>
      </c>
      <c r="B77" s="49" t="s">
        <v>110</v>
      </c>
      <c r="C77" s="50">
        <v>26</v>
      </c>
      <c r="D77" s="50">
        <v>4.2</v>
      </c>
      <c r="E77" s="51" t="s">
        <v>81</v>
      </c>
      <c r="F77" s="50" t="s">
        <v>95</v>
      </c>
      <c r="G77" s="52" t="s">
        <v>2</v>
      </c>
    </row>
    <row r="78" spans="1:7">
      <c r="A78" s="48" t="s">
        <v>445</v>
      </c>
      <c r="B78" s="49" t="s">
        <v>110</v>
      </c>
      <c r="C78" s="50">
        <v>27</v>
      </c>
      <c r="D78" s="50">
        <v>2.2000000000000002</v>
      </c>
      <c r="E78" s="51" t="s">
        <v>100</v>
      </c>
      <c r="F78" s="50" t="s">
        <v>83</v>
      </c>
      <c r="G78" s="52" t="s">
        <v>4</v>
      </c>
    </row>
    <row r="79" spans="1:7">
      <c r="A79" s="48" t="s">
        <v>446</v>
      </c>
      <c r="B79" s="49" t="s">
        <v>110</v>
      </c>
      <c r="C79" s="50">
        <v>28</v>
      </c>
      <c r="D79" s="50">
        <v>5.0999999999999996</v>
      </c>
      <c r="E79" s="51" t="s">
        <v>81</v>
      </c>
      <c r="F79" s="50" t="s">
        <v>97</v>
      </c>
      <c r="G79" s="52" t="s">
        <v>2</v>
      </c>
    </row>
    <row r="80" spans="1:7">
      <c r="A80" s="48" t="s">
        <v>447</v>
      </c>
      <c r="B80" s="49" t="s">
        <v>110</v>
      </c>
      <c r="C80" s="50">
        <v>29</v>
      </c>
      <c r="D80" s="50">
        <v>2.35</v>
      </c>
      <c r="E80" s="51" t="s">
        <v>81</v>
      </c>
      <c r="F80" s="50" t="s">
        <v>89</v>
      </c>
      <c r="G80" s="52" t="s">
        <v>2</v>
      </c>
    </row>
    <row r="81" spans="1:21">
      <c r="A81" s="48" t="s">
        <v>448</v>
      </c>
      <c r="B81" s="49" t="s">
        <v>110</v>
      </c>
      <c r="C81" s="50">
        <v>30</v>
      </c>
      <c r="D81" s="50">
        <v>3.2</v>
      </c>
      <c r="E81" s="51" t="s">
        <v>76</v>
      </c>
      <c r="F81" s="50" t="s">
        <v>91</v>
      </c>
      <c r="G81" s="52" t="s">
        <v>3</v>
      </c>
    </row>
    <row r="82" spans="1:21">
      <c r="A82" s="48" t="s">
        <v>449</v>
      </c>
      <c r="B82" s="49" t="s">
        <v>110</v>
      </c>
      <c r="C82" s="50">
        <v>31</v>
      </c>
      <c r="D82" s="50">
        <v>1.3</v>
      </c>
      <c r="E82" s="51" t="s">
        <v>81</v>
      </c>
      <c r="F82" s="50" t="s">
        <v>79</v>
      </c>
      <c r="G82" s="52" t="s">
        <v>2</v>
      </c>
    </row>
    <row r="83" spans="1:21">
      <c r="A83" s="48" t="s">
        <v>450</v>
      </c>
      <c r="B83" s="49" t="s">
        <v>110</v>
      </c>
      <c r="C83" s="50">
        <v>32</v>
      </c>
      <c r="D83" s="50">
        <v>1.6</v>
      </c>
      <c r="E83" s="51" t="s">
        <v>81</v>
      </c>
      <c r="F83" s="50" t="s">
        <v>27</v>
      </c>
      <c r="G83" s="52" t="s">
        <v>2</v>
      </c>
    </row>
    <row r="84" spans="1:21">
      <c r="A84" s="48" t="s">
        <v>451</v>
      </c>
      <c r="B84" s="49" t="s">
        <v>110</v>
      </c>
      <c r="C84" s="50">
        <v>33</v>
      </c>
      <c r="D84" s="50">
        <v>5.2</v>
      </c>
      <c r="E84" s="51" t="s">
        <v>81</v>
      </c>
      <c r="F84" s="50" t="s">
        <v>98</v>
      </c>
      <c r="G84" s="52" t="s">
        <v>0</v>
      </c>
    </row>
    <row r="85" spans="1:21">
      <c r="A85" s="48" t="s">
        <v>452</v>
      </c>
      <c r="B85" s="49" t="s">
        <v>110</v>
      </c>
      <c r="C85" s="50">
        <v>34</v>
      </c>
      <c r="D85" s="50">
        <v>2.31</v>
      </c>
      <c r="E85" s="51" t="s">
        <v>93</v>
      </c>
      <c r="F85" s="50" t="s">
        <v>85</v>
      </c>
      <c r="G85" s="52" t="s">
        <v>2</v>
      </c>
    </row>
    <row r="86" spans="1:21">
      <c r="A86" s="48" t="s">
        <v>453</v>
      </c>
      <c r="B86" s="49" t="s">
        <v>110</v>
      </c>
      <c r="C86" s="50">
        <v>35</v>
      </c>
      <c r="D86" s="50">
        <v>5.2</v>
      </c>
      <c r="E86" s="51" t="s">
        <v>81</v>
      </c>
      <c r="F86" s="50" t="s">
        <v>98</v>
      </c>
      <c r="G86" s="52" t="s">
        <v>1</v>
      </c>
    </row>
    <row r="87" spans="1:21">
      <c r="A87" s="48" t="s">
        <v>454</v>
      </c>
      <c r="B87" s="49" t="s">
        <v>110</v>
      </c>
      <c r="C87" s="50">
        <v>36</v>
      </c>
      <c r="D87" s="50">
        <v>2.33</v>
      </c>
      <c r="E87" s="51" t="s">
        <v>28</v>
      </c>
      <c r="F87" s="50" t="s">
        <v>87</v>
      </c>
      <c r="G87" s="52" t="s">
        <v>2</v>
      </c>
    </row>
    <row r="88" spans="1:21">
      <c r="A88" s="48" t="s">
        <v>455</v>
      </c>
      <c r="B88" s="49" t="s">
        <v>110</v>
      </c>
      <c r="C88" s="50">
        <v>37</v>
      </c>
      <c r="D88" s="50">
        <v>2.34</v>
      </c>
      <c r="E88" s="51" t="s">
        <v>100</v>
      </c>
      <c r="F88" s="50" t="s">
        <v>88</v>
      </c>
      <c r="G88" s="52" t="s">
        <v>0</v>
      </c>
    </row>
    <row r="89" spans="1:21">
      <c r="A89" s="48" t="s">
        <v>456</v>
      </c>
      <c r="B89" s="49" t="s">
        <v>110</v>
      </c>
      <c r="C89" s="50">
        <v>38</v>
      </c>
      <c r="D89" s="50">
        <v>2.35</v>
      </c>
      <c r="E89" s="51" t="s">
        <v>76</v>
      </c>
      <c r="F89" s="50" t="s">
        <v>89</v>
      </c>
      <c r="G89" s="52" t="s">
        <v>1</v>
      </c>
    </row>
    <row r="90" spans="1:21">
      <c r="A90" s="48" t="s">
        <v>457</v>
      </c>
      <c r="B90" s="49" t="s">
        <v>110</v>
      </c>
      <c r="C90" s="50">
        <v>39</v>
      </c>
      <c r="D90" s="50">
        <v>2.31</v>
      </c>
      <c r="E90" s="51" t="s">
        <v>81</v>
      </c>
      <c r="F90" s="50" t="s">
        <v>85</v>
      </c>
      <c r="G90" s="52" t="s">
        <v>2</v>
      </c>
    </row>
    <row r="91" spans="1:21">
      <c r="A91" s="48" t="s">
        <v>458</v>
      </c>
      <c r="B91" s="49" t="s">
        <v>110</v>
      </c>
      <c r="C91" s="50">
        <v>40</v>
      </c>
      <c r="D91" s="50">
        <v>5.3</v>
      </c>
      <c r="E91" s="51" t="s">
        <v>96</v>
      </c>
      <c r="F91" s="50" t="s">
        <v>99</v>
      </c>
      <c r="G91" s="52" t="s">
        <v>2</v>
      </c>
    </row>
    <row r="92" spans="1:21">
      <c r="A92" s="48" t="s">
        <v>459</v>
      </c>
      <c r="B92" s="49" t="s">
        <v>110</v>
      </c>
      <c r="C92" s="50">
        <v>41</v>
      </c>
      <c r="D92" s="50">
        <v>3.2</v>
      </c>
      <c r="E92" s="51" t="s">
        <v>81</v>
      </c>
      <c r="F92" s="50" t="s">
        <v>91</v>
      </c>
      <c r="G92" s="52" t="s">
        <v>1</v>
      </c>
    </row>
    <row r="93" spans="1:21">
      <c r="A93" s="48" t="s">
        <v>460</v>
      </c>
      <c r="B93" s="49" t="s">
        <v>110</v>
      </c>
      <c r="C93" s="50">
        <v>42</v>
      </c>
      <c r="D93" s="50">
        <v>2.31</v>
      </c>
      <c r="E93" s="51" t="s">
        <v>28</v>
      </c>
      <c r="F93" s="50" t="s">
        <v>85</v>
      </c>
      <c r="G93" s="52" t="s">
        <v>2</v>
      </c>
      <c r="P93" s="227"/>
      <c r="Q93" s="227"/>
      <c r="R93" s="227"/>
      <c r="S93" s="227"/>
      <c r="T93" s="227"/>
      <c r="U93" s="227"/>
    </row>
    <row r="94" spans="1:21">
      <c r="A94" s="48" t="s">
        <v>461</v>
      </c>
      <c r="B94" s="49" t="s">
        <v>110</v>
      </c>
      <c r="C94" s="50">
        <v>43</v>
      </c>
      <c r="D94" s="50">
        <v>4.2</v>
      </c>
      <c r="E94" s="51" t="s">
        <v>81</v>
      </c>
      <c r="F94" s="50" t="s">
        <v>95</v>
      </c>
      <c r="G94" s="52" t="s">
        <v>3</v>
      </c>
    </row>
    <row r="95" spans="1:21">
      <c r="A95" s="48" t="s">
        <v>462</v>
      </c>
      <c r="B95" s="49" t="s">
        <v>110</v>
      </c>
      <c r="C95" s="50">
        <v>44</v>
      </c>
      <c r="D95" s="50">
        <v>2.3199999999999998</v>
      </c>
      <c r="E95" s="51" t="s">
        <v>81</v>
      </c>
      <c r="F95" s="50" t="s">
        <v>86</v>
      </c>
      <c r="G95" s="52" t="s">
        <v>3</v>
      </c>
    </row>
    <row r="96" spans="1:21">
      <c r="A96" s="48" t="s">
        <v>463</v>
      </c>
      <c r="B96" s="49" t="s">
        <v>110</v>
      </c>
      <c r="C96" s="50">
        <v>45</v>
      </c>
      <c r="D96" s="50">
        <v>5.0999999999999996</v>
      </c>
      <c r="E96" s="51" t="s">
        <v>100</v>
      </c>
      <c r="F96" s="50" t="s">
        <v>97</v>
      </c>
      <c r="G96" s="52" t="s">
        <v>4</v>
      </c>
    </row>
    <row r="97" spans="1:7">
      <c r="A97" s="48" t="s">
        <v>464</v>
      </c>
      <c r="B97" s="49" t="s">
        <v>110</v>
      </c>
      <c r="C97" s="50">
        <v>46</v>
      </c>
      <c r="D97" s="50">
        <v>1.4</v>
      </c>
      <c r="E97" s="51" t="s">
        <v>81</v>
      </c>
      <c r="F97" s="50" t="s">
        <v>30</v>
      </c>
      <c r="G97" s="52" t="s">
        <v>2</v>
      </c>
    </row>
    <row r="98" spans="1:7">
      <c r="A98" s="48" t="s">
        <v>465</v>
      </c>
      <c r="B98" s="49" t="s">
        <v>110</v>
      </c>
      <c r="C98" s="50">
        <v>47</v>
      </c>
      <c r="D98" s="50">
        <v>3.1</v>
      </c>
      <c r="E98" s="51" t="s">
        <v>76</v>
      </c>
      <c r="F98" s="50" t="s">
        <v>90</v>
      </c>
      <c r="G98" s="52" t="s">
        <v>3</v>
      </c>
    </row>
    <row r="99" spans="1:7">
      <c r="A99" s="48" t="s">
        <v>466</v>
      </c>
      <c r="B99" s="49" t="s">
        <v>110</v>
      </c>
      <c r="C99" s="50">
        <v>48</v>
      </c>
      <c r="D99" s="50">
        <v>1.2</v>
      </c>
      <c r="E99" s="51" t="s">
        <v>76</v>
      </c>
      <c r="F99" s="50" t="s">
        <v>78</v>
      </c>
      <c r="G99" s="52" t="s">
        <v>4</v>
      </c>
    </row>
    <row r="100" spans="1:7">
      <c r="A100" s="48" t="s">
        <v>467</v>
      </c>
      <c r="B100" s="49" t="s">
        <v>110</v>
      </c>
      <c r="C100" s="50">
        <v>49</v>
      </c>
      <c r="D100" s="50">
        <v>4.0999999999999996</v>
      </c>
      <c r="E100" s="51" t="s">
        <v>93</v>
      </c>
      <c r="F100" s="50" t="s">
        <v>94</v>
      </c>
      <c r="G100" s="52" t="s">
        <v>2</v>
      </c>
    </row>
    <row r="101" spans="1:7">
      <c r="A101" s="48" t="s">
        <v>468</v>
      </c>
      <c r="B101" s="49" t="s">
        <v>110</v>
      </c>
      <c r="C101" s="50">
        <v>50</v>
      </c>
      <c r="D101" s="50">
        <v>6.3</v>
      </c>
      <c r="E101" s="51" t="s">
        <v>28</v>
      </c>
      <c r="F101" s="50" t="s">
        <v>103</v>
      </c>
      <c r="G101" s="52" t="s">
        <v>4</v>
      </c>
    </row>
    <row r="102" spans="1:7">
      <c r="A102" s="48" t="s">
        <v>469</v>
      </c>
      <c r="B102" s="49" t="s">
        <v>111</v>
      </c>
      <c r="C102" s="50">
        <v>1</v>
      </c>
      <c r="D102" s="50">
        <v>2.1</v>
      </c>
      <c r="E102" s="51" t="s">
        <v>81</v>
      </c>
      <c r="F102" s="50" t="s">
        <v>82</v>
      </c>
      <c r="G102" s="52" t="s">
        <v>4</v>
      </c>
    </row>
    <row r="103" spans="1:7">
      <c r="A103" s="48" t="s">
        <v>470</v>
      </c>
      <c r="B103" s="49" t="s">
        <v>111</v>
      </c>
      <c r="C103" s="50">
        <v>2</v>
      </c>
      <c r="D103" s="50">
        <v>1.6</v>
      </c>
      <c r="E103" s="51" t="s">
        <v>96</v>
      </c>
      <c r="F103" s="50" t="s">
        <v>27</v>
      </c>
      <c r="G103" s="52" t="s">
        <v>2</v>
      </c>
    </row>
    <row r="104" spans="1:7">
      <c r="A104" s="48" t="s">
        <v>471</v>
      </c>
      <c r="B104" s="49" t="s">
        <v>111</v>
      </c>
      <c r="C104" s="50">
        <v>3</v>
      </c>
      <c r="D104" s="50">
        <v>2.1</v>
      </c>
      <c r="E104" s="51" t="s">
        <v>81</v>
      </c>
      <c r="F104" s="50" t="s">
        <v>82</v>
      </c>
      <c r="G104" s="52" t="s">
        <v>4</v>
      </c>
    </row>
    <row r="105" spans="1:7">
      <c r="A105" s="48" t="s">
        <v>472</v>
      </c>
      <c r="B105" s="49" t="s">
        <v>111</v>
      </c>
      <c r="C105" s="50">
        <v>4</v>
      </c>
      <c r="D105" s="50">
        <v>2.1</v>
      </c>
      <c r="E105" s="51" t="s">
        <v>81</v>
      </c>
      <c r="F105" s="50" t="s">
        <v>82</v>
      </c>
      <c r="G105" s="52" t="s">
        <v>4</v>
      </c>
    </row>
    <row r="106" spans="1:7">
      <c r="A106" s="48" t="s">
        <v>473</v>
      </c>
      <c r="B106" s="49" t="s">
        <v>111</v>
      </c>
      <c r="C106" s="50">
        <v>5</v>
      </c>
      <c r="D106" s="50">
        <v>2.1</v>
      </c>
      <c r="E106" s="51" t="s">
        <v>28</v>
      </c>
      <c r="F106" s="50" t="s">
        <v>82</v>
      </c>
      <c r="G106" s="52" t="s">
        <v>2</v>
      </c>
    </row>
    <row r="107" spans="1:7">
      <c r="A107" s="48" t="s">
        <v>474</v>
      </c>
      <c r="B107" s="49" t="s">
        <v>111</v>
      </c>
      <c r="C107" s="50">
        <v>6</v>
      </c>
      <c r="D107" s="50">
        <v>2.1</v>
      </c>
      <c r="E107" s="51" t="s">
        <v>81</v>
      </c>
      <c r="F107" s="50" t="s">
        <v>82</v>
      </c>
      <c r="G107" s="52" t="s">
        <v>2</v>
      </c>
    </row>
    <row r="108" spans="1:7">
      <c r="A108" s="48" t="s">
        <v>475</v>
      </c>
      <c r="B108" s="49" t="s">
        <v>111</v>
      </c>
      <c r="C108" s="50">
        <v>7</v>
      </c>
      <c r="D108" s="50">
        <v>3.1</v>
      </c>
      <c r="E108" s="51" t="s">
        <v>81</v>
      </c>
      <c r="F108" s="50" t="s">
        <v>90</v>
      </c>
      <c r="G108" s="52" t="s">
        <v>3</v>
      </c>
    </row>
    <row r="109" spans="1:7">
      <c r="A109" s="48" t="s">
        <v>476</v>
      </c>
      <c r="B109" s="49" t="s">
        <v>111</v>
      </c>
      <c r="C109" s="50">
        <v>8</v>
      </c>
      <c r="D109" s="50">
        <v>2.35</v>
      </c>
      <c r="E109" s="51" t="s">
        <v>76</v>
      </c>
      <c r="F109" s="50" t="s">
        <v>89</v>
      </c>
      <c r="G109" s="52" t="s">
        <v>4</v>
      </c>
    </row>
    <row r="110" spans="1:7">
      <c r="A110" s="48" t="s">
        <v>477</v>
      </c>
      <c r="B110" s="49" t="s">
        <v>111</v>
      </c>
      <c r="C110" s="50">
        <v>9</v>
      </c>
      <c r="D110" s="50">
        <v>3.2</v>
      </c>
      <c r="E110" s="51" t="s">
        <v>81</v>
      </c>
      <c r="F110" s="50" t="s">
        <v>91</v>
      </c>
      <c r="G110" s="52" t="s">
        <v>1</v>
      </c>
    </row>
    <row r="111" spans="1:7">
      <c r="A111" s="48" t="s">
        <v>478</v>
      </c>
      <c r="B111" s="49" t="s">
        <v>111</v>
      </c>
      <c r="C111" s="50">
        <v>10</v>
      </c>
      <c r="D111" s="50">
        <v>1.1000000000000001</v>
      </c>
      <c r="E111" s="51" t="s">
        <v>28</v>
      </c>
      <c r="F111" s="50" t="s">
        <v>77</v>
      </c>
      <c r="G111" s="52" t="s">
        <v>3</v>
      </c>
    </row>
    <row r="112" spans="1:7">
      <c r="A112" s="48" t="s">
        <v>479</v>
      </c>
      <c r="B112" s="49" t="s">
        <v>111</v>
      </c>
      <c r="C112" s="50">
        <v>11</v>
      </c>
      <c r="D112" s="50">
        <v>5.3</v>
      </c>
      <c r="E112" s="51" t="s">
        <v>81</v>
      </c>
      <c r="F112" s="50" t="s">
        <v>99</v>
      </c>
      <c r="G112" s="52" t="s">
        <v>2</v>
      </c>
    </row>
    <row r="113" spans="1:7">
      <c r="A113" s="48" t="s">
        <v>480</v>
      </c>
      <c r="B113" s="49" t="s">
        <v>111</v>
      </c>
      <c r="C113" s="50">
        <v>12</v>
      </c>
      <c r="D113" s="50">
        <v>2.33</v>
      </c>
      <c r="E113" s="51" t="s">
        <v>81</v>
      </c>
      <c r="F113" s="50" t="s">
        <v>87</v>
      </c>
      <c r="G113" s="52" t="s">
        <v>3</v>
      </c>
    </row>
    <row r="114" spans="1:7">
      <c r="A114" s="48" t="s">
        <v>481</v>
      </c>
      <c r="B114" s="49" t="s">
        <v>111</v>
      </c>
      <c r="C114" s="50">
        <v>13</v>
      </c>
      <c r="D114" s="50">
        <v>2.33</v>
      </c>
      <c r="E114" s="51" t="s">
        <v>81</v>
      </c>
      <c r="F114" s="50" t="s">
        <v>87</v>
      </c>
      <c r="G114" s="52" t="s">
        <v>2</v>
      </c>
    </row>
    <row r="115" spans="1:7">
      <c r="A115" s="48" t="s">
        <v>482</v>
      </c>
      <c r="B115" s="49" t="s">
        <v>111</v>
      </c>
      <c r="C115" s="50">
        <v>14</v>
      </c>
      <c r="D115" s="50">
        <v>2.1</v>
      </c>
      <c r="E115" s="51" t="s">
        <v>76</v>
      </c>
      <c r="F115" s="50" t="s">
        <v>82</v>
      </c>
      <c r="G115" s="52" t="s">
        <v>0</v>
      </c>
    </row>
    <row r="116" spans="1:7">
      <c r="A116" s="48" t="s">
        <v>483</v>
      </c>
      <c r="B116" s="49" t="s">
        <v>111</v>
      </c>
      <c r="C116" s="50">
        <v>15</v>
      </c>
      <c r="D116" s="50">
        <v>2.31</v>
      </c>
      <c r="E116" s="51" t="s">
        <v>76</v>
      </c>
      <c r="F116" s="50" t="s">
        <v>85</v>
      </c>
      <c r="G116" s="52" t="s">
        <v>4</v>
      </c>
    </row>
    <row r="117" spans="1:7">
      <c r="A117" s="48" t="s">
        <v>484</v>
      </c>
      <c r="B117" s="49" t="s">
        <v>111</v>
      </c>
      <c r="C117" s="50">
        <v>16</v>
      </c>
      <c r="D117" s="50">
        <v>2.1</v>
      </c>
      <c r="E117" s="51" t="s">
        <v>96</v>
      </c>
      <c r="F117" s="50" t="s">
        <v>82</v>
      </c>
      <c r="G117" s="52" t="s">
        <v>3</v>
      </c>
    </row>
    <row r="118" spans="1:7">
      <c r="A118" s="48" t="s">
        <v>485</v>
      </c>
      <c r="B118" s="49" t="s">
        <v>111</v>
      </c>
      <c r="C118" s="50">
        <v>17</v>
      </c>
      <c r="D118" s="50">
        <v>3.1</v>
      </c>
      <c r="E118" s="51" t="s">
        <v>28</v>
      </c>
      <c r="F118" s="50" t="s">
        <v>90</v>
      </c>
      <c r="G118" s="52" t="s">
        <v>0</v>
      </c>
    </row>
    <row r="119" spans="1:7">
      <c r="A119" s="48" t="s">
        <v>486</v>
      </c>
      <c r="B119" s="49" t="s">
        <v>111</v>
      </c>
      <c r="C119" s="50">
        <v>18</v>
      </c>
      <c r="D119" s="50">
        <v>2.31</v>
      </c>
      <c r="E119" s="51" t="s">
        <v>81</v>
      </c>
      <c r="F119" s="50" t="s">
        <v>85</v>
      </c>
      <c r="G119" s="52" t="s">
        <v>2</v>
      </c>
    </row>
    <row r="120" spans="1:7">
      <c r="A120" s="48" t="s">
        <v>487</v>
      </c>
      <c r="B120" s="49" t="s">
        <v>111</v>
      </c>
      <c r="C120" s="50">
        <v>19</v>
      </c>
      <c r="D120" s="50">
        <v>4.0999999999999996</v>
      </c>
      <c r="E120" s="51" t="s">
        <v>28</v>
      </c>
      <c r="F120" s="50" t="s">
        <v>94</v>
      </c>
      <c r="G120" s="52" t="s">
        <v>0</v>
      </c>
    </row>
    <row r="121" spans="1:7">
      <c r="A121" s="48" t="s">
        <v>488</v>
      </c>
      <c r="B121" s="49" t="s">
        <v>111</v>
      </c>
      <c r="C121" s="50">
        <v>20</v>
      </c>
      <c r="D121" s="50">
        <v>3.1</v>
      </c>
      <c r="E121" s="51" t="s">
        <v>96</v>
      </c>
      <c r="F121" s="50" t="s">
        <v>90</v>
      </c>
      <c r="G121" s="52" t="s">
        <v>4</v>
      </c>
    </row>
    <row r="122" spans="1:7">
      <c r="A122" s="48" t="s">
        <v>489</v>
      </c>
      <c r="B122" s="49" t="s">
        <v>111</v>
      </c>
      <c r="C122" s="50">
        <v>21</v>
      </c>
      <c r="D122" s="50">
        <v>1.3</v>
      </c>
      <c r="E122" s="51" t="s">
        <v>81</v>
      </c>
      <c r="F122" s="50" t="s">
        <v>79</v>
      </c>
      <c r="G122" s="52" t="s">
        <v>0</v>
      </c>
    </row>
    <row r="123" spans="1:7">
      <c r="A123" s="48" t="s">
        <v>490</v>
      </c>
      <c r="B123" s="49" t="s">
        <v>111</v>
      </c>
      <c r="C123" s="50">
        <v>22</v>
      </c>
      <c r="D123" s="50">
        <v>2.1</v>
      </c>
      <c r="E123" s="51" t="s">
        <v>100</v>
      </c>
      <c r="F123" s="50" t="s">
        <v>82</v>
      </c>
      <c r="G123" s="52" t="s">
        <v>0</v>
      </c>
    </row>
    <row r="124" spans="1:7">
      <c r="A124" s="48" t="s">
        <v>491</v>
      </c>
      <c r="B124" s="49" t="s">
        <v>111</v>
      </c>
      <c r="C124" s="50">
        <v>23</v>
      </c>
      <c r="D124" s="50">
        <v>6.3</v>
      </c>
      <c r="E124" s="51" t="s">
        <v>100</v>
      </c>
      <c r="F124" s="50" t="s">
        <v>103</v>
      </c>
      <c r="G124" s="52" t="s">
        <v>0</v>
      </c>
    </row>
    <row r="125" spans="1:7">
      <c r="A125" s="48" t="s">
        <v>492</v>
      </c>
      <c r="B125" s="49" t="s">
        <v>111</v>
      </c>
      <c r="C125" s="50">
        <v>24</v>
      </c>
      <c r="D125" s="50">
        <v>6.1</v>
      </c>
      <c r="E125" s="51" t="s">
        <v>81</v>
      </c>
      <c r="F125" s="50" t="s">
        <v>101</v>
      </c>
      <c r="G125" s="52" t="s">
        <v>2</v>
      </c>
    </row>
    <row r="126" spans="1:7">
      <c r="A126" s="48" t="s">
        <v>493</v>
      </c>
      <c r="B126" s="49" t="s">
        <v>111</v>
      </c>
      <c r="C126" s="50">
        <v>25</v>
      </c>
      <c r="D126" s="50">
        <v>6.1</v>
      </c>
      <c r="E126" s="51" t="s">
        <v>96</v>
      </c>
      <c r="F126" s="50" t="s">
        <v>101</v>
      </c>
      <c r="G126" s="52" t="s">
        <v>0</v>
      </c>
    </row>
    <row r="127" spans="1:7">
      <c r="A127" s="48" t="s">
        <v>494</v>
      </c>
      <c r="B127" s="49" t="s">
        <v>111</v>
      </c>
      <c r="C127" s="50">
        <v>26</v>
      </c>
      <c r="D127" s="50">
        <v>6.2</v>
      </c>
      <c r="E127" s="51" t="s">
        <v>93</v>
      </c>
      <c r="F127" s="50" t="s">
        <v>102</v>
      </c>
      <c r="G127" s="52" t="s">
        <v>4</v>
      </c>
    </row>
    <row r="128" spans="1:7">
      <c r="A128" s="48" t="s">
        <v>495</v>
      </c>
      <c r="B128" s="49" t="s">
        <v>111</v>
      </c>
      <c r="C128" s="50">
        <v>27</v>
      </c>
      <c r="D128" s="50">
        <v>6.3</v>
      </c>
      <c r="E128" s="51" t="s">
        <v>76</v>
      </c>
      <c r="F128" s="50" t="s">
        <v>103</v>
      </c>
      <c r="G128" s="52" t="s">
        <v>1</v>
      </c>
    </row>
    <row r="129" spans="1:7">
      <c r="A129" s="48" t="s">
        <v>496</v>
      </c>
      <c r="B129" s="49" t="s">
        <v>111</v>
      </c>
      <c r="C129" s="50">
        <v>28</v>
      </c>
      <c r="D129" s="50">
        <v>2.31</v>
      </c>
      <c r="E129" s="51" t="s">
        <v>76</v>
      </c>
      <c r="F129" s="50" t="s">
        <v>85</v>
      </c>
      <c r="G129" s="52" t="s">
        <v>2</v>
      </c>
    </row>
    <row r="130" spans="1:7">
      <c r="A130" s="48" t="s">
        <v>497</v>
      </c>
      <c r="B130" s="49" t="s">
        <v>111</v>
      </c>
      <c r="C130" s="50">
        <v>29</v>
      </c>
      <c r="D130" s="50">
        <v>2.31</v>
      </c>
      <c r="E130" s="51" t="s">
        <v>96</v>
      </c>
      <c r="F130" s="50" t="s">
        <v>85</v>
      </c>
      <c r="G130" s="52" t="s">
        <v>1</v>
      </c>
    </row>
    <row r="131" spans="1:7">
      <c r="A131" s="48" t="s">
        <v>498</v>
      </c>
      <c r="B131" s="49" t="s">
        <v>111</v>
      </c>
      <c r="C131" s="50">
        <v>30</v>
      </c>
      <c r="D131" s="50">
        <v>1.3</v>
      </c>
      <c r="E131" s="51" t="s">
        <v>93</v>
      </c>
      <c r="F131" s="50" t="s">
        <v>79</v>
      </c>
      <c r="G131" s="52" t="s">
        <v>0</v>
      </c>
    </row>
    <row r="132" spans="1:7">
      <c r="A132" s="48" t="s">
        <v>499</v>
      </c>
      <c r="B132" s="49" t="s">
        <v>111</v>
      </c>
      <c r="C132" s="50">
        <v>31</v>
      </c>
      <c r="D132" s="50">
        <v>2.31</v>
      </c>
      <c r="E132" s="51" t="s">
        <v>76</v>
      </c>
      <c r="F132" s="50" t="s">
        <v>85</v>
      </c>
      <c r="G132" s="52" t="s">
        <v>4</v>
      </c>
    </row>
    <row r="133" spans="1:7">
      <c r="A133" s="48" t="s">
        <v>500</v>
      </c>
      <c r="B133" s="49" t="s">
        <v>111</v>
      </c>
      <c r="C133" s="50">
        <v>32</v>
      </c>
      <c r="D133" s="50">
        <v>2.35</v>
      </c>
      <c r="E133" s="51" t="s">
        <v>28</v>
      </c>
      <c r="F133" s="50" t="s">
        <v>89</v>
      </c>
      <c r="G133" s="52" t="s">
        <v>0</v>
      </c>
    </row>
    <row r="134" spans="1:7">
      <c r="A134" s="48" t="s">
        <v>501</v>
      </c>
      <c r="B134" s="49" t="s">
        <v>111</v>
      </c>
      <c r="C134" s="50">
        <v>33</v>
      </c>
      <c r="D134" s="50">
        <v>2.3199999999999998</v>
      </c>
      <c r="E134" s="51" t="s">
        <v>96</v>
      </c>
      <c r="F134" s="50" t="s">
        <v>86</v>
      </c>
      <c r="G134" s="52" t="s">
        <v>2</v>
      </c>
    </row>
    <row r="135" spans="1:7">
      <c r="A135" s="48" t="s">
        <v>502</v>
      </c>
      <c r="B135" s="49" t="s">
        <v>111</v>
      </c>
      <c r="C135" s="50">
        <v>34</v>
      </c>
      <c r="D135" s="50">
        <v>4.0999999999999996</v>
      </c>
      <c r="E135" s="51" t="s">
        <v>96</v>
      </c>
      <c r="F135" s="50" t="s">
        <v>94</v>
      </c>
      <c r="G135" s="52" t="s">
        <v>1</v>
      </c>
    </row>
    <row r="136" spans="1:7">
      <c r="A136" s="48" t="s">
        <v>503</v>
      </c>
      <c r="B136" s="49" t="s">
        <v>111</v>
      </c>
      <c r="C136" s="50">
        <v>35</v>
      </c>
      <c r="D136" s="50">
        <v>2.34</v>
      </c>
      <c r="E136" s="51" t="s">
        <v>81</v>
      </c>
      <c r="F136" s="50" t="s">
        <v>88</v>
      </c>
      <c r="G136" s="52" t="s">
        <v>4</v>
      </c>
    </row>
    <row r="137" spans="1:7">
      <c r="A137" s="48" t="s">
        <v>504</v>
      </c>
      <c r="B137" s="49" t="s">
        <v>111</v>
      </c>
      <c r="C137" s="50">
        <v>36</v>
      </c>
      <c r="D137" s="50">
        <v>3.2</v>
      </c>
      <c r="E137" s="51" t="s">
        <v>93</v>
      </c>
      <c r="F137" s="50" t="s">
        <v>91</v>
      </c>
      <c r="G137" s="52" t="s">
        <v>2</v>
      </c>
    </row>
    <row r="138" spans="1:7">
      <c r="A138" s="48" t="s">
        <v>505</v>
      </c>
      <c r="B138" s="49" t="s">
        <v>111</v>
      </c>
      <c r="C138" s="50">
        <v>37</v>
      </c>
      <c r="D138" s="50">
        <v>6.3</v>
      </c>
      <c r="E138" s="51" t="s">
        <v>81</v>
      </c>
      <c r="F138" s="50" t="s">
        <v>103</v>
      </c>
      <c r="G138" s="52" t="s">
        <v>3</v>
      </c>
    </row>
    <row r="139" spans="1:7">
      <c r="A139" s="48" t="s">
        <v>506</v>
      </c>
      <c r="B139" s="49" t="s">
        <v>111</v>
      </c>
      <c r="C139" s="50">
        <v>38</v>
      </c>
      <c r="D139" s="50">
        <v>1.4</v>
      </c>
      <c r="E139" s="51" t="s">
        <v>81</v>
      </c>
      <c r="F139" s="50" t="s">
        <v>30</v>
      </c>
      <c r="G139" s="52" t="s">
        <v>3</v>
      </c>
    </row>
    <row r="140" spans="1:7">
      <c r="A140" s="48" t="s">
        <v>507</v>
      </c>
      <c r="B140" s="49" t="s">
        <v>111</v>
      </c>
      <c r="C140" s="50">
        <v>39</v>
      </c>
      <c r="D140" s="50">
        <v>2.1</v>
      </c>
      <c r="E140" s="51" t="s">
        <v>96</v>
      </c>
      <c r="F140" s="50" t="s">
        <v>82</v>
      </c>
      <c r="G140" s="52" t="s">
        <v>2</v>
      </c>
    </row>
    <row r="141" spans="1:7">
      <c r="A141" s="48" t="s">
        <v>508</v>
      </c>
      <c r="B141" s="49" t="s">
        <v>111</v>
      </c>
      <c r="C141" s="50">
        <v>40</v>
      </c>
      <c r="D141" s="50">
        <v>5.2</v>
      </c>
      <c r="E141" s="51" t="s">
        <v>81</v>
      </c>
      <c r="F141" s="50" t="s">
        <v>98</v>
      </c>
      <c r="G141" s="52" t="s">
        <v>0</v>
      </c>
    </row>
    <row r="142" spans="1:7">
      <c r="A142" s="48" t="s">
        <v>509</v>
      </c>
      <c r="B142" s="49" t="s">
        <v>111</v>
      </c>
      <c r="C142" s="50">
        <v>41</v>
      </c>
      <c r="D142" s="50">
        <v>2.1</v>
      </c>
      <c r="E142" s="51" t="s">
        <v>96</v>
      </c>
      <c r="F142" s="50" t="s">
        <v>82</v>
      </c>
      <c r="G142" s="52" t="s">
        <v>4</v>
      </c>
    </row>
    <row r="143" spans="1:7">
      <c r="A143" s="48" t="s">
        <v>510</v>
      </c>
      <c r="B143" s="49" t="s">
        <v>111</v>
      </c>
      <c r="C143" s="50">
        <v>42</v>
      </c>
      <c r="D143" s="50">
        <v>3.2</v>
      </c>
      <c r="E143" s="51" t="s">
        <v>28</v>
      </c>
      <c r="F143" s="50" t="s">
        <v>91</v>
      </c>
      <c r="G143" s="52" t="s">
        <v>2</v>
      </c>
    </row>
    <row r="144" spans="1:7">
      <c r="A144" s="48" t="s">
        <v>511</v>
      </c>
      <c r="B144" s="49" t="s">
        <v>111</v>
      </c>
      <c r="C144" s="50">
        <v>43</v>
      </c>
      <c r="D144" s="50">
        <v>2.1</v>
      </c>
      <c r="E144" s="51" t="s">
        <v>81</v>
      </c>
      <c r="F144" s="50" t="s">
        <v>82</v>
      </c>
      <c r="G144" s="52" t="s">
        <v>4</v>
      </c>
    </row>
    <row r="145" spans="1:7">
      <c r="A145" s="48" t="s">
        <v>512</v>
      </c>
      <c r="B145" s="49" t="s">
        <v>111</v>
      </c>
      <c r="C145" s="50">
        <v>44</v>
      </c>
      <c r="D145" s="50">
        <v>2.1</v>
      </c>
      <c r="E145" s="51" t="s">
        <v>76</v>
      </c>
      <c r="F145" s="50" t="s">
        <v>82</v>
      </c>
      <c r="G145" s="52" t="s">
        <v>0</v>
      </c>
    </row>
    <row r="146" spans="1:7">
      <c r="A146" s="48" t="s">
        <v>513</v>
      </c>
      <c r="B146" s="49" t="s">
        <v>111</v>
      </c>
      <c r="C146" s="50">
        <v>45</v>
      </c>
      <c r="D146" s="50">
        <v>6.4</v>
      </c>
      <c r="E146" s="51" t="s">
        <v>81</v>
      </c>
      <c r="F146" s="50" t="s">
        <v>104</v>
      </c>
      <c r="G146" s="52" t="s">
        <v>1</v>
      </c>
    </row>
    <row r="147" spans="1:7">
      <c r="A147" s="48" t="s">
        <v>514</v>
      </c>
      <c r="B147" s="49" t="s">
        <v>111</v>
      </c>
      <c r="C147" s="50">
        <v>46</v>
      </c>
      <c r="D147" s="50">
        <v>2.1</v>
      </c>
      <c r="E147" s="51" t="s">
        <v>81</v>
      </c>
      <c r="F147" s="50" t="s">
        <v>82</v>
      </c>
      <c r="G147" s="52" t="s">
        <v>0</v>
      </c>
    </row>
    <row r="148" spans="1:7">
      <c r="A148" s="48" t="s">
        <v>515</v>
      </c>
      <c r="B148" s="49" t="s">
        <v>111</v>
      </c>
      <c r="C148" s="50">
        <v>47</v>
      </c>
      <c r="D148" s="50">
        <v>1.2</v>
      </c>
      <c r="E148" s="51" t="s">
        <v>100</v>
      </c>
      <c r="F148" s="50" t="s">
        <v>78</v>
      </c>
      <c r="G148" s="52" t="s">
        <v>1</v>
      </c>
    </row>
    <row r="149" spans="1:7">
      <c r="A149" s="48" t="s">
        <v>516</v>
      </c>
      <c r="B149" s="49" t="s">
        <v>111</v>
      </c>
      <c r="C149" s="50">
        <v>48</v>
      </c>
      <c r="D149" s="50">
        <v>1.2</v>
      </c>
      <c r="E149" s="51" t="s">
        <v>81</v>
      </c>
      <c r="F149" s="50" t="s">
        <v>78</v>
      </c>
      <c r="G149" s="52" t="s">
        <v>0</v>
      </c>
    </row>
    <row r="150" spans="1:7">
      <c r="A150" s="48" t="s">
        <v>517</v>
      </c>
      <c r="B150" s="49" t="s">
        <v>111</v>
      </c>
      <c r="C150" s="50">
        <v>49</v>
      </c>
      <c r="D150" s="50">
        <v>4.0999999999999996</v>
      </c>
      <c r="E150" s="51" t="s">
        <v>81</v>
      </c>
      <c r="F150" s="50" t="s">
        <v>94</v>
      </c>
      <c r="G150" s="52" t="s">
        <v>3</v>
      </c>
    </row>
    <row r="151" spans="1:7">
      <c r="A151" s="48" t="s">
        <v>518</v>
      </c>
      <c r="B151" s="49" t="s">
        <v>111</v>
      </c>
      <c r="C151" s="50">
        <v>50</v>
      </c>
      <c r="D151" s="50">
        <v>3.2</v>
      </c>
      <c r="E151" s="51" t="s">
        <v>28</v>
      </c>
      <c r="F151" s="50" t="s">
        <v>91</v>
      </c>
      <c r="G151" s="52" t="s">
        <v>4</v>
      </c>
    </row>
    <row r="152" spans="1:7">
      <c r="A152" s="54" t="s">
        <v>519</v>
      </c>
      <c r="B152" s="55" t="s">
        <v>112</v>
      </c>
      <c r="C152" s="56">
        <v>1</v>
      </c>
      <c r="D152" s="57">
        <v>2.2000000000000002</v>
      </c>
      <c r="E152" s="57" t="s">
        <v>100</v>
      </c>
      <c r="F152" s="57" t="s">
        <v>83</v>
      </c>
      <c r="G152" s="52" t="s">
        <v>0</v>
      </c>
    </row>
    <row r="153" spans="1:7">
      <c r="A153" s="54" t="s">
        <v>520</v>
      </c>
      <c r="B153" s="55" t="s">
        <v>112</v>
      </c>
      <c r="C153" s="56">
        <v>2</v>
      </c>
      <c r="D153" s="57">
        <v>5.0999999999999996</v>
      </c>
      <c r="E153" s="57" t="s">
        <v>100</v>
      </c>
      <c r="F153" s="57" t="s">
        <v>97</v>
      </c>
      <c r="G153" s="52" t="s">
        <v>4</v>
      </c>
    </row>
    <row r="154" spans="1:7">
      <c r="A154" s="54" t="s">
        <v>521</v>
      </c>
      <c r="B154" s="55" t="s">
        <v>112</v>
      </c>
      <c r="C154" s="56">
        <v>3</v>
      </c>
      <c r="D154" s="57">
        <v>2.31</v>
      </c>
      <c r="E154" s="57" t="s">
        <v>81</v>
      </c>
      <c r="F154" s="57" t="s">
        <v>85</v>
      </c>
      <c r="G154" s="52" t="s">
        <v>2</v>
      </c>
    </row>
    <row r="155" spans="1:7">
      <c r="A155" s="54" t="s">
        <v>522</v>
      </c>
      <c r="B155" s="55" t="s">
        <v>112</v>
      </c>
      <c r="C155" s="56">
        <v>4</v>
      </c>
      <c r="D155" s="57">
        <v>2.1</v>
      </c>
      <c r="E155" s="57" t="s">
        <v>81</v>
      </c>
      <c r="F155" s="57" t="s">
        <v>82</v>
      </c>
      <c r="G155" s="52" t="s">
        <v>2</v>
      </c>
    </row>
    <row r="156" spans="1:7">
      <c r="A156" s="54" t="s">
        <v>523</v>
      </c>
      <c r="B156" s="55" t="s">
        <v>112</v>
      </c>
      <c r="C156" s="56">
        <v>5</v>
      </c>
      <c r="D156" s="57">
        <v>3.2</v>
      </c>
      <c r="E156" s="57" t="s">
        <v>81</v>
      </c>
      <c r="F156" s="57" t="s">
        <v>91</v>
      </c>
      <c r="G156" s="52" t="s">
        <v>0</v>
      </c>
    </row>
    <row r="157" spans="1:7">
      <c r="A157" s="54" t="s">
        <v>524</v>
      </c>
      <c r="B157" s="55" t="s">
        <v>112</v>
      </c>
      <c r="C157" s="56">
        <v>6</v>
      </c>
      <c r="D157" s="57">
        <v>2.35</v>
      </c>
      <c r="E157" s="57" t="s">
        <v>76</v>
      </c>
      <c r="F157" s="57" t="s">
        <v>89</v>
      </c>
      <c r="G157" s="52" t="s">
        <v>4</v>
      </c>
    </row>
    <row r="158" spans="1:7">
      <c r="A158" s="54" t="s">
        <v>525</v>
      </c>
      <c r="B158" s="55" t="s">
        <v>112</v>
      </c>
      <c r="C158" s="56">
        <v>7</v>
      </c>
      <c r="D158" s="57">
        <v>2.35</v>
      </c>
      <c r="E158" s="57" t="s">
        <v>81</v>
      </c>
      <c r="F158" s="57" t="s">
        <v>89</v>
      </c>
      <c r="G158" s="52" t="s">
        <v>4</v>
      </c>
    </row>
    <row r="159" spans="1:7">
      <c r="A159" s="54" t="s">
        <v>526</v>
      </c>
      <c r="B159" s="55" t="s">
        <v>112</v>
      </c>
      <c r="C159" s="56">
        <v>8</v>
      </c>
      <c r="D159" s="57">
        <v>1.1000000000000001</v>
      </c>
      <c r="E159" s="57" t="s">
        <v>81</v>
      </c>
      <c r="F159" s="57" t="s">
        <v>77</v>
      </c>
      <c r="G159" s="52" t="s">
        <v>2</v>
      </c>
    </row>
    <row r="160" spans="1:7">
      <c r="A160" s="54" t="s">
        <v>527</v>
      </c>
      <c r="B160" s="55" t="s">
        <v>112</v>
      </c>
      <c r="C160" s="56">
        <v>9</v>
      </c>
      <c r="D160" s="57">
        <v>2.34</v>
      </c>
      <c r="E160" s="57" t="s">
        <v>81</v>
      </c>
      <c r="F160" s="57" t="s">
        <v>88</v>
      </c>
      <c r="G160" s="52" t="s">
        <v>0</v>
      </c>
    </row>
    <row r="161" spans="1:7">
      <c r="A161" s="54" t="s">
        <v>528</v>
      </c>
      <c r="B161" s="55" t="s">
        <v>112</v>
      </c>
      <c r="C161" s="56">
        <v>10</v>
      </c>
      <c r="D161" s="57">
        <v>3.2</v>
      </c>
      <c r="E161" s="57" t="s">
        <v>81</v>
      </c>
      <c r="F161" s="57" t="s">
        <v>91</v>
      </c>
      <c r="G161" s="52" t="s">
        <v>4</v>
      </c>
    </row>
    <row r="162" spans="1:7">
      <c r="A162" s="54" t="s">
        <v>529</v>
      </c>
      <c r="B162" s="55" t="s">
        <v>112</v>
      </c>
      <c r="C162" s="56">
        <v>11</v>
      </c>
      <c r="D162" s="57">
        <v>2.35</v>
      </c>
      <c r="E162" s="57" t="s">
        <v>81</v>
      </c>
      <c r="F162" s="57" t="s">
        <v>89</v>
      </c>
      <c r="G162" s="52" t="s">
        <v>1</v>
      </c>
    </row>
    <row r="163" spans="1:7">
      <c r="A163" s="54" t="s">
        <v>530</v>
      </c>
      <c r="B163" s="55" t="s">
        <v>112</v>
      </c>
      <c r="C163" s="56">
        <v>12</v>
      </c>
      <c r="D163" s="57">
        <v>2.35</v>
      </c>
      <c r="E163" s="57" t="s">
        <v>81</v>
      </c>
      <c r="F163" s="57" t="s">
        <v>89</v>
      </c>
      <c r="G163" s="52" t="s">
        <v>3</v>
      </c>
    </row>
    <row r="164" spans="1:7">
      <c r="A164" s="54" t="s">
        <v>531</v>
      </c>
      <c r="B164" s="55" t="s">
        <v>112</v>
      </c>
      <c r="C164" s="56">
        <v>13</v>
      </c>
      <c r="D164" s="57">
        <v>2.3199999999999998</v>
      </c>
      <c r="E164" s="57" t="s">
        <v>93</v>
      </c>
      <c r="F164" s="57" t="s">
        <v>86</v>
      </c>
      <c r="G164" s="52" t="s">
        <v>2</v>
      </c>
    </row>
    <row r="165" spans="1:7">
      <c r="A165" s="54" t="s">
        <v>532</v>
      </c>
      <c r="B165" s="55" t="s">
        <v>112</v>
      </c>
      <c r="C165" s="56">
        <v>14</v>
      </c>
      <c r="D165" s="57">
        <v>1.3</v>
      </c>
      <c r="E165" s="57" t="s">
        <v>76</v>
      </c>
      <c r="F165" s="57" t="s">
        <v>79</v>
      </c>
      <c r="G165" s="52" t="s">
        <v>2</v>
      </c>
    </row>
    <row r="166" spans="1:7">
      <c r="A166" s="54" t="s">
        <v>533</v>
      </c>
      <c r="B166" s="55" t="s">
        <v>112</v>
      </c>
      <c r="C166" s="56">
        <v>15</v>
      </c>
      <c r="D166" s="57">
        <v>1.6</v>
      </c>
      <c r="E166" s="57" t="s">
        <v>76</v>
      </c>
      <c r="F166" s="57" t="s">
        <v>27</v>
      </c>
      <c r="G166" s="52" t="s">
        <v>2</v>
      </c>
    </row>
    <row r="167" spans="1:7">
      <c r="A167" s="54" t="s">
        <v>534</v>
      </c>
      <c r="B167" s="55" t="s">
        <v>112</v>
      </c>
      <c r="C167" s="56">
        <v>16</v>
      </c>
      <c r="D167" s="57">
        <v>5.0999999999999996</v>
      </c>
      <c r="E167" s="57" t="s">
        <v>76</v>
      </c>
      <c r="F167" s="57" t="s">
        <v>97</v>
      </c>
      <c r="G167" s="52" t="s">
        <v>2</v>
      </c>
    </row>
    <row r="168" spans="1:7">
      <c r="A168" s="54" t="s">
        <v>535</v>
      </c>
      <c r="B168" s="55" t="s">
        <v>112</v>
      </c>
      <c r="C168" s="56">
        <v>17</v>
      </c>
      <c r="D168" s="57">
        <v>3.2</v>
      </c>
      <c r="E168" s="57" t="s">
        <v>81</v>
      </c>
      <c r="F168" s="57" t="s">
        <v>91</v>
      </c>
      <c r="G168" s="52" t="s">
        <v>4</v>
      </c>
    </row>
    <row r="169" spans="1:7">
      <c r="A169" s="54" t="s">
        <v>536</v>
      </c>
      <c r="B169" s="55" t="s">
        <v>112</v>
      </c>
      <c r="C169" s="56">
        <v>18</v>
      </c>
      <c r="D169" s="57">
        <v>3.3</v>
      </c>
      <c r="E169" s="57" t="s">
        <v>100</v>
      </c>
      <c r="F169" s="57" t="s">
        <v>92</v>
      </c>
      <c r="G169" s="52" t="s">
        <v>2</v>
      </c>
    </row>
    <row r="170" spans="1:7">
      <c r="A170" s="54" t="s">
        <v>537</v>
      </c>
      <c r="B170" s="55" t="s">
        <v>112</v>
      </c>
      <c r="C170" s="56">
        <v>19</v>
      </c>
      <c r="D170" s="57">
        <v>3.2</v>
      </c>
      <c r="E170" s="57" t="s">
        <v>81</v>
      </c>
      <c r="F170" s="57" t="s">
        <v>91</v>
      </c>
      <c r="G170" s="52" t="s">
        <v>4</v>
      </c>
    </row>
    <row r="171" spans="1:7">
      <c r="A171" s="54" t="s">
        <v>538</v>
      </c>
      <c r="B171" s="55" t="s">
        <v>112</v>
      </c>
      <c r="C171" s="56">
        <v>20</v>
      </c>
      <c r="D171" s="57">
        <v>5.0999999999999996</v>
      </c>
      <c r="E171" s="57" t="s">
        <v>96</v>
      </c>
      <c r="F171" s="57" t="s">
        <v>97</v>
      </c>
      <c r="G171" s="52" t="s">
        <v>4</v>
      </c>
    </row>
    <row r="172" spans="1:7">
      <c r="A172" s="54" t="s">
        <v>539</v>
      </c>
      <c r="B172" s="55" t="s">
        <v>112</v>
      </c>
      <c r="C172" s="56">
        <v>21</v>
      </c>
      <c r="D172" s="57">
        <v>2.1</v>
      </c>
      <c r="E172" s="57" t="s">
        <v>96</v>
      </c>
      <c r="F172" s="57" t="s">
        <v>82</v>
      </c>
      <c r="G172" s="52" t="s">
        <v>4</v>
      </c>
    </row>
    <row r="173" spans="1:7">
      <c r="A173" s="54" t="s">
        <v>540</v>
      </c>
      <c r="B173" s="55" t="s">
        <v>112</v>
      </c>
      <c r="C173" s="56">
        <v>22</v>
      </c>
      <c r="D173" s="57">
        <v>6.3</v>
      </c>
      <c r="E173" s="57" t="s">
        <v>81</v>
      </c>
      <c r="F173" s="57" t="s">
        <v>103</v>
      </c>
      <c r="G173" s="52" t="s">
        <v>3</v>
      </c>
    </row>
    <row r="174" spans="1:7">
      <c r="A174" s="54" t="s">
        <v>541</v>
      </c>
      <c r="B174" s="55" t="s">
        <v>112</v>
      </c>
      <c r="C174" s="56">
        <v>23</v>
      </c>
      <c r="D174" s="57">
        <v>6.3</v>
      </c>
      <c r="E174" s="57" t="s">
        <v>28</v>
      </c>
      <c r="F174" s="57" t="s">
        <v>103</v>
      </c>
      <c r="G174" s="52" t="s">
        <v>2</v>
      </c>
    </row>
    <row r="175" spans="1:7">
      <c r="A175" s="54" t="s">
        <v>542</v>
      </c>
      <c r="B175" s="55" t="s">
        <v>112</v>
      </c>
      <c r="C175" s="56">
        <v>24</v>
      </c>
      <c r="D175" s="57">
        <v>2.2000000000000002</v>
      </c>
      <c r="E175" s="57" t="s">
        <v>28</v>
      </c>
      <c r="F175" s="57" t="s">
        <v>83</v>
      </c>
      <c r="G175" s="52" t="s">
        <v>4</v>
      </c>
    </row>
    <row r="176" spans="1:7">
      <c r="A176" s="54" t="s">
        <v>543</v>
      </c>
      <c r="B176" s="55" t="s">
        <v>112</v>
      </c>
      <c r="C176" s="56">
        <v>25</v>
      </c>
      <c r="D176" s="57">
        <v>5.3</v>
      </c>
      <c r="E176" s="57" t="s">
        <v>96</v>
      </c>
      <c r="F176" s="57" t="s">
        <v>99</v>
      </c>
      <c r="G176" s="52" t="s">
        <v>1</v>
      </c>
    </row>
    <row r="177" spans="1:7">
      <c r="A177" s="54" t="s">
        <v>544</v>
      </c>
      <c r="B177" s="55" t="s">
        <v>112</v>
      </c>
      <c r="C177" s="56">
        <v>26</v>
      </c>
      <c r="D177" s="57">
        <v>4.2</v>
      </c>
      <c r="E177" s="57" t="s">
        <v>28</v>
      </c>
      <c r="F177" s="57" t="s">
        <v>95</v>
      </c>
      <c r="G177" s="52" t="s">
        <v>2</v>
      </c>
    </row>
    <row r="178" spans="1:7">
      <c r="A178" s="54" t="s">
        <v>545</v>
      </c>
      <c r="B178" s="55" t="s">
        <v>112</v>
      </c>
      <c r="C178" s="56">
        <v>27</v>
      </c>
      <c r="D178" s="57">
        <v>1.4</v>
      </c>
      <c r="E178" s="57" t="s">
        <v>81</v>
      </c>
      <c r="F178" s="57" t="s">
        <v>30</v>
      </c>
      <c r="G178" s="52" t="s">
        <v>2</v>
      </c>
    </row>
    <row r="179" spans="1:7">
      <c r="A179" s="54" t="s">
        <v>546</v>
      </c>
      <c r="B179" s="55" t="s">
        <v>112</v>
      </c>
      <c r="C179" s="56">
        <v>28</v>
      </c>
      <c r="D179" s="57">
        <v>1.6</v>
      </c>
      <c r="E179" s="57" t="s">
        <v>28</v>
      </c>
      <c r="F179" s="57" t="s">
        <v>27</v>
      </c>
      <c r="G179" s="52" t="s">
        <v>2</v>
      </c>
    </row>
    <row r="180" spans="1:7">
      <c r="A180" s="54" t="s">
        <v>547</v>
      </c>
      <c r="B180" s="55" t="s">
        <v>112</v>
      </c>
      <c r="C180" s="56">
        <v>29</v>
      </c>
      <c r="D180" s="57">
        <v>5.0999999999999996</v>
      </c>
      <c r="E180" s="57" t="s">
        <v>93</v>
      </c>
      <c r="F180" s="57" t="s">
        <v>97</v>
      </c>
      <c r="G180" s="52" t="s">
        <v>4</v>
      </c>
    </row>
    <row r="181" spans="1:7">
      <c r="A181" s="54" t="s">
        <v>548</v>
      </c>
      <c r="B181" s="55" t="s">
        <v>112</v>
      </c>
      <c r="C181" s="56">
        <v>30</v>
      </c>
      <c r="D181" s="57">
        <v>4.2</v>
      </c>
      <c r="E181" s="57" t="s">
        <v>96</v>
      </c>
      <c r="F181" s="57" t="s">
        <v>95</v>
      </c>
      <c r="G181" s="52" t="s">
        <v>3</v>
      </c>
    </row>
    <row r="182" spans="1:7">
      <c r="A182" s="54" t="s">
        <v>549</v>
      </c>
      <c r="B182" s="55" t="s">
        <v>112</v>
      </c>
      <c r="C182" s="56">
        <v>31</v>
      </c>
      <c r="D182" s="57">
        <v>1.3</v>
      </c>
      <c r="E182" s="57" t="s">
        <v>81</v>
      </c>
      <c r="F182" s="57" t="s">
        <v>79</v>
      </c>
      <c r="G182" s="52" t="s">
        <v>0</v>
      </c>
    </row>
    <row r="183" spans="1:7">
      <c r="A183" s="54" t="s">
        <v>550</v>
      </c>
      <c r="B183" s="55" t="s">
        <v>112</v>
      </c>
      <c r="C183" s="56">
        <v>32</v>
      </c>
      <c r="D183" s="57">
        <v>3.1</v>
      </c>
      <c r="E183" s="57" t="s">
        <v>96</v>
      </c>
      <c r="F183" s="57" t="s">
        <v>90</v>
      </c>
      <c r="G183" s="52" t="s">
        <v>1</v>
      </c>
    </row>
    <row r="184" spans="1:7">
      <c r="A184" s="54" t="s">
        <v>551</v>
      </c>
      <c r="B184" s="55" t="s">
        <v>112</v>
      </c>
      <c r="C184" s="56">
        <v>33</v>
      </c>
      <c r="D184" s="57">
        <v>5.0999999999999996</v>
      </c>
      <c r="E184" s="57" t="s">
        <v>81</v>
      </c>
      <c r="F184" s="57" t="s">
        <v>97</v>
      </c>
      <c r="G184" s="52" t="s">
        <v>0</v>
      </c>
    </row>
    <row r="185" spans="1:7">
      <c r="A185" s="54" t="s">
        <v>552</v>
      </c>
      <c r="B185" s="55" t="s">
        <v>112</v>
      </c>
      <c r="C185" s="56">
        <v>34</v>
      </c>
      <c r="D185" s="57">
        <v>5.0999999999999996</v>
      </c>
      <c r="E185" s="57" t="s">
        <v>81</v>
      </c>
      <c r="F185" s="57" t="s">
        <v>97</v>
      </c>
      <c r="G185" s="52" t="s">
        <v>2</v>
      </c>
    </row>
    <row r="186" spans="1:7">
      <c r="A186" s="54" t="s">
        <v>553</v>
      </c>
      <c r="B186" s="55" t="s">
        <v>112</v>
      </c>
      <c r="C186" s="56">
        <v>35</v>
      </c>
      <c r="D186" s="57">
        <v>2.2000000000000002</v>
      </c>
      <c r="E186" s="57" t="s">
        <v>96</v>
      </c>
      <c r="F186" s="57" t="s">
        <v>83</v>
      </c>
      <c r="G186" s="52" t="s">
        <v>1</v>
      </c>
    </row>
    <row r="187" spans="1:7">
      <c r="A187" s="54" t="s">
        <v>554</v>
      </c>
      <c r="B187" s="55" t="s">
        <v>112</v>
      </c>
      <c r="C187" s="56">
        <v>36</v>
      </c>
      <c r="D187" s="57">
        <v>4.0999999999999996</v>
      </c>
      <c r="E187" s="57" t="s">
        <v>96</v>
      </c>
      <c r="F187" s="57" t="s">
        <v>94</v>
      </c>
      <c r="G187" s="52" t="s">
        <v>0</v>
      </c>
    </row>
    <row r="188" spans="1:7">
      <c r="A188" s="54" t="s">
        <v>555</v>
      </c>
      <c r="B188" s="55" t="s">
        <v>112</v>
      </c>
      <c r="C188" s="56">
        <v>37</v>
      </c>
      <c r="D188" s="57">
        <v>2.31</v>
      </c>
      <c r="E188" s="57" t="s">
        <v>81</v>
      </c>
      <c r="F188" s="57" t="s">
        <v>85</v>
      </c>
      <c r="G188" s="52" t="s">
        <v>1</v>
      </c>
    </row>
    <row r="189" spans="1:7">
      <c r="A189" s="54" t="s">
        <v>556</v>
      </c>
      <c r="B189" s="55" t="s">
        <v>112</v>
      </c>
      <c r="C189" s="56">
        <v>38</v>
      </c>
      <c r="D189" s="57">
        <v>2.35</v>
      </c>
      <c r="E189" s="57" t="s">
        <v>81</v>
      </c>
      <c r="F189" s="57" t="s">
        <v>89</v>
      </c>
      <c r="G189" s="52" t="s">
        <v>0</v>
      </c>
    </row>
    <row r="190" spans="1:7">
      <c r="A190" s="54" t="s">
        <v>557</v>
      </c>
      <c r="B190" s="55" t="s">
        <v>112</v>
      </c>
      <c r="C190" s="56">
        <v>39</v>
      </c>
      <c r="D190" s="57">
        <v>5.0999999999999996</v>
      </c>
      <c r="E190" s="57" t="s">
        <v>28</v>
      </c>
      <c r="F190" s="57" t="s">
        <v>97</v>
      </c>
      <c r="G190" s="52" t="s">
        <v>3</v>
      </c>
    </row>
    <row r="191" spans="1:7">
      <c r="A191" s="54" t="s">
        <v>558</v>
      </c>
      <c r="B191" s="55" t="s">
        <v>112</v>
      </c>
      <c r="C191" s="56">
        <v>40</v>
      </c>
      <c r="D191" s="57">
        <v>2.31</v>
      </c>
      <c r="E191" s="57" t="s">
        <v>76</v>
      </c>
      <c r="F191" s="57" t="s">
        <v>85</v>
      </c>
      <c r="G191" s="52" t="s">
        <v>2</v>
      </c>
    </row>
    <row r="192" spans="1:7">
      <c r="A192" s="54" t="s">
        <v>559</v>
      </c>
      <c r="B192" s="55" t="s">
        <v>112</v>
      </c>
      <c r="C192" s="56">
        <v>41</v>
      </c>
      <c r="D192" s="57">
        <v>5.0999999999999996</v>
      </c>
      <c r="E192" s="57" t="s">
        <v>76</v>
      </c>
      <c r="F192" s="57" t="s">
        <v>97</v>
      </c>
      <c r="G192" s="52" t="s">
        <v>4</v>
      </c>
    </row>
    <row r="193" spans="1:7">
      <c r="A193" s="54" t="s">
        <v>560</v>
      </c>
      <c r="B193" s="55" t="s">
        <v>112</v>
      </c>
      <c r="C193" s="56">
        <v>42</v>
      </c>
      <c r="D193" s="57">
        <v>3.2</v>
      </c>
      <c r="E193" s="57" t="s">
        <v>28</v>
      </c>
      <c r="F193" s="57" t="s">
        <v>91</v>
      </c>
      <c r="G193" s="52" t="s">
        <v>2</v>
      </c>
    </row>
    <row r="194" spans="1:7">
      <c r="A194" s="54" t="s">
        <v>561</v>
      </c>
      <c r="B194" s="55" t="s">
        <v>112</v>
      </c>
      <c r="C194" s="56">
        <v>43</v>
      </c>
      <c r="D194" s="57">
        <v>2.35</v>
      </c>
      <c r="E194" s="57" t="s">
        <v>76</v>
      </c>
      <c r="F194" s="57" t="s">
        <v>89</v>
      </c>
      <c r="G194" s="52" t="s">
        <v>4</v>
      </c>
    </row>
    <row r="195" spans="1:7">
      <c r="A195" s="54" t="s">
        <v>562</v>
      </c>
      <c r="B195" s="55" t="s">
        <v>112</v>
      </c>
      <c r="C195" s="56">
        <v>44</v>
      </c>
      <c r="D195" s="57">
        <v>1.3</v>
      </c>
      <c r="E195" s="57" t="s">
        <v>93</v>
      </c>
      <c r="F195" s="57" t="s">
        <v>79</v>
      </c>
      <c r="G195" s="52" t="s">
        <v>4</v>
      </c>
    </row>
    <row r="196" spans="1:7">
      <c r="A196" s="54" t="s">
        <v>563</v>
      </c>
      <c r="B196" s="55" t="s">
        <v>112</v>
      </c>
      <c r="C196" s="56">
        <v>45</v>
      </c>
      <c r="D196" s="57">
        <v>2.31</v>
      </c>
      <c r="E196" s="57" t="s">
        <v>96</v>
      </c>
      <c r="F196" s="57" t="s">
        <v>85</v>
      </c>
      <c r="G196" s="52" t="s">
        <v>2</v>
      </c>
    </row>
    <row r="197" spans="1:7">
      <c r="A197" s="54" t="s">
        <v>564</v>
      </c>
      <c r="B197" s="55" t="s">
        <v>112</v>
      </c>
      <c r="C197" s="56">
        <v>46</v>
      </c>
      <c r="D197" s="57">
        <v>2.3199999999999998</v>
      </c>
      <c r="E197" s="57" t="s">
        <v>76</v>
      </c>
      <c r="F197" s="57" t="s">
        <v>86</v>
      </c>
      <c r="G197" s="52" t="s">
        <v>2</v>
      </c>
    </row>
    <row r="198" spans="1:7">
      <c r="A198" s="54" t="s">
        <v>565</v>
      </c>
      <c r="B198" s="55" t="s">
        <v>112</v>
      </c>
      <c r="C198" s="56">
        <v>47</v>
      </c>
      <c r="D198" s="57">
        <v>6.3</v>
      </c>
      <c r="E198" s="57" t="s">
        <v>100</v>
      </c>
      <c r="F198" s="57" t="s">
        <v>103</v>
      </c>
      <c r="G198" s="52" t="s">
        <v>0</v>
      </c>
    </row>
    <row r="199" spans="1:7">
      <c r="A199" s="54" t="s">
        <v>566</v>
      </c>
      <c r="B199" s="55" t="s">
        <v>112</v>
      </c>
      <c r="C199" s="56">
        <v>48</v>
      </c>
      <c r="D199" s="57">
        <v>2.2000000000000002</v>
      </c>
      <c r="E199" s="57" t="s">
        <v>28</v>
      </c>
      <c r="F199" s="57" t="s">
        <v>83</v>
      </c>
      <c r="G199" s="52" t="s">
        <v>2</v>
      </c>
    </row>
    <row r="200" spans="1:7">
      <c r="A200" s="54" t="s">
        <v>567</v>
      </c>
      <c r="B200" s="55" t="s">
        <v>112</v>
      </c>
      <c r="C200" s="56">
        <v>49</v>
      </c>
      <c r="D200" s="57">
        <v>2.35</v>
      </c>
      <c r="E200" s="57" t="s">
        <v>81</v>
      </c>
      <c r="F200" s="57" t="s">
        <v>89</v>
      </c>
      <c r="G200" s="52" t="s">
        <v>2</v>
      </c>
    </row>
    <row r="201" spans="1:7">
      <c r="A201" s="54" t="s">
        <v>568</v>
      </c>
      <c r="B201" s="58" t="s">
        <v>112</v>
      </c>
      <c r="C201" s="59">
        <v>50</v>
      </c>
      <c r="D201" s="57">
        <v>3.2</v>
      </c>
      <c r="E201" s="60" t="s">
        <v>81</v>
      </c>
      <c r="F201" s="60" t="s">
        <v>91</v>
      </c>
      <c r="G201" s="52" t="s">
        <v>2</v>
      </c>
    </row>
    <row r="202" spans="1:7">
      <c r="A202" s="54" t="s">
        <v>569</v>
      </c>
      <c r="B202" s="55" t="s">
        <v>113</v>
      </c>
      <c r="C202" s="56">
        <v>1</v>
      </c>
      <c r="D202" s="57">
        <v>6.4</v>
      </c>
      <c r="E202" s="57" t="s">
        <v>81</v>
      </c>
      <c r="F202" s="57" t="s">
        <v>104</v>
      </c>
      <c r="G202" s="52" t="s">
        <v>2</v>
      </c>
    </row>
    <row r="203" spans="1:7">
      <c r="A203" s="54" t="s">
        <v>570</v>
      </c>
      <c r="B203" s="55" t="s">
        <v>113</v>
      </c>
      <c r="C203" s="56">
        <v>2</v>
      </c>
      <c r="D203" s="52">
        <v>6.3</v>
      </c>
      <c r="E203" s="57" t="s">
        <v>81</v>
      </c>
      <c r="F203" s="52" t="s">
        <v>103</v>
      </c>
      <c r="G203" s="52" t="s">
        <v>2</v>
      </c>
    </row>
    <row r="204" spans="1:7">
      <c r="A204" s="54" t="s">
        <v>571</v>
      </c>
      <c r="B204" s="55" t="s">
        <v>113</v>
      </c>
      <c r="C204" s="56">
        <v>3</v>
      </c>
      <c r="D204" s="52">
        <v>2.1</v>
      </c>
      <c r="E204" s="57" t="s">
        <v>81</v>
      </c>
      <c r="F204" s="52" t="s">
        <v>82</v>
      </c>
      <c r="G204" s="52" t="s">
        <v>0</v>
      </c>
    </row>
    <row r="205" spans="1:7">
      <c r="A205" s="54" t="s">
        <v>572</v>
      </c>
      <c r="B205" s="55" t="s">
        <v>113</v>
      </c>
      <c r="C205" s="56">
        <v>4</v>
      </c>
      <c r="D205" s="52">
        <v>5.3</v>
      </c>
      <c r="E205" s="57" t="s">
        <v>100</v>
      </c>
      <c r="F205" s="52" t="s">
        <v>99</v>
      </c>
      <c r="G205" s="52" t="s">
        <v>3</v>
      </c>
    </row>
    <row r="206" spans="1:7">
      <c r="A206" s="54" t="s">
        <v>573</v>
      </c>
      <c r="B206" s="55" t="s">
        <v>113</v>
      </c>
      <c r="C206" s="56">
        <v>5</v>
      </c>
      <c r="D206" s="52">
        <v>2.1</v>
      </c>
      <c r="E206" s="57" t="s">
        <v>81</v>
      </c>
      <c r="F206" s="52" t="s">
        <v>82</v>
      </c>
      <c r="G206" s="52" t="s">
        <v>0</v>
      </c>
    </row>
    <row r="207" spans="1:7">
      <c r="A207" s="54" t="s">
        <v>574</v>
      </c>
      <c r="B207" s="55" t="s">
        <v>113</v>
      </c>
      <c r="C207" s="56">
        <v>6</v>
      </c>
      <c r="D207" s="52">
        <v>1.6</v>
      </c>
      <c r="E207" s="57" t="s">
        <v>81</v>
      </c>
      <c r="F207" s="52" t="s">
        <v>27</v>
      </c>
      <c r="G207" s="52" t="s">
        <v>2</v>
      </c>
    </row>
    <row r="208" spans="1:7">
      <c r="A208" s="54" t="s">
        <v>575</v>
      </c>
      <c r="B208" s="55" t="s">
        <v>113</v>
      </c>
      <c r="C208" s="56">
        <v>7</v>
      </c>
      <c r="D208" s="52">
        <v>2.35</v>
      </c>
      <c r="E208" s="57" t="s">
        <v>81</v>
      </c>
      <c r="F208" s="52" t="s">
        <v>89</v>
      </c>
      <c r="G208" s="52" t="s">
        <v>3</v>
      </c>
    </row>
    <row r="209" spans="1:7">
      <c r="A209" s="54" t="s">
        <v>576</v>
      </c>
      <c r="B209" s="55" t="s">
        <v>113</v>
      </c>
      <c r="C209" s="56">
        <v>8</v>
      </c>
      <c r="D209" s="52">
        <v>2.34</v>
      </c>
      <c r="E209" s="57" t="s">
        <v>81</v>
      </c>
      <c r="F209" s="52" t="s">
        <v>88</v>
      </c>
      <c r="G209" s="52" t="s">
        <v>1</v>
      </c>
    </row>
    <row r="210" spans="1:7">
      <c r="A210" s="54" t="s">
        <v>577</v>
      </c>
      <c r="B210" s="55" t="s">
        <v>113</v>
      </c>
      <c r="C210" s="56">
        <v>9</v>
      </c>
      <c r="D210" s="52">
        <v>2.35</v>
      </c>
      <c r="E210" s="57" t="s">
        <v>28</v>
      </c>
      <c r="F210" s="52" t="s">
        <v>89</v>
      </c>
      <c r="G210" s="52" t="s">
        <v>2</v>
      </c>
    </row>
    <row r="211" spans="1:7">
      <c r="A211" s="54" t="s">
        <v>578</v>
      </c>
      <c r="B211" s="55" t="s">
        <v>113</v>
      </c>
      <c r="C211" s="56">
        <v>10</v>
      </c>
      <c r="D211" s="52">
        <v>2.1</v>
      </c>
      <c r="E211" s="57" t="s">
        <v>96</v>
      </c>
      <c r="F211" s="52" t="s">
        <v>82</v>
      </c>
      <c r="G211" s="52" t="s">
        <v>3</v>
      </c>
    </row>
    <row r="212" spans="1:7">
      <c r="A212" s="54" t="s">
        <v>579</v>
      </c>
      <c r="B212" s="55" t="s">
        <v>113</v>
      </c>
      <c r="C212" s="56">
        <v>11</v>
      </c>
      <c r="D212" s="52">
        <v>2.1</v>
      </c>
      <c r="E212" s="57" t="s">
        <v>81</v>
      </c>
      <c r="F212" s="52" t="s">
        <v>82</v>
      </c>
      <c r="G212" s="52" t="s">
        <v>3</v>
      </c>
    </row>
    <row r="213" spans="1:7">
      <c r="A213" s="54" t="s">
        <v>580</v>
      </c>
      <c r="B213" s="55" t="s">
        <v>113</v>
      </c>
      <c r="C213" s="56">
        <v>12</v>
      </c>
      <c r="D213" s="52">
        <v>2.1</v>
      </c>
      <c r="E213" s="57" t="s">
        <v>81</v>
      </c>
      <c r="F213" s="52" t="s">
        <v>82</v>
      </c>
      <c r="G213" s="52" t="s">
        <v>1</v>
      </c>
    </row>
    <row r="214" spans="1:7">
      <c r="A214" s="54" t="s">
        <v>581</v>
      </c>
      <c r="B214" s="55" t="s">
        <v>113</v>
      </c>
      <c r="C214" s="56">
        <v>13</v>
      </c>
      <c r="D214" s="52">
        <v>4.0999999999999996</v>
      </c>
      <c r="E214" s="57" t="s">
        <v>81</v>
      </c>
      <c r="F214" s="52" t="s">
        <v>94</v>
      </c>
      <c r="G214" s="52" t="s">
        <v>1</v>
      </c>
    </row>
    <row r="215" spans="1:7">
      <c r="A215" s="54" t="s">
        <v>582</v>
      </c>
      <c r="B215" s="55" t="s">
        <v>113</v>
      </c>
      <c r="C215" s="56">
        <v>14</v>
      </c>
      <c r="D215" s="52">
        <v>1.4</v>
      </c>
      <c r="E215" s="57" t="s">
        <v>81</v>
      </c>
      <c r="F215" s="52" t="s">
        <v>30</v>
      </c>
      <c r="G215" s="52" t="s">
        <v>4</v>
      </c>
    </row>
    <row r="216" spans="1:7">
      <c r="A216" s="54" t="s">
        <v>583</v>
      </c>
      <c r="B216" s="55" t="s">
        <v>113</v>
      </c>
      <c r="C216" s="56">
        <v>15</v>
      </c>
      <c r="D216" s="52">
        <v>1.2</v>
      </c>
      <c r="E216" s="57" t="s">
        <v>28</v>
      </c>
      <c r="F216" s="52" t="s">
        <v>78</v>
      </c>
      <c r="G216" s="52" t="s">
        <v>2</v>
      </c>
    </row>
    <row r="217" spans="1:7">
      <c r="A217" s="54" t="s">
        <v>584</v>
      </c>
      <c r="B217" s="55" t="s">
        <v>113</v>
      </c>
      <c r="C217" s="56">
        <v>16</v>
      </c>
      <c r="D217" s="52">
        <v>1.3</v>
      </c>
      <c r="E217" s="57" t="s">
        <v>28</v>
      </c>
      <c r="F217" s="52" t="s">
        <v>79</v>
      </c>
      <c r="G217" s="52" t="s">
        <v>2</v>
      </c>
    </row>
    <row r="218" spans="1:7">
      <c r="A218" s="54" t="s">
        <v>585</v>
      </c>
      <c r="B218" s="55" t="s">
        <v>113</v>
      </c>
      <c r="C218" s="56">
        <v>17</v>
      </c>
      <c r="D218" s="52">
        <v>2.3199999999999998</v>
      </c>
      <c r="E218" s="57" t="s">
        <v>96</v>
      </c>
      <c r="F218" s="52" t="s">
        <v>86</v>
      </c>
      <c r="G218" s="52" t="s">
        <v>4</v>
      </c>
    </row>
    <row r="219" spans="1:7">
      <c r="A219" s="54" t="s">
        <v>586</v>
      </c>
      <c r="B219" s="55" t="s">
        <v>113</v>
      </c>
      <c r="C219" s="56">
        <v>18</v>
      </c>
      <c r="D219" s="52">
        <v>6.3</v>
      </c>
      <c r="E219" s="57" t="s">
        <v>81</v>
      </c>
      <c r="F219" s="52" t="s">
        <v>103</v>
      </c>
      <c r="G219" s="52" t="s">
        <v>2</v>
      </c>
    </row>
    <row r="220" spans="1:7">
      <c r="A220" s="54" t="s">
        <v>587</v>
      </c>
      <c r="B220" s="55" t="s">
        <v>113</v>
      </c>
      <c r="C220" s="56">
        <v>19</v>
      </c>
      <c r="D220" s="52">
        <v>2.31</v>
      </c>
      <c r="E220" s="57" t="s">
        <v>81</v>
      </c>
      <c r="F220" s="52" t="s">
        <v>85</v>
      </c>
      <c r="G220" s="52" t="s">
        <v>4</v>
      </c>
    </row>
    <row r="221" spans="1:7">
      <c r="A221" s="54" t="s">
        <v>588</v>
      </c>
      <c r="B221" s="55" t="s">
        <v>113</v>
      </c>
      <c r="C221" s="56">
        <v>20</v>
      </c>
      <c r="D221" s="52">
        <v>5.2</v>
      </c>
      <c r="E221" s="57" t="s">
        <v>81</v>
      </c>
      <c r="F221" s="52" t="s">
        <v>98</v>
      </c>
      <c r="G221" s="52" t="s">
        <v>3</v>
      </c>
    </row>
    <row r="222" spans="1:7">
      <c r="A222" s="54" t="s">
        <v>589</v>
      </c>
      <c r="B222" s="55" t="s">
        <v>113</v>
      </c>
      <c r="C222" s="56">
        <v>21</v>
      </c>
      <c r="D222" s="52">
        <v>5.2</v>
      </c>
      <c r="E222" s="57" t="s">
        <v>81</v>
      </c>
      <c r="F222" s="52" t="s">
        <v>98</v>
      </c>
      <c r="G222" s="52" t="s">
        <v>0</v>
      </c>
    </row>
    <row r="223" spans="1:7">
      <c r="A223" s="54" t="s">
        <v>590</v>
      </c>
      <c r="B223" s="55" t="s">
        <v>113</v>
      </c>
      <c r="C223" s="56">
        <v>22</v>
      </c>
      <c r="D223" s="52">
        <v>2.1</v>
      </c>
      <c r="E223" s="57" t="s">
        <v>96</v>
      </c>
      <c r="F223" s="52" t="s">
        <v>82</v>
      </c>
      <c r="G223" s="52" t="s">
        <v>4</v>
      </c>
    </row>
    <row r="224" spans="1:7">
      <c r="A224" s="54" t="s">
        <v>591</v>
      </c>
      <c r="B224" s="55" t="s">
        <v>113</v>
      </c>
      <c r="C224" s="56">
        <v>23</v>
      </c>
      <c r="D224" s="52">
        <v>3.1</v>
      </c>
      <c r="E224" s="57" t="s">
        <v>28</v>
      </c>
      <c r="F224" s="52" t="s">
        <v>90</v>
      </c>
      <c r="G224" s="52" t="s">
        <v>4</v>
      </c>
    </row>
    <row r="225" spans="1:7">
      <c r="A225" s="54" t="s">
        <v>592</v>
      </c>
      <c r="B225" s="55" t="s">
        <v>113</v>
      </c>
      <c r="C225" s="56">
        <v>24</v>
      </c>
      <c r="D225" s="52">
        <v>3.2</v>
      </c>
      <c r="E225" s="57" t="s">
        <v>81</v>
      </c>
      <c r="F225" s="52" t="s">
        <v>91</v>
      </c>
      <c r="G225" s="52" t="s">
        <v>2</v>
      </c>
    </row>
    <row r="226" spans="1:7">
      <c r="A226" s="54" t="s">
        <v>593</v>
      </c>
      <c r="B226" s="55" t="s">
        <v>113</v>
      </c>
      <c r="C226" s="56">
        <v>25</v>
      </c>
      <c r="D226" s="52">
        <v>5.0999999999999996</v>
      </c>
      <c r="E226" s="57" t="s">
        <v>76</v>
      </c>
      <c r="F226" s="52" t="s">
        <v>97</v>
      </c>
      <c r="G226" s="52" t="s">
        <v>0</v>
      </c>
    </row>
    <row r="227" spans="1:7">
      <c r="A227" s="54" t="s">
        <v>594</v>
      </c>
      <c r="B227" s="55" t="s">
        <v>113</v>
      </c>
      <c r="C227" s="56">
        <v>26</v>
      </c>
      <c r="D227" s="52">
        <v>3.1</v>
      </c>
      <c r="E227" s="57" t="s">
        <v>96</v>
      </c>
      <c r="F227" s="52" t="s">
        <v>90</v>
      </c>
      <c r="G227" s="52" t="s">
        <v>3</v>
      </c>
    </row>
    <row r="228" spans="1:7">
      <c r="A228" s="54" t="s">
        <v>595</v>
      </c>
      <c r="B228" s="55" t="s">
        <v>113</v>
      </c>
      <c r="C228" s="56">
        <v>27</v>
      </c>
      <c r="D228" s="52">
        <v>2.34</v>
      </c>
      <c r="E228" s="57" t="s">
        <v>96</v>
      </c>
      <c r="F228" s="52" t="s">
        <v>88</v>
      </c>
      <c r="G228" s="52" t="s">
        <v>4</v>
      </c>
    </row>
    <row r="229" spans="1:7">
      <c r="A229" s="54" t="s">
        <v>596</v>
      </c>
      <c r="B229" s="55" t="s">
        <v>113</v>
      </c>
      <c r="C229" s="56">
        <v>28</v>
      </c>
      <c r="D229" s="52">
        <v>3.2</v>
      </c>
      <c r="E229" s="57" t="s">
        <v>81</v>
      </c>
      <c r="F229" s="52" t="s">
        <v>91</v>
      </c>
      <c r="G229" s="52" t="s">
        <v>0</v>
      </c>
    </row>
    <row r="230" spans="1:7">
      <c r="A230" s="54" t="s">
        <v>597</v>
      </c>
      <c r="B230" s="55" t="s">
        <v>113</v>
      </c>
      <c r="C230" s="56">
        <v>29</v>
      </c>
      <c r="D230" s="52">
        <v>4.0999999999999996</v>
      </c>
      <c r="E230" s="57" t="s">
        <v>28</v>
      </c>
      <c r="F230" s="52" t="s">
        <v>94</v>
      </c>
      <c r="G230" s="52" t="s">
        <v>3</v>
      </c>
    </row>
    <row r="231" spans="1:7">
      <c r="A231" s="54" t="s">
        <v>598</v>
      </c>
      <c r="B231" s="55" t="s">
        <v>113</v>
      </c>
      <c r="C231" s="56">
        <v>30</v>
      </c>
      <c r="D231" s="52">
        <v>5.0999999999999996</v>
      </c>
      <c r="E231" s="57" t="s">
        <v>81</v>
      </c>
      <c r="F231" s="52" t="s">
        <v>97</v>
      </c>
      <c r="G231" s="52" t="s">
        <v>2</v>
      </c>
    </row>
    <row r="232" spans="1:7">
      <c r="A232" s="54" t="s">
        <v>599</v>
      </c>
      <c r="B232" s="55" t="s">
        <v>113</v>
      </c>
      <c r="C232" s="56">
        <v>31</v>
      </c>
      <c r="D232" s="52">
        <v>2.31</v>
      </c>
      <c r="E232" s="57" t="s">
        <v>81</v>
      </c>
      <c r="F232" s="52" t="s">
        <v>85</v>
      </c>
      <c r="G232" s="52" t="s">
        <v>3</v>
      </c>
    </row>
    <row r="233" spans="1:7">
      <c r="A233" s="54" t="s">
        <v>600</v>
      </c>
      <c r="B233" s="55" t="s">
        <v>113</v>
      </c>
      <c r="C233" s="56">
        <v>32</v>
      </c>
      <c r="D233" s="52">
        <v>5.3</v>
      </c>
      <c r="E233" s="57" t="s">
        <v>81</v>
      </c>
      <c r="F233" s="52" t="s">
        <v>99</v>
      </c>
      <c r="G233" s="52" t="s">
        <v>1</v>
      </c>
    </row>
    <row r="234" spans="1:7">
      <c r="A234" s="54" t="s">
        <v>601</v>
      </c>
      <c r="B234" s="55" t="s">
        <v>113</v>
      </c>
      <c r="C234" s="56">
        <v>33</v>
      </c>
      <c r="D234" s="52">
        <v>2.1</v>
      </c>
      <c r="E234" s="57" t="s">
        <v>93</v>
      </c>
      <c r="F234" s="52" t="s">
        <v>82</v>
      </c>
      <c r="G234" s="52" t="s">
        <v>3</v>
      </c>
    </row>
    <row r="235" spans="1:7">
      <c r="A235" s="54" t="s">
        <v>602</v>
      </c>
      <c r="B235" s="55" t="s">
        <v>113</v>
      </c>
      <c r="C235" s="56">
        <v>34</v>
      </c>
      <c r="D235" s="52">
        <v>2.2000000000000002</v>
      </c>
      <c r="E235" s="57" t="s">
        <v>81</v>
      </c>
      <c r="F235" s="52" t="s">
        <v>83</v>
      </c>
      <c r="G235" s="52" t="s">
        <v>1</v>
      </c>
    </row>
    <row r="236" spans="1:7">
      <c r="A236" s="54" t="s">
        <v>603</v>
      </c>
      <c r="B236" s="55" t="s">
        <v>113</v>
      </c>
      <c r="C236" s="56">
        <v>35</v>
      </c>
      <c r="D236" s="52">
        <v>5.0999999999999996</v>
      </c>
      <c r="E236" s="57" t="s">
        <v>93</v>
      </c>
      <c r="F236" s="52" t="s">
        <v>97</v>
      </c>
      <c r="G236" s="52" t="s">
        <v>2</v>
      </c>
    </row>
    <row r="237" spans="1:7">
      <c r="A237" s="54" t="s">
        <v>604</v>
      </c>
      <c r="B237" s="55" t="s">
        <v>113</v>
      </c>
      <c r="C237" s="56">
        <v>36</v>
      </c>
      <c r="D237" s="52">
        <v>5.2</v>
      </c>
      <c r="E237" s="57" t="s">
        <v>81</v>
      </c>
      <c r="F237" s="52" t="s">
        <v>98</v>
      </c>
      <c r="G237" s="52" t="s">
        <v>0</v>
      </c>
    </row>
    <row r="238" spans="1:7">
      <c r="A238" s="54" t="s">
        <v>605</v>
      </c>
      <c r="B238" s="55" t="s">
        <v>113</v>
      </c>
      <c r="C238" s="56">
        <v>37</v>
      </c>
      <c r="D238" s="52">
        <v>2.1</v>
      </c>
      <c r="E238" s="57" t="s">
        <v>28</v>
      </c>
      <c r="F238" s="52" t="s">
        <v>82</v>
      </c>
      <c r="G238" s="52" t="s">
        <v>0</v>
      </c>
    </row>
    <row r="239" spans="1:7">
      <c r="A239" s="54" t="s">
        <v>606</v>
      </c>
      <c r="B239" s="55" t="s">
        <v>113</v>
      </c>
      <c r="C239" s="56">
        <v>38</v>
      </c>
      <c r="D239" s="52">
        <v>2.35</v>
      </c>
      <c r="E239" s="57" t="s">
        <v>28</v>
      </c>
      <c r="F239" s="52" t="s">
        <v>89</v>
      </c>
      <c r="G239" s="52" t="s">
        <v>2</v>
      </c>
    </row>
    <row r="240" spans="1:7">
      <c r="A240" s="54" t="s">
        <v>607</v>
      </c>
      <c r="B240" s="55" t="s">
        <v>113</v>
      </c>
      <c r="C240" s="56">
        <v>39</v>
      </c>
      <c r="D240" s="52">
        <v>3.2</v>
      </c>
      <c r="E240" s="57" t="s">
        <v>76</v>
      </c>
      <c r="F240" s="52" t="s">
        <v>91</v>
      </c>
      <c r="G240" s="52" t="s">
        <v>2</v>
      </c>
    </row>
    <row r="241" spans="1:7">
      <c r="A241" s="54" t="s">
        <v>608</v>
      </c>
      <c r="B241" s="55" t="s">
        <v>113</v>
      </c>
      <c r="C241" s="56">
        <v>40</v>
      </c>
      <c r="D241" s="52">
        <v>6.2</v>
      </c>
      <c r="E241" s="57" t="s">
        <v>100</v>
      </c>
      <c r="F241" s="52" t="s">
        <v>102</v>
      </c>
      <c r="G241" s="52" t="s">
        <v>0</v>
      </c>
    </row>
    <row r="242" spans="1:7">
      <c r="A242" s="54" t="s">
        <v>609</v>
      </c>
      <c r="B242" s="55" t="s">
        <v>113</v>
      </c>
      <c r="C242" s="56">
        <v>41</v>
      </c>
      <c r="D242" s="52">
        <v>1.4</v>
      </c>
      <c r="E242" s="57" t="s">
        <v>96</v>
      </c>
      <c r="F242" s="52" t="s">
        <v>30</v>
      </c>
      <c r="G242" s="52" t="s">
        <v>0</v>
      </c>
    </row>
    <row r="243" spans="1:7">
      <c r="A243" s="54" t="s">
        <v>610</v>
      </c>
      <c r="B243" s="55" t="s">
        <v>113</v>
      </c>
      <c r="C243" s="56">
        <v>42</v>
      </c>
      <c r="D243" s="52">
        <v>3.2</v>
      </c>
      <c r="E243" s="57" t="s">
        <v>81</v>
      </c>
      <c r="F243" s="52" t="s">
        <v>91</v>
      </c>
      <c r="G243" s="52" t="s">
        <v>3</v>
      </c>
    </row>
    <row r="244" spans="1:7">
      <c r="A244" s="54" t="s">
        <v>611</v>
      </c>
      <c r="B244" s="55" t="s">
        <v>113</v>
      </c>
      <c r="C244" s="56">
        <v>43</v>
      </c>
      <c r="D244" s="52">
        <v>2.3199999999999998</v>
      </c>
      <c r="E244" s="57" t="s">
        <v>76</v>
      </c>
      <c r="F244" s="52" t="s">
        <v>86</v>
      </c>
      <c r="G244" s="52" t="s">
        <v>0</v>
      </c>
    </row>
    <row r="245" spans="1:7">
      <c r="A245" s="54" t="s">
        <v>612</v>
      </c>
      <c r="B245" s="55" t="s">
        <v>113</v>
      </c>
      <c r="C245" s="56">
        <v>44</v>
      </c>
      <c r="D245" s="52">
        <v>4.0999999999999996</v>
      </c>
      <c r="E245" s="57" t="s">
        <v>76</v>
      </c>
      <c r="F245" s="52" t="s">
        <v>94</v>
      </c>
      <c r="G245" s="52" t="s">
        <v>2</v>
      </c>
    </row>
    <row r="246" spans="1:7">
      <c r="A246" s="54" t="s">
        <v>613</v>
      </c>
      <c r="B246" s="55" t="s">
        <v>113</v>
      </c>
      <c r="C246" s="56">
        <v>45</v>
      </c>
      <c r="D246" s="52">
        <v>3.1</v>
      </c>
      <c r="E246" s="57" t="s">
        <v>76</v>
      </c>
      <c r="F246" s="52" t="s">
        <v>90</v>
      </c>
      <c r="G246" s="52" t="s">
        <v>1</v>
      </c>
    </row>
    <row r="247" spans="1:7">
      <c r="A247" s="54" t="s">
        <v>614</v>
      </c>
      <c r="B247" s="55" t="s">
        <v>113</v>
      </c>
      <c r="C247" s="56">
        <v>46</v>
      </c>
      <c r="D247" s="52">
        <v>1.6</v>
      </c>
      <c r="E247" s="57" t="s">
        <v>81</v>
      </c>
      <c r="F247" s="52" t="s">
        <v>27</v>
      </c>
      <c r="G247" s="52" t="s">
        <v>2</v>
      </c>
    </row>
    <row r="248" spans="1:7">
      <c r="A248" s="54" t="s">
        <v>615</v>
      </c>
      <c r="B248" s="55" t="s">
        <v>113</v>
      </c>
      <c r="C248" s="56">
        <v>47</v>
      </c>
      <c r="D248" s="52">
        <v>6.3</v>
      </c>
      <c r="E248" s="57" t="s">
        <v>100</v>
      </c>
      <c r="F248" s="52" t="s">
        <v>103</v>
      </c>
      <c r="G248" s="52" t="s">
        <v>2</v>
      </c>
    </row>
    <row r="249" spans="1:7">
      <c r="A249" s="54" t="s">
        <v>616</v>
      </c>
      <c r="B249" s="55" t="s">
        <v>113</v>
      </c>
      <c r="C249" s="56">
        <v>48</v>
      </c>
      <c r="D249" s="52">
        <v>3.2</v>
      </c>
      <c r="E249" s="57" t="s">
        <v>81</v>
      </c>
      <c r="F249" s="52" t="s">
        <v>91</v>
      </c>
      <c r="G249" s="52" t="s">
        <v>4</v>
      </c>
    </row>
    <row r="250" spans="1:7">
      <c r="A250" s="54" t="s">
        <v>617</v>
      </c>
      <c r="B250" s="55" t="s">
        <v>113</v>
      </c>
      <c r="C250" s="56">
        <v>49</v>
      </c>
      <c r="D250" s="52">
        <v>2.31</v>
      </c>
      <c r="E250" s="57" t="s">
        <v>81</v>
      </c>
      <c r="F250" s="52" t="s">
        <v>85</v>
      </c>
      <c r="G250" s="52" t="s">
        <v>0</v>
      </c>
    </row>
    <row r="251" spans="1:7">
      <c r="A251" s="54" t="s">
        <v>618</v>
      </c>
      <c r="B251" s="55" t="s">
        <v>113</v>
      </c>
      <c r="C251" s="56">
        <v>50</v>
      </c>
      <c r="D251" s="52">
        <v>2.2000000000000002</v>
      </c>
      <c r="E251" s="57" t="s">
        <v>81</v>
      </c>
      <c r="F251" s="52" t="s">
        <v>83</v>
      </c>
      <c r="G251" s="52" t="s">
        <v>4</v>
      </c>
    </row>
    <row r="252" spans="1:7">
      <c r="A252" s="54" t="s">
        <v>619</v>
      </c>
      <c r="B252" s="55" t="s">
        <v>114</v>
      </c>
      <c r="C252" s="56">
        <v>1</v>
      </c>
      <c r="D252" s="52">
        <v>2.1</v>
      </c>
      <c r="E252" s="57" t="s">
        <v>76</v>
      </c>
      <c r="F252" s="52" t="s">
        <v>82</v>
      </c>
      <c r="G252" s="52" t="s">
        <v>1</v>
      </c>
    </row>
    <row r="253" spans="1:7">
      <c r="A253" s="54" t="s">
        <v>620</v>
      </c>
      <c r="B253" s="55" t="s">
        <v>114</v>
      </c>
      <c r="C253" s="56">
        <v>2</v>
      </c>
      <c r="D253" s="52">
        <v>2.1</v>
      </c>
      <c r="E253" s="57" t="s">
        <v>81</v>
      </c>
      <c r="F253" s="52" t="s">
        <v>82</v>
      </c>
      <c r="G253" s="52" t="s">
        <v>0</v>
      </c>
    </row>
    <row r="254" spans="1:7">
      <c r="A254" s="54" t="s">
        <v>621</v>
      </c>
      <c r="B254" s="55" t="s">
        <v>114</v>
      </c>
      <c r="C254" s="56">
        <v>3</v>
      </c>
      <c r="D254" s="52">
        <v>2.1</v>
      </c>
      <c r="E254" s="57" t="s">
        <v>81</v>
      </c>
      <c r="F254" s="52" t="s">
        <v>82</v>
      </c>
      <c r="G254" s="52" t="s">
        <v>2</v>
      </c>
    </row>
    <row r="255" spans="1:7">
      <c r="A255" s="54" t="s">
        <v>622</v>
      </c>
      <c r="B255" s="55" t="s">
        <v>114</v>
      </c>
      <c r="C255" s="56">
        <v>4</v>
      </c>
      <c r="D255" s="52">
        <v>6.3</v>
      </c>
      <c r="E255" s="57" t="s">
        <v>28</v>
      </c>
      <c r="F255" s="52" t="s">
        <v>103</v>
      </c>
      <c r="G255" s="52" t="s">
        <v>4</v>
      </c>
    </row>
    <row r="256" spans="1:7">
      <c r="A256" s="54" t="s">
        <v>623</v>
      </c>
      <c r="B256" s="55" t="s">
        <v>114</v>
      </c>
      <c r="C256" s="56">
        <v>5</v>
      </c>
      <c r="D256" s="52">
        <v>2.1</v>
      </c>
      <c r="E256" s="57" t="s">
        <v>81</v>
      </c>
      <c r="F256" s="52" t="s">
        <v>82</v>
      </c>
      <c r="G256" s="52" t="s">
        <v>1</v>
      </c>
    </row>
    <row r="257" spans="1:7">
      <c r="A257" s="54" t="s">
        <v>624</v>
      </c>
      <c r="B257" s="55" t="s">
        <v>114</v>
      </c>
      <c r="C257" s="56">
        <v>6</v>
      </c>
      <c r="D257" s="52">
        <v>2.34</v>
      </c>
      <c r="E257" s="57" t="s">
        <v>96</v>
      </c>
      <c r="F257" s="52" t="s">
        <v>88</v>
      </c>
      <c r="G257" s="52" t="s">
        <v>2</v>
      </c>
    </row>
    <row r="258" spans="1:7">
      <c r="A258" s="54" t="s">
        <v>625</v>
      </c>
      <c r="B258" s="55" t="s">
        <v>114</v>
      </c>
      <c r="C258" s="56">
        <v>7</v>
      </c>
      <c r="D258" s="52">
        <v>2.1</v>
      </c>
      <c r="E258" s="57" t="s">
        <v>96</v>
      </c>
      <c r="F258" s="52" t="s">
        <v>82</v>
      </c>
      <c r="G258" s="52" t="s">
        <v>2</v>
      </c>
    </row>
    <row r="259" spans="1:7">
      <c r="A259" s="54" t="s">
        <v>626</v>
      </c>
      <c r="B259" s="55" t="s">
        <v>114</v>
      </c>
      <c r="C259" s="56">
        <v>8</v>
      </c>
      <c r="D259" s="52">
        <v>2.1</v>
      </c>
      <c r="E259" s="57" t="s">
        <v>96</v>
      </c>
      <c r="F259" s="52" t="s">
        <v>82</v>
      </c>
      <c r="G259" s="52" t="s">
        <v>0</v>
      </c>
    </row>
    <row r="260" spans="1:7">
      <c r="A260" s="54" t="s">
        <v>627</v>
      </c>
      <c r="B260" s="55" t="s">
        <v>114</v>
      </c>
      <c r="C260" s="56">
        <v>9</v>
      </c>
      <c r="D260" s="52">
        <v>3.1</v>
      </c>
      <c r="E260" s="57" t="s">
        <v>81</v>
      </c>
      <c r="F260" s="52" t="s">
        <v>90</v>
      </c>
      <c r="G260" s="52" t="s">
        <v>3</v>
      </c>
    </row>
    <row r="261" spans="1:7">
      <c r="A261" s="54" t="s">
        <v>628</v>
      </c>
      <c r="B261" s="55" t="s">
        <v>114</v>
      </c>
      <c r="C261" s="56">
        <v>10</v>
      </c>
      <c r="D261" s="52">
        <v>5.0999999999999996</v>
      </c>
      <c r="E261" s="57" t="s">
        <v>81</v>
      </c>
      <c r="F261" s="52" t="s">
        <v>97</v>
      </c>
      <c r="G261" s="52" t="s">
        <v>3</v>
      </c>
    </row>
    <row r="262" spans="1:7">
      <c r="A262" s="54" t="s">
        <v>629</v>
      </c>
      <c r="B262" s="55" t="s">
        <v>114</v>
      </c>
      <c r="C262" s="56">
        <v>11</v>
      </c>
      <c r="D262" s="52">
        <v>2.34</v>
      </c>
      <c r="E262" s="57" t="s">
        <v>81</v>
      </c>
      <c r="F262" s="52" t="s">
        <v>88</v>
      </c>
      <c r="G262" s="52" t="s">
        <v>4</v>
      </c>
    </row>
    <row r="263" spans="1:7">
      <c r="A263" s="54" t="s">
        <v>630</v>
      </c>
      <c r="B263" s="55" t="s">
        <v>114</v>
      </c>
      <c r="C263" s="56">
        <v>12</v>
      </c>
      <c r="D263" s="52">
        <v>2.35</v>
      </c>
      <c r="E263" s="57" t="s">
        <v>81</v>
      </c>
      <c r="F263" s="52" t="s">
        <v>89</v>
      </c>
      <c r="G263" s="52" t="s">
        <v>2</v>
      </c>
    </row>
    <row r="264" spans="1:7">
      <c r="A264" s="54" t="s">
        <v>631</v>
      </c>
      <c r="B264" s="55" t="s">
        <v>114</v>
      </c>
      <c r="C264" s="56">
        <v>13</v>
      </c>
      <c r="D264" s="52">
        <v>2.1</v>
      </c>
      <c r="E264" s="57" t="s">
        <v>81</v>
      </c>
      <c r="F264" s="52" t="s">
        <v>82</v>
      </c>
      <c r="G264" s="52" t="s">
        <v>1</v>
      </c>
    </row>
    <row r="265" spans="1:7">
      <c r="A265" s="54" t="s">
        <v>632</v>
      </c>
      <c r="B265" s="55" t="s">
        <v>114</v>
      </c>
      <c r="C265" s="56">
        <v>14</v>
      </c>
      <c r="D265" s="52">
        <v>2.1</v>
      </c>
      <c r="E265" s="57" t="s">
        <v>76</v>
      </c>
      <c r="F265" s="52" t="s">
        <v>82</v>
      </c>
      <c r="G265" s="52" t="s">
        <v>2</v>
      </c>
    </row>
    <row r="266" spans="1:7">
      <c r="A266" s="54" t="s">
        <v>633</v>
      </c>
      <c r="B266" s="55" t="s">
        <v>114</v>
      </c>
      <c r="C266" s="56">
        <v>15</v>
      </c>
      <c r="D266" s="52">
        <v>3.1</v>
      </c>
      <c r="E266" s="57" t="s">
        <v>76</v>
      </c>
      <c r="F266" s="52" t="s">
        <v>90</v>
      </c>
      <c r="G266" s="52" t="s">
        <v>3</v>
      </c>
    </row>
    <row r="267" spans="1:7">
      <c r="A267" s="54" t="s">
        <v>634</v>
      </c>
      <c r="B267" s="55" t="s">
        <v>114</v>
      </c>
      <c r="C267" s="56">
        <v>16</v>
      </c>
      <c r="D267" s="52">
        <v>3.4</v>
      </c>
      <c r="E267" s="57" t="s">
        <v>93</v>
      </c>
      <c r="F267" s="52" t="s">
        <v>29</v>
      </c>
      <c r="G267" s="52" t="s">
        <v>4</v>
      </c>
    </row>
    <row r="268" spans="1:7">
      <c r="A268" s="54" t="s">
        <v>635</v>
      </c>
      <c r="B268" s="55" t="s">
        <v>114</v>
      </c>
      <c r="C268" s="56">
        <v>17</v>
      </c>
      <c r="D268" s="52">
        <v>5.3</v>
      </c>
      <c r="E268" s="57" t="s">
        <v>96</v>
      </c>
      <c r="F268" s="52" t="s">
        <v>99</v>
      </c>
      <c r="G268" s="52" t="s">
        <v>0</v>
      </c>
    </row>
    <row r="269" spans="1:7">
      <c r="A269" s="54" t="s">
        <v>636</v>
      </c>
      <c r="B269" s="55" t="s">
        <v>114</v>
      </c>
      <c r="C269" s="56">
        <v>18</v>
      </c>
      <c r="D269" s="52">
        <v>2.1</v>
      </c>
      <c r="E269" s="57" t="s">
        <v>96</v>
      </c>
      <c r="F269" s="52" t="s">
        <v>82</v>
      </c>
      <c r="G269" s="52" t="s">
        <v>3</v>
      </c>
    </row>
    <row r="270" spans="1:7">
      <c r="A270" s="54" t="s">
        <v>637</v>
      </c>
      <c r="B270" s="55" t="s">
        <v>114</v>
      </c>
      <c r="C270" s="56">
        <v>19</v>
      </c>
      <c r="D270" s="52">
        <v>2.1</v>
      </c>
      <c r="E270" s="57" t="s">
        <v>81</v>
      </c>
      <c r="F270" s="52" t="s">
        <v>82</v>
      </c>
      <c r="G270" s="52" t="s">
        <v>4</v>
      </c>
    </row>
    <row r="271" spans="1:7">
      <c r="A271" s="54" t="s">
        <v>638</v>
      </c>
      <c r="B271" s="55" t="s">
        <v>114</v>
      </c>
      <c r="C271" s="56">
        <v>20</v>
      </c>
      <c r="D271" s="52">
        <v>2.31</v>
      </c>
      <c r="E271" s="57" t="s">
        <v>100</v>
      </c>
      <c r="F271" s="52" t="s">
        <v>85</v>
      </c>
      <c r="G271" s="52" t="s">
        <v>4</v>
      </c>
    </row>
    <row r="272" spans="1:7">
      <c r="A272" s="54" t="s">
        <v>639</v>
      </c>
      <c r="B272" s="55" t="s">
        <v>114</v>
      </c>
      <c r="C272" s="56">
        <v>21</v>
      </c>
      <c r="D272" s="52">
        <v>2.3199999999999998</v>
      </c>
      <c r="E272" s="57" t="s">
        <v>100</v>
      </c>
      <c r="F272" s="52" t="s">
        <v>86</v>
      </c>
      <c r="G272" s="52" t="s">
        <v>0</v>
      </c>
    </row>
    <row r="273" spans="1:7">
      <c r="A273" s="54" t="s">
        <v>640</v>
      </c>
      <c r="B273" s="55" t="s">
        <v>114</v>
      </c>
      <c r="C273" s="56">
        <v>22</v>
      </c>
      <c r="D273" s="52">
        <v>5.0999999999999996</v>
      </c>
      <c r="E273" s="57" t="s">
        <v>81</v>
      </c>
      <c r="F273" s="52" t="s">
        <v>97</v>
      </c>
      <c r="G273" s="52" t="s">
        <v>0</v>
      </c>
    </row>
    <row r="274" spans="1:7">
      <c r="A274" s="54" t="s">
        <v>641</v>
      </c>
      <c r="B274" s="55" t="s">
        <v>114</v>
      </c>
      <c r="C274" s="56">
        <v>23</v>
      </c>
      <c r="D274" s="52">
        <v>3.2</v>
      </c>
      <c r="E274" s="57" t="s">
        <v>76</v>
      </c>
      <c r="F274" s="52" t="s">
        <v>91</v>
      </c>
      <c r="G274" s="52" t="s">
        <v>4</v>
      </c>
    </row>
    <row r="275" spans="1:7">
      <c r="A275" s="54" t="s">
        <v>642</v>
      </c>
      <c r="B275" s="55" t="s">
        <v>114</v>
      </c>
      <c r="C275" s="56">
        <v>24</v>
      </c>
      <c r="D275" s="52">
        <v>2.35</v>
      </c>
      <c r="E275" s="57" t="s">
        <v>76</v>
      </c>
      <c r="F275" s="52" t="s">
        <v>89</v>
      </c>
      <c r="G275" s="52" t="s">
        <v>0</v>
      </c>
    </row>
    <row r="276" spans="1:7">
      <c r="A276" s="54" t="s">
        <v>643</v>
      </c>
      <c r="B276" s="55" t="s">
        <v>114</v>
      </c>
      <c r="C276" s="56">
        <v>25</v>
      </c>
      <c r="D276" s="52">
        <v>1.6</v>
      </c>
      <c r="E276" s="57" t="s">
        <v>81</v>
      </c>
      <c r="F276" s="52" t="s">
        <v>27</v>
      </c>
      <c r="G276" s="52" t="s">
        <v>3</v>
      </c>
    </row>
    <row r="277" spans="1:7">
      <c r="A277" s="54" t="s">
        <v>644</v>
      </c>
      <c r="B277" s="55" t="s">
        <v>114</v>
      </c>
      <c r="C277" s="56">
        <v>26</v>
      </c>
      <c r="D277" s="52">
        <v>5.0999999999999996</v>
      </c>
      <c r="E277" s="57" t="s">
        <v>28</v>
      </c>
      <c r="F277" s="52" t="s">
        <v>97</v>
      </c>
      <c r="G277" s="52" t="s">
        <v>0</v>
      </c>
    </row>
    <row r="278" spans="1:7">
      <c r="A278" s="54" t="s">
        <v>645</v>
      </c>
      <c r="B278" s="55" t="s">
        <v>114</v>
      </c>
      <c r="C278" s="56">
        <v>27</v>
      </c>
      <c r="D278" s="52">
        <v>5.0999999999999996</v>
      </c>
      <c r="E278" s="57" t="s">
        <v>28</v>
      </c>
      <c r="F278" s="52" t="s">
        <v>97</v>
      </c>
      <c r="G278" s="52" t="s">
        <v>3</v>
      </c>
    </row>
    <row r="279" spans="1:7">
      <c r="A279" s="54" t="s">
        <v>646</v>
      </c>
      <c r="B279" s="55" t="s">
        <v>114</v>
      </c>
      <c r="C279" s="56">
        <v>28</v>
      </c>
      <c r="D279" s="52">
        <v>2.33</v>
      </c>
      <c r="E279" s="57" t="s">
        <v>96</v>
      </c>
      <c r="F279" s="52" t="s">
        <v>87</v>
      </c>
      <c r="G279" s="52" t="s">
        <v>2</v>
      </c>
    </row>
    <row r="280" spans="1:7">
      <c r="A280" s="54" t="s">
        <v>647</v>
      </c>
      <c r="B280" s="55" t="s">
        <v>114</v>
      </c>
      <c r="C280" s="56">
        <v>29</v>
      </c>
      <c r="D280" s="52">
        <v>3.1</v>
      </c>
      <c r="E280" s="57" t="s">
        <v>96</v>
      </c>
      <c r="F280" s="52" t="s">
        <v>90</v>
      </c>
      <c r="G280" s="52" t="s">
        <v>0</v>
      </c>
    </row>
    <row r="281" spans="1:7">
      <c r="A281" s="54" t="s">
        <v>648</v>
      </c>
      <c r="B281" s="55" t="s">
        <v>114</v>
      </c>
      <c r="C281" s="56">
        <v>30</v>
      </c>
      <c r="D281" s="52">
        <v>2.1</v>
      </c>
      <c r="E281" s="57" t="s">
        <v>81</v>
      </c>
      <c r="F281" s="52" t="s">
        <v>82</v>
      </c>
      <c r="G281" s="52" t="s">
        <v>3</v>
      </c>
    </row>
    <row r="282" spans="1:7">
      <c r="A282" s="54" t="s">
        <v>649</v>
      </c>
      <c r="B282" s="55" t="s">
        <v>114</v>
      </c>
      <c r="C282" s="56">
        <v>31</v>
      </c>
      <c r="D282" s="52">
        <v>2.2000000000000002</v>
      </c>
      <c r="E282" s="57" t="s">
        <v>81</v>
      </c>
      <c r="F282" s="52" t="s">
        <v>83</v>
      </c>
      <c r="G282" s="52" t="s">
        <v>3</v>
      </c>
    </row>
    <row r="283" spans="1:7">
      <c r="A283" s="54" t="s">
        <v>650</v>
      </c>
      <c r="B283" s="55" t="s">
        <v>114</v>
      </c>
      <c r="C283" s="56">
        <v>32</v>
      </c>
      <c r="D283" s="52">
        <v>2.1</v>
      </c>
      <c r="E283" s="57" t="s">
        <v>81</v>
      </c>
      <c r="F283" s="52" t="s">
        <v>82</v>
      </c>
      <c r="G283" s="52" t="s">
        <v>1</v>
      </c>
    </row>
    <row r="284" spans="1:7">
      <c r="A284" s="54" t="s">
        <v>651</v>
      </c>
      <c r="B284" s="55" t="s">
        <v>114</v>
      </c>
      <c r="C284" s="56">
        <v>33</v>
      </c>
      <c r="D284" s="52">
        <v>4.2</v>
      </c>
      <c r="E284" s="57" t="s">
        <v>81</v>
      </c>
      <c r="F284" s="52" t="s">
        <v>95</v>
      </c>
      <c r="G284" s="52" t="s">
        <v>3</v>
      </c>
    </row>
    <row r="285" spans="1:7">
      <c r="A285" s="54" t="s">
        <v>652</v>
      </c>
      <c r="B285" s="55" t="s">
        <v>114</v>
      </c>
      <c r="C285" s="56">
        <v>34</v>
      </c>
      <c r="D285" s="52">
        <v>2.31</v>
      </c>
      <c r="E285" s="57" t="s">
        <v>28</v>
      </c>
      <c r="F285" s="52" t="s">
        <v>85</v>
      </c>
      <c r="G285" s="52" t="s">
        <v>4</v>
      </c>
    </row>
    <row r="286" spans="1:7">
      <c r="A286" s="54" t="s">
        <v>653</v>
      </c>
      <c r="B286" s="55" t="s">
        <v>114</v>
      </c>
      <c r="C286" s="56">
        <v>35</v>
      </c>
      <c r="D286" s="52">
        <v>4.0999999999999996</v>
      </c>
      <c r="E286" s="57" t="s">
        <v>81</v>
      </c>
      <c r="F286" s="52" t="s">
        <v>94</v>
      </c>
      <c r="G286" s="52" t="s">
        <v>2</v>
      </c>
    </row>
    <row r="287" spans="1:7">
      <c r="A287" s="54" t="s">
        <v>654</v>
      </c>
      <c r="B287" s="55" t="s">
        <v>114</v>
      </c>
      <c r="C287" s="56">
        <v>36</v>
      </c>
      <c r="D287" s="52">
        <v>2.3199999999999998</v>
      </c>
      <c r="E287" s="57" t="s">
        <v>81</v>
      </c>
      <c r="F287" s="52" t="s">
        <v>86</v>
      </c>
      <c r="G287" s="52" t="s">
        <v>0</v>
      </c>
    </row>
    <row r="288" spans="1:7">
      <c r="A288" s="54" t="s">
        <v>655</v>
      </c>
      <c r="B288" s="55" t="s">
        <v>114</v>
      </c>
      <c r="C288" s="56">
        <v>37</v>
      </c>
      <c r="D288" s="52">
        <v>3.2</v>
      </c>
      <c r="E288" s="57" t="s">
        <v>81</v>
      </c>
      <c r="F288" s="52" t="s">
        <v>91</v>
      </c>
      <c r="G288" s="52" t="s">
        <v>2</v>
      </c>
    </row>
    <row r="289" spans="1:7">
      <c r="A289" s="54" t="s">
        <v>656</v>
      </c>
      <c r="B289" s="55" t="s">
        <v>114</v>
      </c>
      <c r="C289" s="56">
        <v>38</v>
      </c>
      <c r="D289" s="52">
        <v>3.1</v>
      </c>
      <c r="E289" s="57" t="s">
        <v>81</v>
      </c>
      <c r="F289" s="52" t="s">
        <v>90</v>
      </c>
      <c r="G289" s="52" t="s">
        <v>2</v>
      </c>
    </row>
    <row r="290" spans="1:7">
      <c r="A290" s="54" t="s">
        <v>657</v>
      </c>
      <c r="B290" s="55" t="s">
        <v>114</v>
      </c>
      <c r="C290" s="56">
        <v>39</v>
      </c>
      <c r="D290" s="52">
        <v>2.33</v>
      </c>
      <c r="E290" s="57" t="s">
        <v>100</v>
      </c>
      <c r="F290" s="52" t="s">
        <v>87</v>
      </c>
      <c r="G290" s="52" t="s">
        <v>1</v>
      </c>
    </row>
    <row r="291" spans="1:7">
      <c r="A291" s="54" t="s">
        <v>658</v>
      </c>
      <c r="B291" s="55" t="s">
        <v>114</v>
      </c>
      <c r="C291" s="56">
        <v>40</v>
      </c>
      <c r="D291" s="52">
        <v>6.3</v>
      </c>
      <c r="E291" s="57" t="s">
        <v>81</v>
      </c>
      <c r="F291" s="52" t="s">
        <v>103</v>
      </c>
      <c r="G291" s="52" t="s">
        <v>3</v>
      </c>
    </row>
    <row r="292" spans="1:7">
      <c r="A292" s="54" t="s">
        <v>659</v>
      </c>
      <c r="B292" s="55" t="s">
        <v>114</v>
      </c>
      <c r="C292" s="56">
        <v>41</v>
      </c>
      <c r="D292" s="52">
        <v>3.1</v>
      </c>
      <c r="E292" s="57" t="s">
        <v>96</v>
      </c>
      <c r="F292" s="52" t="s">
        <v>90</v>
      </c>
      <c r="G292" s="52" t="s">
        <v>4</v>
      </c>
    </row>
    <row r="293" spans="1:7">
      <c r="A293" s="54" t="s">
        <v>660</v>
      </c>
      <c r="B293" s="55" t="s">
        <v>114</v>
      </c>
      <c r="C293" s="56">
        <v>42</v>
      </c>
      <c r="D293" s="52">
        <v>2.3199999999999998</v>
      </c>
      <c r="E293" s="57" t="s">
        <v>81</v>
      </c>
      <c r="F293" s="52" t="s">
        <v>86</v>
      </c>
      <c r="G293" s="52" t="s">
        <v>2</v>
      </c>
    </row>
    <row r="294" spans="1:7">
      <c r="A294" s="54" t="s">
        <v>661</v>
      </c>
      <c r="B294" s="55" t="s">
        <v>114</v>
      </c>
      <c r="C294" s="56">
        <v>43</v>
      </c>
      <c r="D294" s="52">
        <v>1.2</v>
      </c>
      <c r="E294" s="57" t="s">
        <v>93</v>
      </c>
      <c r="F294" s="52" t="s">
        <v>78</v>
      </c>
      <c r="G294" s="52" t="s">
        <v>2</v>
      </c>
    </row>
    <row r="295" spans="1:7">
      <c r="A295" s="54" t="s">
        <v>662</v>
      </c>
      <c r="B295" s="55" t="s">
        <v>114</v>
      </c>
      <c r="C295" s="56">
        <v>44</v>
      </c>
      <c r="D295" s="52">
        <v>1.3</v>
      </c>
      <c r="E295" s="57" t="s">
        <v>81</v>
      </c>
      <c r="F295" s="52" t="s">
        <v>79</v>
      </c>
      <c r="G295" s="52" t="s">
        <v>2</v>
      </c>
    </row>
    <row r="296" spans="1:7">
      <c r="A296" s="54" t="s">
        <v>663</v>
      </c>
      <c r="B296" s="55" t="s">
        <v>114</v>
      </c>
      <c r="C296" s="56">
        <v>45</v>
      </c>
      <c r="D296" s="52">
        <v>1.3</v>
      </c>
      <c r="E296" s="57" t="s">
        <v>28</v>
      </c>
      <c r="F296" s="52" t="s">
        <v>79</v>
      </c>
      <c r="G296" s="52" t="s">
        <v>0</v>
      </c>
    </row>
    <row r="297" spans="1:7">
      <c r="A297" s="54" t="s">
        <v>664</v>
      </c>
      <c r="B297" s="55" t="s">
        <v>114</v>
      </c>
      <c r="C297" s="56">
        <v>46</v>
      </c>
      <c r="D297" s="52">
        <v>1.3</v>
      </c>
      <c r="E297" s="57" t="s">
        <v>28</v>
      </c>
      <c r="F297" s="52" t="s">
        <v>79</v>
      </c>
      <c r="G297" s="52" t="s">
        <v>3</v>
      </c>
    </row>
    <row r="298" spans="1:7">
      <c r="A298" s="54" t="s">
        <v>665</v>
      </c>
      <c r="B298" s="55" t="s">
        <v>114</v>
      </c>
      <c r="C298" s="56">
        <v>47</v>
      </c>
      <c r="D298" s="52">
        <v>6.3</v>
      </c>
      <c r="E298" s="57" t="s">
        <v>81</v>
      </c>
      <c r="F298" s="52" t="s">
        <v>103</v>
      </c>
      <c r="G298" s="52" t="s">
        <v>0</v>
      </c>
    </row>
    <row r="299" spans="1:7">
      <c r="A299" s="54" t="s">
        <v>666</v>
      </c>
      <c r="B299" s="55" t="s">
        <v>114</v>
      </c>
      <c r="C299" s="56">
        <v>48</v>
      </c>
      <c r="D299" s="52">
        <v>2.2000000000000002</v>
      </c>
      <c r="E299" s="57" t="s">
        <v>81</v>
      </c>
      <c r="F299" s="52" t="s">
        <v>83</v>
      </c>
      <c r="G299" s="52" t="s">
        <v>3</v>
      </c>
    </row>
    <row r="300" spans="1:7">
      <c r="A300" s="54" t="s">
        <v>667</v>
      </c>
      <c r="B300" s="55" t="s">
        <v>114</v>
      </c>
      <c r="C300" s="56">
        <v>49</v>
      </c>
      <c r="D300" s="52">
        <v>2.35</v>
      </c>
      <c r="E300" s="57" t="s">
        <v>93</v>
      </c>
      <c r="F300" s="52" t="s">
        <v>89</v>
      </c>
      <c r="G300" s="52" t="s">
        <v>4</v>
      </c>
    </row>
    <row r="301" spans="1:7">
      <c r="A301" s="54" t="s">
        <v>668</v>
      </c>
      <c r="B301" s="55" t="s">
        <v>114</v>
      </c>
      <c r="C301" s="56">
        <v>50</v>
      </c>
      <c r="D301" s="52">
        <v>1.1000000000000001</v>
      </c>
      <c r="E301" s="57" t="s">
        <v>76</v>
      </c>
      <c r="F301" s="52" t="s">
        <v>77</v>
      </c>
      <c r="G301" s="52" t="s">
        <v>0</v>
      </c>
    </row>
    <row r="302" spans="1:7">
      <c r="A302" s="54" t="s">
        <v>669</v>
      </c>
      <c r="B302" s="55" t="s">
        <v>115</v>
      </c>
      <c r="C302" s="56">
        <v>1</v>
      </c>
      <c r="D302" s="52">
        <v>1.1000000000000001</v>
      </c>
      <c r="E302" s="57" t="s">
        <v>81</v>
      </c>
      <c r="F302" s="52" t="s">
        <v>77</v>
      </c>
      <c r="G302" s="52" t="s">
        <v>0</v>
      </c>
    </row>
    <row r="303" spans="1:7">
      <c r="A303" s="54" t="s">
        <v>670</v>
      </c>
      <c r="B303" s="55" t="s">
        <v>115</v>
      </c>
      <c r="C303" s="56">
        <v>2</v>
      </c>
      <c r="D303" s="52">
        <v>2.1</v>
      </c>
      <c r="E303" s="57" t="s">
        <v>81</v>
      </c>
      <c r="F303" s="52" t="s">
        <v>82</v>
      </c>
      <c r="G303" s="52" t="s">
        <v>0</v>
      </c>
    </row>
    <row r="304" spans="1:7">
      <c r="A304" s="54" t="s">
        <v>671</v>
      </c>
      <c r="B304" s="55" t="s">
        <v>115</v>
      </c>
      <c r="C304" s="56">
        <v>3</v>
      </c>
      <c r="D304" s="52">
        <v>2.35</v>
      </c>
      <c r="E304" s="57" t="s">
        <v>81</v>
      </c>
      <c r="F304" s="52" t="s">
        <v>89</v>
      </c>
      <c r="G304" s="52" t="s">
        <v>2</v>
      </c>
    </row>
    <row r="305" spans="1:7">
      <c r="A305" s="54" t="s">
        <v>672</v>
      </c>
      <c r="B305" s="55" t="s">
        <v>115</v>
      </c>
      <c r="C305" s="56">
        <v>4</v>
      </c>
      <c r="D305" s="52">
        <v>3.2</v>
      </c>
      <c r="E305" s="57" t="s">
        <v>81</v>
      </c>
      <c r="F305" s="52" t="s">
        <v>91</v>
      </c>
      <c r="G305" s="52" t="s">
        <v>3</v>
      </c>
    </row>
    <row r="306" spans="1:7">
      <c r="A306" s="54" t="s">
        <v>673</v>
      </c>
      <c r="B306" s="55" t="s">
        <v>115</v>
      </c>
      <c r="C306" s="56">
        <v>5</v>
      </c>
      <c r="D306" s="52">
        <v>2.35</v>
      </c>
      <c r="E306" s="57" t="s">
        <v>81</v>
      </c>
      <c r="F306" s="52" t="s">
        <v>89</v>
      </c>
      <c r="G306" s="52" t="s">
        <v>3</v>
      </c>
    </row>
    <row r="307" spans="1:7">
      <c r="A307" s="54" t="s">
        <v>674</v>
      </c>
      <c r="B307" s="55" t="s">
        <v>115</v>
      </c>
      <c r="C307" s="56">
        <v>6</v>
      </c>
      <c r="D307" s="52">
        <v>5.3</v>
      </c>
      <c r="E307" s="57" t="s">
        <v>28</v>
      </c>
      <c r="F307" s="52" t="s">
        <v>99</v>
      </c>
      <c r="G307" s="52" t="s">
        <v>4</v>
      </c>
    </row>
    <row r="308" spans="1:7">
      <c r="A308" s="54" t="s">
        <v>675</v>
      </c>
      <c r="B308" s="55" t="s">
        <v>115</v>
      </c>
      <c r="C308" s="56">
        <v>7</v>
      </c>
      <c r="D308" s="52">
        <v>5.0999999999999996</v>
      </c>
      <c r="E308" s="57" t="s">
        <v>81</v>
      </c>
      <c r="F308" s="52" t="s">
        <v>97</v>
      </c>
      <c r="G308" s="52" t="s">
        <v>1</v>
      </c>
    </row>
    <row r="309" spans="1:7">
      <c r="A309" s="54" t="s">
        <v>676</v>
      </c>
      <c r="B309" s="55" t="s">
        <v>115</v>
      </c>
      <c r="C309" s="56">
        <v>8</v>
      </c>
      <c r="D309" s="52">
        <v>2.33</v>
      </c>
      <c r="E309" s="57" t="s">
        <v>81</v>
      </c>
      <c r="F309" s="52" t="s">
        <v>87</v>
      </c>
      <c r="G309" s="52" t="s">
        <v>3</v>
      </c>
    </row>
    <row r="310" spans="1:7">
      <c r="A310" s="54" t="s">
        <v>677</v>
      </c>
      <c r="B310" s="55" t="s">
        <v>115</v>
      </c>
      <c r="C310" s="56">
        <v>9</v>
      </c>
      <c r="D310" s="52">
        <v>2.35</v>
      </c>
      <c r="E310" s="57" t="s">
        <v>81</v>
      </c>
      <c r="F310" s="52" t="s">
        <v>89</v>
      </c>
      <c r="G310" s="52" t="s">
        <v>0</v>
      </c>
    </row>
    <row r="311" spans="1:7">
      <c r="A311" s="54" t="s">
        <v>678</v>
      </c>
      <c r="B311" s="55" t="s">
        <v>115</v>
      </c>
      <c r="C311" s="56">
        <v>10</v>
      </c>
      <c r="D311" s="52">
        <v>2.35</v>
      </c>
      <c r="E311" s="57" t="s">
        <v>81</v>
      </c>
      <c r="F311" s="52" t="s">
        <v>89</v>
      </c>
      <c r="G311" s="52" t="s">
        <v>1</v>
      </c>
    </row>
    <row r="312" spans="1:7">
      <c r="A312" s="54" t="s">
        <v>679</v>
      </c>
      <c r="B312" s="55" t="s">
        <v>115</v>
      </c>
      <c r="C312" s="56">
        <v>11</v>
      </c>
      <c r="D312" s="52">
        <v>2.34</v>
      </c>
      <c r="E312" s="57" t="s">
        <v>93</v>
      </c>
      <c r="F312" s="52" t="s">
        <v>88</v>
      </c>
      <c r="G312" s="52" t="s">
        <v>1</v>
      </c>
    </row>
    <row r="313" spans="1:7">
      <c r="A313" s="54" t="s">
        <v>680</v>
      </c>
      <c r="B313" s="55" t="s">
        <v>115</v>
      </c>
      <c r="C313" s="56">
        <v>12</v>
      </c>
      <c r="D313" s="52">
        <v>2.3199999999999998</v>
      </c>
      <c r="E313" s="57" t="s">
        <v>96</v>
      </c>
      <c r="F313" s="52" t="s">
        <v>86</v>
      </c>
      <c r="G313" s="52" t="s">
        <v>2</v>
      </c>
    </row>
    <row r="314" spans="1:7">
      <c r="A314" s="54" t="s">
        <v>681</v>
      </c>
      <c r="B314" s="55" t="s">
        <v>115</v>
      </c>
      <c r="C314" s="56">
        <v>13</v>
      </c>
      <c r="D314" s="52">
        <v>2.34</v>
      </c>
      <c r="E314" s="57" t="s">
        <v>81</v>
      </c>
      <c r="F314" s="52" t="s">
        <v>88</v>
      </c>
      <c r="G314" s="52" t="s">
        <v>1</v>
      </c>
    </row>
    <row r="315" spans="1:7">
      <c r="A315" s="54" t="s">
        <v>682</v>
      </c>
      <c r="B315" s="55" t="s">
        <v>115</v>
      </c>
      <c r="C315" s="56">
        <v>14</v>
      </c>
      <c r="D315" s="52">
        <v>1.6</v>
      </c>
      <c r="E315" s="57" t="s">
        <v>96</v>
      </c>
      <c r="F315" s="52" t="s">
        <v>27</v>
      </c>
      <c r="G315" s="52" t="s">
        <v>1</v>
      </c>
    </row>
    <row r="316" spans="1:7">
      <c r="A316" s="54" t="s">
        <v>683</v>
      </c>
      <c r="B316" s="55" t="s">
        <v>115</v>
      </c>
      <c r="C316" s="56">
        <v>15</v>
      </c>
      <c r="D316" s="52">
        <v>1.1000000000000001</v>
      </c>
      <c r="E316" s="57" t="s">
        <v>81</v>
      </c>
      <c r="F316" s="52" t="s">
        <v>77</v>
      </c>
      <c r="G316" s="52" t="s">
        <v>4</v>
      </c>
    </row>
    <row r="317" spans="1:7">
      <c r="A317" s="54" t="s">
        <v>684</v>
      </c>
      <c r="B317" s="55" t="s">
        <v>115</v>
      </c>
      <c r="C317" s="56">
        <v>16</v>
      </c>
      <c r="D317" s="52">
        <v>4.0999999999999996</v>
      </c>
      <c r="E317" s="57" t="s">
        <v>96</v>
      </c>
      <c r="F317" s="52" t="s">
        <v>94</v>
      </c>
      <c r="G317" s="52" t="s">
        <v>4</v>
      </c>
    </row>
    <row r="318" spans="1:7">
      <c r="A318" s="54" t="s">
        <v>685</v>
      </c>
      <c r="B318" s="55" t="s">
        <v>115</v>
      </c>
      <c r="C318" s="56">
        <v>17</v>
      </c>
      <c r="D318" s="52">
        <v>5.0999999999999996</v>
      </c>
      <c r="E318" s="57" t="s">
        <v>96</v>
      </c>
      <c r="F318" s="52" t="s">
        <v>97</v>
      </c>
      <c r="G318" s="52" t="s">
        <v>0</v>
      </c>
    </row>
    <row r="319" spans="1:7">
      <c r="A319" s="54" t="s">
        <v>686</v>
      </c>
      <c r="B319" s="55" t="s">
        <v>115</v>
      </c>
      <c r="C319" s="56">
        <v>18</v>
      </c>
      <c r="D319" s="52">
        <v>5.0999999999999996</v>
      </c>
      <c r="E319" s="57" t="s">
        <v>93</v>
      </c>
      <c r="F319" s="52" t="s">
        <v>97</v>
      </c>
      <c r="G319" s="52" t="s">
        <v>0</v>
      </c>
    </row>
    <row r="320" spans="1:7">
      <c r="A320" s="54" t="s">
        <v>687</v>
      </c>
      <c r="B320" s="55" t="s">
        <v>115</v>
      </c>
      <c r="C320" s="56">
        <v>19</v>
      </c>
      <c r="D320" s="52">
        <v>2.31</v>
      </c>
      <c r="E320" s="57" t="s">
        <v>81</v>
      </c>
      <c r="F320" s="52" t="s">
        <v>85</v>
      </c>
      <c r="G320" s="52" t="s">
        <v>1</v>
      </c>
    </row>
    <row r="321" spans="1:7">
      <c r="A321" s="54" t="s">
        <v>688</v>
      </c>
      <c r="B321" s="55" t="s">
        <v>115</v>
      </c>
      <c r="C321" s="56">
        <v>20</v>
      </c>
      <c r="D321" s="52">
        <v>6.3</v>
      </c>
      <c r="E321" s="57" t="s">
        <v>76</v>
      </c>
      <c r="F321" s="52" t="s">
        <v>103</v>
      </c>
      <c r="G321" s="52" t="s">
        <v>4</v>
      </c>
    </row>
    <row r="322" spans="1:7">
      <c r="A322" s="54" t="s">
        <v>689</v>
      </c>
      <c r="B322" s="55" t="s">
        <v>115</v>
      </c>
      <c r="C322" s="56">
        <v>21</v>
      </c>
      <c r="D322" s="52">
        <v>6.3</v>
      </c>
      <c r="E322" s="57" t="s">
        <v>81</v>
      </c>
      <c r="F322" s="52" t="s">
        <v>103</v>
      </c>
      <c r="G322" s="52" t="s">
        <v>3</v>
      </c>
    </row>
    <row r="323" spans="1:7">
      <c r="A323" s="54" t="s">
        <v>690</v>
      </c>
      <c r="B323" s="55" t="s">
        <v>115</v>
      </c>
      <c r="C323" s="56">
        <v>22</v>
      </c>
      <c r="D323" s="52">
        <v>2.2000000000000002</v>
      </c>
      <c r="E323" s="57" t="s">
        <v>81</v>
      </c>
      <c r="F323" s="52" t="s">
        <v>83</v>
      </c>
      <c r="G323" s="52" t="s">
        <v>0</v>
      </c>
    </row>
    <row r="324" spans="1:7">
      <c r="A324" s="54" t="s">
        <v>691</v>
      </c>
      <c r="B324" s="55" t="s">
        <v>115</v>
      </c>
      <c r="C324" s="56">
        <v>23</v>
      </c>
      <c r="D324" s="52">
        <v>1.3</v>
      </c>
      <c r="E324" s="57" t="s">
        <v>76</v>
      </c>
      <c r="F324" s="52" t="s">
        <v>79</v>
      </c>
      <c r="G324" s="52" t="s">
        <v>3</v>
      </c>
    </row>
    <row r="325" spans="1:7">
      <c r="A325" s="54" t="s">
        <v>692</v>
      </c>
      <c r="B325" s="55" t="s">
        <v>115</v>
      </c>
      <c r="C325" s="56">
        <v>24</v>
      </c>
      <c r="D325" s="52">
        <v>1.6</v>
      </c>
      <c r="E325" s="57" t="s">
        <v>81</v>
      </c>
      <c r="F325" s="52" t="s">
        <v>27</v>
      </c>
      <c r="G325" s="52" t="s">
        <v>0</v>
      </c>
    </row>
    <row r="326" spans="1:7">
      <c r="A326" s="54" t="s">
        <v>693</v>
      </c>
      <c r="B326" s="55" t="s">
        <v>115</v>
      </c>
      <c r="C326" s="56">
        <v>25</v>
      </c>
      <c r="D326" s="52">
        <v>2.33</v>
      </c>
      <c r="E326" s="57" t="s">
        <v>96</v>
      </c>
      <c r="F326" s="52" t="s">
        <v>87</v>
      </c>
      <c r="G326" s="52" t="s">
        <v>1</v>
      </c>
    </row>
    <row r="327" spans="1:7">
      <c r="A327" s="54" t="s">
        <v>694</v>
      </c>
      <c r="B327" s="55" t="s">
        <v>115</v>
      </c>
      <c r="C327" s="56">
        <v>26</v>
      </c>
      <c r="D327" s="52">
        <v>3.2</v>
      </c>
      <c r="E327" s="57" t="s">
        <v>81</v>
      </c>
      <c r="F327" s="52" t="s">
        <v>91</v>
      </c>
      <c r="G327" s="52" t="s">
        <v>0</v>
      </c>
    </row>
    <row r="328" spans="1:7">
      <c r="A328" s="54" t="s">
        <v>695</v>
      </c>
      <c r="B328" s="55" t="s">
        <v>115</v>
      </c>
      <c r="C328" s="56">
        <v>27</v>
      </c>
      <c r="D328" s="52">
        <v>3.2</v>
      </c>
      <c r="E328" s="57" t="s">
        <v>81</v>
      </c>
      <c r="F328" s="52" t="s">
        <v>91</v>
      </c>
      <c r="G328" s="52" t="s">
        <v>0</v>
      </c>
    </row>
    <row r="329" spans="1:7">
      <c r="A329" s="54" t="s">
        <v>696</v>
      </c>
      <c r="B329" s="55" t="s">
        <v>115</v>
      </c>
      <c r="C329" s="56">
        <v>28</v>
      </c>
      <c r="D329" s="52">
        <v>5.0999999999999996</v>
      </c>
      <c r="E329" s="57" t="s">
        <v>81</v>
      </c>
      <c r="F329" s="52" t="s">
        <v>97</v>
      </c>
      <c r="G329" s="52" t="s">
        <v>1</v>
      </c>
    </row>
    <row r="330" spans="1:7">
      <c r="A330" s="54" t="s">
        <v>697</v>
      </c>
      <c r="B330" s="55" t="s">
        <v>115</v>
      </c>
      <c r="C330" s="56">
        <v>29</v>
      </c>
      <c r="D330" s="52">
        <v>5.3</v>
      </c>
      <c r="E330" s="57" t="s">
        <v>81</v>
      </c>
      <c r="F330" s="52" t="s">
        <v>99</v>
      </c>
      <c r="G330" s="52" t="s">
        <v>0</v>
      </c>
    </row>
    <row r="331" spans="1:7">
      <c r="A331" s="54" t="s">
        <v>698</v>
      </c>
      <c r="B331" s="55" t="s">
        <v>115</v>
      </c>
      <c r="C331" s="56">
        <v>30</v>
      </c>
      <c r="D331" s="52">
        <v>2.31</v>
      </c>
      <c r="E331" s="57" t="s">
        <v>96</v>
      </c>
      <c r="F331" s="52" t="s">
        <v>85</v>
      </c>
      <c r="G331" s="52" t="s">
        <v>4</v>
      </c>
    </row>
    <row r="332" spans="1:7">
      <c r="A332" s="54" t="s">
        <v>699</v>
      </c>
      <c r="B332" s="55" t="s">
        <v>115</v>
      </c>
      <c r="C332" s="56">
        <v>31</v>
      </c>
      <c r="D332" s="52">
        <v>2.34</v>
      </c>
      <c r="E332" s="57" t="s">
        <v>81</v>
      </c>
      <c r="F332" s="52" t="s">
        <v>88</v>
      </c>
      <c r="G332" s="52" t="s">
        <v>4</v>
      </c>
    </row>
    <row r="333" spans="1:7">
      <c r="A333" s="54" t="s">
        <v>700</v>
      </c>
      <c r="B333" s="55" t="s">
        <v>115</v>
      </c>
      <c r="C333" s="56">
        <v>32</v>
      </c>
      <c r="D333" s="52">
        <v>2.1</v>
      </c>
      <c r="E333" s="57" t="s">
        <v>28</v>
      </c>
      <c r="F333" s="52" t="s">
        <v>82</v>
      </c>
      <c r="G333" s="52" t="s">
        <v>0</v>
      </c>
    </row>
    <row r="334" spans="1:7">
      <c r="A334" s="54" t="s">
        <v>701</v>
      </c>
      <c r="B334" s="55" t="s">
        <v>115</v>
      </c>
      <c r="C334" s="56">
        <v>33</v>
      </c>
      <c r="D334" s="52">
        <v>2.1</v>
      </c>
      <c r="E334" s="57" t="s">
        <v>28</v>
      </c>
      <c r="F334" s="52" t="s">
        <v>82</v>
      </c>
      <c r="G334" s="52" t="s">
        <v>0</v>
      </c>
    </row>
    <row r="335" spans="1:7">
      <c r="A335" s="54" t="s">
        <v>702</v>
      </c>
      <c r="B335" s="55" t="s">
        <v>115</v>
      </c>
      <c r="C335" s="56">
        <v>34</v>
      </c>
      <c r="D335" s="52">
        <v>3.4</v>
      </c>
      <c r="E335" s="57" t="s">
        <v>81</v>
      </c>
      <c r="F335" s="52" t="s">
        <v>29</v>
      </c>
      <c r="G335" s="52" t="s">
        <v>2</v>
      </c>
    </row>
    <row r="336" spans="1:7">
      <c r="A336" s="54" t="s">
        <v>703</v>
      </c>
      <c r="B336" s="55" t="s">
        <v>115</v>
      </c>
      <c r="C336" s="56">
        <v>35</v>
      </c>
      <c r="D336" s="52">
        <v>2.31</v>
      </c>
      <c r="E336" s="57" t="s">
        <v>93</v>
      </c>
      <c r="F336" s="52" t="s">
        <v>85</v>
      </c>
      <c r="G336" s="52" t="s">
        <v>0</v>
      </c>
    </row>
    <row r="337" spans="1:7">
      <c r="A337" s="54" t="s">
        <v>704</v>
      </c>
      <c r="B337" s="55" t="s">
        <v>115</v>
      </c>
      <c r="C337" s="56">
        <v>36</v>
      </c>
      <c r="D337" s="52">
        <v>6.2</v>
      </c>
      <c r="E337" s="57" t="s">
        <v>93</v>
      </c>
      <c r="F337" s="52" t="s">
        <v>102</v>
      </c>
      <c r="G337" s="52" t="s">
        <v>3</v>
      </c>
    </row>
    <row r="338" spans="1:7">
      <c r="A338" s="54" t="s">
        <v>705</v>
      </c>
      <c r="B338" s="55" t="s">
        <v>115</v>
      </c>
      <c r="C338" s="56">
        <v>37</v>
      </c>
      <c r="D338" s="52">
        <v>2.34</v>
      </c>
      <c r="E338" s="57" t="s">
        <v>81</v>
      </c>
      <c r="F338" s="52" t="s">
        <v>88</v>
      </c>
      <c r="G338" s="52" t="s">
        <v>2</v>
      </c>
    </row>
    <row r="339" spans="1:7">
      <c r="A339" s="54" t="s">
        <v>706</v>
      </c>
      <c r="B339" s="55" t="s">
        <v>115</v>
      </c>
      <c r="C339" s="56">
        <v>38</v>
      </c>
      <c r="D339" s="52">
        <v>2.35</v>
      </c>
      <c r="E339" s="57" t="s">
        <v>81</v>
      </c>
      <c r="F339" s="52" t="s">
        <v>89</v>
      </c>
      <c r="G339" s="52" t="s">
        <v>0</v>
      </c>
    </row>
    <row r="340" spans="1:7">
      <c r="A340" s="54" t="s">
        <v>707</v>
      </c>
      <c r="B340" s="55" t="s">
        <v>115</v>
      </c>
      <c r="C340" s="56">
        <v>39</v>
      </c>
      <c r="D340" s="52">
        <v>6.1</v>
      </c>
      <c r="E340" s="57" t="s">
        <v>81</v>
      </c>
      <c r="F340" s="52" t="s">
        <v>101</v>
      </c>
      <c r="G340" s="52" t="s">
        <v>3</v>
      </c>
    </row>
    <row r="341" spans="1:7">
      <c r="A341" s="54" t="s">
        <v>708</v>
      </c>
      <c r="B341" s="55" t="s">
        <v>115</v>
      </c>
      <c r="C341" s="56">
        <v>40</v>
      </c>
      <c r="D341" s="52">
        <v>2.31</v>
      </c>
      <c r="E341" s="57" t="s">
        <v>93</v>
      </c>
      <c r="F341" s="52" t="s">
        <v>85</v>
      </c>
      <c r="G341" s="52" t="s">
        <v>2</v>
      </c>
    </row>
    <row r="342" spans="1:7">
      <c r="A342" s="54" t="s">
        <v>709</v>
      </c>
      <c r="B342" s="55" t="s">
        <v>115</v>
      </c>
      <c r="C342" s="56">
        <v>41</v>
      </c>
      <c r="D342" s="52">
        <v>5.2</v>
      </c>
      <c r="E342" s="57" t="s">
        <v>28</v>
      </c>
      <c r="F342" s="52" t="s">
        <v>98</v>
      </c>
      <c r="G342" s="52" t="s">
        <v>1</v>
      </c>
    </row>
    <row r="343" spans="1:7">
      <c r="A343" s="54" t="s">
        <v>710</v>
      </c>
      <c r="B343" s="55" t="s">
        <v>115</v>
      </c>
      <c r="C343" s="56">
        <v>42</v>
      </c>
      <c r="D343" s="52">
        <v>2.3199999999999998</v>
      </c>
      <c r="E343" s="57" t="s">
        <v>81</v>
      </c>
      <c r="F343" s="52" t="s">
        <v>86</v>
      </c>
      <c r="G343" s="52" t="s">
        <v>2</v>
      </c>
    </row>
    <row r="344" spans="1:7">
      <c r="A344" s="54" t="s">
        <v>711</v>
      </c>
      <c r="B344" s="55" t="s">
        <v>115</v>
      </c>
      <c r="C344" s="56">
        <v>43</v>
      </c>
      <c r="D344" s="52">
        <v>4.2</v>
      </c>
      <c r="E344" s="57" t="s">
        <v>100</v>
      </c>
      <c r="F344" s="52" t="s">
        <v>95</v>
      </c>
      <c r="G344" s="52" t="s">
        <v>3</v>
      </c>
    </row>
    <row r="345" spans="1:7">
      <c r="A345" s="54" t="s">
        <v>712</v>
      </c>
      <c r="B345" s="55" t="s">
        <v>115</v>
      </c>
      <c r="C345" s="56">
        <v>44</v>
      </c>
      <c r="D345" s="52">
        <v>2.34</v>
      </c>
      <c r="E345" s="57" t="s">
        <v>76</v>
      </c>
      <c r="F345" s="52" t="s">
        <v>88</v>
      </c>
      <c r="G345" s="52" t="s">
        <v>4</v>
      </c>
    </row>
    <row r="346" spans="1:7">
      <c r="A346" s="54" t="s">
        <v>713</v>
      </c>
      <c r="B346" s="55" t="s">
        <v>115</v>
      </c>
      <c r="C346" s="56">
        <v>45</v>
      </c>
      <c r="D346" s="52">
        <v>3.2</v>
      </c>
      <c r="E346" s="57" t="s">
        <v>81</v>
      </c>
      <c r="F346" s="52" t="s">
        <v>91</v>
      </c>
      <c r="G346" s="52" t="s">
        <v>4</v>
      </c>
    </row>
    <row r="347" spans="1:7">
      <c r="A347" s="54" t="s">
        <v>714</v>
      </c>
      <c r="B347" s="55" t="s">
        <v>115</v>
      </c>
      <c r="C347" s="56">
        <v>46</v>
      </c>
      <c r="D347" s="52">
        <v>3.2</v>
      </c>
      <c r="E347" s="57" t="s">
        <v>76</v>
      </c>
      <c r="F347" s="52" t="s">
        <v>91</v>
      </c>
      <c r="G347" s="52" t="s">
        <v>4</v>
      </c>
    </row>
    <row r="348" spans="1:7">
      <c r="A348" s="54" t="s">
        <v>715</v>
      </c>
      <c r="B348" s="55" t="s">
        <v>115</v>
      </c>
      <c r="C348" s="56">
        <v>47</v>
      </c>
      <c r="D348" s="52">
        <v>2.34</v>
      </c>
      <c r="E348" s="57" t="s">
        <v>28</v>
      </c>
      <c r="F348" s="52" t="s">
        <v>88</v>
      </c>
      <c r="G348" s="52" t="s">
        <v>2</v>
      </c>
    </row>
    <row r="349" spans="1:7">
      <c r="A349" s="54" t="s">
        <v>716</v>
      </c>
      <c r="B349" s="55" t="s">
        <v>115</v>
      </c>
      <c r="C349" s="56">
        <v>48</v>
      </c>
      <c r="D349" s="52">
        <v>2.31</v>
      </c>
      <c r="E349" s="57" t="s">
        <v>96</v>
      </c>
      <c r="F349" s="52" t="s">
        <v>85</v>
      </c>
      <c r="G349" s="52" t="s">
        <v>0</v>
      </c>
    </row>
    <row r="350" spans="1:7">
      <c r="A350" s="54" t="s">
        <v>717</v>
      </c>
      <c r="B350" s="55" t="s">
        <v>115</v>
      </c>
      <c r="C350" s="56">
        <v>49</v>
      </c>
      <c r="D350" s="52">
        <v>4.0999999999999996</v>
      </c>
      <c r="E350" s="57" t="s">
        <v>81</v>
      </c>
      <c r="F350" s="52" t="s">
        <v>94</v>
      </c>
      <c r="G350" s="52" t="s">
        <v>0</v>
      </c>
    </row>
    <row r="351" spans="1:7">
      <c r="A351" s="54" t="s">
        <v>718</v>
      </c>
      <c r="B351" s="55" t="s">
        <v>115</v>
      </c>
      <c r="C351" s="56">
        <v>50</v>
      </c>
      <c r="D351" s="52">
        <v>1.4</v>
      </c>
      <c r="E351" s="57" t="s">
        <v>93</v>
      </c>
      <c r="F351" s="52" t="s">
        <v>30</v>
      </c>
      <c r="G351" s="52" t="s">
        <v>0</v>
      </c>
    </row>
    <row r="352" spans="1:7">
      <c r="A352" s="54" t="s">
        <v>719</v>
      </c>
      <c r="B352" s="55" t="s">
        <v>116</v>
      </c>
      <c r="C352" s="56">
        <v>1</v>
      </c>
      <c r="D352" s="52">
        <v>2.1</v>
      </c>
      <c r="E352" s="57" t="s">
        <v>81</v>
      </c>
      <c r="F352" s="52" t="s">
        <v>82</v>
      </c>
      <c r="G352" s="52" t="s">
        <v>4</v>
      </c>
    </row>
    <row r="353" spans="1:7">
      <c r="A353" s="54" t="s">
        <v>720</v>
      </c>
      <c r="B353" s="55" t="s">
        <v>116</v>
      </c>
      <c r="C353" s="56">
        <v>2</v>
      </c>
      <c r="D353" s="52">
        <v>2.35</v>
      </c>
      <c r="E353" s="57" t="s">
        <v>81</v>
      </c>
      <c r="F353" s="52" t="s">
        <v>89</v>
      </c>
      <c r="G353" s="52" t="s">
        <v>4</v>
      </c>
    </row>
    <row r="354" spans="1:7">
      <c r="A354" s="54" t="s">
        <v>721</v>
      </c>
      <c r="B354" s="55" t="s">
        <v>116</v>
      </c>
      <c r="C354" s="56">
        <v>3</v>
      </c>
      <c r="D354" s="52">
        <v>2.1</v>
      </c>
      <c r="E354" s="57" t="s">
        <v>81</v>
      </c>
      <c r="F354" s="52" t="s">
        <v>82</v>
      </c>
      <c r="G354" s="52" t="s">
        <v>2</v>
      </c>
    </row>
    <row r="355" spans="1:7">
      <c r="A355" s="54" t="s">
        <v>722</v>
      </c>
      <c r="B355" s="55" t="s">
        <v>116</v>
      </c>
      <c r="C355" s="56">
        <v>4</v>
      </c>
      <c r="D355" s="52">
        <v>2.2000000000000002</v>
      </c>
      <c r="E355" s="57" t="s">
        <v>81</v>
      </c>
      <c r="F355" s="52" t="s">
        <v>83</v>
      </c>
      <c r="G355" s="52" t="s">
        <v>4</v>
      </c>
    </row>
    <row r="356" spans="1:7">
      <c r="A356" s="54" t="s">
        <v>723</v>
      </c>
      <c r="B356" s="55" t="s">
        <v>116</v>
      </c>
      <c r="C356" s="56">
        <v>5</v>
      </c>
      <c r="D356" s="52">
        <v>2.1</v>
      </c>
      <c r="E356" s="57" t="s">
        <v>81</v>
      </c>
      <c r="F356" s="52" t="s">
        <v>82</v>
      </c>
      <c r="G356" s="52" t="s">
        <v>3</v>
      </c>
    </row>
    <row r="357" spans="1:7">
      <c r="A357" s="54" t="s">
        <v>724</v>
      </c>
      <c r="B357" s="55" t="s">
        <v>116</v>
      </c>
      <c r="C357" s="56">
        <v>6</v>
      </c>
      <c r="D357" s="52">
        <v>3.4</v>
      </c>
      <c r="E357" s="57" t="s">
        <v>28</v>
      </c>
      <c r="F357" s="52" t="s">
        <v>29</v>
      </c>
      <c r="G357" s="52" t="s">
        <v>4</v>
      </c>
    </row>
    <row r="358" spans="1:7">
      <c r="A358" s="54" t="s">
        <v>725</v>
      </c>
      <c r="B358" s="55" t="s">
        <v>116</v>
      </c>
      <c r="C358" s="56">
        <v>7</v>
      </c>
      <c r="D358" s="52">
        <v>2.34</v>
      </c>
      <c r="E358" s="57" t="s">
        <v>81</v>
      </c>
      <c r="F358" s="52" t="s">
        <v>88</v>
      </c>
      <c r="G358" s="52" t="s">
        <v>4</v>
      </c>
    </row>
    <row r="359" spans="1:7">
      <c r="A359" s="54" t="s">
        <v>726</v>
      </c>
      <c r="B359" s="55" t="s">
        <v>116</v>
      </c>
      <c r="C359" s="56">
        <v>8</v>
      </c>
      <c r="D359" s="52">
        <v>2.34</v>
      </c>
      <c r="E359" s="57" t="s">
        <v>96</v>
      </c>
      <c r="F359" s="52" t="s">
        <v>88</v>
      </c>
      <c r="G359" s="52" t="s">
        <v>2</v>
      </c>
    </row>
    <row r="360" spans="1:7">
      <c r="A360" s="54" t="s">
        <v>727</v>
      </c>
      <c r="B360" s="55" t="s">
        <v>116</v>
      </c>
      <c r="C360" s="56">
        <v>9</v>
      </c>
      <c r="D360" s="52">
        <v>2.1</v>
      </c>
      <c r="E360" s="57" t="s">
        <v>81</v>
      </c>
      <c r="F360" s="52" t="s">
        <v>82</v>
      </c>
      <c r="G360" s="52" t="s">
        <v>0</v>
      </c>
    </row>
    <row r="361" spans="1:7">
      <c r="A361" s="54" t="s">
        <v>728</v>
      </c>
      <c r="B361" s="55" t="s">
        <v>116</v>
      </c>
      <c r="C361" s="56">
        <v>10</v>
      </c>
      <c r="D361" s="52">
        <v>2.2000000000000002</v>
      </c>
      <c r="E361" s="57" t="s">
        <v>96</v>
      </c>
      <c r="F361" s="52" t="s">
        <v>83</v>
      </c>
      <c r="G361" s="52" t="s">
        <v>4</v>
      </c>
    </row>
    <row r="362" spans="1:7">
      <c r="A362" s="54" t="s">
        <v>729</v>
      </c>
      <c r="B362" s="55" t="s">
        <v>116</v>
      </c>
      <c r="C362" s="56">
        <v>11</v>
      </c>
      <c r="D362" s="52">
        <v>4.2</v>
      </c>
      <c r="E362" s="57" t="s">
        <v>81</v>
      </c>
      <c r="F362" s="52" t="s">
        <v>95</v>
      </c>
      <c r="G362" s="52" t="s">
        <v>2</v>
      </c>
    </row>
    <row r="363" spans="1:7">
      <c r="A363" s="54" t="s">
        <v>730</v>
      </c>
      <c r="B363" s="55" t="s">
        <v>116</v>
      </c>
      <c r="C363" s="56">
        <v>12</v>
      </c>
      <c r="D363" s="52">
        <v>5.0999999999999996</v>
      </c>
      <c r="E363" s="57" t="s">
        <v>96</v>
      </c>
      <c r="F363" s="52" t="s">
        <v>97</v>
      </c>
      <c r="G363" s="52" t="s">
        <v>4</v>
      </c>
    </row>
    <row r="364" spans="1:7">
      <c r="A364" s="54" t="s">
        <v>731</v>
      </c>
      <c r="B364" s="55" t="s">
        <v>116</v>
      </c>
      <c r="C364" s="56">
        <v>13</v>
      </c>
      <c r="D364" s="52">
        <v>2.31</v>
      </c>
      <c r="E364" s="57" t="s">
        <v>81</v>
      </c>
      <c r="F364" s="52" t="s">
        <v>85</v>
      </c>
      <c r="G364" s="52" t="s">
        <v>1</v>
      </c>
    </row>
    <row r="365" spans="1:7">
      <c r="A365" s="54" t="s">
        <v>732</v>
      </c>
      <c r="B365" s="55" t="s">
        <v>116</v>
      </c>
      <c r="C365" s="56">
        <v>14</v>
      </c>
      <c r="D365" s="52">
        <v>5.3</v>
      </c>
      <c r="E365" s="57" t="s">
        <v>81</v>
      </c>
      <c r="F365" s="52" t="s">
        <v>99</v>
      </c>
      <c r="G365" s="52" t="s">
        <v>1</v>
      </c>
    </row>
    <row r="366" spans="1:7">
      <c r="A366" s="54" t="s">
        <v>733</v>
      </c>
      <c r="B366" s="55" t="s">
        <v>116</v>
      </c>
      <c r="C366" s="56">
        <v>15</v>
      </c>
      <c r="D366" s="52">
        <v>2.35</v>
      </c>
      <c r="E366" s="57" t="s">
        <v>81</v>
      </c>
      <c r="F366" s="52" t="s">
        <v>89</v>
      </c>
      <c r="G366" s="52" t="s">
        <v>2</v>
      </c>
    </row>
    <row r="367" spans="1:7">
      <c r="A367" s="54" t="s">
        <v>734</v>
      </c>
      <c r="B367" s="55" t="s">
        <v>116</v>
      </c>
      <c r="C367" s="56">
        <v>16</v>
      </c>
      <c r="D367" s="52">
        <v>5.3</v>
      </c>
      <c r="E367" s="57" t="s">
        <v>76</v>
      </c>
      <c r="F367" s="52" t="s">
        <v>99</v>
      </c>
      <c r="G367" s="52" t="s">
        <v>3</v>
      </c>
    </row>
    <row r="368" spans="1:7">
      <c r="A368" s="54" t="s">
        <v>735</v>
      </c>
      <c r="B368" s="55" t="s">
        <v>116</v>
      </c>
      <c r="C368" s="56">
        <v>17</v>
      </c>
      <c r="D368" s="52">
        <v>5.2</v>
      </c>
      <c r="E368" s="57" t="s">
        <v>81</v>
      </c>
      <c r="F368" s="52" t="s">
        <v>98</v>
      </c>
      <c r="G368" s="52" t="s">
        <v>0</v>
      </c>
    </row>
    <row r="369" spans="1:7">
      <c r="A369" s="54" t="s">
        <v>736</v>
      </c>
      <c r="B369" s="55" t="s">
        <v>116</v>
      </c>
      <c r="C369" s="56">
        <v>18</v>
      </c>
      <c r="D369" s="52">
        <v>4.2</v>
      </c>
      <c r="E369" s="57" t="s">
        <v>96</v>
      </c>
      <c r="F369" s="52" t="s">
        <v>95</v>
      </c>
      <c r="G369" s="52" t="s">
        <v>3</v>
      </c>
    </row>
    <row r="370" spans="1:7">
      <c r="A370" s="54" t="s">
        <v>737</v>
      </c>
      <c r="B370" s="55" t="s">
        <v>116</v>
      </c>
      <c r="C370" s="56">
        <v>19</v>
      </c>
      <c r="D370" s="52">
        <v>2.31</v>
      </c>
      <c r="E370" s="57" t="s">
        <v>93</v>
      </c>
      <c r="F370" s="52" t="s">
        <v>85</v>
      </c>
      <c r="G370" s="52" t="s">
        <v>0</v>
      </c>
    </row>
    <row r="371" spans="1:7">
      <c r="A371" s="54" t="s">
        <v>738</v>
      </c>
      <c r="B371" s="55" t="s">
        <v>116</v>
      </c>
      <c r="C371" s="56">
        <v>20</v>
      </c>
      <c r="D371" s="52">
        <v>1.3</v>
      </c>
      <c r="E371" s="57" t="s">
        <v>81</v>
      </c>
      <c r="F371" s="52" t="s">
        <v>79</v>
      </c>
      <c r="G371" s="52" t="s">
        <v>1</v>
      </c>
    </row>
    <row r="372" spans="1:7">
      <c r="A372" s="54" t="s">
        <v>739</v>
      </c>
      <c r="B372" s="55" t="s">
        <v>116</v>
      </c>
      <c r="C372" s="56">
        <v>21</v>
      </c>
      <c r="D372" s="52">
        <v>2.1</v>
      </c>
      <c r="E372" s="57" t="s">
        <v>28</v>
      </c>
      <c r="F372" s="52" t="s">
        <v>82</v>
      </c>
      <c r="G372" s="52" t="s">
        <v>4</v>
      </c>
    </row>
    <row r="373" spans="1:7">
      <c r="A373" s="54" t="s">
        <v>740</v>
      </c>
      <c r="B373" s="55" t="s">
        <v>116</v>
      </c>
      <c r="C373" s="56">
        <v>22</v>
      </c>
      <c r="D373" s="52">
        <v>2.31</v>
      </c>
      <c r="E373" s="57" t="s">
        <v>28</v>
      </c>
      <c r="F373" s="52" t="s">
        <v>85</v>
      </c>
      <c r="G373" s="52" t="s">
        <v>2</v>
      </c>
    </row>
    <row r="374" spans="1:7">
      <c r="A374" s="54" t="s">
        <v>741</v>
      </c>
      <c r="B374" s="55" t="s">
        <v>116</v>
      </c>
      <c r="C374" s="56">
        <v>23</v>
      </c>
      <c r="D374" s="52">
        <v>1.3</v>
      </c>
      <c r="E374" s="57" t="s">
        <v>76</v>
      </c>
      <c r="F374" s="52" t="s">
        <v>79</v>
      </c>
      <c r="G374" s="52" t="s">
        <v>3</v>
      </c>
    </row>
    <row r="375" spans="1:7">
      <c r="A375" s="54" t="s">
        <v>742</v>
      </c>
      <c r="B375" s="55" t="s">
        <v>116</v>
      </c>
      <c r="C375" s="56">
        <v>24</v>
      </c>
      <c r="D375" s="52">
        <v>2.35</v>
      </c>
      <c r="E375" s="57" t="s">
        <v>100</v>
      </c>
      <c r="F375" s="52" t="s">
        <v>89</v>
      </c>
      <c r="G375" s="52" t="s">
        <v>4</v>
      </c>
    </row>
    <row r="376" spans="1:7">
      <c r="A376" s="54" t="s">
        <v>743</v>
      </c>
      <c r="B376" s="55" t="s">
        <v>116</v>
      </c>
      <c r="C376" s="56">
        <v>25</v>
      </c>
      <c r="D376" s="52">
        <v>5.0999999999999996</v>
      </c>
      <c r="E376" s="57" t="s">
        <v>81</v>
      </c>
      <c r="F376" s="52" t="s">
        <v>97</v>
      </c>
      <c r="G376" s="52" t="s">
        <v>4</v>
      </c>
    </row>
    <row r="377" spans="1:7">
      <c r="A377" s="54" t="s">
        <v>744</v>
      </c>
      <c r="B377" s="55" t="s">
        <v>116</v>
      </c>
      <c r="C377" s="56">
        <v>26</v>
      </c>
      <c r="D377" s="52">
        <v>2.35</v>
      </c>
      <c r="E377" s="57" t="s">
        <v>81</v>
      </c>
      <c r="F377" s="52" t="s">
        <v>89</v>
      </c>
      <c r="G377" s="52" t="s">
        <v>0</v>
      </c>
    </row>
    <row r="378" spans="1:7">
      <c r="A378" s="54" t="s">
        <v>745</v>
      </c>
      <c r="B378" s="55" t="s">
        <v>116</v>
      </c>
      <c r="C378" s="56">
        <v>27</v>
      </c>
      <c r="D378" s="52">
        <v>2.3199999999999998</v>
      </c>
      <c r="E378" s="57" t="s">
        <v>93</v>
      </c>
      <c r="F378" s="52" t="s">
        <v>86</v>
      </c>
      <c r="G378" s="52" t="s">
        <v>1</v>
      </c>
    </row>
    <row r="379" spans="1:7">
      <c r="A379" s="54" t="s">
        <v>746</v>
      </c>
      <c r="B379" s="55" t="s">
        <v>116</v>
      </c>
      <c r="C379" s="56">
        <v>28</v>
      </c>
      <c r="D379" s="52">
        <v>2.3199999999999998</v>
      </c>
      <c r="E379" s="57" t="s">
        <v>96</v>
      </c>
      <c r="F379" s="52" t="s">
        <v>86</v>
      </c>
      <c r="G379" s="52" t="s">
        <v>3</v>
      </c>
    </row>
    <row r="380" spans="1:7">
      <c r="A380" s="54" t="s">
        <v>747</v>
      </c>
      <c r="B380" s="55" t="s">
        <v>116</v>
      </c>
      <c r="C380" s="56">
        <v>29</v>
      </c>
      <c r="D380" s="52">
        <v>2.31</v>
      </c>
      <c r="E380" s="57" t="s">
        <v>100</v>
      </c>
      <c r="F380" s="52" t="s">
        <v>85</v>
      </c>
      <c r="G380" s="52" t="s">
        <v>1</v>
      </c>
    </row>
    <row r="381" spans="1:7">
      <c r="A381" s="54" t="s">
        <v>748</v>
      </c>
      <c r="B381" s="55" t="s">
        <v>116</v>
      </c>
      <c r="C381" s="56">
        <v>30</v>
      </c>
      <c r="D381" s="52">
        <v>5.0999999999999996</v>
      </c>
      <c r="E381" s="57" t="s">
        <v>96</v>
      </c>
      <c r="F381" s="52" t="s">
        <v>97</v>
      </c>
      <c r="G381" s="52" t="s">
        <v>2</v>
      </c>
    </row>
    <row r="382" spans="1:7">
      <c r="A382" s="54" t="s">
        <v>749</v>
      </c>
      <c r="B382" s="55" t="s">
        <v>116</v>
      </c>
      <c r="C382" s="56">
        <v>31</v>
      </c>
      <c r="D382" s="52">
        <v>2.35</v>
      </c>
      <c r="E382" s="57" t="s">
        <v>96</v>
      </c>
      <c r="F382" s="52" t="s">
        <v>89</v>
      </c>
      <c r="G382" s="52" t="s">
        <v>2</v>
      </c>
    </row>
    <row r="383" spans="1:7">
      <c r="A383" s="54" t="s">
        <v>750</v>
      </c>
      <c r="B383" s="55" t="s">
        <v>116</v>
      </c>
      <c r="C383" s="56">
        <v>32</v>
      </c>
      <c r="D383" s="52">
        <v>3.2</v>
      </c>
      <c r="E383" s="57" t="s">
        <v>81</v>
      </c>
      <c r="F383" s="52" t="s">
        <v>91</v>
      </c>
      <c r="G383" s="52" t="s">
        <v>2</v>
      </c>
    </row>
    <row r="384" spans="1:7">
      <c r="A384" s="54" t="s">
        <v>751</v>
      </c>
      <c r="B384" s="55" t="s">
        <v>116</v>
      </c>
      <c r="C384" s="56">
        <v>33</v>
      </c>
      <c r="D384" s="52">
        <v>3.2</v>
      </c>
      <c r="E384" s="57" t="s">
        <v>81</v>
      </c>
      <c r="F384" s="52" t="s">
        <v>91</v>
      </c>
      <c r="G384" s="52" t="s">
        <v>3</v>
      </c>
    </row>
    <row r="385" spans="1:7">
      <c r="A385" s="54" t="s">
        <v>752</v>
      </c>
      <c r="B385" s="55" t="s">
        <v>116</v>
      </c>
      <c r="C385" s="56">
        <v>34</v>
      </c>
      <c r="D385" s="52">
        <v>2.2000000000000002</v>
      </c>
      <c r="E385" s="57" t="s">
        <v>96</v>
      </c>
      <c r="F385" s="52" t="s">
        <v>83</v>
      </c>
      <c r="G385" s="52" t="s">
        <v>0</v>
      </c>
    </row>
    <row r="386" spans="1:7">
      <c r="A386" s="54" t="s">
        <v>753</v>
      </c>
      <c r="B386" s="55" t="s">
        <v>116</v>
      </c>
      <c r="C386" s="56">
        <v>35</v>
      </c>
      <c r="D386" s="52">
        <v>4.0999999999999996</v>
      </c>
      <c r="E386" s="57" t="s">
        <v>81</v>
      </c>
      <c r="F386" s="52" t="s">
        <v>94</v>
      </c>
      <c r="G386" s="52" t="s">
        <v>2</v>
      </c>
    </row>
    <row r="387" spans="1:7">
      <c r="A387" s="54" t="s">
        <v>754</v>
      </c>
      <c r="B387" s="55" t="s">
        <v>116</v>
      </c>
      <c r="C387" s="56">
        <v>36</v>
      </c>
      <c r="D387" s="52">
        <v>4.0999999999999996</v>
      </c>
      <c r="E387" s="57" t="s">
        <v>76</v>
      </c>
      <c r="F387" s="52" t="s">
        <v>94</v>
      </c>
      <c r="G387" s="52" t="s">
        <v>4</v>
      </c>
    </row>
    <row r="388" spans="1:7">
      <c r="A388" s="54" t="s">
        <v>755</v>
      </c>
      <c r="B388" s="55" t="s">
        <v>116</v>
      </c>
      <c r="C388" s="56">
        <v>37</v>
      </c>
      <c r="D388" s="52">
        <v>2.1</v>
      </c>
      <c r="E388" s="57" t="s">
        <v>76</v>
      </c>
      <c r="F388" s="52" t="s">
        <v>82</v>
      </c>
      <c r="G388" s="52" t="s">
        <v>1</v>
      </c>
    </row>
    <row r="389" spans="1:7">
      <c r="A389" s="54" t="s">
        <v>756</v>
      </c>
      <c r="B389" s="55" t="s">
        <v>116</v>
      </c>
      <c r="C389" s="56">
        <v>38</v>
      </c>
      <c r="D389" s="52">
        <v>6.2</v>
      </c>
      <c r="E389" s="57" t="s">
        <v>28</v>
      </c>
      <c r="F389" s="52" t="s">
        <v>102</v>
      </c>
      <c r="G389" s="52" t="s">
        <v>2</v>
      </c>
    </row>
    <row r="390" spans="1:7">
      <c r="A390" s="54" t="s">
        <v>757</v>
      </c>
      <c r="B390" s="55" t="s">
        <v>116</v>
      </c>
      <c r="C390" s="56">
        <v>39</v>
      </c>
      <c r="D390" s="52">
        <v>2.35</v>
      </c>
      <c r="E390" s="57" t="s">
        <v>81</v>
      </c>
      <c r="F390" s="52" t="s">
        <v>89</v>
      </c>
      <c r="G390" s="52" t="s">
        <v>0</v>
      </c>
    </row>
    <row r="391" spans="1:7">
      <c r="A391" s="54" t="s">
        <v>758</v>
      </c>
      <c r="B391" s="55" t="s">
        <v>116</v>
      </c>
      <c r="C391" s="56">
        <v>40</v>
      </c>
      <c r="D391" s="52">
        <v>4.0999999999999996</v>
      </c>
      <c r="E391" s="57" t="s">
        <v>81</v>
      </c>
      <c r="F391" s="52" t="s">
        <v>94</v>
      </c>
      <c r="G391" s="52" t="s">
        <v>0</v>
      </c>
    </row>
    <row r="392" spans="1:7">
      <c r="A392" s="54" t="s">
        <v>759</v>
      </c>
      <c r="B392" s="55" t="s">
        <v>116</v>
      </c>
      <c r="C392" s="56">
        <v>41</v>
      </c>
      <c r="D392" s="52">
        <v>3.2</v>
      </c>
      <c r="E392" s="57" t="s">
        <v>81</v>
      </c>
      <c r="F392" s="52" t="s">
        <v>91</v>
      </c>
      <c r="G392" s="52" t="s">
        <v>3</v>
      </c>
    </row>
    <row r="393" spans="1:7">
      <c r="A393" s="54" t="s">
        <v>760</v>
      </c>
      <c r="B393" s="55" t="s">
        <v>116</v>
      </c>
      <c r="C393" s="56">
        <v>42</v>
      </c>
      <c r="D393" s="52">
        <v>2.2000000000000002</v>
      </c>
      <c r="E393" s="57" t="s">
        <v>81</v>
      </c>
      <c r="F393" s="52" t="s">
        <v>83</v>
      </c>
      <c r="G393" s="52" t="s">
        <v>1</v>
      </c>
    </row>
    <row r="394" spans="1:7">
      <c r="A394" s="54" t="s">
        <v>761</v>
      </c>
      <c r="B394" s="55" t="s">
        <v>116</v>
      </c>
      <c r="C394" s="56">
        <v>43</v>
      </c>
      <c r="D394" s="52">
        <v>6.1</v>
      </c>
      <c r="E394" s="57" t="s">
        <v>81</v>
      </c>
      <c r="F394" s="52" t="s">
        <v>101</v>
      </c>
      <c r="G394" s="52" t="s">
        <v>4</v>
      </c>
    </row>
    <row r="395" spans="1:7">
      <c r="A395" s="54" t="s">
        <v>762</v>
      </c>
      <c r="B395" s="55" t="s">
        <v>116</v>
      </c>
      <c r="C395" s="56">
        <v>44</v>
      </c>
      <c r="D395" s="52">
        <v>1.4</v>
      </c>
      <c r="E395" s="57" t="s">
        <v>81</v>
      </c>
      <c r="F395" s="52" t="s">
        <v>30</v>
      </c>
      <c r="G395" s="52" t="s">
        <v>4</v>
      </c>
    </row>
    <row r="396" spans="1:7">
      <c r="A396" s="54" t="s">
        <v>763</v>
      </c>
      <c r="B396" s="55" t="s">
        <v>116</v>
      </c>
      <c r="C396" s="56">
        <v>45</v>
      </c>
      <c r="D396" s="52">
        <v>2.34</v>
      </c>
      <c r="E396" s="57" t="s">
        <v>100</v>
      </c>
      <c r="F396" s="52" t="s">
        <v>88</v>
      </c>
      <c r="G396" s="52" t="s">
        <v>0</v>
      </c>
    </row>
    <row r="397" spans="1:7">
      <c r="A397" s="54" t="s">
        <v>764</v>
      </c>
      <c r="B397" s="55" t="s">
        <v>116</v>
      </c>
      <c r="C397" s="56">
        <v>46</v>
      </c>
      <c r="D397" s="52">
        <v>1.6</v>
      </c>
      <c r="E397" s="57" t="s">
        <v>81</v>
      </c>
      <c r="F397" s="52" t="s">
        <v>27</v>
      </c>
      <c r="G397" s="52" t="s">
        <v>4</v>
      </c>
    </row>
    <row r="398" spans="1:7">
      <c r="A398" s="54" t="s">
        <v>765</v>
      </c>
      <c r="B398" s="55" t="s">
        <v>116</v>
      </c>
      <c r="C398" s="56">
        <v>47</v>
      </c>
      <c r="D398" s="52">
        <v>3.2</v>
      </c>
      <c r="E398" s="57" t="s">
        <v>100</v>
      </c>
      <c r="F398" s="52" t="s">
        <v>91</v>
      </c>
      <c r="G398" s="52" t="s">
        <v>1</v>
      </c>
    </row>
    <row r="399" spans="1:7">
      <c r="A399" s="54" t="s">
        <v>766</v>
      </c>
      <c r="B399" s="55" t="s">
        <v>116</v>
      </c>
      <c r="C399" s="56">
        <v>48</v>
      </c>
      <c r="D399" s="52">
        <v>5.0999999999999996</v>
      </c>
      <c r="E399" s="57" t="s">
        <v>100</v>
      </c>
      <c r="F399" s="52" t="s">
        <v>97</v>
      </c>
      <c r="G399" s="52" t="s">
        <v>3</v>
      </c>
    </row>
    <row r="400" spans="1:7">
      <c r="A400" s="54" t="s">
        <v>767</v>
      </c>
      <c r="B400" s="55" t="s">
        <v>116</v>
      </c>
      <c r="C400" s="56">
        <v>49</v>
      </c>
      <c r="D400" s="52">
        <v>2.34</v>
      </c>
      <c r="E400" s="57" t="s">
        <v>28</v>
      </c>
      <c r="F400" s="52" t="s">
        <v>88</v>
      </c>
      <c r="G400" s="52" t="s">
        <v>2</v>
      </c>
    </row>
    <row r="401" spans="1:7">
      <c r="A401" s="54" t="s">
        <v>768</v>
      </c>
      <c r="B401" s="55" t="s">
        <v>116</v>
      </c>
      <c r="C401" s="56">
        <v>50</v>
      </c>
      <c r="D401" s="52">
        <v>4.2</v>
      </c>
      <c r="E401" s="57" t="s">
        <v>81</v>
      </c>
      <c r="F401" s="52" t="s">
        <v>95</v>
      </c>
      <c r="G401" s="52" t="s">
        <v>1</v>
      </c>
    </row>
    <row r="402" spans="1:7">
      <c r="A402" s="54" t="s">
        <v>769</v>
      </c>
      <c r="B402" s="55" t="s">
        <v>117</v>
      </c>
      <c r="C402" s="56">
        <v>1</v>
      </c>
      <c r="D402" s="52">
        <v>2.1</v>
      </c>
      <c r="E402" s="57" t="s">
        <v>81</v>
      </c>
      <c r="F402" s="52" t="s">
        <v>82</v>
      </c>
      <c r="G402" s="52" t="s">
        <v>2</v>
      </c>
    </row>
    <row r="403" spans="1:7">
      <c r="A403" s="54" t="s">
        <v>770</v>
      </c>
      <c r="B403" s="55" t="s">
        <v>117</v>
      </c>
      <c r="C403" s="56">
        <v>2</v>
      </c>
      <c r="D403" s="52">
        <v>2.35</v>
      </c>
      <c r="E403" s="57" t="s">
        <v>81</v>
      </c>
      <c r="F403" s="52" t="s">
        <v>89</v>
      </c>
      <c r="G403" s="52" t="s">
        <v>4</v>
      </c>
    </row>
    <row r="404" spans="1:7">
      <c r="A404" s="54" t="s">
        <v>771</v>
      </c>
      <c r="B404" s="55" t="s">
        <v>117</v>
      </c>
      <c r="C404" s="56">
        <v>3</v>
      </c>
      <c r="D404" s="52">
        <v>2.1</v>
      </c>
      <c r="E404" s="57" t="s">
        <v>81</v>
      </c>
      <c r="F404" s="52" t="s">
        <v>82</v>
      </c>
      <c r="G404" s="52" t="s">
        <v>4</v>
      </c>
    </row>
    <row r="405" spans="1:7">
      <c r="A405" s="54" t="s">
        <v>772</v>
      </c>
      <c r="B405" s="55" t="s">
        <v>117</v>
      </c>
      <c r="C405" s="56">
        <v>4</v>
      </c>
      <c r="D405" s="52">
        <v>5.3</v>
      </c>
      <c r="E405" s="57" t="s">
        <v>81</v>
      </c>
      <c r="F405" s="52" t="s">
        <v>99</v>
      </c>
      <c r="G405" s="52" t="s">
        <v>3</v>
      </c>
    </row>
    <row r="406" spans="1:7">
      <c r="A406" s="54" t="s">
        <v>773</v>
      </c>
      <c r="B406" s="55" t="s">
        <v>117</v>
      </c>
      <c r="C406" s="56">
        <v>5</v>
      </c>
      <c r="D406" s="52">
        <v>2.35</v>
      </c>
      <c r="E406" s="57" t="s">
        <v>100</v>
      </c>
      <c r="F406" s="52" t="s">
        <v>89</v>
      </c>
      <c r="G406" s="52" t="s">
        <v>2</v>
      </c>
    </row>
    <row r="407" spans="1:7">
      <c r="A407" s="54" t="s">
        <v>774</v>
      </c>
      <c r="B407" s="55" t="s">
        <v>117</v>
      </c>
      <c r="C407" s="56">
        <v>6</v>
      </c>
      <c r="D407" s="52">
        <v>3.2</v>
      </c>
      <c r="E407" s="57" t="s">
        <v>81</v>
      </c>
      <c r="F407" s="52" t="s">
        <v>91</v>
      </c>
      <c r="G407" s="52" t="s">
        <v>3</v>
      </c>
    </row>
    <row r="408" spans="1:7">
      <c r="A408" s="54" t="s">
        <v>775</v>
      </c>
      <c r="B408" s="55" t="s">
        <v>117</v>
      </c>
      <c r="C408" s="56">
        <v>7</v>
      </c>
      <c r="D408" s="52">
        <v>2.1</v>
      </c>
      <c r="E408" s="57" t="s">
        <v>81</v>
      </c>
      <c r="F408" s="52" t="s">
        <v>82</v>
      </c>
      <c r="G408" s="52" t="s">
        <v>2</v>
      </c>
    </row>
    <row r="409" spans="1:7">
      <c r="A409" s="54" t="s">
        <v>776</v>
      </c>
      <c r="B409" s="55" t="s">
        <v>117</v>
      </c>
      <c r="C409" s="56">
        <v>8</v>
      </c>
      <c r="D409" s="52">
        <v>5.2</v>
      </c>
      <c r="E409" s="57" t="s">
        <v>76</v>
      </c>
      <c r="F409" s="52" t="s">
        <v>98</v>
      </c>
      <c r="G409" s="52" t="s">
        <v>1</v>
      </c>
    </row>
    <row r="410" spans="1:7">
      <c r="A410" s="54" t="s">
        <v>777</v>
      </c>
      <c r="B410" s="55" t="s">
        <v>117</v>
      </c>
      <c r="C410" s="56">
        <v>9</v>
      </c>
      <c r="D410" s="52">
        <v>1.1000000000000001</v>
      </c>
      <c r="E410" s="57" t="s">
        <v>81</v>
      </c>
      <c r="F410" s="52" t="s">
        <v>77</v>
      </c>
      <c r="G410" s="52" t="s">
        <v>3</v>
      </c>
    </row>
    <row r="411" spans="1:7">
      <c r="A411" s="54" t="s">
        <v>778</v>
      </c>
      <c r="B411" s="55" t="s">
        <v>117</v>
      </c>
      <c r="C411" s="56">
        <v>10</v>
      </c>
      <c r="D411" s="52">
        <v>5.0999999999999996</v>
      </c>
      <c r="E411" s="57" t="s">
        <v>81</v>
      </c>
      <c r="F411" s="52" t="s">
        <v>97</v>
      </c>
      <c r="G411" s="52" t="s">
        <v>4</v>
      </c>
    </row>
    <row r="412" spans="1:7">
      <c r="A412" s="54" t="s">
        <v>779</v>
      </c>
      <c r="B412" s="55" t="s">
        <v>117</v>
      </c>
      <c r="C412" s="56">
        <v>11</v>
      </c>
      <c r="D412" s="52">
        <v>2.2000000000000002</v>
      </c>
      <c r="E412" s="57" t="s">
        <v>81</v>
      </c>
      <c r="F412" s="52" t="s">
        <v>83</v>
      </c>
      <c r="G412" s="52" t="s">
        <v>0</v>
      </c>
    </row>
    <row r="413" spans="1:7">
      <c r="A413" s="54" t="s">
        <v>780</v>
      </c>
      <c r="B413" s="55" t="s">
        <v>117</v>
      </c>
      <c r="C413" s="56">
        <v>12</v>
      </c>
      <c r="D413" s="52">
        <v>5.2</v>
      </c>
      <c r="E413" s="57" t="s">
        <v>81</v>
      </c>
      <c r="F413" s="52" t="s">
        <v>98</v>
      </c>
      <c r="G413" s="52" t="s">
        <v>0</v>
      </c>
    </row>
    <row r="414" spans="1:7">
      <c r="A414" s="54" t="s">
        <v>781</v>
      </c>
      <c r="B414" s="55" t="s">
        <v>117</v>
      </c>
      <c r="C414" s="56">
        <v>13</v>
      </c>
      <c r="D414" s="52">
        <v>2.31</v>
      </c>
      <c r="E414" s="57" t="s">
        <v>81</v>
      </c>
      <c r="F414" s="52" t="s">
        <v>85</v>
      </c>
      <c r="G414" s="52" t="s">
        <v>4</v>
      </c>
    </row>
    <row r="415" spans="1:7">
      <c r="A415" s="54" t="s">
        <v>782</v>
      </c>
      <c r="B415" s="55" t="s">
        <v>117</v>
      </c>
      <c r="C415" s="56">
        <v>14</v>
      </c>
      <c r="D415" s="52">
        <v>3.1</v>
      </c>
      <c r="E415" s="57" t="s">
        <v>81</v>
      </c>
      <c r="F415" s="52" t="s">
        <v>90</v>
      </c>
      <c r="G415" s="52" t="s">
        <v>0</v>
      </c>
    </row>
    <row r="416" spans="1:7">
      <c r="A416" s="54" t="s">
        <v>783</v>
      </c>
      <c r="B416" s="55" t="s">
        <v>117</v>
      </c>
      <c r="C416" s="56">
        <v>15</v>
      </c>
      <c r="D416" s="52">
        <v>2.1</v>
      </c>
      <c r="E416" s="57" t="s">
        <v>81</v>
      </c>
      <c r="F416" s="52" t="s">
        <v>82</v>
      </c>
      <c r="G416" s="52" t="s">
        <v>3</v>
      </c>
    </row>
    <row r="417" spans="1:7">
      <c r="A417" s="54" t="s">
        <v>784</v>
      </c>
      <c r="B417" s="55" t="s">
        <v>117</v>
      </c>
      <c r="C417" s="56">
        <v>16</v>
      </c>
      <c r="D417" s="52">
        <v>1.6</v>
      </c>
      <c r="E417" s="57" t="s">
        <v>81</v>
      </c>
      <c r="F417" s="52" t="s">
        <v>27</v>
      </c>
      <c r="G417" s="52" t="s">
        <v>1</v>
      </c>
    </row>
    <row r="418" spans="1:7">
      <c r="A418" s="54" t="s">
        <v>785</v>
      </c>
      <c r="B418" s="55" t="s">
        <v>117</v>
      </c>
      <c r="C418" s="56">
        <v>17</v>
      </c>
      <c r="D418" s="52">
        <v>2.3199999999999998</v>
      </c>
      <c r="E418" s="57" t="s">
        <v>81</v>
      </c>
      <c r="F418" s="52" t="s">
        <v>86</v>
      </c>
      <c r="G418" s="52" t="s">
        <v>0</v>
      </c>
    </row>
    <row r="419" spans="1:7">
      <c r="A419" s="54" t="s">
        <v>786</v>
      </c>
      <c r="B419" s="55" t="s">
        <v>117</v>
      </c>
      <c r="C419" s="56">
        <v>18</v>
      </c>
      <c r="D419" s="52">
        <v>5.0999999999999996</v>
      </c>
      <c r="E419" s="57" t="s">
        <v>93</v>
      </c>
      <c r="F419" s="52" t="s">
        <v>97</v>
      </c>
      <c r="G419" s="52" t="s">
        <v>4</v>
      </c>
    </row>
    <row r="420" spans="1:7">
      <c r="A420" s="54" t="s">
        <v>787</v>
      </c>
      <c r="B420" s="55" t="s">
        <v>117</v>
      </c>
      <c r="C420" s="56">
        <v>19</v>
      </c>
      <c r="D420" s="52">
        <v>4.0999999999999996</v>
      </c>
      <c r="E420" s="57" t="s">
        <v>81</v>
      </c>
      <c r="F420" s="52" t="s">
        <v>94</v>
      </c>
      <c r="G420" s="52" t="s">
        <v>3</v>
      </c>
    </row>
    <row r="421" spans="1:7">
      <c r="A421" s="54" t="s">
        <v>788</v>
      </c>
      <c r="B421" s="55" t="s">
        <v>117</v>
      </c>
      <c r="C421" s="56">
        <v>20</v>
      </c>
      <c r="D421" s="52">
        <v>2.35</v>
      </c>
      <c r="E421" s="57" t="s">
        <v>81</v>
      </c>
      <c r="F421" s="52" t="s">
        <v>89</v>
      </c>
      <c r="G421" s="52" t="s">
        <v>2</v>
      </c>
    </row>
    <row r="422" spans="1:7">
      <c r="A422" s="54" t="s">
        <v>789</v>
      </c>
      <c r="B422" s="55" t="s">
        <v>117</v>
      </c>
      <c r="C422" s="56">
        <v>21</v>
      </c>
      <c r="D422" s="52">
        <v>3.2</v>
      </c>
      <c r="E422" s="57" t="s">
        <v>93</v>
      </c>
      <c r="F422" s="52" t="s">
        <v>91</v>
      </c>
      <c r="G422" s="52" t="s">
        <v>1</v>
      </c>
    </row>
    <row r="423" spans="1:7">
      <c r="A423" s="54" t="s">
        <v>790</v>
      </c>
      <c r="B423" s="55" t="s">
        <v>117</v>
      </c>
      <c r="C423" s="56">
        <v>22</v>
      </c>
      <c r="D423" s="52">
        <v>3.2</v>
      </c>
      <c r="E423" s="57" t="s">
        <v>81</v>
      </c>
      <c r="F423" s="52" t="s">
        <v>91</v>
      </c>
      <c r="G423" s="52" t="s">
        <v>1</v>
      </c>
    </row>
    <row r="424" spans="1:7">
      <c r="A424" s="54" t="s">
        <v>791</v>
      </c>
      <c r="B424" s="55" t="s">
        <v>117</v>
      </c>
      <c r="C424" s="56">
        <v>23</v>
      </c>
      <c r="D424" s="52">
        <v>1.4</v>
      </c>
      <c r="E424" s="57" t="s">
        <v>93</v>
      </c>
      <c r="F424" s="52" t="s">
        <v>30</v>
      </c>
      <c r="G424" s="52" t="s">
        <v>0</v>
      </c>
    </row>
    <row r="425" spans="1:7">
      <c r="A425" s="54" t="s">
        <v>792</v>
      </c>
      <c r="B425" s="55" t="s">
        <v>117</v>
      </c>
      <c r="C425" s="56">
        <v>24</v>
      </c>
      <c r="D425" s="52">
        <v>6.3</v>
      </c>
      <c r="E425" s="57" t="s">
        <v>100</v>
      </c>
      <c r="F425" s="52" t="s">
        <v>103</v>
      </c>
      <c r="G425" s="52" t="s">
        <v>2</v>
      </c>
    </row>
    <row r="426" spans="1:7">
      <c r="A426" s="54" t="s">
        <v>793</v>
      </c>
      <c r="B426" s="55" t="s">
        <v>117</v>
      </c>
      <c r="C426" s="56">
        <v>25</v>
      </c>
      <c r="D426" s="52">
        <v>2.1</v>
      </c>
      <c r="E426" s="57" t="s">
        <v>76</v>
      </c>
      <c r="F426" s="52" t="s">
        <v>82</v>
      </c>
      <c r="G426" s="52" t="s">
        <v>2</v>
      </c>
    </row>
    <row r="427" spans="1:7">
      <c r="A427" s="54" t="s">
        <v>794</v>
      </c>
      <c r="B427" s="55" t="s">
        <v>117</v>
      </c>
      <c r="C427" s="56">
        <v>26</v>
      </c>
      <c r="D427" s="52">
        <v>2.31</v>
      </c>
      <c r="E427" s="57" t="s">
        <v>96</v>
      </c>
      <c r="F427" s="52" t="s">
        <v>85</v>
      </c>
      <c r="G427" s="52" t="s">
        <v>4</v>
      </c>
    </row>
    <row r="428" spans="1:7">
      <c r="A428" s="54" t="s">
        <v>795</v>
      </c>
      <c r="B428" s="55" t="s">
        <v>117</v>
      </c>
      <c r="C428" s="56">
        <v>27</v>
      </c>
      <c r="D428" s="52">
        <v>4.2</v>
      </c>
      <c r="E428" s="57" t="s">
        <v>81</v>
      </c>
      <c r="F428" s="52" t="s">
        <v>95</v>
      </c>
      <c r="G428" s="52" t="s">
        <v>0</v>
      </c>
    </row>
    <row r="429" spans="1:7">
      <c r="A429" s="54" t="s">
        <v>796</v>
      </c>
      <c r="B429" s="55" t="s">
        <v>117</v>
      </c>
      <c r="C429" s="56">
        <v>28</v>
      </c>
      <c r="D429" s="52">
        <v>5.2</v>
      </c>
      <c r="E429" s="57" t="s">
        <v>96</v>
      </c>
      <c r="F429" s="52" t="s">
        <v>98</v>
      </c>
      <c r="G429" s="52" t="s">
        <v>2</v>
      </c>
    </row>
    <row r="430" spans="1:7">
      <c r="A430" s="54" t="s">
        <v>797</v>
      </c>
      <c r="B430" s="55" t="s">
        <v>117</v>
      </c>
      <c r="C430" s="56">
        <v>29</v>
      </c>
      <c r="D430" s="52">
        <v>6.1</v>
      </c>
      <c r="E430" s="57" t="s">
        <v>28</v>
      </c>
      <c r="F430" s="52" t="s">
        <v>101</v>
      </c>
      <c r="G430" s="52" t="s">
        <v>4</v>
      </c>
    </row>
    <row r="431" spans="1:7">
      <c r="A431" s="54" t="s">
        <v>798</v>
      </c>
      <c r="B431" s="55" t="s">
        <v>117</v>
      </c>
      <c r="C431" s="56">
        <v>30</v>
      </c>
      <c r="D431" s="52">
        <v>5.0999999999999996</v>
      </c>
      <c r="E431" s="57" t="s">
        <v>81</v>
      </c>
      <c r="F431" s="52" t="s">
        <v>97</v>
      </c>
      <c r="G431" s="52" t="s">
        <v>3</v>
      </c>
    </row>
    <row r="432" spans="1:7">
      <c r="A432" s="54" t="s">
        <v>799</v>
      </c>
      <c r="B432" s="55" t="s">
        <v>117</v>
      </c>
      <c r="C432" s="56">
        <v>31</v>
      </c>
      <c r="D432" s="52">
        <v>5.2</v>
      </c>
      <c r="E432" s="57" t="s">
        <v>81</v>
      </c>
      <c r="F432" s="52" t="s">
        <v>98</v>
      </c>
      <c r="G432" s="52" t="s">
        <v>0</v>
      </c>
    </row>
    <row r="433" spans="1:7">
      <c r="A433" s="54" t="s">
        <v>800</v>
      </c>
      <c r="B433" s="55" t="s">
        <v>117</v>
      </c>
      <c r="C433" s="56">
        <v>32</v>
      </c>
      <c r="D433" s="52">
        <v>2.35</v>
      </c>
      <c r="E433" s="57" t="s">
        <v>81</v>
      </c>
      <c r="F433" s="52" t="s">
        <v>89</v>
      </c>
      <c r="G433" s="52" t="s">
        <v>1</v>
      </c>
    </row>
    <row r="434" spans="1:7">
      <c r="A434" s="54" t="s">
        <v>801</v>
      </c>
      <c r="B434" s="55" t="s">
        <v>117</v>
      </c>
      <c r="C434" s="56">
        <v>33</v>
      </c>
      <c r="D434" s="52">
        <v>2.35</v>
      </c>
      <c r="E434" s="57" t="s">
        <v>93</v>
      </c>
      <c r="F434" s="52" t="s">
        <v>89</v>
      </c>
      <c r="G434" s="52" t="s">
        <v>1</v>
      </c>
    </row>
    <row r="435" spans="1:7">
      <c r="A435" s="54" t="s">
        <v>802</v>
      </c>
      <c r="B435" s="55" t="s">
        <v>117</v>
      </c>
      <c r="C435" s="56">
        <v>34</v>
      </c>
      <c r="D435" s="52">
        <v>5.0999999999999996</v>
      </c>
      <c r="E435" s="57" t="s">
        <v>81</v>
      </c>
      <c r="F435" s="52" t="s">
        <v>97</v>
      </c>
      <c r="G435" s="52" t="s">
        <v>2</v>
      </c>
    </row>
    <row r="436" spans="1:7">
      <c r="A436" s="54" t="s">
        <v>803</v>
      </c>
      <c r="B436" s="55" t="s">
        <v>117</v>
      </c>
      <c r="C436" s="56">
        <v>35</v>
      </c>
      <c r="D436" s="52">
        <v>2.1</v>
      </c>
      <c r="E436" s="57" t="s">
        <v>81</v>
      </c>
      <c r="F436" s="52" t="s">
        <v>82</v>
      </c>
      <c r="G436" s="52" t="s">
        <v>4</v>
      </c>
    </row>
    <row r="437" spans="1:7">
      <c r="A437" s="54" t="s">
        <v>804</v>
      </c>
      <c r="B437" s="55" t="s">
        <v>117</v>
      </c>
      <c r="C437" s="56">
        <v>36</v>
      </c>
      <c r="D437" s="52">
        <v>1.3</v>
      </c>
      <c r="E437" s="57" t="s">
        <v>81</v>
      </c>
      <c r="F437" s="52" t="s">
        <v>79</v>
      </c>
      <c r="G437" s="52" t="s">
        <v>0</v>
      </c>
    </row>
    <row r="438" spans="1:7">
      <c r="A438" s="54" t="s">
        <v>805</v>
      </c>
      <c r="B438" s="55" t="s">
        <v>117</v>
      </c>
      <c r="C438" s="56">
        <v>37</v>
      </c>
      <c r="D438" s="52">
        <v>6.2</v>
      </c>
      <c r="E438" s="57" t="s">
        <v>28</v>
      </c>
      <c r="F438" s="52" t="s">
        <v>102</v>
      </c>
      <c r="G438" s="52" t="s">
        <v>2</v>
      </c>
    </row>
    <row r="439" spans="1:7">
      <c r="A439" s="54" t="s">
        <v>806</v>
      </c>
      <c r="B439" s="55" t="s">
        <v>117</v>
      </c>
      <c r="C439" s="56">
        <v>38</v>
      </c>
      <c r="D439" s="52">
        <v>3.4</v>
      </c>
      <c r="E439" s="57" t="s">
        <v>81</v>
      </c>
      <c r="F439" s="52" t="s">
        <v>29</v>
      </c>
      <c r="G439" s="52" t="s">
        <v>1</v>
      </c>
    </row>
    <row r="440" spans="1:7">
      <c r="A440" s="54" t="s">
        <v>807</v>
      </c>
      <c r="B440" s="55" t="s">
        <v>117</v>
      </c>
      <c r="C440" s="56">
        <v>39</v>
      </c>
      <c r="D440" s="52">
        <v>2.35</v>
      </c>
      <c r="E440" s="57" t="s">
        <v>81</v>
      </c>
      <c r="F440" s="52" t="s">
        <v>89</v>
      </c>
      <c r="G440" s="52" t="s">
        <v>4</v>
      </c>
    </row>
    <row r="441" spans="1:7">
      <c r="A441" s="54" t="s">
        <v>808</v>
      </c>
      <c r="B441" s="55" t="s">
        <v>117</v>
      </c>
      <c r="C441" s="56">
        <v>40</v>
      </c>
      <c r="D441" s="52">
        <v>2.1</v>
      </c>
      <c r="E441" s="57" t="s">
        <v>76</v>
      </c>
      <c r="F441" s="52" t="s">
        <v>82</v>
      </c>
      <c r="G441" s="52" t="s">
        <v>2</v>
      </c>
    </row>
    <row r="442" spans="1:7">
      <c r="A442" s="54" t="s">
        <v>809</v>
      </c>
      <c r="B442" s="55" t="s">
        <v>117</v>
      </c>
      <c r="C442" s="56">
        <v>41</v>
      </c>
      <c r="D442" s="52">
        <v>2.31</v>
      </c>
      <c r="E442" s="57" t="s">
        <v>81</v>
      </c>
      <c r="F442" s="52" t="s">
        <v>85</v>
      </c>
      <c r="G442" s="52" t="s">
        <v>4</v>
      </c>
    </row>
    <row r="443" spans="1:7">
      <c r="A443" s="54" t="s">
        <v>810</v>
      </c>
      <c r="B443" s="55" t="s">
        <v>117</v>
      </c>
      <c r="C443" s="56">
        <v>42</v>
      </c>
      <c r="D443" s="52">
        <v>2.31</v>
      </c>
      <c r="E443" s="57" t="s">
        <v>76</v>
      </c>
      <c r="F443" s="52" t="s">
        <v>85</v>
      </c>
      <c r="G443" s="52" t="s">
        <v>3</v>
      </c>
    </row>
    <row r="444" spans="1:7">
      <c r="A444" s="54" t="s">
        <v>811</v>
      </c>
      <c r="B444" s="55" t="s">
        <v>117</v>
      </c>
      <c r="C444" s="56">
        <v>43</v>
      </c>
      <c r="D444" s="52">
        <v>2.1</v>
      </c>
      <c r="E444" s="57" t="s">
        <v>76</v>
      </c>
      <c r="F444" s="52" t="s">
        <v>82</v>
      </c>
      <c r="G444" s="52" t="s">
        <v>4</v>
      </c>
    </row>
    <row r="445" spans="1:7">
      <c r="A445" s="54" t="s">
        <v>812</v>
      </c>
      <c r="B445" s="55" t="s">
        <v>117</v>
      </c>
      <c r="C445" s="56">
        <v>44</v>
      </c>
      <c r="D445" s="52">
        <v>2.34</v>
      </c>
      <c r="E445" s="57" t="s">
        <v>100</v>
      </c>
      <c r="F445" s="52" t="s">
        <v>88</v>
      </c>
      <c r="G445" s="52" t="s">
        <v>1</v>
      </c>
    </row>
    <row r="446" spans="1:7">
      <c r="A446" s="54" t="s">
        <v>813</v>
      </c>
      <c r="B446" s="55" t="s">
        <v>117</v>
      </c>
      <c r="C446" s="56">
        <v>45</v>
      </c>
      <c r="D446" s="52">
        <v>6.3</v>
      </c>
      <c r="E446" s="57" t="s">
        <v>100</v>
      </c>
      <c r="F446" s="52" t="s">
        <v>103</v>
      </c>
      <c r="G446" s="52" t="s">
        <v>2</v>
      </c>
    </row>
    <row r="447" spans="1:7">
      <c r="A447" s="54" t="s">
        <v>814</v>
      </c>
      <c r="B447" s="55" t="s">
        <v>117</v>
      </c>
      <c r="C447" s="56">
        <v>46</v>
      </c>
      <c r="D447" s="52">
        <v>2.2000000000000002</v>
      </c>
      <c r="E447" s="57" t="s">
        <v>100</v>
      </c>
      <c r="F447" s="52" t="s">
        <v>83</v>
      </c>
      <c r="G447" s="52" t="s">
        <v>0</v>
      </c>
    </row>
    <row r="448" spans="1:7">
      <c r="A448" s="54" t="s">
        <v>815</v>
      </c>
      <c r="B448" s="55" t="s">
        <v>117</v>
      </c>
      <c r="C448" s="56">
        <v>47</v>
      </c>
      <c r="D448" s="52">
        <v>6.3</v>
      </c>
      <c r="E448" s="57" t="s">
        <v>100</v>
      </c>
      <c r="F448" s="52" t="s">
        <v>103</v>
      </c>
      <c r="G448" s="52" t="s">
        <v>3</v>
      </c>
    </row>
    <row r="449" spans="1:7">
      <c r="A449" s="54" t="s">
        <v>816</v>
      </c>
      <c r="B449" s="55" t="s">
        <v>117</v>
      </c>
      <c r="C449" s="56">
        <v>48</v>
      </c>
      <c r="D449" s="52">
        <v>6.3</v>
      </c>
      <c r="E449" s="57" t="s">
        <v>81</v>
      </c>
      <c r="F449" s="52" t="s">
        <v>103</v>
      </c>
      <c r="G449" s="52" t="s">
        <v>1</v>
      </c>
    </row>
    <row r="450" spans="1:7">
      <c r="A450" s="54" t="s">
        <v>817</v>
      </c>
      <c r="B450" s="55" t="s">
        <v>117</v>
      </c>
      <c r="C450" s="56">
        <v>49</v>
      </c>
      <c r="D450" s="52">
        <v>3.2</v>
      </c>
      <c r="E450" s="57" t="s">
        <v>100</v>
      </c>
      <c r="F450" s="52" t="s">
        <v>91</v>
      </c>
      <c r="G450" s="52" t="s">
        <v>4</v>
      </c>
    </row>
    <row r="451" spans="1:7">
      <c r="A451" s="54" t="s">
        <v>818</v>
      </c>
      <c r="B451" s="55" t="s">
        <v>117</v>
      </c>
      <c r="C451" s="56">
        <v>50</v>
      </c>
      <c r="D451" s="52">
        <v>2.34</v>
      </c>
      <c r="E451" s="57" t="s">
        <v>93</v>
      </c>
      <c r="F451" s="52" t="s">
        <v>88</v>
      </c>
      <c r="G451" s="52" t="s">
        <v>4</v>
      </c>
    </row>
    <row r="452" spans="1:7">
      <c r="A452" s="54" t="s">
        <v>819</v>
      </c>
      <c r="B452" s="55" t="s">
        <v>118</v>
      </c>
      <c r="C452" s="56">
        <v>1</v>
      </c>
      <c r="D452" s="52">
        <v>1.1000000000000001</v>
      </c>
      <c r="E452" s="57" t="s">
        <v>81</v>
      </c>
      <c r="F452" s="52" t="s">
        <v>77</v>
      </c>
      <c r="G452" s="52" t="s">
        <v>3</v>
      </c>
    </row>
    <row r="453" spans="1:7">
      <c r="A453" s="54" t="s">
        <v>820</v>
      </c>
      <c r="B453" s="55" t="s">
        <v>118</v>
      </c>
      <c r="C453" s="56">
        <v>2</v>
      </c>
      <c r="D453" s="52">
        <v>1.1000000000000001</v>
      </c>
      <c r="E453" s="57" t="s">
        <v>81</v>
      </c>
      <c r="F453" s="52" t="s">
        <v>77</v>
      </c>
      <c r="G453" s="52" t="s">
        <v>4</v>
      </c>
    </row>
    <row r="454" spans="1:7">
      <c r="A454" s="54" t="s">
        <v>821</v>
      </c>
      <c r="B454" s="55" t="s">
        <v>118</v>
      </c>
      <c r="C454" s="56">
        <v>3</v>
      </c>
      <c r="D454" s="52">
        <v>2.1</v>
      </c>
      <c r="E454" s="57" t="s">
        <v>81</v>
      </c>
      <c r="F454" s="52" t="s">
        <v>82</v>
      </c>
      <c r="G454" s="52" t="s">
        <v>3</v>
      </c>
    </row>
    <row r="455" spans="1:7">
      <c r="A455" s="54" t="s">
        <v>822</v>
      </c>
      <c r="B455" s="55" t="s">
        <v>118</v>
      </c>
      <c r="C455" s="56">
        <v>4</v>
      </c>
      <c r="D455" s="52">
        <v>1.1000000000000001</v>
      </c>
      <c r="E455" s="57" t="s">
        <v>81</v>
      </c>
      <c r="F455" s="52" t="s">
        <v>77</v>
      </c>
      <c r="G455" s="52" t="s">
        <v>1</v>
      </c>
    </row>
    <row r="456" spans="1:7">
      <c r="A456" s="54" t="s">
        <v>823</v>
      </c>
      <c r="B456" s="55" t="s">
        <v>118</v>
      </c>
      <c r="C456" s="56">
        <v>5</v>
      </c>
      <c r="D456" s="52">
        <v>6.1</v>
      </c>
      <c r="E456" s="57" t="s">
        <v>81</v>
      </c>
      <c r="F456" s="52" t="s">
        <v>101</v>
      </c>
      <c r="G456" s="52" t="s">
        <v>1</v>
      </c>
    </row>
    <row r="457" spans="1:7">
      <c r="A457" s="54" t="s">
        <v>824</v>
      </c>
      <c r="B457" s="55" t="s">
        <v>118</v>
      </c>
      <c r="C457" s="56">
        <v>6</v>
      </c>
      <c r="D457" s="52">
        <v>2.1</v>
      </c>
      <c r="E457" s="57" t="s">
        <v>81</v>
      </c>
      <c r="F457" s="52" t="s">
        <v>82</v>
      </c>
      <c r="G457" s="52" t="s">
        <v>2</v>
      </c>
    </row>
    <row r="458" spans="1:7">
      <c r="A458" s="54" t="s">
        <v>825</v>
      </c>
      <c r="B458" s="55" t="s">
        <v>118</v>
      </c>
      <c r="C458" s="56">
        <v>7</v>
      </c>
      <c r="D458" s="52">
        <v>1.1000000000000001</v>
      </c>
      <c r="E458" s="57" t="s">
        <v>96</v>
      </c>
      <c r="F458" s="52" t="s">
        <v>77</v>
      </c>
      <c r="G458" s="52" t="s">
        <v>1</v>
      </c>
    </row>
    <row r="459" spans="1:7">
      <c r="A459" s="54" t="s">
        <v>826</v>
      </c>
      <c r="B459" s="55" t="s">
        <v>118</v>
      </c>
      <c r="C459" s="56">
        <v>8</v>
      </c>
      <c r="D459" s="52">
        <v>1.1000000000000001</v>
      </c>
      <c r="E459" s="57" t="s">
        <v>93</v>
      </c>
      <c r="F459" s="52" t="s">
        <v>77</v>
      </c>
      <c r="G459" s="52" t="s">
        <v>2</v>
      </c>
    </row>
    <row r="460" spans="1:7">
      <c r="A460" s="54" t="s">
        <v>827</v>
      </c>
      <c r="B460" s="55" t="s">
        <v>118</v>
      </c>
      <c r="C460" s="56">
        <v>9</v>
      </c>
      <c r="D460" s="52">
        <v>1.1000000000000001</v>
      </c>
      <c r="E460" s="57" t="s">
        <v>76</v>
      </c>
      <c r="F460" s="52" t="s">
        <v>77</v>
      </c>
      <c r="G460" s="52" t="s">
        <v>1</v>
      </c>
    </row>
    <row r="461" spans="1:7">
      <c r="A461" s="54" t="s">
        <v>828</v>
      </c>
      <c r="B461" s="55" t="s">
        <v>118</v>
      </c>
      <c r="C461" s="56">
        <v>10</v>
      </c>
      <c r="D461" s="52">
        <v>2.1</v>
      </c>
      <c r="E461" s="57" t="s">
        <v>81</v>
      </c>
      <c r="F461" s="52" t="s">
        <v>82</v>
      </c>
      <c r="G461" s="52" t="s">
        <v>4</v>
      </c>
    </row>
    <row r="462" spans="1:7">
      <c r="A462" s="54" t="s">
        <v>829</v>
      </c>
      <c r="B462" s="55" t="s">
        <v>118</v>
      </c>
      <c r="C462" s="56">
        <v>11</v>
      </c>
      <c r="D462" s="52">
        <v>2.1</v>
      </c>
      <c r="E462" s="57" t="s">
        <v>81</v>
      </c>
      <c r="F462" s="52" t="s">
        <v>82</v>
      </c>
      <c r="G462" s="52" t="s">
        <v>4</v>
      </c>
    </row>
    <row r="463" spans="1:7">
      <c r="A463" s="54" t="s">
        <v>830</v>
      </c>
      <c r="B463" s="55" t="s">
        <v>118</v>
      </c>
      <c r="C463" s="56">
        <v>12</v>
      </c>
      <c r="D463" s="52">
        <v>2.1</v>
      </c>
      <c r="E463" s="57" t="s">
        <v>81</v>
      </c>
      <c r="F463" s="52" t="s">
        <v>82</v>
      </c>
      <c r="G463" s="52" t="s">
        <v>0</v>
      </c>
    </row>
    <row r="464" spans="1:7">
      <c r="A464" s="54" t="s">
        <v>831</v>
      </c>
      <c r="B464" s="55" t="s">
        <v>118</v>
      </c>
      <c r="C464" s="56">
        <v>13</v>
      </c>
      <c r="D464" s="52">
        <v>1.1000000000000001</v>
      </c>
      <c r="E464" s="57" t="s">
        <v>81</v>
      </c>
      <c r="F464" s="52" t="s">
        <v>77</v>
      </c>
      <c r="G464" s="52" t="s">
        <v>0</v>
      </c>
    </row>
    <row r="465" spans="1:7">
      <c r="A465" s="54" t="s">
        <v>832</v>
      </c>
      <c r="B465" s="55" t="s">
        <v>118</v>
      </c>
      <c r="C465" s="56">
        <v>14</v>
      </c>
      <c r="D465" s="52">
        <v>5.2</v>
      </c>
      <c r="E465" s="57" t="s">
        <v>81</v>
      </c>
      <c r="F465" s="52" t="s">
        <v>98</v>
      </c>
      <c r="G465" s="52" t="s">
        <v>4</v>
      </c>
    </row>
    <row r="466" spans="1:7">
      <c r="A466" s="54" t="s">
        <v>833</v>
      </c>
      <c r="B466" s="55" t="s">
        <v>118</v>
      </c>
      <c r="C466" s="56">
        <v>15</v>
      </c>
      <c r="D466" s="52">
        <v>2.31</v>
      </c>
      <c r="E466" s="57" t="s">
        <v>81</v>
      </c>
      <c r="F466" s="52" t="s">
        <v>85</v>
      </c>
      <c r="G466" s="52" t="s">
        <v>2</v>
      </c>
    </row>
    <row r="467" spans="1:7">
      <c r="A467" s="54" t="s">
        <v>834</v>
      </c>
      <c r="B467" s="55" t="s">
        <v>118</v>
      </c>
      <c r="C467" s="56">
        <v>16</v>
      </c>
      <c r="D467" s="52">
        <v>2.31</v>
      </c>
      <c r="E467" s="57" t="s">
        <v>81</v>
      </c>
      <c r="F467" s="52" t="s">
        <v>85</v>
      </c>
      <c r="G467" s="52" t="s">
        <v>1</v>
      </c>
    </row>
    <row r="468" spans="1:7">
      <c r="A468" s="54" t="s">
        <v>835</v>
      </c>
      <c r="B468" s="55" t="s">
        <v>118</v>
      </c>
      <c r="C468" s="56">
        <v>17</v>
      </c>
      <c r="D468" s="52">
        <v>2.1</v>
      </c>
      <c r="E468" s="57" t="s">
        <v>76</v>
      </c>
      <c r="F468" s="52" t="s">
        <v>82</v>
      </c>
      <c r="G468" s="52" t="s">
        <v>4</v>
      </c>
    </row>
    <row r="469" spans="1:7">
      <c r="A469" s="54" t="s">
        <v>836</v>
      </c>
      <c r="B469" s="55" t="s">
        <v>118</v>
      </c>
      <c r="C469" s="56">
        <v>18</v>
      </c>
      <c r="D469" s="52">
        <v>4.0999999999999996</v>
      </c>
      <c r="E469" s="57" t="s">
        <v>100</v>
      </c>
      <c r="F469" s="52" t="s">
        <v>94</v>
      </c>
      <c r="G469" s="52" t="s">
        <v>4</v>
      </c>
    </row>
    <row r="470" spans="1:7">
      <c r="A470" s="54" t="s">
        <v>837</v>
      </c>
      <c r="B470" s="55" t="s">
        <v>118</v>
      </c>
      <c r="C470" s="56">
        <v>19</v>
      </c>
      <c r="D470" s="52">
        <v>2.35</v>
      </c>
      <c r="E470" s="57" t="s">
        <v>76</v>
      </c>
      <c r="F470" s="52" t="s">
        <v>89</v>
      </c>
      <c r="G470" s="52" t="s">
        <v>4</v>
      </c>
    </row>
    <row r="471" spans="1:7">
      <c r="A471" s="54" t="s">
        <v>838</v>
      </c>
      <c r="B471" s="55" t="s">
        <v>118</v>
      </c>
      <c r="C471" s="56">
        <v>20</v>
      </c>
      <c r="D471" s="52">
        <v>2.33</v>
      </c>
      <c r="E471" s="57" t="s">
        <v>76</v>
      </c>
      <c r="F471" s="52" t="s">
        <v>87</v>
      </c>
      <c r="G471" s="52" t="s">
        <v>4</v>
      </c>
    </row>
    <row r="472" spans="1:7">
      <c r="A472" s="54" t="s">
        <v>839</v>
      </c>
      <c r="B472" s="55" t="s">
        <v>118</v>
      </c>
      <c r="C472" s="56">
        <v>21</v>
      </c>
      <c r="D472" s="52">
        <v>4.0999999999999996</v>
      </c>
      <c r="E472" s="57" t="s">
        <v>28</v>
      </c>
      <c r="F472" s="52" t="s">
        <v>94</v>
      </c>
      <c r="G472" s="52" t="s">
        <v>3</v>
      </c>
    </row>
    <row r="473" spans="1:7">
      <c r="A473" s="54" t="s">
        <v>840</v>
      </c>
      <c r="B473" s="55" t="s">
        <v>118</v>
      </c>
      <c r="C473" s="56">
        <v>22</v>
      </c>
      <c r="D473" s="52">
        <v>2.35</v>
      </c>
      <c r="E473" s="57" t="s">
        <v>28</v>
      </c>
      <c r="F473" s="52" t="s">
        <v>89</v>
      </c>
      <c r="G473" s="52" t="s">
        <v>4</v>
      </c>
    </row>
    <row r="474" spans="1:7">
      <c r="A474" s="54" t="s">
        <v>841</v>
      </c>
      <c r="B474" s="55" t="s">
        <v>118</v>
      </c>
      <c r="C474" s="56">
        <v>23</v>
      </c>
      <c r="D474" s="52">
        <v>4.0999999999999996</v>
      </c>
      <c r="E474" s="57" t="s">
        <v>93</v>
      </c>
      <c r="F474" s="52" t="s">
        <v>94</v>
      </c>
      <c r="G474" s="52" t="s">
        <v>4</v>
      </c>
    </row>
    <row r="475" spans="1:7">
      <c r="A475" s="54" t="s">
        <v>842</v>
      </c>
      <c r="B475" s="55" t="s">
        <v>118</v>
      </c>
      <c r="C475" s="56">
        <v>24</v>
      </c>
      <c r="D475" s="52">
        <v>6.3</v>
      </c>
      <c r="E475" s="57" t="s">
        <v>96</v>
      </c>
      <c r="F475" s="52" t="s">
        <v>103</v>
      </c>
      <c r="G475" s="52" t="s">
        <v>1</v>
      </c>
    </row>
    <row r="476" spans="1:7">
      <c r="A476" s="54" t="s">
        <v>843</v>
      </c>
      <c r="B476" s="55" t="s">
        <v>118</v>
      </c>
      <c r="C476" s="56">
        <v>25</v>
      </c>
      <c r="D476" s="52">
        <v>1.4</v>
      </c>
      <c r="E476" s="57" t="s">
        <v>28</v>
      </c>
      <c r="F476" s="52" t="s">
        <v>30</v>
      </c>
      <c r="G476" s="52" t="s">
        <v>4</v>
      </c>
    </row>
    <row r="477" spans="1:7">
      <c r="A477" s="54" t="s">
        <v>844</v>
      </c>
      <c r="B477" s="55" t="s">
        <v>118</v>
      </c>
      <c r="C477" s="56">
        <v>26</v>
      </c>
      <c r="D477" s="52">
        <v>5.2</v>
      </c>
      <c r="E477" s="57" t="s">
        <v>28</v>
      </c>
      <c r="F477" s="52" t="s">
        <v>98</v>
      </c>
      <c r="G477" s="52" t="s">
        <v>2</v>
      </c>
    </row>
    <row r="478" spans="1:7">
      <c r="A478" s="54" t="s">
        <v>845</v>
      </c>
      <c r="B478" s="55" t="s">
        <v>118</v>
      </c>
      <c r="C478" s="56">
        <v>27</v>
      </c>
      <c r="D478" s="52">
        <v>2.35</v>
      </c>
      <c r="E478" s="57" t="s">
        <v>28</v>
      </c>
      <c r="F478" s="52" t="s">
        <v>89</v>
      </c>
      <c r="G478" s="52" t="s">
        <v>4</v>
      </c>
    </row>
    <row r="479" spans="1:7">
      <c r="A479" s="54" t="s">
        <v>846</v>
      </c>
      <c r="B479" s="55" t="s">
        <v>118</v>
      </c>
      <c r="C479" s="56">
        <v>28</v>
      </c>
      <c r="D479" s="52">
        <v>2.33</v>
      </c>
      <c r="E479" s="57" t="s">
        <v>76</v>
      </c>
      <c r="F479" s="52" t="s">
        <v>87</v>
      </c>
      <c r="G479" s="52" t="s">
        <v>4</v>
      </c>
    </row>
    <row r="480" spans="1:7">
      <c r="A480" s="54" t="s">
        <v>847</v>
      </c>
      <c r="B480" s="55" t="s">
        <v>118</v>
      </c>
      <c r="C480" s="56">
        <v>29</v>
      </c>
      <c r="D480" s="52">
        <v>3.2</v>
      </c>
      <c r="E480" s="57" t="s">
        <v>81</v>
      </c>
      <c r="F480" s="52" t="s">
        <v>91</v>
      </c>
      <c r="G480" s="52" t="s">
        <v>1</v>
      </c>
    </row>
    <row r="481" spans="1:7">
      <c r="A481" s="54" t="s">
        <v>848</v>
      </c>
      <c r="B481" s="55" t="s">
        <v>118</v>
      </c>
      <c r="C481" s="56">
        <v>30</v>
      </c>
      <c r="D481" s="52">
        <v>2.35</v>
      </c>
      <c r="E481" s="57" t="s">
        <v>81</v>
      </c>
      <c r="F481" s="52" t="s">
        <v>89</v>
      </c>
      <c r="G481" s="52" t="s">
        <v>1</v>
      </c>
    </row>
    <row r="482" spans="1:7">
      <c r="A482" s="54" t="s">
        <v>849</v>
      </c>
      <c r="B482" s="55" t="s">
        <v>118</v>
      </c>
      <c r="C482" s="56">
        <v>31</v>
      </c>
      <c r="D482" s="52">
        <v>2.35</v>
      </c>
      <c r="E482" s="57" t="s">
        <v>81</v>
      </c>
      <c r="F482" s="52" t="s">
        <v>89</v>
      </c>
      <c r="G482" s="52" t="s">
        <v>2</v>
      </c>
    </row>
    <row r="483" spans="1:7">
      <c r="A483" s="54" t="s">
        <v>850</v>
      </c>
      <c r="B483" s="55" t="s">
        <v>118</v>
      </c>
      <c r="C483" s="56">
        <v>32</v>
      </c>
      <c r="D483" s="61">
        <v>2.31</v>
      </c>
      <c r="E483" s="57" t="s">
        <v>76</v>
      </c>
      <c r="F483" s="52" t="s">
        <v>85</v>
      </c>
      <c r="G483" s="52" t="s">
        <v>3</v>
      </c>
    </row>
    <row r="484" spans="1:7">
      <c r="A484" s="54" t="s">
        <v>851</v>
      </c>
      <c r="B484" s="55" t="s">
        <v>118</v>
      </c>
      <c r="C484" s="56">
        <v>33</v>
      </c>
      <c r="D484" s="52">
        <v>4.2</v>
      </c>
      <c r="E484" s="57" t="s">
        <v>81</v>
      </c>
      <c r="F484" s="52" t="s">
        <v>95</v>
      </c>
      <c r="G484" s="52" t="s">
        <v>0</v>
      </c>
    </row>
    <row r="485" spans="1:7">
      <c r="A485" s="54" t="s">
        <v>852</v>
      </c>
      <c r="B485" s="55" t="s">
        <v>118</v>
      </c>
      <c r="C485" s="56">
        <v>34</v>
      </c>
      <c r="D485" s="52">
        <v>2.31</v>
      </c>
      <c r="E485" s="57" t="s">
        <v>76</v>
      </c>
      <c r="F485" s="52" t="s">
        <v>85</v>
      </c>
      <c r="G485" s="52" t="s">
        <v>4</v>
      </c>
    </row>
    <row r="486" spans="1:7">
      <c r="A486" s="54" t="s">
        <v>853</v>
      </c>
      <c r="B486" s="55" t="s">
        <v>118</v>
      </c>
      <c r="C486" s="56">
        <v>35</v>
      </c>
      <c r="D486" s="52">
        <v>2.1</v>
      </c>
      <c r="E486" s="57" t="s">
        <v>81</v>
      </c>
      <c r="F486" s="52" t="s">
        <v>82</v>
      </c>
      <c r="G486" s="52" t="s">
        <v>1</v>
      </c>
    </row>
    <row r="487" spans="1:7">
      <c r="A487" s="54" t="s">
        <v>854</v>
      </c>
      <c r="B487" s="55" t="s">
        <v>118</v>
      </c>
      <c r="C487" s="56">
        <v>36</v>
      </c>
      <c r="D487" s="52">
        <v>2.3199999999999998</v>
      </c>
      <c r="E487" s="57" t="s">
        <v>81</v>
      </c>
      <c r="F487" s="52" t="s">
        <v>86</v>
      </c>
      <c r="G487" s="52" t="s">
        <v>4</v>
      </c>
    </row>
    <row r="488" spans="1:7">
      <c r="A488" s="54" t="s">
        <v>855</v>
      </c>
      <c r="B488" s="55" t="s">
        <v>118</v>
      </c>
      <c r="C488" s="56">
        <v>37</v>
      </c>
      <c r="D488" s="52">
        <v>3.2</v>
      </c>
      <c r="E488" s="57" t="s">
        <v>28</v>
      </c>
      <c r="F488" s="52" t="s">
        <v>91</v>
      </c>
      <c r="G488" s="52" t="s">
        <v>4</v>
      </c>
    </row>
    <row r="489" spans="1:7">
      <c r="A489" s="54" t="s">
        <v>856</v>
      </c>
      <c r="B489" s="55" t="s">
        <v>118</v>
      </c>
      <c r="C489" s="56">
        <v>38</v>
      </c>
      <c r="D489" s="52">
        <v>2.1</v>
      </c>
      <c r="E489" s="57" t="s">
        <v>96</v>
      </c>
      <c r="F489" s="52" t="s">
        <v>82</v>
      </c>
      <c r="G489" s="52" t="s">
        <v>4</v>
      </c>
    </row>
    <row r="490" spans="1:7">
      <c r="A490" s="54" t="s">
        <v>857</v>
      </c>
      <c r="B490" s="55" t="s">
        <v>118</v>
      </c>
      <c r="C490" s="56">
        <v>39</v>
      </c>
      <c r="D490" s="52">
        <v>2.33</v>
      </c>
      <c r="E490" s="57" t="s">
        <v>81</v>
      </c>
      <c r="F490" s="52" t="s">
        <v>87</v>
      </c>
      <c r="G490" s="52" t="s">
        <v>2</v>
      </c>
    </row>
    <row r="491" spans="1:7">
      <c r="A491" s="54" t="s">
        <v>858</v>
      </c>
      <c r="B491" s="55" t="s">
        <v>118</v>
      </c>
      <c r="C491" s="56">
        <v>40</v>
      </c>
      <c r="D491" s="52">
        <v>1.3</v>
      </c>
      <c r="E491" s="57" t="s">
        <v>28</v>
      </c>
      <c r="F491" s="52" t="s">
        <v>79</v>
      </c>
      <c r="G491" s="52" t="s">
        <v>0</v>
      </c>
    </row>
    <row r="492" spans="1:7">
      <c r="A492" s="54" t="s">
        <v>859</v>
      </c>
      <c r="B492" s="55" t="s">
        <v>118</v>
      </c>
      <c r="C492" s="56">
        <v>41</v>
      </c>
      <c r="D492" s="52">
        <v>2.2000000000000002</v>
      </c>
      <c r="E492" s="57" t="s">
        <v>81</v>
      </c>
      <c r="F492" s="52" t="s">
        <v>83</v>
      </c>
      <c r="G492" s="52" t="s">
        <v>1</v>
      </c>
    </row>
    <row r="493" spans="1:7">
      <c r="A493" s="54" t="s">
        <v>860</v>
      </c>
      <c r="B493" s="55" t="s">
        <v>118</v>
      </c>
      <c r="C493" s="56">
        <v>42</v>
      </c>
      <c r="D493" s="52">
        <v>1.2</v>
      </c>
      <c r="E493" s="57" t="s">
        <v>93</v>
      </c>
      <c r="F493" s="52" t="s">
        <v>78</v>
      </c>
      <c r="G493" s="52" t="s">
        <v>4</v>
      </c>
    </row>
    <row r="494" spans="1:7">
      <c r="A494" s="54" t="s">
        <v>861</v>
      </c>
      <c r="B494" s="55" t="s">
        <v>118</v>
      </c>
      <c r="C494" s="56">
        <v>43</v>
      </c>
      <c r="D494" s="52">
        <v>1.3</v>
      </c>
      <c r="E494" s="57" t="s">
        <v>28</v>
      </c>
      <c r="F494" s="52" t="s">
        <v>79</v>
      </c>
      <c r="G494" s="52" t="s">
        <v>3</v>
      </c>
    </row>
    <row r="495" spans="1:7">
      <c r="A495" s="54" t="s">
        <v>862</v>
      </c>
      <c r="B495" s="55" t="s">
        <v>118</v>
      </c>
      <c r="C495" s="56">
        <v>44</v>
      </c>
      <c r="D495" s="52">
        <v>6.3</v>
      </c>
      <c r="E495" s="57" t="s">
        <v>76</v>
      </c>
      <c r="F495" s="52" t="s">
        <v>103</v>
      </c>
      <c r="G495" s="52" t="s">
        <v>0</v>
      </c>
    </row>
    <row r="496" spans="1:7">
      <c r="A496" s="54" t="s">
        <v>863</v>
      </c>
      <c r="B496" s="55" t="s">
        <v>118</v>
      </c>
      <c r="C496" s="56">
        <v>45</v>
      </c>
      <c r="D496" s="52">
        <v>6.3</v>
      </c>
      <c r="E496" s="57" t="s">
        <v>93</v>
      </c>
      <c r="F496" s="52" t="s">
        <v>103</v>
      </c>
      <c r="G496" s="52" t="s">
        <v>4</v>
      </c>
    </row>
    <row r="497" spans="1:7">
      <c r="A497" s="54" t="s">
        <v>864</v>
      </c>
      <c r="B497" s="55" t="s">
        <v>118</v>
      </c>
      <c r="C497" s="56">
        <v>46</v>
      </c>
      <c r="D497" s="52">
        <v>6.3</v>
      </c>
      <c r="E497" s="57" t="s">
        <v>93</v>
      </c>
      <c r="F497" s="52" t="s">
        <v>103</v>
      </c>
      <c r="G497" s="52" t="s">
        <v>1</v>
      </c>
    </row>
    <row r="498" spans="1:7">
      <c r="A498" s="54" t="s">
        <v>865</v>
      </c>
      <c r="B498" s="55" t="s">
        <v>118</v>
      </c>
      <c r="C498" s="56">
        <v>47</v>
      </c>
      <c r="D498" s="52">
        <v>6.3</v>
      </c>
      <c r="E498" s="57" t="s">
        <v>81</v>
      </c>
      <c r="F498" s="52" t="s">
        <v>103</v>
      </c>
      <c r="G498" s="52" t="s">
        <v>3</v>
      </c>
    </row>
    <row r="499" spans="1:7">
      <c r="A499" s="54" t="s">
        <v>866</v>
      </c>
      <c r="B499" s="55" t="s">
        <v>118</v>
      </c>
      <c r="C499" s="56">
        <v>48</v>
      </c>
      <c r="D499" s="52">
        <v>2.31</v>
      </c>
      <c r="E499" s="57" t="s">
        <v>81</v>
      </c>
      <c r="F499" s="52" t="s">
        <v>85</v>
      </c>
      <c r="G499" s="52" t="s">
        <v>0</v>
      </c>
    </row>
    <row r="500" spans="1:7">
      <c r="A500" s="54" t="s">
        <v>867</v>
      </c>
      <c r="B500" s="55" t="s">
        <v>118</v>
      </c>
      <c r="C500" s="56">
        <v>49</v>
      </c>
      <c r="D500" s="52">
        <v>6.1</v>
      </c>
      <c r="E500" s="57" t="s">
        <v>81</v>
      </c>
      <c r="F500" s="52" t="s">
        <v>101</v>
      </c>
      <c r="G500" s="52" t="s">
        <v>0</v>
      </c>
    </row>
    <row r="501" spans="1:7">
      <c r="A501" s="54" t="s">
        <v>868</v>
      </c>
      <c r="B501" s="55" t="s">
        <v>118</v>
      </c>
      <c r="C501" s="56">
        <v>50</v>
      </c>
      <c r="D501" s="52">
        <v>4.0999999999999996</v>
      </c>
      <c r="E501" s="57" t="s">
        <v>81</v>
      </c>
      <c r="F501" s="52" t="s">
        <v>94</v>
      </c>
      <c r="G501" s="52" t="s">
        <v>2</v>
      </c>
    </row>
    <row r="502" spans="1:7">
      <c r="A502" s="54" t="s">
        <v>869</v>
      </c>
      <c r="B502" s="55" t="s">
        <v>119</v>
      </c>
      <c r="C502" s="56">
        <v>1</v>
      </c>
      <c r="D502" s="52">
        <v>2.2000000000000002</v>
      </c>
      <c r="E502" s="57" t="s">
        <v>81</v>
      </c>
      <c r="F502" s="52" t="s">
        <v>83</v>
      </c>
      <c r="G502" s="52" t="s">
        <v>4</v>
      </c>
    </row>
    <row r="503" spans="1:7">
      <c r="A503" s="54" t="s">
        <v>870</v>
      </c>
      <c r="B503" s="55" t="s">
        <v>119</v>
      </c>
      <c r="C503" s="56">
        <v>2</v>
      </c>
      <c r="D503" s="52">
        <v>2.1</v>
      </c>
      <c r="E503" s="57" t="s">
        <v>81</v>
      </c>
      <c r="F503" s="52" t="s">
        <v>82</v>
      </c>
      <c r="G503" s="52" t="s">
        <v>1</v>
      </c>
    </row>
    <row r="504" spans="1:7">
      <c r="A504" s="54" t="s">
        <v>871</v>
      </c>
      <c r="B504" s="55" t="s">
        <v>119</v>
      </c>
      <c r="C504" s="56">
        <v>3</v>
      </c>
      <c r="D504" s="52">
        <v>2.2000000000000002</v>
      </c>
      <c r="E504" s="57" t="s">
        <v>81</v>
      </c>
      <c r="F504" s="52" t="s">
        <v>83</v>
      </c>
      <c r="G504" s="52" t="s">
        <v>3</v>
      </c>
    </row>
    <row r="505" spans="1:7">
      <c r="A505" s="54" t="s">
        <v>872</v>
      </c>
      <c r="B505" s="55" t="s">
        <v>119</v>
      </c>
      <c r="C505" s="56">
        <v>4</v>
      </c>
      <c r="D505" s="52">
        <v>2.1</v>
      </c>
      <c r="E505" s="57" t="s">
        <v>81</v>
      </c>
      <c r="F505" s="52" t="s">
        <v>82</v>
      </c>
      <c r="G505" s="52" t="s">
        <v>0</v>
      </c>
    </row>
    <row r="506" spans="1:7">
      <c r="A506" s="54" t="s">
        <v>873</v>
      </c>
      <c r="B506" s="55" t="s">
        <v>119</v>
      </c>
      <c r="C506" s="56">
        <v>5</v>
      </c>
      <c r="D506" s="52">
        <v>2.2000000000000002</v>
      </c>
      <c r="E506" s="57" t="s">
        <v>93</v>
      </c>
      <c r="F506" s="52" t="s">
        <v>83</v>
      </c>
      <c r="G506" s="52" t="s">
        <v>0</v>
      </c>
    </row>
    <row r="507" spans="1:7">
      <c r="A507" s="54" t="s">
        <v>874</v>
      </c>
      <c r="B507" s="55" t="s">
        <v>119</v>
      </c>
      <c r="C507" s="56">
        <v>6</v>
      </c>
      <c r="D507" s="52">
        <v>1.1000000000000001</v>
      </c>
      <c r="E507" s="57" t="s">
        <v>81</v>
      </c>
      <c r="F507" s="52" t="s">
        <v>77</v>
      </c>
      <c r="G507" s="52" t="s">
        <v>4</v>
      </c>
    </row>
    <row r="508" spans="1:7">
      <c r="A508" s="54" t="s">
        <v>875</v>
      </c>
      <c r="B508" s="55" t="s">
        <v>119</v>
      </c>
      <c r="C508" s="56">
        <v>7</v>
      </c>
      <c r="D508" s="52">
        <v>5.2</v>
      </c>
      <c r="E508" s="57" t="s">
        <v>96</v>
      </c>
      <c r="F508" s="52" t="s">
        <v>98</v>
      </c>
      <c r="G508" s="52" t="s">
        <v>1</v>
      </c>
    </row>
    <row r="509" spans="1:7">
      <c r="A509" s="54" t="s">
        <v>876</v>
      </c>
      <c r="B509" s="55" t="s">
        <v>119</v>
      </c>
      <c r="C509" s="56">
        <v>8</v>
      </c>
      <c r="D509" s="52">
        <v>4.0999999999999996</v>
      </c>
      <c r="E509" s="57" t="s">
        <v>81</v>
      </c>
      <c r="F509" s="52" t="s">
        <v>94</v>
      </c>
      <c r="G509" s="52" t="s">
        <v>3</v>
      </c>
    </row>
    <row r="510" spans="1:7">
      <c r="A510" s="54" t="s">
        <v>877</v>
      </c>
      <c r="B510" s="55" t="s">
        <v>119</v>
      </c>
      <c r="C510" s="56">
        <v>9</v>
      </c>
      <c r="D510" s="52">
        <v>1.6</v>
      </c>
      <c r="E510" s="57" t="s">
        <v>96</v>
      </c>
      <c r="F510" s="52" t="s">
        <v>27</v>
      </c>
      <c r="G510" s="52" t="s">
        <v>4</v>
      </c>
    </row>
    <row r="511" spans="1:7">
      <c r="A511" s="54" t="s">
        <v>878</v>
      </c>
      <c r="B511" s="55" t="s">
        <v>119</v>
      </c>
      <c r="C511" s="56">
        <v>10</v>
      </c>
      <c r="D511" s="52">
        <v>2.1</v>
      </c>
      <c r="E511" s="57" t="s">
        <v>81</v>
      </c>
      <c r="F511" s="52" t="s">
        <v>82</v>
      </c>
      <c r="G511" s="52" t="s">
        <v>1</v>
      </c>
    </row>
    <row r="512" spans="1:7">
      <c r="A512" s="54" t="s">
        <v>879</v>
      </c>
      <c r="B512" s="55" t="s">
        <v>119</v>
      </c>
      <c r="C512" s="56">
        <v>11</v>
      </c>
      <c r="D512" s="52">
        <v>2.1</v>
      </c>
      <c r="E512" s="57" t="s">
        <v>28</v>
      </c>
      <c r="F512" s="52" t="s">
        <v>82</v>
      </c>
      <c r="G512" s="52" t="s">
        <v>0</v>
      </c>
    </row>
    <row r="513" spans="1:7">
      <c r="A513" s="54" t="s">
        <v>880</v>
      </c>
      <c r="B513" s="55" t="s">
        <v>119</v>
      </c>
      <c r="C513" s="56">
        <v>12</v>
      </c>
      <c r="D513" s="52">
        <v>2.31</v>
      </c>
      <c r="E513" s="57" t="s">
        <v>96</v>
      </c>
      <c r="F513" s="52" t="s">
        <v>85</v>
      </c>
      <c r="G513" s="52" t="s">
        <v>1</v>
      </c>
    </row>
    <row r="514" spans="1:7">
      <c r="A514" s="54" t="s">
        <v>881</v>
      </c>
      <c r="B514" s="55" t="s">
        <v>119</v>
      </c>
      <c r="C514" s="56">
        <v>13</v>
      </c>
      <c r="D514" s="52">
        <v>2.31</v>
      </c>
      <c r="E514" s="57" t="s">
        <v>28</v>
      </c>
      <c r="F514" s="52" t="s">
        <v>85</v>
      </c>
      <c r="G514" s="52" t="s">
        <v>4</v>
      </c>
    </row>
    <row r="515" spans="1:7">
      <c r="A515" s="54" t="s">
        <v>882</v>
      </c>
      <c r="B515" s="55" t="s">
        <v>119</v>
      </c>
      <c r="C515" s="56">
        <v>14</v>
      </c>
      <c r="D515" s="52">
        <v>2.35</v>
      </c>
      <c r="E515" s="57" t="s">
        <v>81</v>
      </c>
      <c r="F515" s="52" t="s">
        <v>89</v>
      </c>
      <c r="G515" s="52" t="s">
        <v>4</v>
      </c>
    </row>
    <row r="516" spans="1:7">
      <c r="A516" s="54" t="s">
        <v>883</v>
      </c>
      <c r="B516" s="55" t="s">
        <v>119</v>
      </c>
      <c r="C516" s="56">
        <v>15</v>
      </c>
      <c r="D516" s="52">
        <v>2.35</v>
      </c>
      <c r="E516" s="57" t="s">
        <v>81</v>
      </c>
      <c r="F516" s="52" t="s">
        <v>89</v>
      </c>
      <c r="G516" s="52" t="s">
        <v>2</v>
      </c>
    </row>
    <row r="517" spans="1:7">
      <c r="A517" s="54" t="s">
        <v>884</v>
      </c>
      <c r="B517" s="55" t="s">
        <v>119</v>
      </c>
      <c r="C517" s="56">
        <v>16</v>
      </c>
      <c r="D517" s="52">
        <v>2.1</v>
      </c>
      <c r="E517" s="57" t="s">
        <v>81</v>
      </c>
      <c r="F517" s="52" t="s">
        <v>82</v>
      </c>
      <c r="G517" s="52" t="s">
        <v>4</v>
      </c>
    </row>
    <row r="518" spans="1:7">
      <c r="A518" s="54" t="s">
        <v>885</v>
      </c>
      <c r="B518" s="55" t="s">
        <v>119</v>
      </c>
      <c r="C518" s="56">
        <v>17</v>
      </c>
      <c r="D518" s="52">
        <v>1.1000000000000001</v>
      </c>
      <c r="E518" s="57" t="s">
        <v>76</v>
      </c>
      <c r="F518" s="52" t="s">
        <v>77</v>
      </c>
      <c r="G518" s="52" t="s">
        <v>2</v>
      </c>
    </row>
    <row r="519" spans="1:7">
      <c r="A519" s="54" t="s">
        <v>886</v>
      </c>
      <c r="B519" s="55" t="s">
        <v>119</v>
      </c>
      <c r="C519" s="56">
        <v>18</v>
      </c>
      <c r="D519" s="52">
        <v>6.3</v>
      </c>
      <c r="E519" s="57" t="s">
        <v>76</v>
      </c>
      <c r="F519" s="52" t="s">
        <v>103</v>
      </c>
      <c r="G519" s="52" t="s">
        <v>4</v>
      </c>
    </row>
    <row r="520" spans="1:7">
      <c r="A520" s="54" t="s">
        <v>887</v>
      </c>
      <c r="B520" s="55" t="s">
        <v>119</v>
      </c>
      <c r="C520" s="56">
        <v>19</v>
      </c>
      <c r="D520" s="52">
        <v>1.2</v>
      </c>
      <c r="E520" s="57" t="s">
        <v>81</v>
      </c>
      <c r="F520" s="52" t="s">
        <v>78</v>
      </c>
      <c r="G520" s="52" t="s">
        <v>1</v>
      </c>
    </row>
    <row r="521" spans="1:7">
      <c r="A521" s="54" t="s">
        <v>888</v>
      </c>
      <c r="B521" s="55" t="s">
        <v>119</v>
      </c>
      <c r="C521" s="56">
        <v>20</v>
      </c>
      <c r="D521" s="52">
        <v>1.5</v>
      </c>
      <c r="E521" s="57" t="s">
        <v>81</v>
      </c>
      <c r="F521" s="52" t="s">
        <v>80</v>
      </c>
      <c r="G521" s="52" t="s">
        <v>4</v>
      </c>
    </row>
    <row r="522" spans="1:7">
      <c r="A522" s="54" t="s">
        <v>889</v>
      </c>
      <c r="B522" s="55" t="s">
        <v>119</v>
      </c>
      <c r="C522" s="56">
        <v>21</v>
      </c>
      <c r="D522" s="52">
        <v>3.2</v>
      </c>
      <c r="E522" s="57" t="s">
        <v>81</v>
      </c>
      <c r="F522" s="52" t="s">
        <v>91</v>
      </c>
      <c r="G522" s="52" t="s">
        <v>2</v>
      </c>
    </row>
    <row r="523" spans="1:7">
      <c r="A523" s="54" t="s">
        <v>890</v>
      </c>
      <c r="B523" s="55" t="s">
        <v>119</v>
      </c>
      <c r="C523" s="56">
        <v>22</v>
      </c>
      <c r="D523" s="52">
        <v>3.1</v>
      </c>
      <c r="E523" s="57" t="s">
        <v>81</v>
      </c>
      <c r="F523" s="52" t="s">
        <v>90</v>
      </c>
      <c r="G523" s="52" t="s">
        <v>3</v>
      </c>
    </row>
    <row r="524" spans="1:7">
      <c r="A524" s="54" t="s">
        <v>891</v>
      </c>
      <c r="B524" s="55" t="s">
        <v>119</v>
      </c>
      <c r="C524" s="56">
        <v>23</v>
      </c>
      <c r="D524" s="52">
        <v>4.0999999999999996</v>
      </c>
      <c r="E524" s="57" t="s">
        <v>96</v>
      </c>
      <c r="F524" s="52" t="s">
        <v>94</v>
      </c>
      <c r="G524" s="52" t="s">
        <v>0</v>
      </c>
    </row>
    <row r="525" spans="1:7">
      <c r="A525" s="54" t="s">
        <v>892</v>
      </c>
      <c r="B525" s="55" t="s">
        <v>119</v>
      </c>
      <c r="C525" s="56">
        <v>24</v>
      </c>
      <c r="D525" s="52">
        <v>5.2</v>
      </c>
      <c r="E525" s="57" t="s">
        <v>81</v>
      </c>
      <c r="F525" s="52" t="s">
        <v>98</v>
      </c>
      <c r="G525" s="52" t="s">
        <v>0</v>
      </c>
    </row>
    <row r="526" spans="1:7">
      <c r="A526" s="54" t="s">
        <v>893</v>
      </c>
      <c r="B526" s="55" t="s">
        <v>119</v>
      </c>
      <c r="C526" s="56">
        <v>25</v>
      </c>
      <c r="D526" s="52">
        <v>3.4</v>
      </c>
      <c r="E526" s="57" t="s">
        <v>81</v>
      </c>
      <c r="F526" s="52" t="s">
        <v>29</v>
      </c>
      <c r="G526" s="52" t="s">
        <v>3</v>
      </c>
    </row>
    <row r="527" spans="1:7">
      <c r="A527" s="54" t="s">
        <v>894</v>
      </c>
      <c r="B527" s="55" t="s">
        <v>119</v>
      </c>
      <c r="C527" s="56">
        <v>26</v>
      </c>
      <c r="D527" s="52">
        <v>3.1</v>
      </c>
      <c r="E527" s="57" t="s">
        <v>81</v>
      </c>
      <c r="F527" s="52" t="s">
        <v>90</v>
      </c>
      <c r="G527" s="52" t="s">
        <v>2</v>
      </c>
    </row>
    <row r="528" spans="1:7">
      <c r="A528" s="54" t="s">
        <v>895</v>
      </c>
      <c r="B528" s="55" t="s">
        <v>119</v>
      </c>
      <c r="C528" s="56">
        <v>27</v>
      </c>
      <c r="D528" s="52">
        <v>3.1</v>
      </c>
      <c r="E528" s="57" t="s">
        <v>76</v>
      </c>
      <c r="F528" s="52" t="s">
        <v>90</v>
      </c>
      <c r="G528" s="52" t="s">
        <v>4</v>
      </c>
    </row>
    <row r="529" spans="1:7">
      <c r="A529" s="54" t="s">
        <v>896</v>
      </c>
      <c r="B529" s="55" t="s">
        <v>119</v>
      </c>
      <c r="C529" s="56">
        <v>28</v>
      </c>
      <c r="D529" s="52">
        <v>1.1000000000000001</v>
      </c>
      <c r="E529" s="57" t="s">
        <v>100</v>
      </c>
      <c r="F529" s="52" t="s">
        <v>77</v>
      </c>
      <c r="G529" s="52" t="s">
        <v>0</v>
      </c>
    </row>
    <row r="530" spans="1:7">
      <c r="A530" s="54" t="s">
        <v>897</v>
      </c>
      <c r="B530" s="55" t="s">
        <v>119</v>
      </c>
      <c r="C530" s="56">
        <v>29</v>
      </c>
      <c r="D530" s="52">
        <v>2.3199999999999998</v>
      </c>
      <c r="E530" s="57" t="s">
        <v>96</v>
      </c>
      <c r="F530" s="52" t="s">
        <v>86</v>
      </c>
      <c r="G530" s="52" t="s">
        <v>2</v>
      </c>
    </row>
    <row r="531" spans="1:7">
      <c r="A531" s="54" t="s">
        <v>898</v>
      </c>
      <c r="B531" s="55" t="s">
        <v>119</v>
      </c>
      <c r="C531" s="56">
        <v>30</v>
      </c>
      <c r="D531" s="52">
        <v>2.1</v>
      </c>
      <c r="E531" s="57" t="s">
        <v>96</v>
      </c>
      <c r="F531" s="52" t="s">
        <v>82</v>
      </c>
      <c r="G531" s="52" t="s">
        <v>2</v>
      </c>
    </row>
    <row r="532" spans="1:7">
      <c r="A532" s="54" t="s">
        <v>899</v>
      </c>
      <c r="B532" s="55" t="s">
        <v>119</v>
      </c>
      <c r="C532" s="56">
        <v>31</v>
      </c>
      <c r="D532" s="52">
        <v>1.1000000000000001</v>
      </c>
      <c r="E532" s="57" t="s">
        <v>81</v>
      </c>
      <c r="F532" s="52" t="s">
        <v>77</v>
      </c>
      <c r="G532" s="52" t="s">
        <v>4</v>
      </c>
    </row>
    <row r="533" spans="1:7">
      <c r="A533" s="54" t="s">
        <v>900</v>
      </c>
      <c r="B533" s="55" t="s">
        <v>119</v>
      </c>
      <c r="C533" s="56">
        <v>32</v>
      </c>
      <c r="D533" s="52">
        <v>1.6</v>
      </c>
      <c r="E533" s="57" t="s">
        <v>81</v>
      </c>
      <c r="F533" s="52" t="s">
        <v>27</v>
      </c>
      <c r="G533" s="52" t="s">
        <v>2</v>
      </c>
    </row>
    <row r="534" spans="1:7">
      <c r="A534" s="54" t="s">
        <v>901</v>
      </c>
      <c r="B534" s="55" t="s">
        <v>119</v>
      </c>
      <c r="C534" s="56">
        <v>33</v>
      </c>
      <c r="D534" s="52">
        <v>1.3</v>
      </c>
      <c r="E534" s="57" t="s">
        <v>81</v>
      </c>
      <c r="F534" s="52" t="s">
        <v>79</v>
      </c>
      <c r="G534" s="52" t="s">
        <v>0</v>
      </c>
    </row>
    <row r="535" spans="1:7">
      <c r="A535" s="54" t="s">
        <v>902</v>
      </c>
      <c r="B535" s="55" t="s">
        <v>119</v>
      </c>
      <c r="C535" s="56">
        <v>34</v>
      </c>
      <c r="D535" s="52">
        <v>1.3</v>
      </c>
      <c r="E535" s="57" t="s">
        <v>81</v>
      </c>
      <c r="F535" s="52" t="s">
        <v>79</v>
      </c>
      <c r="G535" s="52" t="s">
        <v>2</v>
      </c>
    </row>
    <row r="536" spans="1:7">
      <c r="A536" s="54" t="s">
        <v>903</v>
      </c>
      <c r="B536" s="55" t="s">
        <v>119</v>
      </c>
      <c r="C536" s="56">
        <v>35</v>
      </c>
      <c r="D536" s="52">
        <v>2.35</v>
      </c>
      <c r="E536" s="57" t="s">
        <v>96</v>
      </c>
      <c r="F536" s="52" t="s">
        <v>89</v>
      </c>
      <c r="G536" s="52" t="s">
        <v>0</v>
      </c>
    </row>
    <row r="537" spans="1:7">
      <c r="A537" s="54" t="s">
        <v>904</v>
      </c>
      <c r="B537" s="55" t="s">
        <v>119</v>
      </c>
      <c r="C537" s="56">
        <v>36</v>
      </c>
      <c r="D537" s="52">
        <v>2.31</v>
      </c>
      <c r="E537" s="57" t="s">
        <v>81</v>
      </c>
      <c r="F537" s="52" t="s">
        <v>85</v>
      </c>
      <c r="G537" s="52" t="s">
        <v>1</v>
      </c>
    </row>
    <row r="538" spans="1:7">
      <c r="A538" s="54" t="s">
        <v>905</v>
      </c>
      <c r="B538" s="55" t="s">
        <v>119</v>
      </c>
      <c r="C538" s="56">
        <v>37</v>
      </c>
      <c r="D538" s="52">
        <v>3.1</v>
      </c>
      <c r="E538" s="57" t="s">
        <v>100</v>
      </c>
      <c r="F538" s="52" t="s">
        <v>90</v>
      </c>
      <c r="G538" s="52" t="s">
        <v>3</v>
      </c>
    </row>
    <row r="539" spans="1:7">
      <c r="A539" s="54" t="s">
        <v>906</v>
      </c>
      <c r="B539" s="55" t="s">
        <v>119</v>
      </c>
      <c r="C539" s="56">
        <v>38</v>
      </c>
      <c r="D539" s="52">
        <v>5.0999999999999996</v>
      </c>
      <c r="E539" s="57" t="s">
        <v>28</v>
      </c>
      <c r="F539" s="52" t="s">
        <v>97</v>
      </c>
      <c r="G539" s="52" t="s">
        <v>4</v>
      </c>
    </row>
    <row r="540" spans="1:7">
      <c r="A540" s="54" t="s">
        <v>907</v>
      </c>
      <c r="B540" s="55" t="s">
        <v>119</v>
      </c>
      <c r="C540" s="56">
        <v>39</v>
      </c>
      <c r="D540" s="52">
        <v>2.31</v>
      </c>
      <c r="E540" s="57" t="s">
        <v>81</v>
      </c>
      <c r="F540" s="52" t="s">
        <v>85</v>
      </c>
      <c r="G540" s="52" t="s">
        <v>1</v>
      </c>
    </row>
    <row r="541" spans="1:7">
      <c r="A541" s="54" t="s">
        <v>908</v>
      </c>
      <c r="B541" s="55" t="s">
        <v>119</v>
      </c>
      <c r="C541" s="56">
        <v>40</v>
      </c>
      <c r="D541" s="52">
        <v>3.2</v>
      </c>
      <c r="E541" s="57" t="s">
        <v>81</v>
      </c>
      <c r="F541" s="52" t="s">
        <v>91</v>
      </c>
      <c r="G541" s="52" t="s">
        <v>1</v>
      </c>
    </row>
    <row r="542" spans="1:7">
      <c r="A542" s="54" t="s">
        <v>909</v>
      </c>
      <c r="B542" s="55" t="s">
        <v>119</v>
      </c>
      <c r="C542" s="56">
        <v>41</v>
      </c>
      <c r="D542" s="52">
        <v>2.34</v>
      </c>
      <c r="E542" s="57" t="s">
        <v>81</v>
      </c>
      <c r="F542" s="52" t="s">
        <v>88</v>
      </c>
      <c r="G542" s="52" t="s">
        <v>4</v>
      </c>
    </row>
    <row r="543" spans="1:7">
      <c r="A543" s="54" t="s">
        <v>910</v>
      </c>
      <c r="B543" s="55" t="s">
        <v>119</v>
      </c>
      <c r="C543" s="56">
        <v>42</v>
      </c>
      <c r="D543" s="52">
        <v>4.2</v>
      </c>
      <c r="E543" s="57" t="s">
        <v>93</v>
      </c>
      <c r="F543" s="52" t="s">
        <v>95</v>
      </c>
      <c r="G543" s="52" t="s">
        <v>3</v>
      </c>
    </row>
    <row r="544" spans="1:7">
      <c r="A544" s="54" t="s">
        <v>911</v>
      </c>
      <c r="B544" s="55" t="s">
        <v>119</v>
      </c>
      <c r="C544" s="56">
        <v>43</v>
      </c>
      <c r="D544" s="52">
        <v>3.4</v>
      </c>
      <c r="E544" s="57" t="s">
        <v>76</v>
      </c>
      <c r="F544" s="52" t="s">
        <v>29</v>
      </c>
      <c r="G544" s="52" t="s">
        <v>2</v>
      </c>
    </row>
    <row r="545" spans="1:7">
      <c r="A545" s="54" t="s">
        <v>912</v>
      </c>
      <c r="B545" s="55" t="s">
        <v>119</v>
      </c>
      <c r="C545" s="56">
        <v>44</v>
      </c>
      <c r="D545" s="52">
        <v>1.2</v>
      </c>
      <c r="E545" s="57" t="s">
        <v>28</v>
      </c>
      <c r="F545" s="52" t="s">
        <v>78</v>
      </c>
      <c r="G545" s="52" t="s">
        <v>4</v>
      </c>
    </row>
    <row r="546" spans="1:7">
      <c r="A546" s="54" t="s">
        <v>913</v>
      </c>
      <c r="B546" s="55" t="s">
        <v>119</v>
      </c>
      <c r="C546" s="56">
        <v>45</v>
      </c>
      <c r="D546" s="52">
        <v>4.0999999999999996</v>
      </c>
      <c r="E546" s="57" t="s">
        <v>96</v>
      </c>
      <c r="F546" s="52" t="s">
        <v>94</v>
      </c>
      <c r="G546" s="52" t="s">
        <v>0</v>
      </c>
    </row>
    <row r="547" spans="1:7">
      <c r="A547" s="54" t="s">
        <v>914</v>
      </c>
      <c r="B547" s="55" t="s">
        <v>119</v>
      </c>
      <c r="C547" s="56">
        <v>46</v>
      </c>
      <c r="D547" s="52">
        <v>4.2</v>
      </c>
      <c r="E547" s="57" t="s">
        <v>96</v>
      </c>
      <c r="F547" s="52" t="s">
        <v>95</v>
      </c>
      <c r="G547" s="52" t="s">
        <v>4</v>
      </c>
    </row>
    <row r="548" spans="1:7">
      <c r="A548" s="54" t="s">
        <v>915</v>
      </c>
      <c r="B548" s="55" t="s">
        <v>119</v>
      </c>
      <c r="C548" s="56">
        <v>47</v>
      </c>
      <c r="D548" s="52">
        <v>2.31</v>
      </c>
      <c r="E548" s="57" t="s">
        <v>76</v>
      </c>
      <c r="F548" s="52" t="s">
        <v>85</v>
      </c>
      <c r="G548" s="52" t="s">
        <v>4</v>
      </c>
    </row>
    <row r="549" spans="1:7">
      <c r="A549" s="54" t="s">
        <v>916</v>
      </c>
      <c r="B549" s="55" t="s">
        <v>119</v>
      </c>
      <c r="C549" s="56">
        <v>48</v>
      </c>
      <c r="D549" s="52">
        <v>2.34</v>
      </c>
      <c r="E549" s="57" t="s">
        <v>100</v>
      </c>
      <c r="F549" s="52" t="s">
        <v>88</v>
      </c>
      <c r="G549" s="52" t="s">
        <v>2</v>
      </c>
    </row>
    <row r="550" spans="1:7">
      <c r="A550" s="54" t="s">
        <v>917</v>
      </c>
      <c r="B550" s="55" t="s">
        <v>119</v>
      </c>
      <c r="C550" s="56">
        <v>49</v>
      </c>
      <c r="D550" s="52">
        <v>2.1</v>
      </c>
      <c r="E550" s="57" t="s">
        <v>28</v>
      </c>
      <c r="F550" s="52" t="s">
        <v>82</v>
      </c>
      <c r="G550" s="52" t="s">
        <v>2</v>
      </c>
    </row>
    <row r="551" spans="1:7">
      <c r="A551" s="54" t="s">
        <v>918</v>
      </c>
      <c r="B551" s="55" t="s">
        <v>119</v>
      </c>
      <c r="C551" s="56">
        <v>50</v>
      </c>
      <c r="D551" s="52">
        <v>2.2000000000000002</v>
      </c>
      <c r="E551" s="57" t="s">
        <v>28</v>
      </c>
      <c r="F551" s="52" t="s">
        <v>83</v>
      </c>
      <c r="G551" s="52" t="s">
        <v>2</v>
      </c>
    </row>
    <row r="552" spans="1:7">
      <c r="A552" s="54" t="s">
        <v>919</v>
      </c>
      <c r="B552" s="55" t="s">
        <v>120</v>
      </c>
      <c r="C552" s="56">
        <v>1</v>
      </c>
      <c r="D552" s="52">
        <v>2.1</v>
      </c>
      <c r="E552" s="57" t="s">
        <v>76</v>
      </c>
      <c r="F552" s="52" t="s">
        <v>82</v>
      </c>
      <c r="G552" s="52" t="s">
        <v>4</v>
      </c>
    </row>
    <row r="553" spans="1:7">
      <c r="A553" s="54" t="s">
        <v>920</v>
      </c>
      <c r="B553" s="55" t="s">
        <v>120</v>
      </c>
      <c r="C553" s="56">
        <v>2</v>
      </c>
      <c r="D553" s="52">
        <v>2.1</v>
      </c>
      <c r="E553" s="57" t="s">
        <v>81</v>
      </c>
      <c r="F553" s="52" t="s">
        <v>82</v>
      </c>
      <c r="G553" s="52" t="s">
        <v>1</v>
      </c>
    </row>
    <row r="554" spans="1:7">
      <c r="A554" s="54" t="s">
        <v>921</v>
      </c>
      <c r="B554" s="55" t="s">
        <v>120</v>
      </c>
      <c r="C554" s="56">
        <v>3</v>
      </c>
      <c r="D554" s="52">
        <v>2.1</v>
      </c>
      <c r="E554" s="57" t="s">
        <v>76</v>
      </c>
      <c r="F554" s="52" t="s">
        <v>82</v>
      </c>
      <c r="G554" s="52" t="s">
        <v>0</v>
      </c>
    </row>
    <row r="555" spans="1:7">
      <c r="A555" s="54" t="s">
        <v>922</v>
      </c>
      <c r="B555" s="55" t="s">
        <v>120</v>
      </c>
      <c r="C555" s="56">
        <v>4</v>
      </c>
      <c r="D555" s="52">
        <v>2.1</v>
      </c>
      <c r="E555" s="57" t="s">
        <v>96</v>
      </c>
      <c r="F555" s="52" t="s">
        <v>82</v>
      </c>
      <c r="G555" s="52" t="s">
        <v>0</v>
      </c>
    </row>
    <row r="556" spans="1:7">
      <c r="A556" s="54" t="s">
        <v>923</v>
      </c>
      <c r="B556" s="55" t="s">
        <v>120</v>
      </c>
      <c r="C556" s="56">
        <v>5</v>
      </c>
      <c r="D556" s="52">
        <v>4.0999999999999996</v>
      </c>
      <c r="E556" s="57" t="s">
        <v>81</v>
      </c>
      <c r="F556" s="52" t="s">
        <v>94</v>
      </c>
      <c r="G556" s="52" t="s">
        <v>4</v>
      </c>
    </row>
    <row r="557" spans="1:7">
      <c r="A557" s="54" t="s">
        <v>924</v>
      </c>
      <c r="B557" s="55" t="s">
        <v>120</v>
      </c>
      <c r="C557" s="56">
        <v>6</v>
      </c>
      <c r="D557" s="52">
        <v>2.3199999999999998</v>
      </c>
      <c r="E557" s="57" t="s">
        <v>81</v>
      </c>
      <c r="F557" s="52" t="s">
        <v>86</v>
      </c>
      <c r="G557" s="52" t="s">
        <v>3</v>
      </c>
    </row>
    <row r="558" spans="1:7">
      <c r="A558" s="54" t="s">
        <v>925</v>
      </c>
      <c r="B558" s="55" t="s">
        <v>120</v>
      </c>
      <c r="C558" s="56">
        <v>7</v>
      </c>
      <c r="D558" s="52">
        <v>5.0999999999999996</v>
      </c>
      <c r="E558" s="57" t="s">
        <v>81</v>
      </c>
      <c r="F558" s="52" t="s">
        <v>97</v>
      </c>
      <c r="G558" s="52" t="s">
        <v>4</v>
      </c>
    </row>
    <row r="559" spans="1:7">
      <c r="A559" s="54" t="s">
        <v>926</v>
      </c>
      <c r="B559" s="55" t="s">
        <v>120</v>
      </c>
      <c r="C559" s="56">
        <v>8</v>
      </c>
      <c r="D559" s="52">
        <v>2.33</v>
      </c>
      <c r="E559" s="57" t="s">
        <v>81</v>
      </c>
      <c r="F559" s="52" t="s">
        <v>87</v>
      </c>
      <c r="G559" s="52" t="s">
        <v>0</v>
      </c>
    </row>
    <row r="560" spans="1:7">
      <c r="A560" s="54" t="s">
        <v>927</v>
      </c>
      <c r="B560" s="55" t="s">
        <v>120</v>
      </c>
      <c r="C560" s="56">
        <v>9</v>
      </c>
      <c r="D560" s="52">
        <v>5.0999999999999996</v>
      </c>
      <c r="E560" s="57" t="s">
        <v>96</v>
      </c>
      <c r="F560" s="52" t="s">
        <v>97</v>
      </c>
      <c r="G560" s="52" t="s">
        <v>3</v>
      </c>
    </row>
    <row r="561" spans="1:7">
      <c r="A561" s="54" t="s">
        <v>928</v>
      </c>
      <c r="B561" s="55" t="s">
        <v>120</v>
      </c>
      <c r="C561" s="56">
        <v>10</v>
      </c>
      <c r="D561" s="52">
        <v>2.33</v>
      </c>
      <c r="E561" s="57" t="s">
        <v>81</v>
      </c>
      <c r="F561" s="52" t="s">
        <v>87</v>
      </c>
      <c r="G561" s="52" t="s">
        <v>1</v>
      </c>
    </row>
    <row r="562" spans="1:7">
      <c r="A562" s="54" t="s">
        <v>929</v>
      </c>
      <c r="B562" s="55" t="s">
        <v>120</v>
      </c>
      <c r="C562" s="56">
        <v>11</v>
      </c>
      <c r="D562" s="52">
        <v>3.2</v>
      </c>
      <c r="E562" s="57" t="s">
        <v>81</v>
      </c>
      <c r="F562" s="52" t="s">
        <v>91</v>
      </c>
      <c r="G562" s="52" t="s">
        <v>3</v>
      </c>
    </row>
    <row r="563" spans="1:7">
      <c r="A563" s="54" t="s">
        <v>930</v>
      </c>
      <c r="B563" s="55" t="s">
        <v>120</v>
      </c>
      <c r="C563" s="56">
        <v>12</v>
      </c>
      <c r="D563" s="52">
        <v>5.0999999999999996</v>
      </c>
      <c r="E563" s="57" t="s">
        <v>81</v>
      </c>
      <c r="F563" s="52" t="s">
        <v>97</v>
      </c>
      <c r="G563" s="52" t="s">
        <v>0</v>
      </c>
    </row>
    <row r="564" spans="1:7">
      <c r="A564" s="54" t="s">
        <v>931</v>
      </c>
      <c r="B564" s="55" t="s">
        <v>120</v>
      </c>
      <c r="C564" s="56">
        <v>13</v>
      </c>
      <c r="D564" s="52">
        <v>3.2</v>
      </c>
      <c r="E564" s="57" t="s">
        <v>100</v>
      </c>
      <c r="F564" s="52" t="s">
        <v>91</v>
      </c>
      <c r="G564" s="52" t="s">
        <v>4</v>
      </c>
    </row>
    <row r="565" spans="1:7">
      <c r="A565" s="54" t="s">
        <v>932</v>
      </c>
      <c r="B565" s="55" t="s">
        <v>120</v>
      </c>
      <c r="C565" s="56">
        <v>14</v>
      </c>
      <c r="D565" s="52">
        <v>2.31</v>
      </c>
      <c r="E565" s="57" t="s">
        <v>81</v>
      </c>
      <c r="F565" s="52" t="s">
        <v>85</v>
      </c>
      <c r="G565" s="52" t="s">
        <v>4</v>
      </c>
    </row>
    <row r="566" spans="1:7">
      <c r="A566" s="54" t="s">
        <v>933</v>
      </c>
      <c r="B566" s="55" t="s">
        <v>120</v>
      </c>
      <c r="C566" s="56">
        <v>15</v>
      </c>
      <c r="D566" s="52">
        <v>2.2000000000000002</v>
      </c>
      <c r="E566" s="57" t="s">
        <v>81</v>
      </c>
      <c r="F566" s="52" t="s">
        <v>83</v>
      </c>
      <c r="G566" s="52" t="s">
        <v>0</v>
      </c>
    </row>
    <row r="567" spans="1:7">
      <c r="A567" s="54" t="s">
        <v>934</v>
      </c>
      <c r="B567" s="55" t="s">
        <v>120</v>
      </c>
      <c r="C567" s="56">
        <v>16</v>
      </c>
      <c r="D567" s="52">
        <v>2.3199999999999998</v>
      </c>
      <c r="E567" s="57" t="s">
        <v>100</v>
      </c>
      <c r="F567" s="52" t="s">
        <v>86</v>
      </c>
      <c r="G567" s="52" t="s">
        <v>2</v>
      </c>
    </row>
    <row r="568" spans="1:7">
      <c r="A568" s="54" t="s">
        <v>935</v>
      </c>
      <c r="B568" s="55" t="s">
        <v>120</v>
      </c>
      <c r="C568" s="56">
        <v>17</v>
      </c>
      <c r="D568" s="52">
        <v>1.3</v>
      </c>
      <c r="E568" s="57" t="s">
        <v>81</v>
      </c>
      <c r="F568" s="52" t="s">
        <v>79</v>
      </c>
      <c r="G568" s="52" t="s">
        <v>2</v>
      </c>
    </row>
    <row r="569" spans="1:7">
      <c r="A569" s="54" t="s">
        <v>936</v>
      </c>
      <c r="B569" s="55" t="s">
        <v>120</v>
      </c>
      <c r="C569" s="56">
        <v>18</v>
      </c>
      <c r="D569" s="52">
        <v>1.4</v>
      </c>
      <c r="E569" s="57" t="s">
        <v>81</v>
      </c>
      <c r="F569" s="52" t="s">
        <v>30</v>
      </c>
      <c r="G569" s="52" t="s">
        <v>2</v>
      </c>
    </row>
    <row r="570" spans="1:7">
      <c r="A570" s="54" t="s">
        <v>937</v>
      </c>
      <c r="B570" s="55" t="s">
        <v>120</v>
      </c>
      <c r="C570" s="56">
        <v>19</v>
      </c>
      <c r="D570" s="52">
        <v>1.6</v>
      </c>
      <c r="E570" s="57" t="s">
        <v>81</v>
      </c>
      <c r="F570" s="52" t="s">
        <v>27</v>
      </c>
      <c r="G570" s="52" t="s">
        <v>4</v>
      </c>
    </row>
    <row r="571" spans="1:7">
      <c r="A571" s="54" t="s">
        <v>938</v>
      </c>
      <c r="B571" s="55" t="s">
        <v>120</v>
      </c>
      <c r="C571" s="56">
        <v>20</v>
      </c>
      <c r="D571" s="52">
        <v>1.3</v>
      </c>
      <c r="E571" s="57" t="s">
        <v>81</v>
      </c>
      <c r="F571" s="52" t="s">
        <v>79</v>
      </c>
      <c r="G571" s="52" t="s">
        <v>2</v>
      </c>
    </row>
    <row r="572" spans="1:7">
      <c r="A572" s="54" t="s">
        <v>939</v>
      </c>
      <c r="B572" s="55" t="s">
        <v>120</v>
      </c>
      <c r="C572" s="56">
        <v>21</v>
      </c>
      <c r="D572" s="52">
        <v>2.33</v>
      </c>
      <c r="E572" s="57" t="s">
        <v>81</v>
      </c>
      <c r="F572" s="52" t="s">
        <v>87</v>
      </c>
      <c r="G572" s="52" t="s">
        <v>2</v>
      </c>
    </row>
    <row r="573" spans="1:7">
      <c r="A573" s="54" t="s">
        <v>940</v>
      </c>
      <c r="B573" s="55" t="s">
        <v>120</v>
      </c>
      <c r="C573" s="56">
        <v>22</v>
      </c>
      <c r="D573" s="52">
        <v>2.31</v>
      </c>
      <c r="E573" s="57" t="s">
        <v>81</v>
      </c>
      <c r="F573" s="52" t="s">
        <v>85</v>
      </c>
      <c r="G573" s="52" t="s">
        <v>1</v>
      </c>
    </row>
    <row r="574" spans="1:7">
      <c r="A574" s="54" t="s">
        <v>941</v>
      </c>
      <c r="B574" s="55" t="s">
        <v>120</v>
      </c>
      <c r="C574" s="56">
        <v>23</v>
      </c>
      <c r="D574" s="52">
        <v>5.0999999999999996</v>
      </c>
      <c r="E574" s="57" t="s">
        <v>76</v>
      </c>
      <c r="F574" s="52" t="s">
        <v>97</v>
      </c>
      <c r="G574" s="52" t="s">
        <v>2</v>
      </c>
    </row>
    <row r="575" spans="1:7">
      <c r="A575" s="54" t="s">
        <v>942</v>
      </c>
      <c r="B575" s="55" t="s">
        <v>120</v>
      </c>
      <c r="C575" s="56">
        <v>24</v>
      </c>
      <c r="D575" s="52">
        <v>2.35</v>
      </c>
      <c r="E575" s="57" t="s">
        <v>96</v>
      </c>
      <c r="F575" s="52" t="s">
        <v>89</v>
      </c>
      <c r="G575" s="52" t="s">
        <v>4</v>
      </c>
    </row>
    <row r="576" spans="1:7">
      <c r="A576" s="54" t="s">
        <v>943</v>
      </c>
      <c r="B576" s="55" t="s">
        <v>120</v>
      </c>
      <c r="C576" s="56">
        <v>25</v>
      </c>
      <c r="D576" s="52">
        <v>2.35</v>
      </c>
      <c r="E576" s="57" t="s">
        <v>100</v>
      </c>
      <c r="F576" s="52" t="s">
        <v>89</v>
      </c>
      <c r="G576" s="52" t="s">
        <v>3</v>
      </c>
    </row>
    <row r="577" spans="1:7">
      <c r="A577" s="54" t="s">
        <v>944</v>
      </c>
      <c r="B577" s="55" t="s">
        <v>120</v>
      </c>
      <c r="C577" s="56">
        <v>26</v>
      </c>
      <c r="D577" s="52">
        <v>2.31</v>
      </c>
      <c r="E577" s="57" t="s">
        <v>81</v>
      </c>
      <c r="F577" s="52" t="s">
        <v>85</v>
      </c>
      <c r="G577" s="52" t="s">
        <v>2</v>
      </c>
    </row>
    <row r="578" spans="1:7">
      <c r="A578" s="54" t="s">
        <v>945</v>
      </c>
      <c r="B578" s="55" t="s">
        <v>120</v>
      </c>
      <c r="C578" s="56">
        <v>27</v>
      </c>
      <c r="D578" s="52">
        <v>1.3</v>
      </c>
      <c r="E578" s="57" t="s">
        <v>81</v>
      </c>
      <c r="F578" s="52" t="s">
        <v>79</v>
      </c>
      <c r="G578" s="52" t="s">
        <v>0</v>
      </c>
    </row>
    <row r="579" spans="1:7">
      <c r="A579" s="54" t="s">
        <v>946</v>
      </c>
      <c r="B579" s="55" t="s">
        <v>120</v>
      </c>
      <c r="C579" s="56">
        <v>28</v>
      </c>
      <c r="D579" s="52">
        <v>6.3</v>
      </c>
      <c r="E579" s="57" t="s">
        <v>81</v>
      </c>
      <c r="F579" s="52" t="s">
        <v>103</v>
      </c>
      <c r="G579" s="52" t="s">
        <v>4</v>
      </c>
    </row>
    <row r="580" spans="1:7">
      <c r="A580" s="54" t="s">
        <v>947</v>
      </c>
      <c r="B580" s="55" t="s">
        <v>120</v>
      </c>
      <c r="C580" s="56">
        <v>29</v>
      </c>
      <c r="D580" s="52">
        <v>5.2</v>
      </c>
      <c r="E580" s="57" t="s">
        <v>76</v>
      </c>
      <c r="F580" s="52" t="s">
        <v>98</v>
      </c>
      <c r="G580" s="52" t="s">
        <v>2</v>
      </c>
    </row>
    <row r="581" spans="1:7">
      <c r="A581" s="54" t="s">
        <v>948</v>
      </c>
      <c r="B581" s="55" t="s">
        <v>120</v>
      </c>
      <c r="C581" s="56">
        <v>30</v>
      </c>
      <c r="D581" s="52">
        <v>5.2</v>
      </c>
      <c r="E581" s="57" t="s">
        <v>96</v>
      </c>
      <c r="F581" s="52" t="s">
        <v>98</v>
      </c>
      <c r="G581" s="52" t="s">
        <v>0</v>
      </c>
    </row>
    <row r="582" spans="1:7">
      <c r="A582" s="54" t="s">
        <v>949</v>
      </c>
      <c r="B582" s="55" t="s">
        <v>120</v>
      </c>
      <c r="C582" s="56">
        <v>31</v>
      </c>
      <c r="D582" s="52">
        <v>2.35</v>
      </c>
      <c r="E582" s="57" t="s">
        <v>76</v>
      </c>
      <c r="F582" s="52" t="s">
        <v>89</v>
      </c>
      <c r="G582" s="52" t="s">
        <v>2</v>
      </c>
    </row>
    <row r="583" spans="1:7">
      <c r="A583" s="54" t="s">
        <v>950</v>
      </c>
      <c r="B583" s="55" t="s">
        <v>120</v>
      </c>
      <c r="C583" s="56">
        <v>32</v>
      </c>
      <c r="D583" s="52">
        <v>2.34</v>
      </c>
      <c r="E583" s="57" t="s">
        <v>81</v>
      </c>
      <c r="F583" s="52" t="s">
        <v>88</v>
      </c>
      <c r="G583" s="52" t="s">
        <v>4</v>
      </c>
    </row>
    <row r="584" spans="1:7">
      <c r="A584" s="54" t="s">
        <v>951</v>
      </c>
      <c r="B584" s="55" t="s">
        <v>120</v>
      </c>
      <c r="C584" s="56">
        <v>33</v>
      </c>
      <c r="D584" s="52">
        <v>6.2</v>
      </c>
      <c r="E584" s="57" t="s">
        <v>76</v>
      </c>
      <c r="F584" s="52" t="s">
        <v>102</v>
      </c>
      <c r="G584" s="52" t="s">
        <v>0</v>
      </c>
    </row>
    <row r="585" spans="1:7">
      <c r="A585" s="54" t="s">
        <v>952</v>
      </c>
      <c r="B585" s="55" t="s">
        <v>120</v>
      </c>
      <c r="C585" s="56">
        <v>34</v>
      </c>
      <c r="D585" s="52">
        <v>2.35</v>
      </c>
      <c r="E585" s="57" t="s">
        <v>81</v>
      </c>
      <c r="F585" s="52" t="s">
        <v>89</v>
      </c>
      <c r="G585" s="52" t="s">
        <v>3</v>
      </c>
    </row>
    <row r="586" spans="1:7">
      <c r="A586" s="54" t="s">
        <v>953</v>
      </c>
      <c r="B586" s="55" t="s">
        <v>120</v>
      </c>
      <c r="C586" s="56">
        <v>35</v>
      </c>
      <c r="D586" s="52">
        <v>5.0999999999999996</v>
      </c>
      <c r="E586" s="57" t="s">
        <v>81</v>
      </c>
      <c r="F586" s="52" t="s">
        <v>97</v>
      </c>
      <c r="G586" s="52" t="s">
        <v>3</v>
      </c>
    </row>
    <row r="587" spans="1:7">
      <c r="A587" s="54" t="s">
        <v>954</v>
      </c>
      <c r="B587" s="55" t="s">
        <v>120</v>
      </c>
      <c r="C587" s="56">
        <v>36</v>
      </c>
      <c r="D587" s="52">
        <v>2.1</v>
      </c>
      <c r="E587" s="57" t="s">
        <v>93</v>
      </c>
      <c r="F587" s="52" t="s">
        <v>82</v>
      </c>
      <c r="G587" s="52" t="s">
        <v>1</v>
      </c>
    </row>
    <row r="588" spans="1:7">
      <c r="A588" s="54" t="s">
        <v>955</v>
      </c>
      <c r="B588" s="55" t="s">
        <v>120</v>
      </c>
      <c r="C588" s="56">
        <v>37</v>
      </c>
      <c r="D588" s="52">
        <v>6.3</v>
      </c>
      <c r="E588" s="57" t="s">
        <v>81</v>
      </c>
      <c r="F588" s="52" t="s">
        <v>103</v>
      </c>
      <c r="G588" s="52" t="s">
        <v>4</v>
      </c>
    </row>
    <row r="589" spans="1:7">
      <c r="A589" s="54" t="s">
        <v>956</v>
      </c>
      <c r="B589" s="55" t="s">
        <v>120</v>
      </c>
      <c r="C589" s="56">
        <v>38</v>
      </c>
      <c r="D589" s="52">
        <v>3.2</v>
      </c>
      <c r="E589" s="57" t="s">
        <v>96</v>
      </c>
      <c r="F589" s="52" t="s">
        <v>91</v>
      </c>
      <c r="G589" s="52" t="s">
        <v>2</v>
      </c>
    </row>
    <row r="590" spans="1:7">
      <c r="A590" s="54" t="s">
        <v>957</v>
      </c>
      <c r="B590" s="55" t="s">
        <v>120</v>
      </c>
      <c r="C590" s="56">
        <v>39</v>
      </c>
      <c r="D590" s="52">
        <v>2.31</v>
      </c>
      <c r="E590" s="57" t="s">
        <v>93</v>
      </c>
      <c r="F590" s="52" t="s">
        <v>85</v>
      </c>
      <c r="G590" s="52" t="s">
        <v>4</v>
      </c>
    </row>
    <row r="591" spans="1:7">
      <c r="A591" s="54" t="s">
        <v>958</v>
      </c>
      <c r="B591" s="55" t="s">
        <v>120</v>
      </c>
      <c r="C591" s="56">
        <v>40</v>
      </c>
      <c r="D591" s="52">
        <v>2.3199999999999998</v>
      </c>
      <c r="E591" s="57" t="s">
        <v>81</v>
      </c>
      <c r="F591" s="52" t="s">
        <v>86</v>
      </c>
      <c r="G591" s="52" t="s">
        <v>0</v>
      </c>
    </row>
    <row r="592" spans="1:7">
      <c r="A592" s="54" t="s">
        <v>959</v>
      </c>
      <c r="B592" s="55" t="s">
        <v>120</v>
      </c>
      <c r="C592" s="56">
        <v>41</v>
      </c>
      <c r="D592" s="52">
        <v>2.1</v>
      </c>
      <c r="E592" s="57" t="s">
        <v>100</v>
      </c>
      <c r="F592" s="52" t="s">
        <v>82</v>
      </c>
      <c r="G592" s="52" t="s">
        <v>2</v>
      </c>
    </row>
    <row r="593" spans="1:7">
      <c r="A593" s="54" t="s">
        <v>960</v>
      </c>
      <c r="B593" s="55" t="s">
        <v>120</v>
      </c>
      <c r="C593" s="56">
        <v>42</v>
      </c>
      <c r="D593" s="52">
        <v>4.0999999999999996</v>
      </c>
      <c r="E593" s="57" t="s">
        <v>81</v>
      </c>
      <c r="F593" s="52" t="s">
        <v>94</v>
      </c>
      <c r="G593" s="52" t="s">
        <v>4</v>
      </c>
    </row>
    <row r="594" spans="1:7">
      <c r="A594" s="54" t="s">
        <v>961</v>
      </c>
      <c r="B594" s="55" t="s">
        <v>120</v>
      </c>
      <c r="C594" s="56">
        <v>43</v>
      </c>
      <c r="D594" s="52">
        <v>1.4</v>
      </c>
      <c r="E594" s="57" t="s">
        <v>81</v>
      </c>
      <c r="F594" s="52" t="s">
        <v>30</v>
      </c>
      <c r="G594" s="52" t="s">
        <v>2</v>
      </c>
    </row>
    <row r="595" spans="1:7">
      <c r="A595" s="54" t="s">
        <v>962</v>
      </c>
      <c r="B595" s="55" t="s">
        <v>120</v>
      </c>
      <c r="C595" s="56">
        <v>44</v>
      </c>
      <c r="D595" s="52">
        <v>3.4</v>
      </c>
      <c r="E595" s="57" t="s">
        <v>100</v>
      </c>
      <c r="F595" s="52" t="s">
        <v>29</v>
      </c>
      <c r="G595" s="52" t="s">
        <v>0</v>
      </c>
    </row>
    <row r="596" spans="1:7">
      <c r="A596" s="54" t="s">
        <v>963</v>
      </c>
      <c r="B596" s="55" t="s">
        <v>120</v>
      </c>
      <c r="C596" s="56">
        <v>45</v>
      </c>
      <c r="D596" s="52">
        <v>5.0999999999999996</v>
      </c>
      <c r="E596" s="57" t="s">
        <v>81</v>
      </c>
      <c r="F596" s="52" t="s">
        <v>97</v>
      </c>
      <c r="G596" s="52" t="s">
        <v>3</v>
      </c>
    </row>
    <row r="597" spans="1:7">
      <c r="A597" s="54" t="s">
        <v>964</v>
      </c>
      <c r="B597" s="55" t="s">
        <v>120</v>
      </c>
      <c r="C597" s="56">
        <v>46</v>
      </c>
      <c r="D597" s="52">
        <v>5.3</v>
      </c>
      <c r="E597" s="57" t="s">
        <v>81</v>
      </c>
      <c r="F597" s="52" t="s">
        <v>99</v>
      </c>
      <c r="G597" s="52" t="s">
        <v>0</v>
      </c>
    </row>
    <row r="598" spans="1:7">
      <c r="A598" s="54" t="s">
        <v>965</v>
      </c>
      <c r="B598" s="55" t="s">
        <v>120</v>
      </c>
      <c r="C598" s="56">
        <v>47</v>
      </c>
      <c r="D598" s="52">
        <v>1.6</v>
      </c>
      <c r="E598" s="57" t="s">
        <v>76</v>
      </c>
      <c r="F598" s="52" t="s">
        <v>27</v>
      </c>
      <c r="G598" s="52" t="s">
        <v>1</v>
      </c>
    </row>
    <row r="599" spans="1:7">
      <c r="A599" s="54" t="s">
        <v>966</v>
      </c>
      <c r="B599" s="55" t="s">
        <v>120</v>
      </c>
      <c r="C599" s="56">
        <v>48</v>
      </c>
      <c r="D599" s="52">
        <v>6.3</v>
      </c>
      <c r="E599" s="57" t="s">
        <v>100</v>
      </c>
      <c r="F599" s="52" t="s">
        <v>103</v>
      </c>
      <c r="G599" s="52" t="s">
        <v>4</v>
      </c>
    </row>
    <row r="600" spans="1:7">
      <c r="A600" s="54" t="s">
        <v>967</v>
      </c>
      <c r="B600" s="55" t="s">
        <v>120</v>
      </c>
      <c r="C600" s="56">
        <v>49</v>
      </c>
      <c r="D600" s="52">
        <v>3.2</v>
      </c>
      <c r="E600" s="57" t="s">
        <v>96</v>
      </c>
      <c r="F600" s="52" t="s">
        <v>91</v>
      </c>
      <c r="G600" s="52" t="s">
        <v>2</v>
      </c>
    </row>
    <row r="601" spans="1:7">
      <c r="A601" s="54" t="s">
        <v>968</v>
      </c>
      <c r="B601" s="55" t="s">
        <v>120</v>
      </c>
      <c r="C601" s="56">
        <v>50</v>
      </c>
      <c r="D601" s="52">
        <v>3.2</v>
      </c>
      <c r="E601" s="57" t="s">
        <v>96</v>
      </c>
      <c r="F601" s="52" t="s">
        <v>91</v>
      </c>
      <c r="G601" s="52" t="s">
        <v>2</v>
      </c>
    </row>
    <row r="602" spans="1:7">
      <c r="A602" s="54" t="s">
        <v>969</v>
      </c>
      <c r="B602" s="55" t="s">
        <v>121</v>
      </c>
      <c r="C602" s="56">
        <v>1</v>
      </c>
      <c r="D602" s="52">
        <v>1.1000000000000001</v>
      </c>
      <c r="E602" s="57" t="s">
        <v>81</v>
      </c>
      <c r="F602" s="52" t="s">
        <v>77</v>
      </c>
      <c r="G602" s="52" t="s">
        <v>0</v>
      </c>
    </row>
    <row r="603" spans="1:7">
      <c r="A603" s="54" t="s">
        <v>970</v>
      </c>
      <c r="B603" s="55" t="s">
        <v>121</v>
      </c>
      <c r="C603" s="56">
        <v>2</v>
      </c>
      <c r="D603" s="52">
        <v>2.31</v>
      </c>
      <c r="E603" s="57" t="s">
        <v>81</v>
      </c>
      <c r="F603" s="52" t="s">
        <v>85</v>
      </c>
      <c r="G603" s="52" t="s">
        <v>3</v>
      </c>
    </row>
    <row r="604" spans="1:7">
      <c r="A604" s="54" t="s">
        <v>971</v>
      </c>
      <c r="B604" s="55" t="s">
        <v>121</v>
      </c>
      <c r="C604" s="56">
        <v>3</v>
      </c>
      <c r="D604" s="52">
        <v>1.3</v>
      </c>
      <c r="E604" s="57" t="s">
        <v>81</v>
      </c>
      <c r="F604" s="52" t="s">
        <v>79</v>
      </c>
      <c r="G604" s="52" t="s">
        <v>0</v>
      </c>
    </row>
    <row r="605" spans="1:7">
      <c r="A605" s="54" t="s">
        <v>972</v>
      </c>
      <c r="B605" s="55" t="s">
        <v>121</v>
      </c>
      <c r="C605" s="56">
        <v>4</v>
      </c>
      <c r="D605" s="52">
        <v>5.3</v>
      </c>
      <c r="E605" s="57" t="s">
        <v>81</v>
      </c>
      <c r="F605" s="52" t="s">
        <v>99</v>
      </c>
      <c r="G605" s="52" t="s">
        <v>2</v>
      </c>
    </row>
    <row r="606" spans="1:7">
      <c r="A606" s="54" t="s">
        <v>973</v>
      </c>
      <c r="B606" s="55" t="s">
        <v>121</v>
      </c>
      <c r="C606" s="56">
        <v>5</v>
      </c>
      <c r="D606" s="52">
        <v>2.31</v>
      </c>
      <c r="E606" s="57" t="s">
        <v>96</v>
      </c>
      <c r="F606" s="52" t="s">
        <v>85</v>
      </c>
      <c r="G606" s="52" t="s">
        <v>2</v>
      </c>
    </row>
    <row r="607" spans="1:7">
      <c r="A607" s="54" t="s">
        <v>974</v>
      </c>
      <c r="B607" s="55" t="s">
        <v>121</v>
      </c>
      <c r="C607" s="56">
        <v>6</v>
      </c>
      <c r="D607" s="52">
        <v>2.35</v>
      </c>
      <c r="E607" s="57" t="s">
        <v>100</v>
      </c>
      <c r="F607" s="52" t="s">
        <v>89</v>
      </c>
      <c r="G607" s="52" t="s">
        <v>1</v>
      </c>
    </row>
    <row r="608" spans="1:7">
      <c r="A608" s="54" t="s">
        <v>975</v>
      </c>
      <c r="B608" s="55" t="s">
        <v>121</v>
      </c>
      <c r="C608" s="56">
        <v>7</v>
      </c>
      <c r="D608" s="52">
        <v>1.5</v>
      </c>
      <c r="E608" s="57" t="s">
        <v>81</v>
      </c>
      <c r="F608" s="52" t="s">
        <v>80</v>
      </c>
      <c r="G608" s="52" t="s">
        <v>0</v>
      </c>
    </row>
    <row r="609" spans="1:7">
      <c r="A609" s="54" t="s">
        <v>976</v>
      </c>
      <c r="B609" s="55" t="s">
        <v>121</v>
      </c>
      <c r="C609" s="56">
        <v>8</v>
      </c>
      <c r="D609" s="52">
        <v>3.1</v>
      </c>
      <c r="E609" s="57" t="s">
        <v>81</v>
      </c>
      <c r="F609" s="52" t="s">
        <v>90</v>
      </c>
      <c r="G609" s="52" t="s">
        <v>3</v>
      </c>
    </row>
    <row r="610" spans="1:7">
      <c r="A610" s="54" t="s">
        <v>977</v>
      </c>
      <c r="B610" s="55" t="s">
        <v>121</v>
      </c>
      <c r="C610" s="56">
        <v>9</v>
      </c>
      <c r="D610" s="52">
        <v>5.3</v>
      </c>
      <c r="E610" s="57" t="s">
        <v>28</v>
      </c>
      <c r="F610" s="52" t="s">
        <v>99</v>
      </c>
      <c r="G610" s="52" t="s">
        <v>2</v>
      </c>
    </row>
    <row r="611" spans="1:7">
      <c r="A611" s="54" t="s">
        <v>978</v>
      </c>
      <c r="B611" s="55" t="s">
        <v>121</v>
      </c>
      <c r="C611" s="56">
        <v>10</v>
      </c>
      <c r="D611" s="52">
        <v>2.35</v>
      </c>
      <c r="E611" s="57" t="s">
        <v>81</v>
      </c>
      <c r="F611" s="52" t="s">
        <v>89</v>
      </c>
      <c r="G611" s="52" t="s">
        <v>0</v>
      </c>
    </row>
    <row r="612" spans="1:7">
      <c r="A612" s="54" t="s">
        <v>979</v>
      </c>
      <c r="B612" s="55" t="s">
        <v>121</v>
      </c>
      <c r="C612" s="56">
        <v>11</v>
      </c>
      <c r="D612" s="52">
        <v>2.34</v>
      </c>
      <c r="E612" s="57" t="s">
        <v>81</v>
      </c>
      <c r="F612" s="52" t="s">
        <v>88</v>
      </c>
      <c r="G612" s="52" t="s">
        <v>3</v>
      </c>
    </row>
    <row r="613" spans="1:7">
      <c r="A613" s="54" t="s">
        <v>980</v>
      </c>
      <c r="B613" s="55" t="s">
        <v>121</v>
      </c>
      <c r="C613" s="56">
        <v>12</v>
      </c>
      <c r="D613" s="52">
        <v>2.31</v>
      </c>
      <c r="E613" s="57" t="s">
        <v>76</v>
      </c>
      <c r="F613" s="52" t="s">
        <v>85</v>
      </c>
      <c r="G613" s="52" t="s">
        <v>1</v>
      </c>
    </row>
    <row r="614" spans="1:7">
      <c r="A614" s="54" t="s">
        <v>981</v>
      </c>
      <c r="B614" s="55" t="s">
        <v>121</v>
      </c>
      <c r="C614" s="56">
        <v>13</v>
      </c>
      <c r="D614" s="52">
        <v>6.3</v>
      </c>
      <c r="E614" s="57" t="s">
        <v>76</v>
      </c>
      <c r="F614" s="52" t="s">
        <v>103</v>
      </c>
      <c r="G614" s="52" t="s">
        <v>3</v>
      </c>
    </row>
    <row r="615" spans="1:7">
      <c r="A615" s="54" t="s">
        <v>982</v>
      </c>
      <c r="B615" s="55" t="s">
        <v>121</v>
      </c>
      <c r="C615" s="56">
        <v>14</v>
      </c>
      <c r="D615" s="52">
        <v>2.34</v>
      </c>
      <c r="E615" s="57" t="s">
        <v>81</v>
      </c>
      <c r="F615" s="52" t="s">
        <v>88</v>
      </c>
      <c r="G615" s="52" t="s">
        <v>1</v>
      </c>
    </row>
    <row r="616" spans="1:7">
      <c r="A616" s="54" t="s">
        <v>983</v>
      </c>
      <c r="B616" s="55" t="s">
        <v>121</v>
      </c>
      <c r="C616" s="56">
        <v>15</v>
      </c>
      <c r="D616" s="52">
        <v>2.31</v>
      </c>
      <c r="E616" s="57" t="s">
        <v>96</v>
      </c>
      <c r="F616" s="52" t="s">
        <v>85</v>
      </c>
      <c r="G616" s="52" t="s">
        <v>4</v>
      </c>
    </row>
    <row r="617" spans="1:7">
      <c r="A617" s="54" t="s">
        <v>984</v>
      </c>
      <c r="B617" s="55" t="s">
        <v>121</v>
      </c>
      <c r="C617" s="56">
        <v>16</v>
      </c>
      <c r="D617" s="52">
        <v>6.1</v>
      </c>
      <c r="E617" s="57" t="s">
        <v>81</v>
      </c>
      <c r="F617" s="52" t="s">
        <v>101</v>
      </c>
      <c r="G617" s="52" t="s">
        <v>2</v>
      </c>
    </row>
    <row r="618" spans="1:7">
      <c r="A618" s="54" t="s">
        <v>985</v>
      </c>
      <c r="B618" s="55" t="s">
        <v>121</v>
      </c>
      <c r="C618" s="56">
        <v>17</v>
      </c>
      <c r="D618" s="52">
        <v>2.1</v>
      </c>
      <c r="E618" s="57" t="s">
        <v>81</v>
      </c>
      <c r="F618" s="52" t="s">
        <v>82</v>
      </c>
      <c r="G618" s="52" t="s">
        <v>0</v>
      </c>
    </row>
    <row r="619" spans="1:7">
      <c r="A619" s="54" t="s">
        <v>986</v>
      </c>
      <c r="B619" s="55" t="s">
        <v>121</v>
      </c>
      <c r="C619" s="56">
        <v>18</v>
      </c>
      <c r="D619" s="52">
        <v>1.1000000000000001</v>
      </c>
      <c r="E619" s="57" t="s">
        <v>76</v>
      </c>
      <c r="F619" s="52" t="s">
        <v>77</v>
      </c>
      <c r="G619" s="52" t="s">
        <v>2</v>
      </c>
    </row>
    <row r="620" spans="1:7">
      <c r="A620" s="54" t="s">
        <v>987</v>
      </c>
      <c r="B620" s="55" t="s">
        <v>121</v>
      </c>
      <c r="C620" s="56">
        <v>19</v>
      </c>
      <c r="D620" s="52">
        <v>2.31</v>
      </c>
      <c r="E620" s="57" t="s">
        <v>76</v>
      </c>
      <c r="F620" s="52" t="s">
        <v>85</v>
      </c>
      <c r="G620" s="52" t="s">
        <v>2</v>
      </c>
    </row>
    <row r="621" spans="1:7">
      <c r="A621" s="54" t="s">
        <v>988</v>
      </c>
      <c r="B621" s="55" t="s">
        <v>121</v>
      </c>
      <c r="C621" s="56">
        <v>20</v>
      </c>
      <c r="D621" s="52">
        <v>2.1</v>
      </c>
      <c r="E621" s="57" t="s">
        <v>81</v>
      </c>
      <c r="F621" s="52" t="s">
        <v>82</v>
      </c>
      <c r="G621" s="52" t="s">
        <v>4</v>
      </c>
    </row>
    <row r="622" spans="1:7">
      <c r="A622" s="54" t="s">
        <v>989</v>
      </c>
      <c r="B622" s="55" t="s">
        <v>121</v>
      </c>
      <c r="C622" s="56">
        <v>21</v>
      </c>
      <c r="D622" s="52">
        <v>6.2</v>
      </c>
      <c r="E622" s="57" t="s">
        <v>76</v>
      </c>
      <c r="F622" s="52" t="s">
        <v>102</v>
      </c>
      <c r="G622" s="52" t="s">
        <v>4</v>
      </c>
    </row>
    <row r="623" spans="1:7">
      <c r="A623" s="54" t="s">
        <v>990</v>
      </c>
      <c r="B623" s="55" t="s">
        <v>121</v>
      </c>
      <c r="C623" s="56">
        <v>22</v>
      </c>
      <c r="D623" s="52">
        <v>2.1</v>
      </c>
      <c r="E623" s="57" t="s">
        <v>96</v>
      </c>
      <c r="F623" s="52" t="s">
        <v>82</v>
      </c>
      <c r="G623" s="52" t="s">
        <v>2</v>
      </c>
    </row>
    <row r="624" spans="1:7">
      <c r="A624" s="54" t="s">
        <v>991</v>
      </c>
      <c r="B624" s="55" t="s">
        <v>121</v>
      </c>
      <c r="C624" s="56">
        <v>23</v>
      </c>
      <c r="D624" s="52">
        <v>1.1000000000000001</v>
      </c>
      <c r="E624" s="57" t="s">
        <v>81</v>
      </c>
      <c r="F624" s="52" t="s">
        <v>77</v>
      </c>
      <c r="G624" s="52" t="s">
        <v>3</v>
      </c>
    </row>
    <row r="625" spans="1:7">
      <c r="A625" s="54" t="s">
        <v>992</v>
      </c>
      <c r="B625" s="55" t="s">
        <v>121</v>
      </c>
      <c r="C625" s="56">
        <v>24</v>
      </c>
      <c r="D625" s="52">
        <v>5.2</v>
      </c>
      <c r="E625" s="57" t="s">
        <v>81</v>
      </c>
      <c r="F625" s="52" t="s">
        <v>98</v>
      </c>
      <c r="G625" s="52" t="s">
        <v>2</v>
      </c>
    </row>
    <row r="626" spans="1:7">
      <c r="A626" s="54" t="s">
        <v>993</v>
      </c>
      <c r="B626" s="55" t="s">
        <v>121</v>
      </c>
      <c r="C626" s="56">
        <v>25</v>
      </c>
      <c r="D626" s="52">
        <v>6.1</v>
      </c>
      <c r="E626" s="57" t="s">
        <v>81</v>
      </c>
      <c r="F626" s="52" t="s">
        <v>101</v>
      </c>
      <c r="G626" s="52" t="s">
        <v>3</v>
      </c>
    </row>
    <row r="627" spans="1:7">
      <c r="A627" s="54" t="s">
        <v>994</v>
      </c>
      <c r="B627" s="55" t="s">
        <v>121</v>
      </c>
      <c r="C627" s="56">
        <v>26</v>
      </c>
      <c r="D627" s="52">
        <v>2.1</v>
      </c>
      <c r="E627" s="57" t="s">
        <v>81</v>
      </c>
      <c r="F627" s="52" t="s">
        <v>82</v>
      </c>
      <c r="G627" s="52" t="s">
        <v>0</v>
      </c>
    </row>
    <row r="628" spans="1:7">
      <c r="A628" s="54" t="s">
        <v>995</v>
      </c>
      <c r="B628" s="55" t="s">
        <v>121</v>
      </c>
      <c r="C628" s="56">
        <v>27</v>
      </c>
      <c r="D628" s="52">
        <v>2.35</v>
      </c>
      <c r="E628" s="57" t="s">
        <v>28</v>
      </c>
      <c r="F628" s="52" t="s">
        <v>89</v>
      </c>
      <c r="G628" s="52" t="s">
        <v>2</v>
      </c>
    </row>
    <row r="629" spans="1:7">
      <c r="A629" s="54" t="s">
        <v>996</v>
      </c>
      <c r="B629" s="55" t="s">
        <v>121</v>
      </c>
      <c r="C629" s="56">
        <v>28</v>
      </c>
      <c r="D629" s="52">
        <v>2.2000000000000002</v>
      </c>
      <c r="E629" s="57" t="s">
        <v>81</v>
      </c>
      <c r="F629" s="52" t="s">
        <v>83</v>
      </c>
      <c r="G629" s="52" t="s">
        <v>1</v>
      </c>
    </row>
    <row r="630" spans="1:7">
      <c r="A630" s="54" t="s">
        <v>997</v>
      </c>
      <c r="B630" s="55" t="s">
        <v>121</v>
      </c>
      <c r="C630" s="56">
        <v>29</v>
      </c>
      <c r="D630" s="52">
        <v>1.2</v>
      </c>
      <c r="E630" s="57" t="s">
        <v>81</v>
      </c>
      <c r="F630" s="52" t="s">
        <v>78</v>
      </c>
      <c r="G630" s="52" t="s">
        <v>4</v>
      </c>
    </row>
    <row r="631" spans="1:7">
      <c r="A631" s="54" t="s">
        <v>998</v>
      </c>
      <c r="B631" s="55" t="s">
        <v>121</v>
      </c>
      <c r="C631" s="56">
        <v>30</v>
      </c>
      <c r="D631" s="52">
        <v>5.0999999999999996</v>
      </c>
      <c r="E631" s="57" t="s">
        <v>81</v>
      </c>
      <c r="F631" s="52" t="s">
        <v>97</v>
      </c>
      <c r="G631" s="52" t="s">
        <v>3</v>
      </c>
    </row>
    <row r="632" spans="1:7">
      <c r="A632" s="54" t="s">
        <v>999</v>
      </c>
      <c r="B632" s="55" t="s">
        <v>121</v>
      </c>
      <c r="C632" s="56">
        <v>31</v>
      </c>
      <c r="D632" s="52">
        <v>1.3</v>
      </c>
      <c r="E632" s="57" t="s">
        <v>81</v>
      </c>
      <c r="F632" s="52" t="s">
        <v>79</v>
      </c>
      <c r="G632" s="52" t="s">
        <v>1</v>
      </c>
    </row>
    <row r="633" spans="1:7">
      <c r="A633" s="54" t="s">
        <v>1000</v>
      </c>
      <c r="B633" s="55" t="s">
        <v>121</v>
      </c>
      <c r="C633" s="56">
        <v>32</v>
      </c>
      <c r="D633" s="52">
        <v>2.1</v>
      </c>
      <c r="E633" s="57" t="s">
        <v>100</v>
      </c>
      <c r="F633" s="52" t="s">
        <v>82</v>
      </c>
      <c r="G633" s="52" t="s">
        <v>3</v>
      </c>
    </row>
    <row r="634" spans="1:7">
      <c r="A634" s="54" t="s">
        <v>1001</v>
      </c>
      <c r="B634" s="55" t="s">
        <v>121</v>
      </c>
      <c r="C634" s="56">
        <v>33</v>
      </c>
      <c r="D634" s="52">
        <v>1.1000000000000001</v>
      </c>
      <c r="E634" s="57" t="s">
        <v>81</v>
      </c>
      <c r="F634" s="52" t="s">
        <v>77</v>
      </c>
      <c r="G634" s="52" t="s">
        <v>0</v>
      </c>
    </row>
    <row r="635" spans="1:7">
      <c r="A635" s="54" t="s">
        <v>1002</v>
      </c>
      <c r="B635" s="55" t="s">
        <v>121</v>
      </c>
      <c r="C635" s="56">
        <v>34</v>
      </c>
      <c r="D635" s="52">
        <v>2.35</v>
      </c>
      <c r="E635" s="57" t="s">
        <v>93</v>
      </c>
      <c r="F635" s="52" t="s">
        <v>89</v>
      </c>
      <c r="G635" s="52" t="s">
        <v>2</v>
      </c>
    </row>
    <row r="636" spans="1:7">
      <c r="A636" s="54" t="s">
        <v>1003</v>
      </c>
      <c r="B636" s="55" t="s">
        <v>121</v>
      </c>
      <c r="C636" s="56">
        <v>35</v>
      </c>
      <c r="D636" s="52">
        <v>2.33</v>
      </c>
      <c r="E636" s="57" t="s">
        <v>96</v>
      </c>
      <c r="F636" s="52" t="s">
        <v>87</v>
      </c>
      <c r="G636" s="52" t="s">
        <v>3</v>
      </c>
    </row>
    <row r="637" spans="1:7">
      <c r="A637" s="54" t="s">
        <v>1004</v>
      </c>
      <c r="B637" s="55" t="s">
        <v>121</v>
      </c>
      <c r="C637" s="56">
        <v>36</v>
      </c>
      <c r="D637" s="52">
        <v>4.0999999999999996</v>
      </c>
      <c r="E637" s="57" t="s">
        <v>76</v>
      </c>
      <c r="F637" s="52" t="s">
        <v>94</v>
      </c>
      <c r="G637" s="52" t="s">
        <v>4</v>
      </c>
    </row>
    <row r="638" spans="1:7">
      <c r="A638" s="54" t="s">
        <v>1005</v>
      </c>
      <c r="B638" s="55" t="s">
        <v>121</v>
      </c>
      <c r="C638" s="56">
        <v>37</v>
      </c>
      <c r="D638" s="52">
        <v>2.35</v>
      </c>
      <c r="E638" s="57" t="s">
        <v>81</v>
      </c>
      <c r="F638" s="52" t="s">
        <v>89</v>
      </c>
      <c r="G638" s="52" t="s">
        <v>0</v>
      </c>
    </row>
    <row r="639" spans="1:7">
      <c r="A639" s="54" t="s">
        <v>1006</v>
      </c>
      <c r="B639" s="55" t="s">
        <v>121</v>
      </c>
      <c r="C639" s="56">
        <v>38</v>
      </c>
      <c r="D639" s="52">
        <v>5.3</v>
      </c>
      <c r="E639" s="57" t="s">
        <v>100</v>
      </c>
      <c r="F639" s="52" t="s">
        <v>99</v>
      </c>
      <c r="G639" s="52" t="s">
        <v>0</v>
      </c>
    </row>
    <row r="640" spans="1:7">
      <c r="A640" s="54" t="s">
        <v>1007</v>
      </c>
      <c r="B640" s="55" t="s">
        <v>121</v>
      </c>
      <c r="C640" s="56">
        <v>39</v>
      </c>
      <c r="D640" s="52">
        <v>2.35</v>
      </c>
      <c r="E640" s="57" t="s">
        <v>28</v>
      </c>
      <c r="F640" s="52" t="s">
        <v>89</v>
      </c>
      <c r="G640" s="52" t="s">
        <v>1</v>
      </c>
    </row>
    <row r="641" spans="1:7">
      <c r="A641" s="54" t="s">
        <v>1008</v>
      </c>
      <c r="B641" s="55" t="s">
        <v>121</v>
      </c>
      <c r="C641" s="56">
        <v>40</v>
      </c>
      <c r="D641" s="52">
        <v>2.1</v>
      </c>
      <c r="E641" s="57" t="s">
        <v>76</v>
      </c>
      <c r="F641" s="52" t="s">
        <v>82</v>
      </c>
      <c r="G641" s="52" t="s">
        <v>1</v>
      </c>
    </row>
    <row r="642" spans="1:7">
      <c r="A642" s="54" t="s">
        <v>1009</v>
      </c>
      <c r="B642" s="55" t="s">
        <v>121</v>
      </c>
      <c r="C642" s="56">
        <v>41</v>
      </c>
      <c r="D642" s="52">
        <v>6.3</v>
      </c>
      <c r="E642" s="57" t="s">
        <v>100</v>
      </c>
      <c r="F642" s="52" t="s">
        <v>103</v>
      </c>
      <c r="G642" s="52" t="s">
        <v>3</v>
      </c>
    </row>
    <row r="643" spans="1:7">
      <c r="A643" s="54" t="s">
        <v>1010</v>
      </c>
      <c r="B643" s="55" t="s">
        <v>121</v>
      </c>
      <c r="C643" s="56">
        <v>42</v>
      </c>
      <c r="D643" s="52">
        <v>2.3199999999999998</v>
      </c>
      <c r="E643" s="57" t="s">
        <v>100</v>
      </c>
      <c r="F643" s="52" t="s">
        <v>86</v>
      </c>
      <c r="G643" s="52" t="s">
        <v>4</v>
      </c>
    </row>
    <row r="644" spans="1:7">
      <c r="A644" s="54" t="s">
        <v>1011</v>
      </c>
      <c r="B644" s="55" t="s">
        <v>121</v>
      </c>
      <c r="C644" s="56">
        <v>43</v>
      </c>
      <c r="D644" s="52">
        <v>2.35</v>
      </c>
      <c r="E644" s="57" t="s">
        <v>81</v>
      </c>
      <c r="F644" s="52" t="s">
        <v>89</v>
      </c>
      <c r="G644" s="52" t="s">
        <v>0</v>
      </c>
    </row>
    <row r="645" spans="1:7">
      <c r="A645" s="54" t="s">
        <v>1012</v>
      </c>
      <c r="B645" s="55" t="s">
        <v>121</v>
      </c>
      <c r="C645" s="56">
        <v>44</v>
      </c>
      <c r="D645" s="52">
        <v>6.3</v>
      </c>
      <c r="E645" s="57" t="s">
        <v>76</v>
      </c>
      <c r="F645" s="52" t="s">
        <v>103</v>
      </c>
      <c r="G645" s="52" t="s">
        <v>2</v>
      </c>
    </row>
    <row r="646" spans="1:7">
      <c r="A646" s="54" t="s">
        <v>1013</v>
      </c>
      <c r="B646" s="55" t="s">
        <v>121</v>
      </c>
      <c r="C646" s="56">
        <v>45</v>
      </c>
      <c r="D646" s="52">
        <v>2.2000000000000002</v>
      </c>
      <c r="E646" s="57" t="s">
        <v>81</v>
      </c>
      <c r="F646" s="52" t="s">
        <v>83</v>
      </c>
      <c r="G646" s="52" t="s">
        <v>4</v>
      </c>
    </row>
    <row r="647" spans="1:7">
      <c r="A647" s="54" t="s">
        <v>1014</v>
      </c>
      <c r="B647" s="55" t="s">
        <v>121</v>
      </c>
      <c r="C647" s="56">
        <v>46</v>
      </c>
      <c r="D647" s="52">
        <v>5.2</v>
      </c>
      <c r="E647" s="57" t="s">
        <v>96</v>
      </c>
      <c r="F647" s="52" t="s">
        <v>98</v>
      </c>
      <c r="G647" s="52" t="s">
        <v>4</v>
      </c>
    </row>
    <row r="648" spans="1:7">
      <c r="A648" s="54" t="s">
        <v>1015</v>
      </c>
      <c r="B648" s="55" t="s">
        <v>121</v>
      </c>
      <c r="C648" s="56">
        <v>47</v>
      </c>
      <c r="D648" s="52">
        <v>1.4</v>
      </c>
      <c r="E648" s="57" t="s">
        <v>100</v>
      </c>
      <c r="F648" s="52" t="s">
        <v>30</v>
      </c>
      <c r="G648" s="52" t="s">
        <v>0</v>
      </c>
    </row>
    <row r="649" spans="1:7">
      <c r="A649" s="54" t="s">
        <v>1016</v>
      </c>
      <c r="B649" s="55" t="s">
        <v>121</v>
      </c>
      <c r="C649" s="56">
        <v>48</v>
      </c>
      <c r="D649" s="52">
        <v>6.3</v>
      </c>
      <c r="E649" s="57" t="s">
        <v>81</v>
      </c>
      <c r="F649" s="52" t="s">
        <v>103</v>
      </c>
      <c r="G649" s="52" t="s">
        <v>0</v>
      </c>
    </row>
    <row r="650" spans="1:7">
      <c r="A650" s="54" t="s">
        <v>1017</v>
      </c>
      <c r="B650" s="55" t="s">
        <v>121</v>
      </c>
      <c r="C650" s="56">
        <v>49</v>
      </c>
      <c r="D650" s="52">
        <v>5.3</v>
      </c>
      <c r="E650" s="57" t="s">
        <v>93</v>
      </c>
      <c r="F650" s="52" t="s">
        <v>99</v>
      </c>
      <c r="G650" s="52" t="s">
        <v>3</v>
      </c>
    </row>
    <row r="651" spans="1:7">
      <c r="A651" s="54" t="s">
        <v>1018</v>
      </c>
      <c r="B651" s="55" t="s">
        <v>121</v>
      </c>
      <c r="C651" s="56">
        <v>50</v>
      </c>
      <c r="D651" s="52">
        <v>5.0999999999999996</v>
      </c>
      <c r="E651" s="57" t="s">
        <v>100</v>
      </c>
      <c r="F651" s="52" t="s">
        <v>97</v>
      </c>
      <c r="G651" s="52" t="s">
        <v>0</v>
      </c>
    </row>
    <row r="652" spans="1:7">
      <c r="A652" s="54" t="s">
        <v>1019</v>
      </c>
      <c r="B652" s="55" t="s">
        <v>122</v>
      </c>
      <c r="C652" s="56">
        <v>1</v>
      </c>
      <c r="D652" s="52">
        <v>1.1000000000000001</v>
      </c>
      <c r="E652" s="57" t="s">
        <v>81</v>
      </c>
      <c r="F652" s="52" t="s">
        <v>77</v>
      </c>
      <c r="G652" s="52" t="s">
        <v>3</v>
      </c>
    </row>
    <row r="653" spans="1:7">
      <c r="A653" s="54" t="s">
        <v>1020</v>
      </c>
      <c r="B653" s="55" t="s">
        <v>122</v>
      </c>
      <c r="C653" s="56">
        <v>2</v>
      </c>
      <c r="D653" s="52">
        <v>2.1</v>
      </c>
      <c r="E653" s="57" t="s">
        <v>76</v>
      </c>
      <c r="F653" s="52" t="s">
        <v>82</v>
      </c>
      <c r="G653" s="52" t="s">
        <v>1</v>
      </c>
    </row>
    <row r="654" spans="1:7">
      <c r="A654" s="54" t="s">
        <v>1021</v>
      </c>
      <c r="B654" s="55" t="s">
        <v>122</v>
      </c>
      <c r="C654" s="56">
        <v>3</v>
      </c>
      <c r="D654" s="52">
        <v>2.31</v>
      </c>
      <c r="E654" s="57" t="s">
        <v>96</v>
      </c>
      <c r="F654" s="52" t="s">
        <v>85</v>
      </c>
      <c r="G654" s="52" t="s">
        <v>3</v>
      </c>
    </row>
    <row r="655" spans="1:7">
      <c r="A655" s="54" t="s">
        <v>1022</v>
      </c>
      <c r="B655" s="55" t="s">
        <v>122</v>
      </c>
      <c r="C655" s="56">
        <v>4</v>
      </c>
      <c r="D655" s="52">
        <v>2.1</v>
      </c>
      <c r="E655" s="57" t="s">
        <v>81</v>
      </c>
      <c r="F655" s="52" t="s">
        <v>82</v>
      </c>
      <c r="G655" s="52" t="s">
        <v>3</v>
      </c>
    </row>
    <row r="656" spans="1:7">
      <c r="A656" s="54" t="s">
        <v>1023</v>
      </c>
      <c r="B656" s="55" t="s">
        <v>122</v>
      </c>
      <c r="C656" s="56">
        <v>5</v>
      </c>
      <c r="D656" s="52">
        <v>5.0999999999999996</v>
      </c>
      <c r="E656" s="57" t="s">
        <v>81</v>
      </c>
      <c r="F656" s="52" t="s">
        <v>97</v>
      </c>
      <c r="G656" s="52" t="s">
        <v>2</v>
      </c>
    </row>
    <row r="657" spans="1:7">
      <c r="A657" s="54" t="s">
        <v>1024</v>
      </c>
      <c r="B657" s="55" t="s">
        <v>122</v>
      </c>
      <c r="C657" s="56">
        <v>6</v>
      </c>
      <c r="D657" s="52">
        <v>6.1</v>
      </c>
      <c r="E657" s="57" t="s">
        <v>81</v>
      </c>
      <c r="F657" s="52" t="s">
        <v>101</v>
      </c>
      <c r="G657" s="52" t="s">
        <v>3</v>
      </c>
    </row>
    <row r="658" spans="1:7">
      <c r="A658" s="54" t="s">
        <v>1025</v>
      </c>
      <c r="B658" s="55" t="s">
        <v>122</v>
      </c>
      <c r="C658" s="56">
        <v>7</v>
      </c>
      <c r="D658" s="52">
        <v>2.3199999999999998</v>
      </c>
      <c r="E658" s="57" t="s">
        <v>76</v>
      </c>
      <c r="F658" s="52" t="s">
        <v>86</v>
      </c>
      <c r="G658" s="52" t="s">
        <v>3</v>
      </c>
    </row>
    <row r="659" spans="1:7">
      <c r="A659" s="54" t="s">
        <v>1026</v>
      </c>
      <c r="B659" s="55" t="s">
        <v>122</v>
      </c>
      <c r="C659" s="56">
        <v>8</v>
      </c>
      <c r="D659" s="52">
        <v>2.35</v>
      </c>
      <c r="E659" s="57" t="s">
        <v>76</v>
      </c>
      <c r="F659" s="52" t="s">
        <v>89</v>
      </c>
      <c r="G659" s="52" t="s">
        <v>0</v>
      </c>
    </row>
    <row r="660" spans="1:7">
      <c r="A660" s="54" t="s">
        <v>1027</v>
      </c>
      <c r="B660" s="55" t="s">
        <v>122</v>
      </c>
      <c r="C660" s="56">
        <v>9</v>
      </c>
      <c r="D660" s="52">
        <v>3.2</v>
      </c>
      <c r="E660" s="57" t="s">
        <v>81</v>
      </c>
      <c r="F660" s="52" t="s">
        <v>91</v>
      </c>
      <c r="G660" s="52" t="s">
        <v>4</v>
      </c>
    </row>
    <row r="661" spans="1:7">
      <c r="A661" s="54" t="s">
        <v>1028</v>
      </c>
      <c r="B661" s="55" t="s">
        <v>122</v>
      </c>
      <c r="C661" s="56">
        <v>10</v>
      </c>
      <c r="D661" s="52">
        <v>3.1</v>
      </c>
      <c r="E661" s="57" t="s">
        <v>81</v>
      </c>
      <c r="F661" s="52" t="s">
        <v>90</v>
      </c>
      <c r="G661" s="52" t="s">
        <v>4</v>
      </c>
    </row>
    <row r="662" spans="1:7">
      <c r="A662" s="54" t="s">
        <v>1029</v>
      </c>
      <c r="B662" s="55" t="s">
        <v>122</v>
      </c>
      <c r="C662" s="56">
        <v>11</v>
      </c>
      <c r="D662" s="52">
        <v>2.1</v>
      </c>
      <c r="E662" s="57" t="s">
        <v>81</v>
      </c>
      <c r="F662" s="52" t="s">
        <v>82</v>
      </c>
      <c r="G662" s="52" t="s">
        <v>0</v>
      </c>
    </row>
    <row r="663" spans="1:7">
      <c r="A663" s="54" t="s">
        <v>1030</v>
      </c>
      <c r="B663" s="55" t="s">
        <v>122</v>
      </c>
      <c r="C663" s="56">
        <v>12</v>
      </c>
      <c r="D663" s="52">
        <v>1.3</v>
      </c>
      <c r="E663" s="57" t="s">
        <v>76</v>
      </c>
      <c r="F663" s="52" t="s">
        <v>79</v>
      </c>
      <c r="G663" s="52" t="s">
        <v>0</v>
      </c>
    </row>
    <row r="664" spans="1:7">
      <c r="A664" s="54" t="s">
        <v>1031</v>
      </c>
      <c r="B664" s="55" t="s">
        <v>122</v>
      </c>
      <c r="C664" s="56">
        <v>13</v>
      </c>
      <c r="D664" s="52">
        <v>1.5</v>
      </c>
      <c r="E664" s="57" t="s">
        <v>81</v>
      </c>
      <c r="F664" s="52" t="s">
        <v>80</v>
      </c>
      <c r="G664" s="52" t="s">
        <v>2</v>
      </c>
    </row>
    <row r="665" spans="1:7">
      <c r="A665" s="54" t="s">
        <v>1032</v>
      </c>
      <c r="B665" s="55" t="s">
        <v>122</v>
      </c>
      <c r="C665" s="56">
        <v>14</v>
      </c>
      <c r="D665" s="52">
        <v>2.35</v>
      </c>
      <c r="E665" s="57" t="s">
        <v>81</v>
      </c>
      <c r="F665" s="52" t="s">
        <v>89</v>
      </c>
      <c r="G665" s="52" t="s">
        <v>2</v>
      </c>
    </row>
    <row r="666" spans="1:7">
      <c r="A666" s="54" t="s">
        <v>1033</v>
      </c>
      <c r="B666" s="55" t="s">
        <v>122</v>
      </c>
      <c r="C666" s="56">
        <v>15</v>
      </c>
      <c r="D666" s="52">
        <v>5.3</v>
      </c>
      <c r="E666" s="57" t="s">
        <v>81</v>
      </c>
      <c r="F666" s="52" t="s">
        <v>99</v>
      </c>
      <c r="G666" s="52" t="s">
        <v>3</v>
      </c>
    </row>
    <row r="667" spans="1:7">
      <c r="A667" s="54" t="s">
        <v>1034</v>
      </c>
      <c r="B667" s="55" t="s">
        <v>122</v>
      </c>
      <c r="C667" s="56">
        <v>16</v>
      </c>
      <c r="D667" s="52">
        <v>2.1</v>
      </c>
      <c r="E667" s="57" t="s">
        <v>28</v>
      </c>
      <c r="F667" s="52" t="s">
        <v>82</v>
      </c>
      <c r="G667" s="52" t="s">
        <v>4</v>
      </c>
    </row>
    <row r="668" spans="1:7">
      <c r="A668" s="54" t="s">
        <v>1035</v>
      </c>
      <c r="B668" s="55" t="s">
        <v>122</v>
      </c>
      <c r="C668" s="56">
        <v>17</v>
      </c>
      <c r="D668" s="52">
        <v>3.1</v>
      </c>
      <c r="E668" s="57" t="s">
        <v>81</v>
      </c>
      <c r="F668" s="52" t="s">
        <v>90</v>
      </c>
      <c r="G668" s="52" t="s">
        <v>0</v>
      </c>
    </row>
    <row r="669" spans="1:7">
      <c r="A669" s="54" t="s">
        <v>1036</v>
      </c>
      <c r="B669" s="55" t="s">
        <v>122</v>
      </c>
      <c r="C669" s="56">
        <v>18</v>
      </c>
      <c r="D669" s="52">
        <v>1.1000000000000001</v>
      </c>
      <c r="E669" s="57" t="s">
        <v>81</v>
      </c>
      <c r="F669" s="52" t="s">
        <v>77</v>
      </c>
      <c r="G669" s="52" t="s">
        <v>4</v>
      </c>
    </row>
    <row r="670" spans="1:7">
      <c r="A670" s="54" t="s">
        <v>1037</v>
      </c>
      <c r="B670" s="55" t="s">
        <v>122</v>
      </c>
      <c r="C670" s="56">
        <v>19</v>
      </c>
      <c r="D670" s="52">
        <v>1.1000000000000001</v>
      </c>
      <c r="E670" s="57" t="s">
        <v>96</v>
      </c>
      <c r="F670" s="52" t="s">
        <v>77</v>
      </c>
      <c r="G670" s="52" t="s">
        <v>0</v>
      </c>
    </row>
    <row r="671" spans="1:7">
      <c r="A671" s="54" t="s">
        <v>1038</v>
      </c>
      <c r="B671" s="55" t="s">
        <v>122</v>
      </c>
      <c r="C671" s="56">
        <v>20</v>
      </c>
      <c r="D671" s="52">
        <v>2.31</v>
      </c>
      <c r="E671" s="57" t="s">
        <v>81</v>
      </c>
      <c r="F671" s="52" t="s">
        <v>85</v>
      </c>
      <c r="G671" s="52" t="s">
        <v>2</v>
      </c>
    </row>
    <row r="672" spans="1:7">
      <c r="A672" s="54" t="s">
        <v>1039</v>
      </c>
      <c r="B672" s="55" t="s">
        <v>122</v>
      </c>
      <c r="C672" s="56">
        <v>21</v>
      </c>
      <c r="D672" s="52">
        <v>1.5</v>
      </c>
      <c r="E672" s="57" t="s">
        <v>93</v>
      </c>
      <c r="F672" s="52" t="s">
        <v>80</v>
      </c>
      <c r="G672" s="52" t="s">
        <v>0</v>
      </c>
    </row>
    <row r="673" spans="1:7">
      <c r="A673" s="54" t="s">
        <v>1040</v>
      </c>
      <c r="B673" s="55" t="s">
        <v>122</v>
      </c>
      <c r="C673" s="56">
        <v>22</v>
      </c>
      <c r="D673" s="52">
        <v>5.3</v>
      </c>
      <c r="E673" s="57" t="s">
        <v>81</v>
      </c>
      <c r="F673" s="52" t="s">
        <v>99</v>
      </c>
      <c r="G673" s="52" t="s">
        <v>1</v>
      </c>
    </row>
    <row r="674" spans="1:7">
      <c r="A674" s="54" t="s">
        <v>1041</v>
      </c>
      <c r="B674" s="55" t="s">
        <v>122</v>
      </c>
      <c r="C674" s="56">
        <v>23</v>
      </c>
      <c r="D674" s="52">
        <v>2.31</v>
      </c>
      <c r="E674" s="57" t="s">
        <v>81</v>
      </c>
      <c r="F674" s="52" t="s">
        <v>85</v>
      </c>
      <c r="G674" s="52" t="s">
        <v>2</v>
      </c>
    </row>
    <row r="675" spans="1:7">
      <c r="A675" s="54" t="s">
        <v>1042</v>
      </c>
      <c r="B675" s="55" t="s">
        <v>122</v>
      </c>
      <c r="C675" s="56">
        <v>24</v>
      </c>
      <c r="D675" s="52">
        <v>2.31</v>
      </c>
      <c r="E675" s="57" t="s">
        <v>81</v>
      </c>
      <c r="F675" s="52" t="s">
        <v>85</v>
      </c>
      <c r="G675" s="52" t="s">
        <v>1</v>
      </c>
    </row>
    <row r="676" spans="1:7">
      <c r="A676" s="54" t="s">
        <v>1043</v>
      </c>
      <c r="B676" s="55" t="s">
        <v>122</v>
      </c>
      <c r="C676" s="56">
        <v>25</v>
      </c>
      <c r="D676" s="52">
        <v>2.1</v>
      </c>
      <c r="E676" s="57" t="s">
        <v>81</v>
      </c>
      <c r="F676" s="52" t="s">
        <v>82</v>
      </c>
      <c r="G676" s="52" t="s">
        <v>2</v>
      </c>
    </row>
    <row r="677" spans="1:7">
      <c r="A677" s="54" t="s">
        <v>1044</v>
      </c>
      <c r="B677" s="55" t="s">
        <v>122</v>
      </c>
      <c r="C677" s="56">
        <v>26</v>
      </c>
      <c r="D677" s="52">
        <v>2.35</v>
      </c>
      <c r="E677" s="57" t="s">
        <v>81</v>
      </c>
      <c r="F677" s="52" t="s">
        <v>89</v>
      </c>
      <c r="G677" s="52" t="s">
        <v>3</v>
      </c>
    </row>
    <row r="678" spans="1:7">
      <c r="A678" s="54" t="s">
        <v>1045</v>
      </c>
      <c r="B678" s="55" t="s">
        <v>122</v>
      </c>
      <c r="C678" s="56">
        <v>27</v>
      </c>
      <c r="D678" s="52">
        <v>3.2</v>
      </c>
      <c r="E678" s="57" t="s">
        <v>81</v>
      </c>
      <c r="F678" s="52" t="s">
        <v>91</v>
      </c>
      <c r="G678" s="52" t="s">
        <v>4</v>
      </c>
    </row>
    <row r="679" spans="1:7">
      <c r="A679" s="54" t="s">
        <v>1046</v>
      </c>
      <c r="B679" s="55" t="s">
        <v>122</v>
      </c>
      <c r="C679" s="56">
        <v>28</v>
      </c>
      <c r="D679" s="52">
        <v>2.35</v>
      </c>
      <c r="E679" s="57" t="s">
        <v>93</v>
      </c>
      <c r="F679" s="52" t="s">
        <v>89</v>
      </c>
      <c r="G679" s="52" t="s">
        <v>1</v>
      </c>
    </row>
    <row r="680" spans="1:7">
      <c r="A680" s="54" t="s">
        <v>1047</v>
      </c>
      <c r="B680" s="55" t="s">
        <v>122</v>
      </c>
      <c r="C680" s="56">
        <v>29</v>
      </c>
      <c r="D680" s="52">
        <v>2.33</v>
      </c>
      <c r="E680" s="57" t="s">
        <v>81</v>
      </c>
      <c r="F680" s="52" t="s">
        <v>87</v>
      </c>
      <c r="G680" s="52" t="s">
        <v>2</v>
      </c>
    </row>
    <row r="681" spans="1:7">
      <c r="A681" s="54" t="s">
        <v>1048</v>
      </c>
      <c r="B681" s="55" t="s">
        <v>122</v>
      </c>
      <c r="C681" s="56">
        <v>30</v>
      </c>
      <c r="D681" s="52">
        <v>2.1</v>
      </c>
      <c r="E681" s="57" t="s">
        <v>28</v>
      </c>
      <c r="F681" s="52" t="s">
        <v>82</v>
      </c>
      <c r="G681" s="52" t="s">
        <v>1</v>
      </c>
    </row>
    <row r="682" spans="1:7">
      <c r="A682" s="54" t="s">
        <v>1049</v>
      </c>
      <c r="B682" s="55" t="s">
        <v>122</v>
      </c>
      <c r="C682" s="56">
        <v>31</v>
      </c>
      <c r="D682" s="52">
        <v>2.31</v>
      </c>
      <c r="E682" s="57" t="s">
        <v>81</v>
      </c>
      <c r="F682" s="52" t="s">
        <v>85</v>
      </c>
      <c r="G682" s="52" t="s">
        <v>4</v>
      </c>
    </row>
    <row r="683" spans="1:7">
      <c r="A683" s="54" t="s">
        <v>1050</v>
      </c>
      <c r="B683" s="55" t="s">
        <v>122</v>
      </c>
      <c r="C683" s="56">
        <v>32</v>
      </c>
      <c r="D683" s="52">
        <v>6.3</v>
      </c>
      <c r="E683" s="57" t="s">
        <v>96</v>
      </c>
      <c r="F683" s="52" t="s">
        <v>103</v>
      </c>
      <c r="G683" s="52" t="s">
        <v>4</v>
      </c>
    </row>
    <row r="684" spans="1:7">
      <c r="A684" s="54" t="s">
        <v>1051</v>
      </c>
      <c r="B684" s="55" t="s">
        <v>122</v>
      </c>
      <c r="C684" s="56">
        <v>33</v>
      </c>
      <c r="D684" s="52">
        <v>2.31</v>
      </c>
      <c r="E684" s="57" t="s">
        <v>96</v>
      </c>
      <c r="F684" s="52" t="s">
        <v>85</v>
      </c>
      <c r="G684" s="52" t="s">
        <v>3</v>
      </c>
    </row>
    <row r="685" spans="1:7">
      <c r="A685" s="54" t="s">
        <v>1052</v>
      </c>
      <c r="B685" s="55" t="s">
        <v>122</v>
      </c>
      <c r="C685" s="56">
        <v>34</v>
      </c>
      <c r="D685" s="52">
        <v>4.2</v>
      </c>
      <c r="E685" s="57" t="s">
        <v>81</v>
      </c>
      <c r="F685" s="52" t="s">
        <v>95</v>
      </c>
      <c r="G685" s="52" t="s">
        <v>4</v>
      </c>
    </row>
    <row r="686" spans="1:7">
      <c r="A686" s="54" t="s">
        <v>1053</v>
      </c>
      <c r="B686" s="55" t="s">
        <v>122</v>
      </c>
      <c r="C686" s="56">
        <v>35</v>
      </c>
      <c r="D686" s="52">
        <v>5.0999999999999996</v>
      </c>
      <c r="E686" s="57" t="s">
        <v>81</v>
      </c>
      <c r="F686" s="52" t="s">
        <v>97</v>
      </c>
      <c r="G686" s="52" t="s">
        <v>4</v>
      </c>
    </row>
    <row r="687" spans="1:7">
      <c r="A687" s="54" t="s">
        <v>1054</v>
      </c>
      <c r="B687" s="55" t="s">
        <v>122</v>
      </c>
      <c r="C687" s="56">
        <v>36</v>
      </c>
      <c r="D687" s="52">
        <v>1.3</v>
      </c>
      <c r="E687" s="57" t="s">
        <v>28</v>
      </c>
      <c r="F687" s="52" t="s">
        <v>79</v>
      </c>
      <c r="G687" s="52" t="s">
        <v>1</v>
      </c>
    </row>
    <row r="688" spans="1:7">
      <c r="A688" s="54" t="s">
        <v>1055</v>
      </c>
      <c r="B688" s="55" t="s">
        <v>122</v>
      </c>
      <c r="C688" s="56">
        <v>37</v>
      </c>
      <c r="D688" s="52">
        <v>2.35</v>
      </c>
      <c r="E688" s="57" t="s">
        <v>93</v>
      </c>
      <c r="F688" s="52" t="s">
        <v>89</v>
      </c>
      <c r="G688" s="52" t="s">
        <v>1</v>
      </c>
    </row>
    <row r="689" spans="1:7">
      <c r="A689" s="54" t="s">
        <v>1056</v>
      </c>
      <c r="B689" s="55" t="s">
        <v>122</v>
      </c>
      <c r="C689" s="56">
        <v>38</v>
      </c>
      <c r="D689" s="52">
        <v>6.3</v>
      </c>
      <c r="E689" s="57" t="s">
        <v>81</v>
      </c>
      <c r="F689" s="52" t="s">
        <v>103</v>
      </c>
      <c r="G689" s="52" t="s">
        <v>2</v>
      </c>
    </row>
    <row r="690" spans="1:7">
      <c r="A690" s="54" t="s">
        <v>1057</v>
      </c>
      <c r="B690" s="55" t="s">
        <v>122</v>
      </c>
      <c r="C690" s="56">
        <v>39</v>
      </c>
      <c r="D690" s="52">
        <v>3.4</v>
      </c>
      <c r="E690" s="57" t="s">
        <v>76</v>
      </c>
      <c r="F690" s="52" t="s">
        <v>29</v>
      </c>
      <c r="G690" s="52" t="s">
        <v>3</v>
      </c>
    </row>
    <row r="691" spans="1:7">
      <c r="A691" s="54" t="s">
        <v>1058</v>
      </c>
      <c r="B691" s="55" t="s">
        <v>122</v>
      </c>
      <c r="C691" s="56">
        <v>40</v>
      </c>
      <c r="D691" s="52">
        <v>1.1000000000000001</v>
      </c>
      <c r="E691" s="57" t="s">
        <v>81</v>
      </c>
      <c r="F691" s="52" t="s">
        <v>77</v>
      </c>
      <c r="G691" s="52" t="s">
        <v>1</v>
      </c>
    </row>
    <row r="692" spans="1:7">
      <c r="A692" s="54" t="s">
        <v>1059</v>
      </c>
      <c r="B692" s="55" t="s">
        <v>122</v>
      </c>
      <c r="C692" s="56">
        <v>41</v>
      </c>
      <c r="D692" s="52">
        <v>6.3</v>
      </c>
      <c r="E692" s="57" t="s">
        <v>81</v>
      </c>
      <c r="F692" s="52" t="s">
        <v>103</v>
      </c>
      <c r="G692" s="52" t="s">
        <v>2</v>
      </c>
    </row>
    <row r="693" spans="1:7">
      <c r="A693" s="54" t="s">
        <v>1060</v>
      </c>
      <c r="B693" s="55" t="s">
        <v>122</v>
      </c>
      <c r="C693" s="56">
        <v>42</v>
      </c>
      <c r="D693" s="52">
        <v>6.3</v>
      </c>
      <c r="E693" s="57" t="s">
        <v>96</v>
      </c>
      <c r="F693" s="52" t="s">
        <v>103</v>
      </c>
      <c r="G693" s="52" t="s">
        <v>2</v>
      </c>
    </row>
    <row r="694" spans="1:7">
      <c r="A694" s="54" t="s">
        <v>1061</v>
      </c>
      <c r="B694" s="55" t="s">
        <v>122</v>
      </c>
      <c r="C694" s="56">
        <v>43</v>
      </c>
      <c r="D694" s="52">
        <v>2.31</v>
      </c>
      <c r="E694" s="57" t="s">
        <v>81</v>
      </c>
      <c r="F694" s="52" t="s">
        <v>85</v>
      </c>
      <c r="G694" s="52" t="s">
        <v>1</v>
      </c>
    </row>
    <row r="695" spans="1:7">
      <c r="A695" s="54" t="s">
        <v>1062</v>
      </c>
      <c r="B695" s="55" t="s">
        <v>122</v>
      </c>
      <c r="C695" s="56">
        <v>44</v>
      </c>
      <c r="D695" s="52">
        <v>1.6</v>
      </c>
      <c r="E695" s="57" t="s">
        <v>81</v>
      </c>
      <c r="F695" s="52" t="s">
        <v>27</v>
      </c>
      <c r="G695" s="52" t="s">
        <v>1</v>
      </c>
    </row>
    <row r="696" spans="1:7">
      <c r="A696" s="54" t="s">
        <v>1063</v>
      </c>
      <c r="B696" s="55" t="s">
        <v>122</v>
      </c>
      <c r="C696" s="56">
        <v>45</v>
      </c>
      <c r="D696" s="52">
        <v>2.31</v>
      </c>
      <c r="E696" s="57" t="s">
        <v>76</v>
      </c>
      <c r="F696" s="52" t="s">
        <v>85</v>
      </c>
      <c r="G696" s="52" t="s">
        <v>3</v>
      </c>
    </row>
    <row r="697" spans="1:7">
      <c r="A697" s="54" t="s">
        <v>1064</v>
      </c>
      <c r="B697" s="55" t="s">
        <v>122</v>
      </c>
      <c r="C697" s="56">
        <v>46</v>
      </c>
      <c r="D697" s="52">
        <v>5.0999999999999996</v>
      </c>
      <c r="E697" s="57" t="s">
        <v>100</v>
      </c>
      <c r="F697" s="52" t="s">
        <v>97</v>
      </c>
      <c r="G697" s="52" t="s">
        <v>2</v>
      </c>
    </row>
    <row r="698" spans="1:7">
      <c r="A698" s="54" t="s">
        <v>1065</v>
      </c>
      <c r="B698" s="55" t="s">
        <v>122</v>
      </c>
      <c r="C698" s="56">
        <v>47</v>
      </c>
      <c r="D698" s="52">
        <v>6.3</v>
      </c>
      <c r="E698" s="57" t="s">
        <v>81</v>
      </c>
      <c r="F698" s="52" t="s">
        <v>103</v>
      </c>
      <c r="G698" s="52" t="s">
        <v>4</v>
      </c>
    </row>
    <row r="699" spans="1:7">
      <c r="A699" s="54" t="s">
        <v>1066</v>
      </c>
      <c r="B699" s="55" t="s">
        <v>122</v>
      </c>
      <c r="C699" s="56">
        <v>48</v>
      </c>
      <c r="D699" s="52">
        <v>2.35</v>
      </c>
      <c r="E699" s="57" t="s">
        <v>81</v>
      </c>
      <c r="F699" s="52" t="s">
        <v>89</v>
      </c>
      <c r="G699" s="52" t="s">
        <v>4</v>
      </c>
    </row>
    <row r="700" spans="1:7">
      <c r="A700" s="54" t="s">
        <v>1067</v>
      </c>
      <c r="B700" s="55" t="s">
        <v>122</v>
      </c>
      <c r="C700" s="56">
        <v>49</v>
      </c>
      <c r="D700" s="52">
        <v>4.0999999999999996</v>
      </c>
      <c r="E700" s="57" t="s">
        <v>96</v>
      </c>
      <c r="F700" s="52" t="s">
        <v>94</v>
      </c>
      <c r="G700" s="52" t="s">
        <v>4</v>
      </c>
    </row>
    <row r="701" spans="1:7">
      <c r="A701" s="54" t="s">
        <v>1068</v>
      </c>
      <c r="B701" s="55" t="s">
        <v>122</v>
      </c>
      <c r="C701" s="56">
        <v>50</v>
      </c>
      <c r="D701" s="52">
        <v>6.3</v>
      </c>
      <c r="E701" s="57" t="s">
        <v>81</v>
      </c>
      <c r="F701" s="52" t="s">
        <v>103</v>
      </c>
      <c r="G701" s="52" t="s">
        <v>4</v>
      </c>
    </row>
    <row r="702" spans="1:7">
      <c r="A702" s="54" t="s">
        <v>1069</v>
      </c>
      <c r="B702" s="55" t="s">
        <v>123</v>
      </c>
      <c r="C702" s="56">
        <v>1</v>
      </c>
      <c r="D702" s="52">
        <v>2.31</v>
      </c>
      <c r="E702" s="57" t="s">
        <v>81</v>
      </c>
      <c r="F702" s="52" t="s">
        <v>85</v>
      </c>
      <c r="G702" s="52" t="s">
        <v>3</v>
      </c>
    </row>
    <row r="703" spans="1:7">
      <c r="A703" s="54" t="s">
        <v>1070</v>
      </c>
      <c r="B703" s="55" t="s">
        <v>123</v>
      </c>
      <c r="C703" s="56">
        <v>2</v>
      </c>
      <c r="D703" s="52">
        <v>1.5</v>
      </c>
      <c r="E703" s="57" t="s">
        <v>81</v>
      </c>
      <c r="F703" s="52" t="s">
        <v>80</v>
      </c>
      <c r="G703" s="52" t="s">
        <v>2</v>
      </c>
    </row>
    <row r="704" spans="1:7">
      <c r="A704" s="54" t="s">
        <v>1071</v>
      </c>
      <c r="B704" s="55" t="s">
        <v>123</v>
      </c>
      <c r="C704" s="56">
        <v>3</v>
      </c>
      <c r="D704" s="52">
        <v>5.0999999999999996</v>
      </c>
      <c r="E704" s="57" t="s">
        <v>76</v>
      </c>
      <c r="F704" s="52" t="s">
        <v>97</v>
      </c>
      <c r="G704" s="52" t="s">
        <v>3</v>
      </c>
    </row>
    <row r="705" spans="1:7">
      <c r="A705" s="54" t="s">
        <v>1072</v>
      </c>
      <c r="B705" s="55" t="s">
        <v>123</v>
      </c>
      <c r="C705" s="56">
        <v>4</v>
      </c>
      <c r="D705" s="52">
        <v>2.31</v>
      </c>
      <c r="E705" s="57" t="s">
        <v>81</v>
      </c>
      <c r="F705" s="52" t="s">
        <v>85</v>
      </c>
      <c r="G705" s="52" t="s">
        <v>3</v>
      </c>
    </row>
    <row r="706" spans="1:7">
      <c r="A706" s="54" t="s">
        <v>1073</v>
      </c>
      <c r="B706" s="55" t="s">
        <v>123</v>
      </c>
      <c r="C706" s="56">
        <v>5</v>
      </c>
      <c r="D706" s="52">
        <v>2.31</v>
      </c>
      <c r="E706" s="57" t="s">
        <v>81</v>
      </c>
      <c r="F706" s="52" t="s">
        <v>85</v>
      </c>
      <c r="G706" s="52" t="s">
        <v>2</v>
      </c>
    </row>
    <row r="707" spans="1:7">
      <c r="A707" s="54" t="s">
        <v>1074</v>
      </c>
      <c r="B707" s="55" t="s">
        <v>123</v>
      </c>
      <c r="C707" s="56">
        <v>6</v>
      </c>
      <c r="D707" s="52">
        <v>2.31</v>
      </c>
      <c r="E707" s="57" t="s">
        <v>96</v>
      </c>
      <c r="F707" s="52" t="s">
        <v>85</v>
      </c>
      <c r="G707" s="52" t="s">
        <v>0</v>
      </c>
    </row>
    <row r="708" spans="1:7">
      <c r="A708" s="54" t="s">
        <v>1075</v>
      </c>
      <c r="B708" s="55" t="s">
        <v>123</v>
      </c>
      <c r="C708" s="56">
        <v>7</v>
      </c>
      <c r="D708" s="52">
        <v>1.2</v>
      </c>
      <c r="E708" s="57" t="s">
        <v>100</v>
      </c>
      <c r="F708" s="52" t="s">
        <v>78</v>
      </c>
      <c r="G708" s="52" t="s">
        <v>3</v>
      </c>
    </row>
    <row r="709" spans="1:7">
      <c r="A709" s="54" t="s">
        <v>1076</v>
      </c>
      <c r="B709" s="55" t="s">
        <v>123</v>
      </c>
      <c r="C709" s="56">
        <v>8</v>
      </c>
      <c r="D709" s="52">
        <v>1.3</v>
      </c>
      <c r="E709" s="57" t="s">
        <v>100</v>
      </c>
      <c r="F709" s="52" t="s">
        <v>79</v>
      </c>
      <c r="G709" s="52" t="s">
        <v>0</v>
      </c>
    </row>
    <row r="710" spans="1:7">
      <c r="A710" s="54" t="s">
        <v>1077</v>
      </c>
      <c r="B710" s="55" t="s">
        <v>123</v>
      </c>
      <c r="C710" s="56">
        <v>9</v>
      </c>
      <c r="D710" s="52">
        <v>2.34</v>
      </c>
      <c r="E710" s="57" t="s">
        <v>100</v>
      </c>
      <c r="F710" s="52" t="s">
        <v>88</v>
      </c>
      <c r="G710" s="52" t="s">
        <v>0</v>
      </c>
    </row>
    <row r="711" spans="1:7">
      <c r="A711" s="54" t="s">
        <v>1078</v>
      </c>
      <c r="B711" s="55" t="s">
        <v>123</v>
      </c>
      <c r="C711" s="56">
        <v>10</v>
      </c>
      <c r="D711" s="52">
        <v>2.34</v>
      </c>
      <c r="E711" s="57" t="s">
        <v>81</v>
      </c>
      <c r="F711" s="52" t="s">
        <v>88</v>
      </c>
      <c r="G711" s="52" t="s">
        <v>4</v>
      </c>
    </row>
    <row r="712" spans="1:7">
      <c r="A712" s="54" t="s">
        <v>1079</v>
      </c>
      <c r="B712" s="55" t="s">
        <v>123</v>
      </c>
      <c r="C712" s="56">
        <v>11</v>
      </c>
      <c r="D712" s="52">
        <v>2.31</v>
      </c>
      <c r="E712" s="57" t="s">
        <v>93</v>
      </c>
      <c r="F712" s="52" t="s">
        <v>85</v>
      </c>
      <c r="G712" s="52" t="s">
        <v>1</v>
      </c>
    </row>
    <row r="713" spans="1:7">
      <c r="A713" s="54" t="s">
        <v>1080</v>
      </c>
      <c r="B713" s="55" t="s">
        <v>123</v>
      </c>
      <c r="C713" s="56">
        <v>12</v>
      </c>
      <c r="D713" s="52">
        <v>1.1000000000000001</v>
      </c>
      <c r="E713" s="57" t="s">
        <v>93</v>
      </c>
      <c r="F713" s="52" t="s">
        <v>77</v>
      </c>
      <c r="G713" s="52" t="s">
        <v>2</v>
      </c>
    </row>
    <row r="714" spans="1:7">
      <c r="A714" s="54" t="s">
        <v>1081</v>
      </c>
      <c r="B714" s="55" t="s">
        <v>123</v>
      </c>
      <c r="C714" s="56">
        <v>13</v>
      </c>
      <c r="D714" s="52">
        <v>2.1</v>
      </c>
      <c r="E714" s="57" t="s">
        <v>76</v>
      </c>
      <c r="F714" s="52" t="s">
        <v>82</v>
      </c>
      <c r="G714" s="52" t="s">
        <v>4</v>
      </c>
    </row>
    <row r="715" spans="1:7">
      <c r="A715" s="54" t="s">
        <v>1082</v>
      </c>
      <c r="B715" s="55" t="s">
        <v>123</v>
      </c>
      <c r="C715" s="56">
        <v>14</v>
      </c>
      <c r="D715" s="52">
        <v>2.3199999999999998</v>
      </c>
      <c r="E715" s="57" t="s">
        <v>81</v>
      </c>
      <c r="F715" s="52" t="s">
        <v>86</v>
      </c>
      <c r="G715" s="52" t="s">
        <v>2</v>
      </c>
    </row>
    <row r="716" spans="1:7">
      <c r="A716" s="54" t="s">
        <v>1083</v>
      </c>
      <c r="B716" s="55" t="s">
        <v>123</v>
      </c>
      <c r="C716" s="56">
        <v>15</v>
      </c>
      <c r="D716" s="52">
        <v>2.35</v>
      </c>
      <c r="E716" s="57" t="s">
        <v>81</v>
      </c>
      <c r="F716" s="52" t="s">
        <v>89</v>
      </c>
      <c r="G716" s="52" t="s">
        <v>2</v>
      </c>
    </row>
    <row r="717" spans="1:7">
      <c r="A717" s="54" t="s">
        <v>1084</v>
      </c>
      <c r="B717" s="55" t="s">
        <v>123</v>
      </c>
      <c r="C717" s="56">
        <v>16</v>
      </c>
      <c r="D717" s="52">
        <v>3.2</v>
      </c>
      <c r="E717" s="57" t="s">
        <v>81</v>
      </c>
      <c r="F717" s="52" t="s">
        <v>91</v>
      </c>
      <c r="G717" s="52" t="s">
        <v>2</v>
      </c>
    </row>
    <row r="718" spans="1:7">
      <c r="A718" s="54" t="s">
        <v>1085</v>
      </c>
      <c r="B718" s="55" t="s">
        <v>123</v>
      </c>
      <c r="C718" s="56">
        <v>17</v>
      </c>
      <c r="D718" s="52">
        <v>2.1</v>
      </c>
      <c r="E718" s="57" t="s">
        <v>81</v>
      </c>
      <c r="F718" s="52" t="s">
        <v>82</v>
      </c>
      <c r="G718" s="52" t="s">
        <v>3</v>
      </c>
    </row>
    <row r="719" spans="1:7">
      <c r="A719" s="54" t="s">
        <v>1086</v>
      </c>
      <c r="B719" s="55" t="s">
        <v>123</v>
      </c>
      <c r="C719" s="56">
        <v>18</v>
      </c>
      <c r="D719" s="52">
        <v>2.1</v>
      </c>
      <c r="E719" s="57" t="s">
        <v>81</v>
      </c>
      <c r="F719" s="52" t="s">
        <v>82</v>
      </c>
      <c r="G719" s="52" t="s">
        <v>0</v>
      </c>
    </row>
    <row r="720" spans="1:7">
      <c r="A720" s="54" t="s">
        <v>1087</v>
      </c>
      <c r="B720" s="55" t="s">
        <v>123</v>
      </c>
      <c r="C720" s="56">
        <v>19</v>
      </c>
      <c r="D720" s="52">
        <v>5.0999999999999996</v>
      </c>
      <c r="E720" s="57" t="s">
        <v>81</v>
      </c>
      <c r="F720" s="52" t="s">
        <v>97</v>
      </c>
      <c r="G720" s="52" t="s">
        <v>4</v>
      </c>
    </row>
    <row r="721" spans="1:7">
      <c r="A721" s="54" t="s">
        <v>1088</v>
      </c>
      <c r="B721" s="55" t="s">
        <v>123</v>
      </c>
      <c r="C721" s="56">
        <v>20</v>
      </c>
      <c r="D721" s="52">
        <v>5.2</v>
      </c>
      <c r="E721" s="57" t="s">
        <v>96</v>
      </c>
      <c r="F721" s="52" t="s">
        <v>98</v>
      </c>
      <c r="G721" s="52" t="s">
        <v>2</v>
      </c>
    </row>
    <row r="722" spans="1:7">
      <c r="A722" s="54" t="s">
        <v>1089</v>
      </c>
      <c r="B722" s="55" t="s">
        <v>123</v>
      </c>
      <c r="C722" s="56">
        <v>21</v>
      </c>
      <c r="D722" s="52">
        <v>4.0999999999999996</v>
      </c>
      <c r="E722" s="57" t="s">
        <v>81</v>
      </c>
      <c r="F722" s="52" t="s">
        <v>94</v>
      </c>
      <c r="G722" s="52" t="s">
        <v>2</v>
      </c>
    </row>
    <row r="723" spans="1:7">
      <c r="A723" s="54" t="s">
        <v>1090</v>
      </c>
      <c r="B723" s="55" t="s">
        <v>123</v>
      </c>
      <c r="C723" s="56">
        <v>22</v>
      </c>
      <c r="D723" s="52">
        <v>2.1</v>
      </c>
      <c r="E723" s="57" t="s">
        <v>81</v>
      </c>
      <c r="F723" s="52" t="s">
        <v>82</v>
      </c>
      <c r="G723" s="52" t="s">
        <v>2</v>
      </c>
    </row>
    <row r="724" spans="1:7">
      <c r="A724" s="54" t="s">
        <v>1091</v>
      </c>
      <c r="B724" s="55" t="s">
        <v>123</v>
      </c>
      <c r="C724" s="56">
        <v>23</v>
      </c>
      <c r="D724" s="52">
        <v>2.35</v>
      </c>
      <c r="E724" s="57" t="s">
        <v>81</v>
      </c>
      <c r="F724" s="52" t="s">
        <v>89</v>
      </c>
      <c r="G724" s="52" t="s">
        <v>2</v>
      </c>
    </row>
    <row r="725" spans="1:7">
      <c r="A725" s="54" t="s">
        <v>1092</v>
      </c>
      <c r="B725" s="55" t="s">
        <v>123</v>
      </c>
      <c r="C725" s="56">
        <v>24</v>
      </c>
      <c r="D725" s="52">
        <v>2.3199999999999998</v>
      </c>
      <c r="E725" s="57" t="s">
        <v>81</v>
      </c>
      <c r="F725" s="52" t="s">
        <v>86</v>
      </c>
      <c r="G725" s="52" t="s">
        <v>1</v>
      </c>
    </row>
    <row r="726" spans="1:7">
      <c r="A726" s="54" t="s">
        <v>1093</v>
      </c>
      <c r="B726" s="55" t="s">
        <v>123</v>
      </c>
      <c r="C726" s="56">
        <v>25</v>
      </c>
      <c r="D726" s="52">
        <v>3.1</v>
      </c>
      <c r="E726" s="57" t="s">
        <v>81</v>
      </c>
      <c r="F726" s="52" t="s">
        <v>90</v>
      </c>
      <c r="G726" s="52" t="s">
        <v>3</v>
      </c>
    </row>
    <row r="727" spans="1:7">
      <c r="A727" s="54" t="s">
        <v>1094</v>
      </c>
      <c r="B727" s="55" t="s">
        <v>123</v>
      </c>
      <c r="C727" s="56">
        <v>26</v>
      </c>
      <c r="D727" s="52">
        <v>6.2</v>
      </c>
      <c r="E727" s="57" t="s">
        <v>96</v>
      </c>
      <c r="F727" s="52" t="s">
        <v>102</v>
      </c>
      <c r="G727" s="52" t="s">
        <v>1</v>
      </c>
    </row>
    <row r="728" spans="1:7">
      <c r="A728" s="54" t="s">
        <v>1095</v>
      </c>
      <c r="B728" s="55" t="s">
        <v>123</v>
      </c>
      <c r="C728" s="56">
        <v>27</v>
      </c>
      <c r="D728" s="52">
        <v>1.5</v>
      </c>
      <c r="E728" s="57" t="s">
        <v>28</v>
      </c>
      <c r="F728" s="52" t="s">
        <v>80</v>
      </c>
      <c r="G728" s="52" t="s">
        <v>0</v>
      </c>
    </row>
    <row r="729" spans="1:7">
      <c r="A729" s="54" t="s">
        <v>1096</v>
      </c>
      <c r="B729" s="55" t="s">
        <v>123</v>
      </c>
      <c r="C729" s="56">
        <v>28</v>
      </c>
      <c r="D729" s="52">
        <v>4.0999999999999996</v>
      </c>
      <c r="E729" s="57" t="s">
        <v>100</v>
      </c>
      <c r="F729" s="52" t="s">
        <v>94</v>
      </c>
      <c r="G729" s="52" t="s">
        <v>3</v>
      </c>
    </row>
    <row r="730" spans="1:7">
      <c r="A730" s="54" t="s">
        <v>1097</v>
      </c>
      <c r="B730" s="55" t="s">
        <v>123</v>
      </c>
      <c r="C730" s="56">
        <v>29</v>
      </c>
      <c r="D730" s="52">
        <v>2.34</v>
      </c>
      <c r="E730" s="57" t="s">
        <v>28</v>
      </c>
      <c r="F730" s="52" t="s">
        <v>88</v>
      </c>
      <c r="G730" s="52" t="s">
        <v>3</v>
      </c>
    </row>
    <row r="731" spans="1:7">
      <c r="A731" s="54" t="s">
        <v>1098</v>
      </c>
      <c r="B731" s="55" t="s">
        <v>123</v>
      </c>
      <c r="C731" s="56">
        <v>30</v>
      </c>
      <c r="D731" s="52">
        <v>3.4</v>
      </c>
      <c r="E731" s="57" t="s">
        <v>28</v>
      </c>
      <c r="F731" s="52" t="s">
        <v>29</v>
      </c>
      <c r="G731" s="52" t="s">
        <v>4</v>
      </c>
    </row>
    <row r="732" spans="1:7">
      <c r="A732" s="54" t="s">
        <v>1099</v>
      </c>
      <c r="B732" s="55" t="s">
        <v>123</v>
      </c>
      <c r="C732" s="56">
        <v>31</v>
      </c>
      <c r="D732" s="52">
        <v>2.2000000000000002</v>
      </c>
      <c r="E732" s="57" t="s">
        <v>81</v>
      </c>
      <c r="F732" s="52" t="s">
        <v>83</v>
      </c>
      <c r="G732" s="52" t="s">
        <v>4</v>
      </c>
    </row>
    <row r="733" spans="1:7">
      <c r="A733" s="54" t="s">
        <v>1100</v>
      </c>
      <c r="B733" s="55" t="s">
        <v>123</v>
      </c>
      <c r="C733" s="56">
        <v>32</v>
      </c>
      <c r="D733" s="52">
        <v>5.3</v>
      </c>
      <c r="E733" s="57" t="s">
        <v>100</v>
      </c>
      <c r="F733" s="52" t="s">
        <v>99</v>
      </c>
      <c r="G733" s="52" t="s">
        <v>3</v>
      </c>
    </row>
    <row r="734" spans="1:7">
      <c r="A734" s="54" t="s">
        <v>1101</v>
      </c>
      <c r="B734" s="55" t="s">
        <v>123</v>
      </c>
      <c r="C734" s="56">
        <v>33</v>
      </c>
      <c r="D734" s="52">
        <v>5.0999999999999996</v>
      </c>
      <c r="E734" s="57" t="s">
        <v>100</v>
      </c>
      <c r="F734" s="52" t="s">
        <v>97</v>
      </c>
      <c r="G734" s="52" t="s">
        <v>0</v>
      </c>
    </row>
    <row r="735" spans="1:7">
      <c r="A735" s="54" t="s">
        <v>1102</v>
      </c>
      <c r="B735" s="55" t="s">
        <v>123</v>
      </c>
      <c r="C735" s="56">
        <v>34</v>
      </c>
      <c r="D735" s="52">
        <v>2.31</v>
      </c>
      <c r="E735" s="57" t="s">
        <v>28</v>
      </c>
      <c r="F735" s="52" t="s">
        <v>85</v>
      </c>
      <c r="G735" s="52" t="s">
        <v>4</v>
      </c>
    </row>
    <row r="736" spans="1:7">
      <c r="A736" s="54" t="s">
        <v>1103</v>
      </c>
      <c r="B736" s="55" t="s">
        <v>123</v>
      </c>
      <c r="C736" s="56">
        <v>35</v>
      </c>
      <c r="D736" s="52">
        <v>2.3199999999999998</v>
      </c>
      <c r="E736" s="57" t="s">
        <v>81</v>
      </c>
      <c r="F736" s="52" t="s">
        <v>86</v>
      </c>
      <c r="G736" s="52" t="s">
        <v>2</v>
      </c>
    </row>
    <row r="737" spans="1:7">
      <c r="A737" s="54" t="s">
        <v>1104</v>
      </c>
      <c r="B737" s="55" t="s">
        <v>123</v>
      </c>
      <c r="C737" s="56">
        <v>36</v>
      </c>
      <c r="D737" s="52">
        <v>3.2</v>
      </c>
      <c r="E737" s="57" t="s">
        <v>81</v>
      </c>
      <c r="F737" s="52" t="s">
        <v>91</v>
      </c>
      <c r="G737" s="52" t="s">
        <v>1</v>
      </c>
    </row>
    <row r="738" spans="1:7">
      <c r="A738" s="54" t="s">
        <v>1105</v>
      </c>
      <c r="B738" s="55" t="s">
        <v>123</v>
      </c>
      <c r="C738" s="56">
        <v>37</v>
      </c>
      <c r="D738" s="52">
        <v>4.2</v>
      </c>
      <c r="E738" s="57" t="s">
        <v>100</v>
      </c>
      <c r="F738" s="52" t="s">
        <v>95</v>
      </c>
      <c r="G738" s="52" t="s">
        <v>0</v>
      </c>
    </row>
    <row r="739" spans="1:7">
      <c r="A739" s="54" t="s">
        <v>1106</v>
      </c>
      <c r="B739" s="55" t="s">
        <v>123</v>
      </c>
      <c r="C739" s="56">
        <v>38</v>
      </c>
      <c r="D739" s="52">
        <v>2.33</v>
      </c>
      <c r="E739" s="57" t="s">
        <v>81</v>
      </c>
      <c r="F739" s="52" t="s">
        <v>87</v>
      </c>
      <c r="G739" s="52" t="s">
        <v>4</v>
      </c>
    </row>
    <row r="740" spans="1:7">
      <c r="A740" s="54" t="s">
        <v>1107</v>
      </c>
      <c r="B740" s="55" t="s">
        <v>123</v>
      </c>
      <c r="C740" s="56">
        <v>39</v>
      </c>
      <c r="D740" s="52">
        <v>1.4</v>
      </c>
      <c r="E740" s="57" t="s">
        <v>81</v>
      </c>
      <c r="F740" s="52" t="s">
        <v>30</v>
      </c>
      <c r="G740" s="52" t="s">
        <v>3</v>
      </c>
    </row>
    <row r="741" spans="1:7">
      <c r="A741" s="54" t="s">
        <v>1108</v>
      </c>
      <c r="B741" s="55" t="s">
        <v>123</v>
      </c>
      <c r="C741" s="56">
        <v>40</v>
      </c>
      <c r="D741" s="52">
        <v>2.33</v>
      </c>
      <c r="E741" s="57" t="s">
        <v>28</v>
      </c>
      <c r="F741" s="52" t="s">
        <v>87</v>
      </c>
      <c r="G741" s="52" t="s">
        <v>0</v>
      </c>
    </row>
    <row r="742" spans="1:7">
      <c r="A742" s="54" t="s">
        <v>1109</v>
      </c>
      <c r="B742" s="55" t="s">
        <v>123</v>
      </c>
      <c r="C742" s="56">
        <v>41</v>
      </c>
      <c r="D742" s="52">
        <v>2.1</v>
      </c>
      <c r="E742" s="57" t="s">
        <v>76</v>
      </c>
      <c r="F742" s="52" t="s">
        <v>82</v>
      </c>
      <c r="G742" s="52" t="s">
        <v>1</v>
      </c>
    </row>
    <row r="743" spans="1:7">
      <c r="A743" s="54" t="s">
        <v>1110</v>
      </c>
      <c r="B743" s="55" t="s">
        <v>123</v>
      </c>
      <c r="C743" s="56">
        <v>42</v>
      </c>
      <c r="D743" s="52">
        <v>5.0999999999999996</v>
      </c>
      <c r="E743" s="57" t="s">
        <v>100</v>
      </c>
      <c r="F743" s="52" t="s">
        <v>97</v>
      </c>
      <c r="G743" s="52" t="s">
        <v>0</v>
      </c>
    </row>
    <row r="744" spans="1:7">
      <c r="A744" s="54" t="s">
        <v>1111</v>
      </c>
      <c r="B744" s="55" t="s">
        <v>123</v>
      </c>
      <c r="C744" s="56">
        <v>43</v>
      </c>
      <c r="D744" s="52">
        <v>2.35</v>
      </c>
      <c r="E744" s="57" t="s">
        <v>96</v>
      </c>
      <c r="F744" s="52" t="s">
        <v>89</v>
      </c>
      <c r="G744" s="52" t="s">
        <v>1</v>
      </c>
    </row>
    <row r="745" spans="1:7">
      <c r="A745" s="54" t="s">
        <v>1112</v>
      </c>
      <c r="B745" s="55" t="s">
        <v>123</v>
      </c>
      <c r="C745" s="56">
        <v>44</v>
      </c>
      <c r="D745" s="52">
        <v>2.35</v>
      </c>
      <c r="E745" s="57" t="s">
        <v>76</v>
      </c>
      <c r="F745" s="52" t="s">
        <v>89</v>
      </c>
      <c r="G745" s="52" t="s">
        <v>3</v>
      </c>
    </row>
    <row r="746" spans="1:7">
      <c r="A746" s="54" t="s">
        <v>1113</v>
      </c>
      <c r="B746" s="55" t="s">
        <v>123</v>
      </c>
      <c r="C746" s="56">
        <v>45</v>
      </c>
      <c r="D746" s="52">
        <v>1.3</v>
      </c>
      <c r="E746" s="57" t="s">
        <v>100</v>
      </c>
      <c r="F746" s="52" t="s">
        <v>79</v>
      </c>
      <c r="G746" s="52" t="s">
        <v>2</v>
      </c>
    </row>
    <row r="747" spans="1:7">
      <c r="A747" s="54" t="s">
        <v>1114</v>
      </c>
      <c r="B747" s="55" t="s">
        <v>123</v>
      </c>
      <c r="C747" s="56">
        <v>46</v>
      </c>
      <c r="D747" s="52">
        <v>6.3</v>
      </c>
      <c r="E747" s="57" t="s">
        <v>100</v>
      </c>
      <c r="F747" s="52" t="s">
        <v>103</v>
      </c>
      <c r="G747" s="52" t="s">
        <v>1</v>
      </c>
    </row>
    <row r="748" spans="1:7">
      <c r="A748" s="54" t="s">
        <v>1115</v>
      </c>
      <c r="B748" s="55" t="s">
        <v>123</v>
      </c>
      <c r="C748" s="56">
        <v>47</v>
      </c>
      <c r="D748" s="52">
        <v>2.35</v>
      </c>
      <c r="E748" s="57" t="s">
        <v>76</v>
      </c>
      <c r="F748" s="52" t="s">
        <v>89</v>
      </c>
      <c r="G748" s="52" t="s">
        <v>1</v>
      </c>
    </row>
    <row r="749" spans="1:7">
      <c r="A749" s="54" t="s">
        <v>1116</v>
      </c>
      <c r="B749" s="55" t="s">
        <v>123</v>
      </c>
      <c r="C749" s="56">
        <v>48</v>
      </c>
      <c r="D749" s="52">
        <v>2.1</v>
      </c>
      <c r="E749" s="57" t="s">
        <v>93</v>
      </c>
      <c r="F749" s="52" t="s">
        <v>82</v>
      </c>
      <c r="G749" s="52" t="s">
        <v>0</v>
      </c>
    </row>
    <row r="750" spans="1:7">
      <c r="A750" s="54" t="s">
        <v>1117</v>
      </c>
      <c r="B750" s="55" t="s">
        <v>123</v>
      </c>
      <c r="C750" s="56">
        <v>49</v>
      </c>
      <c r="D750" s="52">
        <v>5.3</v>
      </c>
      <c r="E750" s="57" t="s">
        <v>96</v>
      </c>
      <c r="F750" s="52" t="s">
        <v>99</v>
      </c>
      <c r="G750" s="52" t="s">
        <v>4</v>
      </c>
    </row>
    <row r="751" spans="1:7">
      <c r="A751" s="54" t="s">
        <v>1118</v>
      </c>
      <c r="B751" s="55" t="s">
        <v>123</v>
      </c>
      <c r="C751" s="56">
        <v>50</v>
      </c>
      <c r="D751" s="52">
        <v>2.1</v>
      </c>
      <c r="E751" s="57" t="s">
        <v>96</v>
      </c>
      <c r="F751" s="52" t="s">
        <v>82</v>
      </c>
      <c r="G751" s="52" t="s">
        <v>1</v>
      </c>
    </row>
    <row r="752" spans="1:7">
      <c r="A752" s="54" t="s">
        <v>1119</v>
      </c>
      <c r="B752" s="55" t="s">
        <v>124</v>
      </c>
      <c r="C752" s="56">
        <v>1</v>
      </c>
      <c r="D752" s="52">
        <v>1.1000000000000001</v>
      </c>
      <c r="E752" s="57" t="s">
        <v>76</v>
      </c>
      <c r="F752" s="52" t="s">
        <v>77</v>
      </c>
      <c r="G752" s="52" t="s">
        <v>4</v>
      </c>
    </row>
    <row r="753" spans="1:7">
      <c r="A753" s="54" t="s">
        <v>1120</v>
      </c>
      <c r="B753" s="55" t="s">
        <v>124</v>
      </c>
      <c r="C753" s="56">
        <v>2</v>
      </c>
      <c r="D753" s="52">
        <v>2.2000000000000002</v>
      </c>
      <c r="E753" s="57" t="s">
        <v>76</v>
      </c>
      <c r="F753" s="52" t="s">
        <v>83</v>
      </c>
      <c r="G753" s="52" t="s">
        <v>3</v>
      </c>
    </row>
    <row r="754" spans="1:7">
      <c r="A754" s="54" t="s">
        <v>1121</v>
      </c>
      <c r="B754" s="55" t="s">
        <v>124</v>
      </c>
      <c r="C754" s="56">
        <v>3</v>
      </c>
      <c r="D754" s="52">
        <v>1.3</v>
      </c>
      <c r="E754" s="57" t="s">
        <v>76</v>
      </c>
      <c r="F754" s="52" t="s">
        <v>79</v>
      </c>
      <c r="G754" s="52" t="s">
        <v>1</v>
      </c>
    </row>
    <row r="755" spans="1:7">
      <c r="A755" s="54" t="s">
        <v>1122</v>
      </c>
      <c r="B755" s="55" t="s">
        <v>124</v>
      </c>
      <c r="C755" s="56">
        <v>4</v>
      </c>
      <c r="D755" s="52">
        <v>2.3199999999999998</v>
      </c>
      <c r="E755" s="57" t="s">
        <v>81</v>
      </c>
      <c r="F755" s="52" t="s">
        <v>86</v>
      </c>
      <c r="G755" s="52" t="s">
        <v>3</v>
      </c>
    </row>
    <row r="756" spans="1:7">
      <c r="A756" s="54" t="s">
        <v>1123</v>
      </c>
      <c r="B756" s="55" t="s">
        <v>124</v>
      </c>
      <c r="C756" s="56">
        <v>5</v>
      </c>
      <c r="D756" s="52">
        <v>2.35</v>
      </c>
      <c r="E756" s="57" t="s">
        <v>81</v>
      </c>
      <c r="F756" s="52" t="s">
        <v>89</v>
      </c>
      <c r="G756" s="52" t="s">
        <v>0</v>
      </c>
    </row>
    <row r="757" spans="1:7">
      <c r="A757" s="54" t="s">
        <v>1124</v>
      </c>
      <c r="B757" s="55" t="s">
        <v>124</v>
      </c>
      <c r="C757" s="56">
        <v>6</v>
      </c>
      <c r="D757" s="52">
        <v>5.0999999999999996</v>
      </c>
      <c r="E757" s="57" t="s">
        <v>76</v>
      </c>
      <c r="F757" s="52" t="s">
        <v>97</v>
      </c>
      <c r="G757" s="52" t="s">
        <v>0</v>
      </c>
    </row>
    <row r="758" spans="1:7">
      <c r="A758" s="54" t="s">
        <v>1125</v>
      </c>
      <c r="B758" s="55" t="s">
        <v>124</v>
      </c>
      <c r="C758" s="56">
        <v>7</v>
      </c>
      <c r="D758" s="52">
        <v>6.1</v>
      </c>
      <c r="E758" s="57" t="s">
        <v>93</v>
      </c>
      <c r="F758" s="52" t="s">
        <v>101</v>
      </c>
      <c r="G758" s="52" t="s">
        <v>4</v>
      </c>
    </row>
    <row r="759" spans="1:7">
      <c r="A759" s="54" t="s">
        <v>1126</v>
      </c>
      <c r="B759" s="55" t="s">
        <v>124</v>
      </c>
      <c r="C759" s="56">
        <v>8</v>
      </c>
      <c r="D759" s="52">
        <v>6.1</v>
      </c>
      <c r="E759" s="57" t="s">
        <v>81</v>
      </c>
      <c r="F759" s="52" t="s">
        <v>101</v>
      </c>
      <c r="G759" s="52" t="s">
        <v>1</v>
      </c>
    </row>
    <row r="760" spans="1:7">
      <c r="A760" s="54" t="s">
        <v>1127</v>
      </c>
      <c r="B760" s="55" t="s">
        <v>124</v>
      </c>
      <c r="C760" s="56">
        <v>9</v>
      </c>
      <c r="D760" s="52">
        <v>6.1</v>
      </c>
      <c r="E760" s="57" t="s">
        <v>81</v>
      </c>
      <c r="F760" s="52" t="s">
        <v>101</v>
      </c>
      <c r="G760" s="52" t="s">
        <v>0</v>
      </c>
    </row>
    <row r="761" spans="1:7">
      <c r="A761" s="54" t="s">
        <v>1128</v>
      </c>
      <c r="B761" s="55" t="s">
        <v>124</v>
      </c>
      <c r="C761" s="56">
        <v>10</v>
      </c>
      <c r="D761" s="52">
        <v>2.1</v>
      </c>
      <c r="E761" s="57" t="s">
        <v>81</v>
      </c>
      <c r="F761" s="52" t="s">
        <v>82</v>
      </c>
      <c r="G761" s="52" t="s">
        <v>4</v>
      </c>
    </row>
    <row r="762" spans="1:7">
      <c r="A762" s="54" t="s">
        <v>1129</v>
      </c>
      <c r="B762" s="55" t="s">
        <v>124</v>
      </c>
      <c r="C762" s="56">
        <v>11</v>
      </c>
      <c r="D762" s="52">
        <v>4.0999999999999996</v>
      </c>
      <c r="E762" s="57" t="s">
        <v>81</v>
      </c>
      <c r="F762" s="52" t="s">
        <v>94</v>
      </c>
      <c r="G762" s="52" t="s">
        <v>4</v>
      </c>
    </row>
    <row r="763" spans="1:7">
      <c r="A763" s="54" t="s">
        <v>1130</v>
      </c>
      <c r="B763" s="55" t="s">
        <v>124</v>
      </c>
      <c r="C763" s="56">
        <v>12</v>
      </c>
      <c r="D763" s="52">
        <v>4.0999999999999996</v>
      </c>
      <c r="E763" s="57" t="s">
        <v>76</v>
      </c>
      <c r="F763" s="52" t="s">
        <v>94</v>
      </c>
      <c r="G763" s="52" t="s">
        <v>2</v>
      </c>
    </row>
    <row r="764" spans="1:7">
      <c r="A764" s="54" t="s">
        <v>1131</v>
      </c>
      <c r="B764" s="55" t="s">
        <v>124</v>
      </c>
      <c r="C764" s="56">
        <v>13</v>
      </c>
      <c r="D764" s="52">
        <v>1.3</v>
      </c>
      <c r="E764" s="57" t="s">
        <v>76</v>
      </c>
      <c r="F764" s="52" t="s">
        <v>79</v>
      </c>
      <c r="G764" s="52" t="s">
        <v>3</v>
      </c>
    </row>
    <row r="765" spans="1:7">
      <c r="A765" s="54" t="s">
        <v>1132</v>
      </c>
      <c r="B765" s="55" t="s">
        <v>124</v>
      </c>
      <c r="C765" s="56">
        <v>14</v>
      </c>
      <c r="D765" s="52">
        <v>2.34</v>
      </c>
      <c r="E765" s="57" t="s">
        <v>96</v>
      </c>
      <c r="F765" s="52" t="s">
        <v>88</v>
      </c>
      <c r="G765" s="52" t="s">
        <v>1</v>
      </c>
    </row>
    <row r="766" spans="1:7">
      <c r="A766" s="54" t="s">
        <v>1133</v>
      </c>
      <c r="B766" s="55" t="s">
        <v>124</v>
      </c>
      <c r="C766" s="56">
        <v>15</v>
      </c>
      <c r="D766" s="52">
        <v>2.1</v>
      </c>
      <c r="E766" s="57" t="s">
        <v>81</v>
      </c>
      <c r="F766" s="52" t="s">
        <v>82</v>
      </c>
      <c r="G766" s="52" t="s">
        <v>2</v>
      </c>
    </row>
    <row r="767" spans="1:7">
      <c r="A767" s="54" t="s">
        <v>1134</v>
      </c>
      <c r="B767" s="55" t="s">
        <v>124</v>
      </c>
      <c r="C767" s="56">
        <v>16</v>
      </c>
      <c r="D767" s="52">
        <v>2.1</v>
      </c>
      <c r="E767" s="57" t="s">
        <v>81</v>
      </c>
      <c r="F767" s="52" t="s">
        <v>82</v>
      </c>
      <c r="G767" s="52" t="s">
        <v>4</v>
      </c>
    </row>
    <row r="768" spans="1:7">
      <c r="A768" s="54" t="s">
        <v>1135</v>
      </c>
      <c r="B768" s="55" t="s">
        <v>124</v>
      </c>
      <c r="C768" s="56">
        <v>17</v>
      </c>
      <c r="D768" s="52">
        <v>2.33</v>
      </c>
      <c r="E768" s="57" t="s">
        <v>81</v>
      </c>
      <c r="F768" s="52" t="s">
        <v>87</v>
      </c>
      <c r="G768" s="52" t="s">
        <v>0</v>
      </c>
    </row>
    <row r="769" spans="1:7">
      <c r="A769" s="54" t="s">
        <v>1136</v>
      </c>
      <c r="B769" s="55" t="s">
        <v>124</v>
      </c>
      <c r="C769" s="56">
        <v>18</v>
      </c>
      <c r="D769" s="52">
        <v>2.1</v>
      </c>
      <c r="E769" s="57" t="s">
        <v>81</v>
      </c>
      <c r="F769" s="52" t="s">
        <v>82</v>
      </c>
      <c r="G769" s="52" t="s">
        <v>1</v>
      </c>
    </row>
    <row r="770" spans="1:7">
      <c r="A770" s="54" t="s">
        <v>1137</v>
      </c>
      <c r="B770" s="55" t="s">
        <v>124</v>
      </c>
      <c r="C770" s="56">
        <v>19</v>
      </c>
      <c r="D770" s="52">
        <v>2.35</v>
      </c>
      <c r="E770" s="57" t="s">
        <v>81</v>
      </c>
      <c r="F770" s="52" t="s">
        <v>89</v>
      </c>
      <c r="G770" s="52" t="s">
        <v>2</v>
      </c>
    </row>
    <row r="771" spans="1:7">
      <c r="A771" s="54" t="s">
        <v>1138</v>
      </c>
      <c r="B771" s="55" t="s">
        <v>124</v>
      </c>
      <c r="C771" s="56">
        <v>20</v>
      </c>
      <c r="D771" s="52">
        <v>5.3</v>
      </c>
      <c r="E771" s="57" t="s">
        <v>81</v>
      </c>
      <c r="F771" s="52" t="s">
        <v>99</v>
      </c>
      <c r="G771" s="52" t="s">
        <v>2</v>
      </c>
    </row>
    <row r="772" spans="1:7">
      <c r="A772" s="54" t="s">
        <v>1139</v>
      </c>
      <c r="B772" s="55" t="s">
        <v>124</v>
      </c>
      <c r="C772" s="56">
        <v>21</v>
      </c>
      <c r="D772" s="52">
        <v>2.1</v>
      </c>
      <c r="E772" s="57" t="s">
        <v>100</v>
      </c>
      <c r="F772" s="52" t="s">
        <v>82</v>
      </c>
      <c r="G772" s="52" t="s">
        <v>0</v>
      </c>
    </row>
    <row r="773" spans="1:7">
      <c r="A773" s="54" t="s">
        <v>1140</v>
      </c>
      <c r="B773" s="55" t="s">
        <v>124</v>
      </c>
      <c r="C773" s="56">
        <v>22</v>
      </c>
      <c r="D773" s="52">
        <v>2.31</v>
      </c>
      <c r="E773" s="57" t="s">
        <v>93</v>
      </c>
      <c r="F773" s="52" t="s">
        <v>85</v>
      </c>
      <c r="G773" s="52" t="s">
        <v>2</v>
      </c>
    </row>
    <row r="774" spans="1:7">
      <c r="A774" s="54" t="s">
        <v>1141</v>
      </c>
      <c r="B774" s="55" t="s">
        <v>124</v>
      </c>
      <c r="C774" s="56">
        <v>23</v>
      </c>
      <c r="D774" s="52">
        <v>2.31</v>
      </c>
      <c r="E774" s="57" t="s">
        <v>28</v>
      </c>
      <c r="F774" s="52" t="s">
        <v>85</v>
      </c>
      <c r="G774" s="52" t="s">
        <v>4</v>
      </c>
    </row>
    <row r="775" spans="1:7">
      <c r="A775" s="54" t="s">
        <v>1142</v>
      </c>
      <c r="B775" s="55" t="s">
        <v>124</v>
      </c>
      <c r="C775" s="56">
        <v>24</v>
      </c>
      <c r="D775" s="52">
        <v>2.31</v>
      </c>
      <c r="E775" s="57" t="s">
        <v>28</v>
      </c>
      <c r="F775" s="52" t="s">
        <v>85</v>
      </c>
      <c r="G775" s="52" t="s">
        <v>1</v>
      </c>
    </row>
    <row r="776" spans="1:7">
      <c r="A776" s="54" t="s">
        <v>1143</v>
      </c>
      <c r="B776" s="55" t="s">
        <v>124</v>
      </c>
      <c r="C776" s="56">
        <v>25</v>
      </c>
      <c r="D776" s="52">
        <v>2.1</v>
      </c>
      <c r="E776" s="57" t="s">
        <v>81</v>
      </c>
      <c r="F776" s="52" t="s">
        <v>82</v>
      </c>
      <c r="G776" s="52" t="s">
        <v>0</v>
      </c>
    </row>
    <row r="777" spans="1:7">
      <c r="A777" s="54" t="s">
        <v>1144</v>
      </c>
      <c r="B777" s="55" t="s">
        <v>124</v>
      </c>
      <c r="C777" s="56">
        <v>26</v>
      </c>
      <c r="D777" s="52">
        <v>5.0999999999999996</v>
      </c>
      <c r="E777" s="57" t="s">
        <v>93</v>
      </c>
      <c r="F777" s="52" t="s">
        <v>97</v>
      </c>
      <c r="G777" s="52" t="s">
        <v>0</v>
      </c>
    </row>
    <row r="778" spans="1:7">
      <c r="A778" s="54" t="s">
        <v>1145</v>
      </c>
      <c r="B778" s="55" t="s">
        <v>124</v>
      </c>
      <c r="C778" s="56">
        <v>27</v>
      </c>
      <c r="D778" s="52">
        <v>3.2</v>
      </c>
      <c r="E778" s="57" t="s">
        <v>76</v>
      </c>
      <c r="F778" s="52" t="s">
        <v>91</v>
      </c>
      <c r="G778" s="52" t="s">
        <v>3</v>
      </c>
    </row>
    <row r="779" spans="1:7">
      <c r="A779" s="54" t="s">
        <v>1146</v>
      </c>
      <c r="B779" s="55" t="s">
        <v>124</v>
      </c>
      <c r="C779" s="56">
        <v>28</v>
      </c>
      <c r="D779" s="52">
        <v>6.3</v>
      </c>
      <c r="E779" s="57" t="s">
        <v>100</v>
      </c>
      <c r="F779" s="52" t="s">
        <v>103</v>
      </c>
      <c r="G779" s="52" t="s">
        <v>3</v>
      </c>
    </row>
    <row r="780" spans="1:7">
      <c r="A780" s="54" t="s">
        <v>1147</v>
      </c>
      <c r="B780" s="55" t="s">
        <v>124</v>
      </c>
      <c r="C780" s="56">
        <v>29</v>
      </c>
      <c r="D780" s="52">
        <v>3.2</v>
      </c>
      <c r="E780" s="57" t="s">
        <v>93</v>
      </c>
      <c r="F780" s="52" t="s">
        <v>91</v>
      </c>
      <c r="G780" s="52" t="s">
        <v>3</v>
      </c>
    </row>
    <row r="781" spans="1:7">
      <c r="A781" s="54" t="s">
        <v>1148</v>
      </c>
      <c r="B781" s="55" t="s">
        <v>124</v>
      </c>
      <c r="C781" s="56">
        <v>30</v>
      </c>
      <c r="D781" s="52">
        <v>5.3</v>
      </c>
      <c r="E781" s="57" t="s">
        <v>81</v>
      </c>
      <c r="F781" s="52" t="s">
        <v>99</v>
      </c>
      <c r="G781" s="52" t="s">
        <v>4</v>
      </c>
    </row>
    <row r="782" spans="1:7">
      <c r="A782" s="54" t="s">
        <v>1149</v>
      </c>
      <c r="B782" s="55" t="s">
        <v>124</v>
      </c>
      <c r="C782" s="56">
        <v>31</v>
      </c>
      <c r="D782" s="52">
        <v>2.2000000000000002</v>
      </c>
      <c r="E782" s="57" t="s">
        <v>96</v>
      </c>
      <c r="F782" s="52" t="s">
        <v>83</v>
      </c>
      <c r="G782" s="52" t="s">
        <v>1</v>
      </c>
    </row>
    <row r="783" spans="1:7">
      <c r="A783" s="54" t="s">
        <v>1150</v>
      </c>
      <c r="B783" s="55" t="s">
        <v>124</v>
      </c>
      <c r="C783" s="56">
        <v>32</v>
      </c>
      <c r="D783" s="52">
        <v>6.4</v>
      </c>
      <c r="E783" s="57" t="s">
        <v>81</v>
      </c>
      <c r="F783" s="52" t="s">
        <v>104</v>
      </c>
      <c r="G783" s="52" t="s">
        <v>2</v>
      </c>
    </row>
    <row r="784" spans="1:7">
      <c r="A784" s="54" t="s">
        <v>1151</v>
      </c>
      <c r="B784" s="55" t="s">
        <v>124</v>
      </c>
      <c r="C784" s="56">
        <v>33</v>
      </c>
      <c r="D784" s="52">
        <v>6.3</v>
      </c>
      <c r="E784" s="57" t="s">
        <v>100</v>
      </c>
      <c r="F784" s="52" t="s">
        <v>103</v>
      </c>
      <c r="G784" s="52" t="s">
        <v>3</v>
      </c>
    </row>
    <row r="785" spans="1:7">
      <c r="A785" s="54" t="s">
        <v>1152</v>
      </c>
      <c r="B785" s="55" t="s">
        <v>124</v>
      </c>
      <c r="C785" s="56">
        <v>34</v>
      </c>
      <c r="D785" s="52">
        <v>3.2</v>
      </c>
      <c r="E785" s="57" t="s">
        <v>81</v>
      </c>
      <c r="F785" s="52" t="s">
        <v>91</v>
      </c>
      <c r="G785" s="52" t="s">
        <v>0</v>
      </c>
    </row>
    <row r="786" spans="1:7">
      <c r="A786" s="54" t="s">
        <v>1153</v>
      </c>
      <c r="B786" s="55" t="s">
        <v>124</v>
      </c>
      <c r="C786" s="56">
        <v>35</v>
      </c>
      <c r="D786" s="52">
        <v>3.1</v>
      </c>
      <c r="E786" s="57" t="s">
        <v>81</v>
      </c>
      <c r="F786" s="52" t="s">
        <v>90</v>
      </c>
      <c r="G786" s="52" t="s">
        <v>2</v>
      </c>
    </row>
    <row r="787" spans="1:7">
      <c r="A787" s="54" t="s">
        <v>1154</v>
      </c>
      <c r="B787" s="55" t="s">
        <v>124</v>
      </c>
      <c r="C787" s="56">
        <v>36</v>
      </c>
      <c r="D787" s="52">
        <v>2.1</v>
      </c>
      <c r="E787" s="57" t="s">
        <v>100</v>
      </c>
      <c r="F787" s="52" t="s">
        <v>82</v>
      </c>
      <c r="G787" s="52" t="s">
        <v>2</v>
      </c>
    </row>
    <row r="788" spans="1:7">
      <c r="A788" s="54" t="s">
        <v>1155</v>
      </c>
      <c r="B788" s="55" t="s">
        <v>124</v>
      </c>
      <c r="C788" s="56">
        <v>37</v>
      </c>
      <c r="D788" s="52">
        <v>6.3</v>
      </c>
      <c r="E788" s="57" t="s">
        <v>28</v>
      </c>
      <c r="F788" s="52" t="s">
        <v>103</v>
      </c>
      <c r="G788" s="52" t="s">
        <v>4</v>
      </c>
    </row>
    <row r="789" spans="1:7">
      <c r="A789" s="54" t="s">
        <v>1156</v>
      </c>
      <c r="B789" s="55" t="s">
        <v>124</v>
      </c>
      <c r="C789" s="56">
        <v>38</v>
      </c>
      <c r="D789" s="52">
        <v>6.2</v>
      </c>
      <c r="E789" s="57" t="s">
        <v>96</v>
      </c>
      <c r="F789" s="52" t="s">
        <v>102</v>
      </c>
      <c r="G789" s="52" t="s">
        <v>3</v>
      </c>
    </row>
    <row r="790" spans="1:7">
      <c r="A790" s="54" t="s">
        <v>1157</v>
      </c>
      <c r="B790" s="55" t="s">
        <v>124</v>
      </c>
      <c r="C790" s="56">
        <v>39</v>
      </c>
      <c r="D790" s="52">
        <v>3.1</v>
      </c>
      <c r="E790" s="57" t="s">
        <v>81</v>
      </c>
      <c r="F790" s="52" t="s">
        <v>90</v>
      </c>
      <c r="G790" s="52" t="s">
        <v>4</v>
      </c>
    </row>
    <row r="791" spans="1:7">
      <c r="A791" s="54" t="s">
        <v>1158</v>
      </c>
      <c r="B791" s="55" t="s">
        <v>124</v>
      </c>
      <c r="C791" s="56">
        <v>40</v>
      </c>
      <c r="D791" s="52">
        <v>3.2</v>
      </c>
      <c r="E791" s="57" t="s">
        <v>100</v>
      </c>
      <c r="F791" s="52" t="s">
        <v>91</v>
      </c>
      <c r="G791" s="52" t="s">
        <v>3</v>
      </c>
    </row>
    <row r="792" spans="1:7">
      <c r="A792" s="54" t="s">
        <v>1159</v>
      </c>
      <c r="B792" s="55" t="s">
        <v>124</v>
      </c>
      <c r="C792" s="56">
        <v>41</v>
      </c>
      <c r="D792" s="52">
        <v>1.5</v>
      </c>
      <c r="E792" s="57" t="s">
        <v>96</v>
      </c>
      <c r="F792" s="52" t="s">
        <v>80</v>
      </c>
      <c r="G792" s="52" t="s">
        <v>2</v>
      </c>
    </row>
    <row r="793" spans="1:7">
      <c r="A793" s="54" t="s">
        <v>1160</v>
      </c>
      <c r="B793" s="55" t="s">
        <v>124</v>
      </c>
      <c r="C793" s="56">
        <v>42</v>
      </c>
      <c r="D793" s="52">
        <v>6.1</v>
      </c>
      <c r="E793" s="57" t="s">
        <v>81</v>
      </c>
      <c r="F793" s="52" t="s">
        <v>101</v>
      </c>
      <c r="G793" s="52" t="s">
        <v>2</v>
      </c>
    </row>
    <row r="794" spans="1:7">
      <c r="A794" s="54" t="s">
        <v>1161</v>
      </c>
      <c r="B794" s="55" t="s">
        <v>124</v>
      </c>
      <c r="C794" s="56">
        <v>43</v>
      </c>
      <c r="D794" s="52">
        <v>5.0999999999999996</v>
      </c>
      <c r="E794" s="57" t="s">
        <v>81</v>
      </c>
      <c r="F794" s="52" t="s">
        <v>97</v>
      </c>
      <c r="G794" s="52" t="s">
        <v>2</v>
      </c>
    </row>
    <row r="795" spans="1:7">
      <c r="A795" s="54" t="s">
        <v>1162</v>
      </c>
      <c r="B795" s="55" t="s">
        <v>124</v>
      </c>
      <c r="C795" s="56">
        <v>44</v>
      </c>
      <c r="D795" s="52">
        <v>1.1000000000000001</v>
      </c>
      <c r="E795" s="57" t="s">
        <v>81</v>
      </c>
      <c r="F795" s="52" t="s">
        <v>77</v>
      </c>
      <c r="G795" s="52" t="s">
        <v>1</v>
      </c>
    </row>
    <row r="796" spans="1:7">
      <c r="A796" s="54" t="s">
        <v>1163</v>
      </c>
      <c r="B796" s="55" t="s">
        <v>124</v>
      </c>
      <c r="C796" s="56">
        <v>45</v>
      </c>
      <c r="D796" s="52">
        <v>6.4</v>
      </c>
      <c r="E796" s="57" t="s">
        <v>28</v>
      </c>
      <c r="F796" s="52" t="s">
        <v>104</v>
      </c>
      <c r="G796" s="52" t="s">
        <v>4</v>
      </c>
    </row>
    <row r="797" spans="1:7">
      <c r="A797" s="54" t="s">
        <v>1164</v>
      </c>
      <c r="B797" s="55" t="s">
        <v>124</v>
      </c>
      <c r="C797" s="56">
        <v>46</v>
      </c>
      <c r="D797" s="52">
        <v>6.1</v>
      </c>
      <c r="E797" s="57" t="s">
        <v>76</v>
      </c>
      <c r="F797" s="52" t="s">
        <v>101</v>
      </c>
      <c r="G797" s="52" t="s">
        <v>2</v>
      </c>
    </row>
    <row r="798" spans="1:7">
      <c r="A798" s="54" t="s">
        <v>1165</v>
      </c>
      <c r="B798" s="55" t="s">
        <v>124</v>
      </c>
      <c r="C798" s="56">
        <v>47</v>
      </c>
      <c r="D798" s="52">
        <v>1.3</v>
      </c>
      <c r="E798" s="57" t="s">
        <v>81</v>
      </c>
      <c r="F798" s="52" t="s">
        <v>79</v>
      </c>
      <c r="G798" s="52" t="s">
        <v>0</v>
      </c>
    </row>
    <row r="799" spans="1:7">
      <c r="A799" s="54" t="s">
        <v>1166</v>
      </c>
      <c r="B799" s="55" t="s">
        <v>124</v>
      </c>
      <c r="C799" s="56">
        <v>48</v>
      </c>
      <c r="D799" s="52">
        <v>4.0999999999999996</v>
      </c>
      <c r="E799" s="57" t="s">
        <v>76</v>
      </c>
      <c r="F799" s="52" t="s">
        <v>94</v>
      </c>
      <c r="G799" s="52" t="s">
        <v>3</v>
      </c>
    </row>
    <row r="800" spans="1:7">
      <c r="A800" s="54" t="s">
        <v>1167</v>
      </c>
      <c r="B800" s="55" t="s">
        <v>124</v>
      </c>
      <c r="C800" s="56">
        <v>49</v>
      </c>
      <c r="D800" s="52">
        <v>5.3</v>
      </c>
      <c r="E800" s="57" t="s">
        <v>81</v>
      </c>
      <c r="F800" s="52" t="s">
        <v>99</v>
      </c>
      <c r="G800" s="52" t="s">
        <v>0</v>
      </c>
    </row>
    <row r="801" spans="1:7">
      <c r="A801" s="54" t="s">
        <v>1168</v>
      </c>
      <c r="B801" s="55" t="s">
        <v>124</v>
      </c>
      <c r="C801" s="56">
        <v>50</v>
      </c>
      <c r="D801" s="52">
        <v>5.0999999999999996</v>
      </c>
      <c r="E801" s="57" t="s">
        <v>96</v>
      </c>
      <c r="F801" s="52" t="s">
        <v>97</v>
      </c>
      <c r="G801" s="52" t="s">
        <v>1</v>
      </c>
    </row>
    <row r="802" spans="1:7">
      <c r="A802" s="54" t="s">
        <v>1169</v>
      </c>
      <c r="B802" s="55" t="s">
        <v>125</v>
      </c>
      <c r="C802" s="56">
        <v>1</v>
      </c>
      <c r="D802" s="52">
        <v>1.1000000000000001</v>
      </c>
      <c r="E802" s="57" t="s">
        <v>81</v>
      </c>
      <c r="F802" s="52" t="s">
        <v>77</v>
      </c>
      <c r="G802" s="52" t="s">
        <v>2</v>
      </c>
    </row>
    <row r="803" spans="1:7">
      <c r="A803" s="54" t="s">
        <v>1170</v>
      </c>
      <c r="B803" s="55" t="s">
        <v>125</v>
      </c>
      <c r="C803" s="56">
        <v>2</v>
      </c>
      <c r="D803" s="52">
        <v>1.1000000000000001</v>
      </c>
      <c r="E803" s="57" t="s">
        <v>81</v>
      </c>
      <c r="F803" s="52" t="s">
        <v>77</v>
      </c>
      <c r="G803" s="52" t="s">
        <v>4</v>
      </c>
    </row>
    <row r="804" spans="1:7">
      <c r="A804" s="54" t="s">
        <v>1171</v>
      </c>
      <c r="B804" s="55" t="s">
        <v>125</v>
      </c>
      <c r="C804" s="56">
        <v>3</v>
      </c>
      <c r="D804" s="52">
        <v>1.1000000000000001</v>
      </c>
      <c r="E804" s="57" t="s">
        <v>76</v>
      </c>
      <c r="F804" s="52" t="s">
        <v>77</v>
      </c>
      <c r="G804" s="52" t="s">
        <v>0</v>
      </c>
    </row>
    <row r="805" spans="1:7">
      <c r="A805" s="54" t="s">
        <v>1172</v>
      </c>
      <c r="B805" s="55" t="s">
        <v>125</v>
      </c>
      <c r="C805" s="56">
        <v>4</v>
      </c>
      <c r="D805" s="52">
        <v>2.33</v>
      </c>
      <c r="E805" s="57" t="s">
        <v>81</v>
      </c>
      <c r="F805" s="52" t="s">
        <v>87</v>
      </c>
      <c r="G805" s="52" t="s">
        <v>2</v>
      </c>
    </row>
    <row r="806" spans="1:7">
      <c r="A806" s="54" t="s">
        <v>1173</v>
      </c>
      <c r="B806" s="55" t="s">
        <v>125</v>
      </c>
      <c r="C806" s="56">
        <v>5</v>
      </c>
      <c r="D806" s="52">
        <v>3.1</v>
      </c>
      <c r="E806" s="57" t="s">
        <v>96</v>
      </c>
      <c r="F806" s="52" t="s">
        <v>90</v>
      </c>
      <c r="G806" s="52" t="s">
        <v>1</v>
      </c>
    </row>
    <row r="807" spans="1:7">
      <c r="A807" s="54" t="s">
        <v>1174</v>
      </c>
      <c r="B807" s="55" t="s">
        <v>125</v>
      </c>
      <c r="C807" s="56">
        <v>6</v>
      </c>
      <c r="D807" s="52">
        <v>1.2</v>
      </c>
      <c r="E807" s="57" t="s">
        <v>81</v>
      </c>
      <c r="F807" s="52" t="s">
        <v>78</v>
      </c>
      <c r="G807" s="52" t="s">
        <v>0</v>
      </c>
    </row>
    <row r="808" spans="1:7">
      <c r="A808" s="54" t="s">
        <v>1175</v>
      </c>
      <c r="B808" s="55" t="s">
        <v>125</v>
      </c>
      <c r="C808" s="56">
        <v>7</v>
      </c>
      <c r="D808" s="52">
        <v>4.2</v>
      </c>
      <c r="E808" s="57" t="s">
        <v>81</v>
      </c>
      <c r="F808" s="52" t="s">
        <v>95</v>
      </c>
      <c r="G808" s="52" t="s">
        <v>0</v>
      </c>
    </row>
    <row r="809" spans="1:7">
      <c r="A809" s="54" t="s">
        <v>1176</v>
      </c>
      <c r="B809" s="55" t="s">
        <v>125</v>
      </c>
      <c r="C809" s="56">
        <v>8</v>
      </c>
      <c r="D809" s="52">
        <v>2.35</v>
      </c>
      <c r="E809" s="57" t="s">
        <v>81</v>
      </c>
      <c r="F809" s="52" t="s">
        <v>89</v>
      </c>
      <c r="G809" s="52" t="s">
        <v>3</v>
      </c>
    </row>
    <row r="810" spans="1:7">
      <c r="A810" s="54" t="s">
        <v>1177</v>
      </c>
      <c r="B810" s="55" t="s">
        <v>125</v>
      </c>
      <c r="C810" s="56">
        <v>9</v>
      </c>
      <c r="D810" s="52">
        <v>2.1</v>
      </c>
      <c r="E810" s="57" t="s">
        <v>81</v>
      </c>
      <c r="F810" s="52" t="s">
        <v>82</v>
      </c>
      <c r="G810" s="52" t="s">
        <v>0</v>
      </c>
    </row>
    <row r="811" spans="1:7">
      <c r="A811" s="54" t="s">
        <v>1178</v>
      </c>
      <c r="B811" s="55" t="s">
        <v>125</v>
      </c>
      <c r="C811" s="56">
        <v>10</v>
      </c>
      <c r="D811" s="52">
        <v>2.34</v>
      </c>
      <c r="E811" s="57" t="s">
        <v>81</v>
      </c>
      <c r="F811" s="52" t="s">
        <v>88</v>
      </c>
      <c r="G811" s="52" t="s">
        <v>3</v>
      </c>
    </row>
    <row r="812" spans="1:7">
      <c r="A812" s="54" t="s">
        <v>1179</v>
      </c>
      <c r="B812" s="55" t="s">
        <v>125</v>
      </c>
      <c r="C812" s="56">
        <v>11</v>
      </c>
      <c r="D812" s="52">
        <v>2.33</v>
      </c>
      <c r="E812" s="57" t="s">
        <v>28</v>
      </c>
      <c r="F812" s="52" t="s">
        <v>87</v>
      </c>
      <c r="G812" s="52" t="s">
        <v>3</v>
      </c>
    </row>
    <row r="813" spans="1:7">
      <c r="A813" s="54" t="s">
        <v>1180</v>
      </c>
      <c r="B813" s="55" t="s">
        <v>125</v>
      </c>
      <c r="C813" s="56">
        <v>12</v>
      </c>
      <c r="D813" s="52">
        <v>6.1</v>
      </c>
      <c r="E813" s="57" t="s">
        <v>81</v>
      </c>
      <c r="F813" s="52" t="s">
        <v>101</v>
      </c>
      <c r="G813" s="52" t="s">
        <v>2</v>
      </c>
    </row>
    <row r="814" spans="1:7">
      <c r="A814" s="54" t="s">
        <v>1181</v>
      </c>
      <c r="B814" s="55" t="s">
        <v>125</v>
      </c>
      <c r="C814" s="56">
        <v>13</v>
      </c>
      <c r="D814" s="52">
        <v>1.3</v>
      </c>
      <c r="E814" s="57" t="s">
        <v>28</v>
      </c>
      <c r="F814" s="52" t="s">
        <v>79</v>
      </c>
      <c r="G814" s="52" t="s">
        <v>0</v>
      </c>
    </row>
    <row r="815" spans="1:7">
      <c r="A815" s="54" t="s">
        <v>1182</v>
      </c>
      <c r="B815" s="55" t="s">
        <v>125</v>
      </c>
      <c r="C815" s="56">
        <v>14</v>
      </c>
      <c r="D815" s="52">
        <v>5.0999999999999996</v>
      </c>
      <c r="E815" s="57" t="s">
        <v>81</v>
      </c>
      <c r="F815" s="52" t="s">
        <v>97</v>
      </c>
      <c r="G815" s="52" t="s">
        <v>4</v>
      </c>
    </row>
    <row r="816" spans="1:7">
      <c r="A816" s="54" t="s">
        <v>1183</v>
      </c>
      <c r="B816" s="55" t="s">
        <v>125</v>
      </c>
      <c r="C816" s="56">
        <v>15</v>
      </c>
      <c r="D816" s="52">
        <v>2.3199999999999998</v>
      </c>
      <c r="E816" s="57" t="s">
        <v>96</v>
      </c>
      <c r="F816" s="52" t="s">
        <v>86</v>
      </c>
      <c r="G816" s="52" t="s">
        <v>1</v>
      </c>
    </row>
    <row r="817" spans="1:7">
      <c r="A817" s="54" t="s">
        <v>1184</v>
      </c>
      <c r="B817" s="55" t="s">
        <v>125</v>
      </c>
      <c r="C817" s="56">
        <v>16</v>
      </c>
      <c r="D817" s="52">
        <v>2.1</v>
      </c>
      <c r="E817" s="57" t="s">
        <v>76</v>
      </c>
      <c r="F817" s="52" t="s">
        <v>82</v>
      </c>
      <c r="G817" s="52" t="s">
        <v>3</v>
      </c>
    </row>
    <row r="818" spans="1:7">
      <c r="A818" s="54" t="s">
        <v>1185</v>
      </c>
      <c r="B818" s="55" t="s">
        <v>125</v>
      </c>
      <c r="C818" s="56">
        <v>17</v>
      </c>
      <c r="D818" s="52">
        <v>2.1</v>
      </c>
      <c r="E818" s="57" t="s">
        <v>100</v>
      </c>
      <c r="F818" s="52" t="s">
        <v>82</v>
      </c>
      <c r="G818" s="52" t="s">
        <v>2</v>
      </c>
    </row>
    <row r="819" spans="1:7">
      <c r="A819" s="54" t="s">
        <v>1186</v>
      </c>
      <c r="B819" s="55" t="s">
        <v>125</v>
      </c>
      <c r="C819" s="56">
        <v>18</v>
      </c>
      <c r="D819" s="52">
        <v>2.35</v>
      </c>
      <c r="E819" s="57" t="s">
        <v>81</v>
      </c>
      <c r="F819" s="52" t="s">
        <v>89</v>
      </c>
      <c r="G819" s="52" t="s">
        <v>4</v>
      </c>
    </row>
    <row r="820" spans="1:7">
      <c r="A820" s="54" t="s">
        <v>1187</v>
      </c>
      <c r="B820" s="55" t="s">
        <v>125</v>
      </c>
      <c r="C820" s="56">
        <v>19</v>
      </c>
      <c r="D820" s="52">
        <v>2.1</v>
      </c>
      <c r="E820" s="57" t="s">
        <v>28</v>
      </c>
      <c r="F820" s="52" t="s">
        <v>82</v>
      </c>
      <c r="G820" s="52" t="s">
        <v>3</v>
      </c>
    </row>
    <row r="821" spans="1:7">
      <c r="A821" s="54" t="s">
        <v>1188</v>
      </c>
      <c r="B821" s="55" t="s">
        <v>125</v>
      </c>
      <c r="C821" s="56">
        <v>20</v>
      </c>
      <c r="D821" s="52">
        <v>2.34</v>
      </c>
      <c r="E821" s="57" t="s">
        <v>81</v>
      </c>
      <c r="F821" s="52" t="s">
        <v>88</v>
      </c>
      <c r="G821" s="52" t="s">
        <v>2</v>
      </c>
    </row>
    <row r="822" spans="1:7">
      <c r="A822" s="54" t="s">
        <v>1189</v>
      </c>
      <c r="B822" s="55" t="s">
        <v>125</v>
      </c>
      <c r="C822" s="56">
        <v>21</v>
      </c>
      <c r="D822" s="52">
        <v>6.3</v>
      </c>
      <c r="E822" s="57" t="s">
        <v>81</v>
      </c>
      <c r="F822" s="52" t="s">
        <v>103</v>
      </c>
      <c r="G822" s="52" t="s">
        <v>3</v>
      </c>
    </row>
    <row r="823" spans="1:7">
      <c r="A823" s="54" t="s">
        <v>1190</v>
      </c>
      <c r="B823" s="55" t="s">
        <v>125</v>
      </c>
      <c r="C823" s="56">
        <v>22</v>
      </c>
      <c r="D823" s="52">
        <v>4.0999999999999996</v>
      </c>
      <c r="E823" s="57" t="s">
        <v>81</v>
      </c>
      <c r="F823" s="52" t="s">
        <v>94</v>
      </c>
      <c r="G823" s="52" t="s">
        <v>4</v>
      </c>
    </row>
    <row r="824" spans="1:7">
      <c r="A824" s="54" t="s">
        <v>1191</v>
      </c>
      <c r="B824" s="55" t="s">
        <v>125</v>
      </c>
      <c r="C824" s="56">
        <v>23</v>
      </c>
      <c r="D824" s="52">
        <v>5.3</v>
      </c>
      <c r="E824" s="57" t="s">
        <v>100</v>
      </c>
      <c r="F824" s="52" t="s">
        <v>99</v>
      </c>
      <c r="G824" s="52" t="s">
        <v>0</v>
      </c>
    </row>
    <row r="825" spans="1:7">
      <c r="A825" s="54" t="s">
        <v>1192</v>
      </c>
      <c r="B825" s="55" t="s">
        <v>125</v>
      </c>
      <c r="C825" s="56">
        <v>24</v>
      </c>
      <c r="D825" s="52">
        <v>3.2</v>
      </c>
      <c r="E825" s="57" t="s">
        <v>28</v>
      </c>
      <c r="F825" s="52" t="s">
        <v>91</v>
      </c>
      <c r="G825" s="52" t="s">
        <v>4</v>
      </c>
    </row>
    <row r="826" spans="1:7">
      <c r="A826" s="54" t="s">
        <v>1193</v>
      </c>
      <c r="B826" s="55" t="s">
        <v>125</v>
      </c>
      <c r="C826" s="56">
        <v>25</v>
      </c>
      <c r="D826" s="52">
        <v>2.31</v>
      </c>
      <c r="E826" s="57" t="s">
        <v>81</v>
      </c>
      <c r="F826" s="52" t="s">
        <v>85</v>
      </c>
      <c r="G826" s="52" t="s">
        <v>0</v>
      </c>
    </row>
    <row r="827" spans="1:7">
      <c r="A827" s="54" t="s">
        <v>1194</v>
      </c>
      <c r="B827" s="55" t="s">
        <v>125</v>
      </c>
      <c r="C827" s="56">
        <v>26</v>
      </c>
      <c r="D827" s="52">
        <v>4.0999999999999996</v>
      </c>
      <c r="E827" s="57" t="s">
        <v>93</v>
      </c>
      <c r="F827" s="52" t="s">
        <v>94</v>
      </c>
      <c r="G827" s="52" t="s">
        <v>2</v>
      </c>
    </row>
    <row r="828" spans="1:7">
      <c r="A828" s="54" t="s">
        <v>1195</v>
      </c>
      <c r="B828" s="55" t="s">
        <v>125</v>
      </c>
      <c r="C828" s="56">
        <v>27</v>
      </c>
      <c r="D828" s="52">
        <v>1.3</v>
      </c>
      <c r="E828" s="57" t="s">
        <v>100</v>
      </c>
      <c r="F828" s="52" t="s">
        <v>79</v>
      </c>
      <c r="G828" s="52" t="s">
        <v>2</v>
      </c>
    </row>
    <row r="829" spans="1:7">
      <c r="A829" s="54" t="s">
        <v>1196</v>
      </c>
      <c r="B829" s="55" t="s">
        <v>125</v>
      </c>
      <c r="C829" s="56">
        <v>28</v>
      </c>
      <c r="D829" s="52">
        <v>6.3</v>
      </c>
      <c r="E829" s="57" t="s">
        <v>81</v>
      </c>
      <c r="F829" s="52" t="s">
        <v>103</v>
      </c>
      <c r="G829" s="52" t="s">
        <v>2</v>
      </c>
    </row>
    <row r="830" spans="1:7">
      <c r="A830" s="54" t="s">
        <v>1197</v>
      </c>
      <c r="B830" s="55" t="s">
        <v>125</v>
      </c>
      <c r="C830" s="56">
        <v>29</v>
      </c>
      <c r="D830" s="52">
        <v>4.2</v>
      </c>
      <c r="E830" s="57" t="s">
        <v>81</v>
      </c>
      <c r="F830" s="52" t="s">
        <v>95</v>
      </c>
      <c r="G830" s="52" t="s">
        <v>0</v>
      </c>
    </row>
    <row r="831" spans="1:7">
      <c r="A831" s="54" t="s">
        <v>1198</v>
      </c>
      <c r="B831" s="55" t="s">
        <v>125</v>
      </c>
      <c r="C831" s="56">
        <v>30</v>
      </c>
      <c r="D831" s="52">
        <v>2.2000000000000002</v>
      </c>
      <c r="E831" s="57" t="s">
        <v>76</v>
      </c>
      <c r="F831" s="52" t="s">
        <v>83</v>
      </c>
      <c r="G831" s="52" t="s">
        <v>4</v>
      </c>
    </row>
    <row r="832" spans="1:7">
      <c r="A832" s="54" t="s">
        <v>1199</v>
      </c>
      <c r="B832" s="55" t="s">
        <v>125</v>
      </c>
      <c r="C832" s="56">
        <v>31</v>
      </c>
      <c r="D832" s="52">
        <v>5.0999999999999996</v>
      </c>
      <c r="E832" s="57" t="s">
        <v>81</v>
      </c>
      <c r="F832" s="52" t="s">
        <v>97</v>
      </c>
      <c r="G832" s="52" t="s">
        <v>3</v>
      </c>
    </row>
    <row r="833" spans="1:7">
      <c r="A833" s="54" t="s">
        <v>1200</v>
      </c>
      <c r="B833" s="55" t="s">
        <v>125</v>
      </c>
      <c r="C833" s="56">
        <v>32</v>
      </c>
      <c r="D833" s="52">
        <v>2.1</v>
      </c>
      <c r="E833" s="57" t="s">
        <v>81</v>
      </c>
      <c r="F833" s="52" t="s">
        <v>82</v>
      </c>
      <c r="G833" s="52" t="s">
        <v>0</v>
      </c>
    </row>
    <row r="834" spans="1:7">
      <c r="A834" s="54" t="s">
        <v>1201</v>
      </c>
      <c r="B834" s="55" t="s">
        <v>125</v>
      </c>
      <c r="C834" s="56">
        <v>33</v>
      </c>
      <c r="D834" s="52">
        <v>6.1</v>
      </c>
      <c r="E834" s="57" t="s">
        <v>96</v>
      </c>
      <c r="F834" s="52" t="s">
        <v>101</v>
      </c>
      <c r="G834" s="52" t="s">
        <v>1</v>
      </c>
    </row>
    <row r="835" spans="1:7">
      <c r="A835" s="54" t="s">
        <v>1202</v>
      </c>
      <c r="B835" s="55" t="s">
        <v>125</v>
      </c>
      <c r="C835" s="56">
        <v>34</v>
      </c>
      <c r="D835" s="52">
        <v>2.2000000000000002</v>
      </c>
      <c r="E835" s="57" t="s">
        <v>81</v>
      </c>
      <c r="F835" s="52" t="s">
        <v>83</v>
      </c>
      <c r="G835" s="52" t="s">
        <v>2</v>
      </c>
    </row>
    <row r="836" spans="1:7">
      <c r="A836" s="54" t="s">
        <v>1203</v>
      </c>
      <c r="B836" s="55" t="s">
        <v>125</v>
      </c>
      <c r="C836" s="56">
        <v>35</v>
      </c>
      <c r="D836" s="52">
        <v>2.35</v>
      </c>
      <c r="E836" s="57" t="s">
        <v>28</v>
      </c>
      <c r="F836" s="52" t="s">
        <v>89</v>
      </c>
      <c r="G836" s="52" t="s">
        <v>0</v>
      </c>
    </row>
    <row r="837" spans="1:7">
      <c r="A837" s="54" t="s">
        <v>1204</v>
      </c>
      <c r="B837" s="55" t="s">
        <v>125</v>
      </c>
      <c r="C837" s="56">
        <v>36</v>
      </c>
      <c r="D837" s="52">
        <v>6.1</v>
      </c>
      <c r="E837" s="57" t="s">
        <v>81</v>
      </c>
      <c r="F837" s="52" t="s">
        <v>101</v>
      </c>
      <c r="G837" s="52" t="s">
        <v>2</v>
      </c>
    </row>
    <row r="838" spans="1:7">
      <c r="A838" s="54" t="s">
        <v>1205</v>
      </c>
      <c r="B838" s="55" t="s">
        <v>125</v>
      </c>
      <c r="C838" s="56">
        <v>37</v>
      </c>
      <c r="D838" s="52">
        <v>3.4</v>
      </c>
      <c r="E838" s="57" t="s">
        <v>81</v>
      </c>
      <c r="F838" s="52" t="s">
        <v>29</v>
      </c>
      <c r="G838" s="52" t="s">
        <v>1</v>
      </c>
    </row>
    <row r="839" spans="1:7">
      <c r="A839" s="54" t="s">
        <v>1206</v>
      </c>
      <c r="B839" s="55" t="s">
        <v>125</v>
      </c>
      <c r="C839" s="56">
        <v>38</v>
      </c>
      <c r="D839" s="52">
        <v>5.3</v>
      </c>
      <c r="E839" s="57" t="s">
        <v>81</v>
      </c>
      <c r="F839" s="52" t="s">
        <v>99</v>
      </c>
      <c r="G839" s="52" t="s">
        <v>0</v>
      </c>
    </row>
    <row r="840" spans="1:7">
      <c r="A840" s="54" t="s">
        <v>1207</v>
      </c>
      <c r="B840" s="55" t="s">
        <v>125</v>
      </c>
      <c r="C840" s="56">
        <v>39</v>
      </c>
      <c r="D840" s="52">
        <v>2.31</v>
      </c>
      <c r="E840" s="57" t="s">
        <v>96</v>
      </c>
      <c r="F840" s="52" t="s">
        <v>85</v>
      </c>
      <c r="G840" s="52" t="s">
        <v>1</v>
      </c>
    </row>
    <row r="841" spans="1:7">
      <c r="A841" s="54" t="s">
        <v>1208</v>
      </c>
      <c r="B841" s="55" t="s">
        <v>125</v>
      </c>
      <c r="C841" s="56">
        <v>40</v>
      </c>
      <c r="D841" s="52">
        <v>6.3</v>
      </c>
      <c r="E841" s="57" t="s">
        <v>100</v>
      </c>
      <c r="F841" s="52" t="s">
        <v>103</v>
      </c>
      <c r="G841" s="52" t="s">
        <v>0</v>
      </c>
    </row>
    <row r="842" spans="1:7">
      <c r="A842" s="54" t="s">
        <v>1209</v>
      </c>
      <c r="B842" s="55" t="s">
        <v>125</v>
      </c>
      <c r="C842" s="56">
        <v>41</v>
      </c>
      <c r="D842" s="52">
        <v>5.0999999999999996</v>
      </c>
      <c r="E842" s="57" t="s">
        <v>81</v>
      </c>
      <c r="F842" s="52" t="s">
        <v>97</v>
      </c>
      <c r="G842" s="52" t="s">
        <v>3</v>
      </c>
    </row>
    <row r="843" spans="1:7">
      <c r="A843" s="54" t="s">
        <v>1210</v>
      </c>
      <c r="B843" s="55" t="s">
        <v>125</v>
      </c>
      <c r="C843" s="56">
        <v>42</v>
      </c>
      <c r="D843" s="52">
        <v>6.2</v>
      </c>
      <c r="E843" s="57" t="s">
        <v>81</v>
      </c>
      <c r="F843" s="52" t="s">
        <v>102</v>
      </c>
      <c r="G843" s="52" t="s">
        <v>2</v>
      </c>
    </row>
    <row r="844" spans="1:7">
      <c r="A844" s="54" t="s">
        <v>1211</v>
      </c>
      <c r="B844" s="55" t="s">
        <v>125</v>
      </c>
      <c r="C844" s="56">
        <v>43</v>
      </c>
      <c r="D844" s="52">
        <v>2.33</v>
      </c>
      <c r="E844" s="57" t="s">
        <v>76</v>
      </c>
      <c r="F844" s="52" t="s">
        <v>87</v>
      </c>
      <c r="G844" s="52" t="s">
        <v>2</v>
      </c>
    </row>
    <row r="845" spans="1:7">
      <c r="A845" s="54" t="s">
        <v>1212</v>
      </c>
      <c r="B845" s="55" t="s">
        <v>125</v>
      </c>
      <c r="C845" s="56">
        <v>44</v>
      </c>
      <c r="D845" s="52">
        <v>2.3199999999999998</v>
      </c>
      <c r="E845" s="57" t="s">
        <v>96</v>
      </c>
      <c r="F845" s="52" t="s">
        <v>86</v>
      </c>
      <c r="G845" s="52" t="s">
        <v>1</v>
      </c>
    </row>
    <row r="846" spans="1:7">
      <c r="A846" s="54" t="s">
        <v>1213</v>
      </c>
      <c r="B846" s="55" t="s">
        <v>125</v>
      </c>
      <c r="C846" s="56">
        <v>45</v>
      </c>
      <c r="D846" s="52">
        <v>3.1</v>
      </c>
      <c r="E846" s="57" t="s">
        <v>76</v>
      </c>
      <c r="F846" s="52" t="s">
        <v>90</v>
      </c>
      <c r="G846" s="52" t="s">
        <v>3</v>
      </c>
    </row>
    <row r="847" spans="1:7">
      <c r="A847" s="54" t="s">
        <v>1214</v>
      </c>
      <c r="B847" s="55" t="s">
        <v>125</v>
      </c>
      <c r="C847" s="56">
        <v>46</v>
      </c>
      <c r="D847" s="52">
        <v>1.1000000000000001</v>
      </c>
      <c r="E847" s="57" t="s">
        <v>81</v>
      </c>
      <c r="F847" s="52" t="s">
        <v>77</v>
      </c>
      <c r="G847" s="52" t="s">
        <v>2</v>
      </c>
    </row>
    <row r="848" spans="1:7">
      <c r="A848" s="54" t="s">
        <v>1215</v>
      </c>
      <c r="B848" s="55" t="s">
        <v>125</v>
      </c>
      <c r="C848" s="56">
        <v>47</v>
      </c>
      <c r="D848" s="52">
        <v>2.1</v>
      </c>
      <c r="E848" s="57" t="s">
        <v>81</v>
      </c>
      <c r="F848" s="52" t="s">
        <v>82</v>
      </c>
      <c r="G848" s="52" t="s">
        <v>3</v>
      </c>
    </row>
    <row r="849" spans="1:7">
      <c r="A849" s="54" t="s">
        <v>1216</v>
      </c>
      <c r="B849" s="55" t="s">
        <v>125</v>
      </c>
      <c r="C849" s="56">
        <v>48</v>
      </c>
      <c r="D849" s="52">
        <v>1.1000000000000001</v>
      </c>
      <c r="E849" s="57" t="s">
        <v>76</v>
      </c>
      <c r="F849" s="52" t="s">
        <v>77</v>
      </c>
      <c r="G849" s="52" t="s">
        <v>2</v>
      </c>
    </row>
    <row r="850" spans="1:7">
      <c r="A850" s="54" t="s">
        <v>1217</v>
      </c>
      <c r="B850" s="55" t="s">
        <v>125</v>
      </c>
      <c r="C850" s="56">
        <v>49</v>
      </c>
      <c r="D850" s="52">
        <v>2.31</v>
      </c>
      <c r="E850" s="57" t="s">
        <v>76</v>
      </c>
      <c r="F850" s="52" t="s">
        <v>85</v>
      </c>
      <c r="G850" s="52" t="s">
        <v>0</v>
      </c>
    </row>
    <row r="851" spans="1:7">
      <c r="A851" s="54" t="s">
        <v>1218</v>
      </c>
      <c r="B851" s="55" t="s">
        <v>125</v>
      </c>
      <c r="C851" s="56">
        <v>50</v>
      </c>
      <c r="D851" s="52">
        <v>5.0999999999999996</v>
      </c>
      <c r="E851" s="57" t="s">
        <v>81</v>
      </c>
      <c r="F851" s="52" t="s">
        <v>97</v>
      </c>
      <c r="G851" s="52" t="s">
        <v>1</v>
      </c>
    </row>
    <row r="852" spans="1:7">
      <c r="A852" s="54" t="s">
        <v>1219</v>
      </c>
      <c r="B852" s="55" t="s">
        <v>126</v>
      </c>
      <c r="C852" s="56">
        <v>1</v>
      </c>
      <c r="D852" s="52">
        <v>2.31</v>
      </c>
      <c r="E852" s="57" t="s">
        <v>76</v>
      </c>
      <c r="F852" s="52" t="s">
        <v>85</v>
      </c>
      <c r="G852" s="52" t="s">
        <v>0</v>
      </c>
    </row>
    <row r="853" spans="1:7">
      <c r="A853" s="54" t="s">
        <v>1220</v>
      </c>
      <c r="B853" s="55" t="s">
        <v>126</v>
      </c>
      <c r="C853" s="56">
        <v>2</v>
      </c>
      <c r="D853" s="52">
        <v>2.1</v>
      </c>
      <c r="E853" s="57" t="s">
        <v>81</v>
      </c>
      <c r="F853" s="52" t="s">
        <v>82</v>
      </c>
      <c r="G853" s="52" t="s">
        <v>0</v>
      </c>
    </row>
    <row r="854" spans="1:7">
      <c r="A854" s="54" t="s">
        <v>1221</v>
      </c>
      <c r="B854" s="55" t="s">
        <v>126</v>
      </c>
      <c r="C854" s="56">
        <v>3</v>
      </c>
      <c r="D854" s="52">
        <v>1.1000000000000001</v>
      </c>
      <c r="E854" s="57" t="s">
        <v>81</v>
      </c>
      <c r="F854" s="52" t="s">
        <v>77</v>
      </c>
      <c r="G854" s="52" t="s">
        <v>1</v>
      </c>
    </row>
    <row r="855" spans="1:7">
      <c r="A855" s="54" t="s">
        <v>1222</v>
      </c>
      <c r="B855" s="55" t="s">
        <v>126</v>
      </c>
      <c r="C855" s="56">
        <v>4</v>
      </c>
      <c r="D855" s="52">
        <v>2.31</v>
      </c>
      <c r="E855" s="57" t="s">
        <v>81</v>
      </c>
      <c r="F855" s="52" t="s">
        <v>85</v>
      </c>
      <c r="G855" s="52" t="s">
        <v>2</v>
      </c>
    </row>
    <row r="856" spans="1:7">
      <c r="A856" s="54" t="s">
        <v>1223</v>
      </c>
      <c r="B856" s="55" t="s">
        <v>126</v>
      </c>
      <c r="C856" s="56">
        <v>5</v>
      </c>
      <c r="D856" s="52">
        <v>5.3</v>
      </c>
      <c r="E856" s="57" t="s">
        <v>81</v>
      </c>
      <c r="F856" s="52" t="s">
        <v>99</v>
      </c>
      <c r="G856" s="52" t="s">
        <v>1</v>
      </c>
    </row>
    <row r="857" spans="1:7">
      <c r="A857" s="54" t="s">
        <v>1224</v>
      </c>
      <c r="B857" s="55" t="s">
        <v>126</v>
      </c>
      <c r="C857" s="56">
        <v>6</v>
      </c>
      <c r="D857" s="52">
        <v>2.35</v>
      </c>
      <c r="E857" s="57" t="s">
        <v>28</v>
      </c>
      <c r="F857" s="52" t="s">
        <v>89</v>
      </c>
      <c r="G857" s="52" t="s">
        <v>3</v>
      </c>
    </row>
    <row r="858" spans="1:7">
      <c r="A858" s="54" t="s">
        <v>1225</v>
      </c>
      <c r="B858" s="55" t="s">
        <v>126</v>
      </c>
      <c r="C858" s="56">
        <v>7</v>
      </c>
      <c r="D858" s="52">
        <v>2.31</v>
      </c>
      <c r="E858" s="57" t="s">
        <v>93</v>
      </c>
      <c r="F858" s="52" t="s">
        <v>85</v>
      </c>
      <c r="G858" s="52" t="s">
        <v>1</v>
      </c>
    </row>
    <row r="859" spans="1:7">
      <c r="A859" s="54" t="s">
        <v>1226</v>
      </c>
      <c r="B859" s="55" t="s">
        <v>126</v>
      </c>
      <c r="C859" s="56">
        <v>8</v>
      </c>
      <c r="D859" s="52">
        <v>2.3199999999999998</v>
      </c>
      <c r="E859" s="57" t="s">
        <v>28</v>
      </c>
      <c r="F859" s="52" t="s">
        <v>86</v>
      </c>
      <c r="G859" s="52" t="s">
        <v>2</v>
      </c>
    </row>
    <row r="860" spans="1:7">
      <c r="A860" s="54" t="s">
        <v>1227</v>
      </c>
      <c r="B860" s="55" t="s">
        <v>126</v>
      </c>
      <c r="C860" s="56">
        <v>9</v>
      </c>
      <c r="D860" s="52">
        <v>2.31</v>
      </c>
      <c r="E860" s="57" t="s">
        <v>81</v>
      </c>
      <c r="F860" s="52" t="s">
        <v>85</v>
      </c>
      <c r="G860" s="52" t="s">
        <v>3</v>
      </c>
    </row>
    <row r="861" spans="1:7">
      <c r="A861" s="54" t="s">
        <v>1228</v>
      </c>
      <c r="B861" s="55" t="s">
        <v>126</v>
      </c>
      <c r="C861" s="56">
        <v>10</v>
      </c>
      <c r="D861" s="52">
        <v>2.35</v>
      </c>
      <c r="E861" s="57" t="s">
        <v>76</v>
      </c>
      <c r="F861" s="52" t="s">
        <v>89</v>
      </c>
      <c r="G861" s="52" t="s">
        <v>0</v>
      </c>
    </row>
    <row r="862" spans="1:7">
      <c r="A862" s="54" t="s">
        <v>1229</v>
      </c>
      <c r="B862" s="55" t="s">
        <v>126</v>
      </c>
      <c r="C862" s="56">
        <v>11</v>
      </c>
      <c r="D862" s="52">
        <v>5.3</v>
      </c>
      <c r="E862" s="57" t="s">
        <v>100</v>
      </c>
      <c r="F862" s="52" t="s">
        <v>99</v>
      </c>
      <c r="G862" s="52" t="s">
        <v>2</v>
      </c>
    </row>
    <row r="863" spans="1:7">
      <c r="A863" s="54" t="s">
        <v>1230</v>
      </c>
      <c r="B863" s="55" t="s">
        <v>126</v>
      </c>
      <c r="C863" s="56">
        <v>12</v>
      </c>
      <c r="D863" s="52">
        <v>2.31</v>
      </c>
      <c r="E863" s="57" t="s">
        <v>81</v>
      </c>
      <c r="F863" s="52" t="s">
        <v>85</v>
      </c>
      <c r="G863" s="52" t="s">
        <v>4</v>
      </c>
    </row>
    <row r="864" spans="1:7">
      <c r="A864" s="54" t="s">
        <v>1231</v>
      </c>
      <c r="B864" s="55" t="s">
        <v>126</v>
      </c>
      <c r="C864" s="56">
        <v>13</v>
      </c>
      <c r="D864" s="52">
        <v>3.2</v>
      </c>
      <c r="E864" s="57" t="s">
        <v>76</v>
      </c>
      <c r="F864" s="52" t="s">
        <v>91</v>
      </c>
      <c r="G864" s="52" t="s">
        <v>3</v>
      </c>
    </row>
    <row r="865" spans="1:7">
      <c r="A865" s="54" t="s">
        <v>1232</v>
      </c>
      <c r="B865" s="55" t="s">
        <v>126</v>
      </c>
      <c r="C865" s="56">
        <v>14</v>
      </c>
      <c r="D865" s="52">
        <v>2.31</v>
      </c>
      <c r="E865" s="57" t="s">
        <v>76</v>
      </c>
      <c r="F865" s="52" t="s">
        <v>85</v>
      </c>
      <c r="G865" s="52" t="s">
        <v>1</v>
      </c>
    </row>
    <row r="866" spans="1:7">
      <c r="A866" s="54" t="s">
        <v>1233</v>
      </c>
      <c r="B866" s="55" t="s">
        <v>126</v>
      </c>
      <c r="C866" s="56">
        <v>15</v>
      </c>
      <c r="D866" s="52">
        <v>5.0999999999999996</v>
      </c>
      <c r="E866" s="57" t="s">
        <v>81</v>
      </c>
      <c r="F866" s="52" t="s">
        <v>97</v>
      </c>
      <c r="G866" s="52" t="s">
        <v>0</v>
      </c>
    </row>
    <row r="867" spans="1:7">
      <c r="A867" s="54" t="s">
        <v>1234</v>
      </c>
      <c r="B867" s="55" t="s">
        <v>126</v>
      </c>
      <c r="C867" s="56">
        <v>16</v>
      </c>
      <c r="D867" s="52">
        <v>1.3</v>
      </c>
      <c r="E867" s="57" t="s">
        <v>81</v>
      </c>
      <c r="F867" s="52" t="s">
        <v>79</v>
      </c>
      <c r="G867" s="52" t="s">
        <v>2</v>
      </c>
    </row>
    <row r="868" spans="1:7">
      <c r="A868" s="54" t="s">
        <v>1235</v>
      </c>
      <c r="B868" s="55" t="s">
        <v>126</v>
      </c>
      <c r="C868" s="56">
        <v>17</v>
      </c>
      <c r="D868" s="52">
        <v>6.1</v>
      </c>
      <c r="E868" s="57" t="s">
        <v>81</v>
      </c>
      <c r="F868" s="52" t="s">
        <v>101</v>
      </c>
      <c r="G868" s="52" t="s">
        <v>3</v>
      </c>
    </row>
    <row r="869" spans="1:7">
      <c r="A869" s="54" t="s">
        <v>1236</v>
      </c>
      <c r="B869" s="55" t="s">
        <v>126</v>
      </c>
      <c r="C869" s="56">
        <v>18</v>
      </c>
      <c r="D869" s="52">
        <v>2.34</v>
      </c>
      <c r="E869" s="57" t="s">
        <v>96</v>
      </c>
      <c r="F869" s="52" t="s">
        <v>88</v>
      </c>
      <c r="G869" s="52" t="s">
        <v>4</v>
      </c>
    </row>
    <row r="870" spans="1:7">
      <c r="A870" s="54" t="s">
        <v>1237</v>
      </c>
      <c r="B870" s="55" t="s">
        <v>126</v>
      </c>
      <c r="C870" s="56">
        <v>19</v>
      </c>
      <c r="D870" s="52">
        <v>3.1</v>
      </c>
      <c r="E870" s="57" t="s">
        <v>28</v>
      </c>
      <c r="F870" s="52" t="s">
        <v>90</v>
      </c>
      <c r="G870" s="52" t="s">
        <v>2</v>
      </c>
    </row>
    <row r="871" spans="1:7">
      <c r="A871" s="54" t="s">
        <v>1238</v>
      </c>
      <c r="B871" s="55" t="s">
        <v>126</v>
      </c>
      <c r="C871" s="56">
        <v>20</v>
      </c>
      <c r="D871" s="52">
        <v>2.35</v>
      </c>
      <c r="E871" s="57" t="s">
        <v>81</v>
      </c>
      <c r="F871" s="52" t="s">
        <v>89</v>
      </c>
      <c r="G871" s="52" t="s">
        <v>4</v>
      </c>
    </row>
    <row r="872" spans="1:7">
      <c r="A872" s="54" t="s">
        <v>1239</v>
      </c>
      <c r="B872" s="55" t="s">
        <v>126</v>
      </c>
      <c r="C872" s="56">
        <v>21</v>
      </c>
      <c r="D872" s="52">
        <v>2.35</v>
      </c>
      <c r="E872" s="57" t="s">
        <v>96</v>
      </c>
      <c r="F872" s="52" t="s">
        <v>89</v>
      </c>
      <c r="G872" s="52" t="s">
        <v>3</v>
      </c>
    </row>
    <row r="873" spans="1:7">
      <c r="A873" s="54" t="s">
        <v>1240</v>
      </c>
      <c r="B873" s="55" t="s">
        <v>126</v>
      </c>
      <c r="C873" s="56">
        <v>22</v>
      </c>
      <c r="D873" s="52">
        <v>2.31</v>
      </c>
      <c r="E873" s="57" t="s">
        <v>81</v>
      </c>
      <c r="F873" s="52" t="s">
        <v>85</v>
      </c>
      <c r="G873" s="52" t="s">
        <v>2</v>
      </c>
    </row>
    <row r="874" spans="1:7">
      <c r="A874" s="54" t="s">
        <v>1241</v>
      </c>
      <c r="B874" s="55" t="s">
        <v>126</v>
      </c>
      <c r="C874" s="56">
        <v>23</v>
      </c>
      <c r="D874" s="52">
        <v>6.3</v>
      </c>
      <c r="E874" s="57" t="s">
        <v>76</v>
      </c>
      <c r="F874" s="52" t="s">
        <v>103</v>
      </c>
      <c r="G874" s="52" t="s">
        <v>0</v>
      </c>
    </row>
    <row r="875" spans="1:7">
      <c r="A875" s="54" t="s">
        <v>1242</v>
      </c>
      <c r="B875" s="55" t="s">
        <v>126</v>
      </c>
      <c r="C875" s="56">
        <v>24</v>
      </c>
      <c r="D875" s="52">
        <v>3.1</v>
      </c>
      <c r="E875" s="57" t="s">
        <v>81</v>
      </c>
      <c r="F875" s="52" t="s">
        <v>90</v>
      </c>
      <c r="G875" s="52" t="s">
        <v>0</v>
      </c>
    </row>
    <row r="876" spans="1:7">
      <c r="A876" s="54" t="s">
        <v>1243</v>
      </c>
      <c r="B876" s="55" t="s">
        <v>126</v>
      </c>
      <c r="C876" s="56">
        <v>25</v>
      </c>
      <c r="D876" s="52">
        <v>2.2000000000000002</v>
      </c>
      <c r="E876" s="57" t="s">
        <v>81</v>
      </c>
      <c r="F876" s="52" t="s">
        <v>83</v>
      </c>
      <c r="G876" s="52" t="s">
        <v>2</v>
      </c>
    </row>
    <row r="877" spans="1:7">
      <c r="A877" s="54" t="s">
        <v>1244</v>
      </c>
      <c r="B877" s="55" t="s">
        <v>126</v>
      </c>
      <c r="C877" s="56">
        <v>26</v>
      </c>
      <c r="D877" s="52">
        <v>4.0999999999999996</v>
      </c>
      <c r="E877" s="57" t="s">
        <v>96</v>
      </c>
      <c r="F877" s="52" t="s">
        <v>94</v>
      </c>
      <c r="G877" s="52" t="s">
        <v>0</v>
      </c>
    </row>
    <row r="878" spans="1:7">
      <c r="A878" s="54" t="s">
        <v>1245</v>
      </c>
      <c r="B878" s="55" t="s">
        <v>126</v>
      </c>
      <c r="C878" s="56">
        <v>27</v>
      </c>
      <c r="D878" s="52">
        <v>6.1</v>
      </c>
      <c r="E878" s="57" t="s">
        <v>93</v>
      </c>
      <c r="F878" s="52" t="s">
        <v>101</v>
      </c>
      <c r="G878" s="52" t="s">
        <v>2</v>
      </c>
    </row>
    <row r="879" spans="1:7">
      <c r="A879" s="54" t="s">
        <v>1246</v>
      </c>
      <c r="B879" s="55" t="s">
        <v>126</v>
      </c>
      <c r="C879" s="56">
        <v>28</v>
      </c>
      <c r="D879" s="52">
        <v>2.33</v>
      </c>
      <c r="E879" s="57" t="s">
        <v>96</v>
      </c>
      <c r="F879" s="52" t="s">
        <v>87</v>
      </c>
      <c r="G879" s="52" t="s">
        <v>1</v>
      </c>
    </row>
    <row r="880" spans="1:7">
      <c r="A880" s="54" t="s">
        <v>1247</v>
      </c>
      <c r="B880" s="55" t="s">
        <v>126</v>
      </c>
      <c r="C880" s="56">
        <v>29</v>
      </c>
      <c r="D880" s="52">
        <v>2.34</v>
      </c>
      <c r="E880" s="57" t="s">
        <v>81</v>
      </c>
      <c r="F880" s="52" t="s">
        <v>88</v>
      </c>
      <c r="G880" s="52" t="s">
        <v>3</v>
      </c>
    </row>
    <row r="881" spans="1:7">
      <c r="A881" s="54" t="s">
        <v>1248</v>
      </c>
      <c r="B881" s="55" t="s">
        <v>126</v>
      </c>
      <c r="C881" s="56">
        <v>30</v>
      </c>
      <c r="D881" s="52">
        <v>1.5</v>
      </c>
      <c r="E881" s="57" t="s">
        <v>96</v>
      </c>
      <c r="F881" s="52" t="s">
        <v>80</v>
      </c>
      <c r="G881" s="52" t="s">
        <v>4</v>
      </c>
    </row>
    <row r="882" spans="1:7">
      <c r="A882" s="54" t="s">
        <v>1249</v>
      </c>
      <c r="B882" s="55" t="s">
        <v>126</v>
      </c>
      <c r="C882" s="56">
        <v>31</v>
      </c>
      <c r="D882" s="52">
        <v>2.1</v>
      </c>
      <c r="E882" s="57" t="s">
        <v>100</v>
      </c>
      <c r="F882" s="52" t="s">
        <v>82</v>
      </c>
      <c r="G882" s="52" t="s">
        <v>2</v>
      </c>
    </row>
    <row r="883" spans="1:7">
      <c r="A883" s="54" t="s">
        <v>1250</v>
      </c>
      <c r="B883" s="55" t="s">
        <v>126</v>
      </c>
      <c r="C883" s="56">
        <v>32</v>
      </c>
      <c r="D883" s="52">
        <v>2.2000000000000002</v>
      </c>
      <c r="E883" s="57" t="s">
        <v>81</v>
      </c>
      <c r="F883" s="52" t="s">
        <v>83</v>
      </c>
      <c r="G883" s="52" t="s">
        <v>0</v>
      </c>
    </row>
    <row r="884" spans="1:7">
      <c r="A884" s="54" t="s">
        <v>1251</v>
      </c>
      <c r="B884" s="55" t="s">
        <v>126</v>
      </c>
      <c r="C884" s="56">
        <v>33</v>
      </c>
      <c r="D884" s="52">
        <v>5.3</v>
      </c>
      <c r="E884" s="57" t="s">
        <v>28</v>
      </c>
      <c r="F884" s="52" t="s">
        <v>99</v>
      </c>
      <c r="G884" s="52" t="s">
        <v>4</v>
      </c>
    </row>
    <row r="885" spans="1:7">
      <c r="A885" s="54" t="s">
        <v>1252</v>
      </c>
      <c r="B885" s="55" t="s">
        <v>126</v>
      </c>
      <c r="C885" s="56">
        <v>34</v>
      </c>
      <c r="D885" s="52">
        <v>2.31</v>
      </c>
      <c r="E885" s="57" t="s">
        <v>81</v>
      </c>
      <c r="F885" s="52" t="s">
        <v>85</v>
      </c>
      <c r="G885" s="52" t="s">
        <v>1</v>
      </c>
    </row>
    <row r="886" spans="1:7">
      <c r="A886" s="54" t="s">
        <v>1253</v>
      </c>
      <c r="B886" s="55" t="s">
        <v>126</v>
      </c>
      <c r="C886" s="56">
        <v>35</v>
      </c>
      <c r="D886" s="52">
        <v>3.4</v>
      </c>
      <c r="E886" s="57" t="s">
        <v>93</v>
      </c>
      <c r="F886" s="52" t="s">
        <v>29</v>
      </c>
      <c r="G886" s="52" t="s">
        <v>2</v>
      </c>
    </row>
    <row r="887" spans="1:7">
      <c r="A887" s="54" t="s">
        <v>1254</v>
      </c>
      <c r="B887" s="55" t="s">
        <v>126</v>
      </c>
      <c r="C887" s="56">
        <v>36</v>
      </c>
      <c r="D887" s="52">
        <v>2.31</v>
      </c>
      <c r="E887" s="57" t="s">
        <v>81</v>
      </c>
      <c r="F887" s="52" t="s">
        <v>85</v>
      </c>
      <c r="G887" s="52" t="s">
        <v>3</v>
      </c>
    </row>
    <row r="888" spans="1:7">
      <c r="A888" s="54" t="s">
        <v>1255</v>
      </c>
      <c r="B888" s="55" t="s">
        <v>126</v>
      </c>
      <c r="C888" s="56">
        <v>37</v>
      </c>
      <c r="D888" s="52">
        <v>2.2000000000000002</v>
      </c>
      <c r="E888" s="57" t="s">
        <v>100</v>
      </c>
      <c r="F888" s="52" t="s">
        <v>83</v>
      </c>
      <c r="G888" s="52" t="s">
        <v>0</v>
      </c>
    </row>
    <row r="889" spans="1:7">
      <c r="A889" s="54" t="s">
        <v>1256</v>
      </c>
      <c r="B889" s="55" t="s">
        <v>126</v>
      </c>
      <c r="C889" s="56">
        <v>38</v>
      </c>
      <c r="D889" s="52">
        <v>2.35</v>
      </c>
      <c r="E889" s="57" t="s">
        <v>81</v>
      </c>
      <c r="F889" s="52" t="s">
        <v>89</v>
      </c>
      <c r="G889" s="52" t="s">
        <v>4</v>
      </c>
    </row>
    <row r="890" spans="1:7">
      <c r="A890" s="54" t="s">
        <v>1257</v>
      </c>
      <c r="B890" s="55" t="s">
        <v>126</v>
      </c>
      <c r="C890" s="56">
        <v>39</v>
      </c>
      <c r="D890" s="52">
        <v>5.0999999999999996</v>
      </c>
      <c r="E890" s="57" t="s">
        <v>96</v>
      </c>
      <c r="F890" s="52" t="s">
        <v>97</v>
      </c>
      <c r="G890" s="52" t="s">
        <v>0</v>
      </c>
    </row>
    <row r="891" spans="1:7">
      <c r="A891" s="54" t="s">
        <v>1258</v>
      </c>
      <c r="B891" s="55" t="s">
        <v>126</v>
      </c>
      <c r="C891" s="56">
        <v>40</v>
      </c>
      <c r="D891" s="52">
        <v>6.3</v>
      </c>
      <c r="E891" s="57" t="s">
        <v>81</v>
      </c>
      <c r="F891" s="52" t="s">
        <v>103</v>
      </c>
      <c r="G891" s="52" t="s">
        <v>1</v>
      </c>
    </row>
    <row r="892" spans="1:7">
      <c r="A892" s="54" t="s">
        <v>1259</v>
      </c>
      <c r="B892" s="55" t="s">
        <v>126</v>
      </c>
      <c r="C892" s="56">
        <v>41</v>
      </c>
      <c r="D892" s="52">
        <v>2.31</v>
      </c>
      <c r="E892" s="57" t="s">
        <v>81</v>
      </c>
      <c r="F892" s="52" t="s">
        <v>85</v>
      </c>
      <c r="G892" s="52" t="s">
        <v>3</v>
      </c>
    </row>
    <row r="893" spans="1:7">
      <c r="A893" s="54" t="s">
        <v>1260</v>
      </c>
      <c r="B893" s="55" t="s">
        <v>126</v>
      </c>
      <c r="C893" s="56">
        <v>42</v>
      </c>
      <c r="D893" s="52">
        <v>2.2000000000000002</v>
      </c>
      <c r="E893" s="57" t="s">
        <v>81</v>
      </c>
      <c r="F893" s="52" t="s">
        <v>83</v>
      </c>
      <c r="G893" s="52" t="s">
        <v>4</v>
      </c>
    </row>
    <row r="894" spans="1:7">
      <c r="A894" s="54" t="s">
        <v>1261</v>
      </c>
      <c r="B894" s="55" t="s">
        <v>126</v>
      </c>
      <c r="C894" s="56">
        <v>43</v>
      </c>
      <c r="D894" s="52">
        <v>1.6</v>
      </c>
      <c r="E894" s="57" t="s">
        <v>81</v>
      </c>
      <c r="F894" s="52" t="s">
        <v>27</v>
      </c>
      <c r="G894" s="52" t="s">
        <v>0</v>
      </c>
    </row>
    <row r="895" spans="1:7">
      <c r="A895" s="54" t="s">
        <v>1262</v>
      </c>
      <c r="B895" s="55" t="s">
        <v>126</v>
      </c>
      <c r="C895" s="56">
        <v>44</v>
      </c>
      <c r="D895" s="52">
        <v>5.3</v>
      </c>
      <c r="E895" s="57" t="s">
        <v>100</v>
      </c>
      <c r="F895" s="52" t="s">
        <v>99</v>
      </c>
      <c r="G895" s="52" t="s">
        <v>4</v>
      </c>
    </row>
    <row r="896" spans="1:7">
      <c r="A896" s="54" t="s">
        <v>1263</v>
      </c>
      <c r="B896" s="55" t="s">
        <v>126</v>
      </c>
      <c r="C896" s="56">
        <v>45</v>
      </c>
      <c r="D896" s="52">
        <v>1.2</v>
      </c>
      <c r="E896" s="57" t="s">
        <v>81</v>
      </c>
      <c r="F896" s="52" t="s">
        <v>78</v>
      </c>
      <c r="G896" s="52" t="s">
        <v>3</v>
      </c>
    </row>
    <row r="897" spans="1:7">
      <c r="A897" s="54" t="s">
        <v>1264</v>
      </c>
      <c r="B897" s="55" t="s">
        <v>126</v>
      </c>
      <c r="C897" s="56">
        <v>46</v>
      </c>
      <c r="D897" s="52">
        <v>2.1</v>
      </c>
      <c r="E897" s="57" t="s">
        <v>81</v>
      </c>
      <c r="F897" s="52" t="s">
        <v>82</v>
      </c>
      <c r="G897" s="52" t="s">
        <v>3</v>
      </c>
    </row>
    <row r="898" spans="1:7">
      <c r="A898" s="54" t="s">
        <v>1265</v>
      </c>
      <c r="B898" s="55" t="s">
        <v>126</v>
      </c>
      <c r="C898" s="56">
        <v>47</v>
      </c>
      <c r="D898" s="52">
        <v>2.1</v>
      </c>
      <c r="E898" s="57" t="s">
        <v>81</v>
      </c>
      <c r="F898" s="52" t="s">
        <v>82</v>
      </c>
      <c r="G898" s="52" t="s">
        <v>3</v>
      </c>
    </row>
    <row r="899" spans="1:7">
      <c r="A899" s="54" t="s">
        <v>1266</v>
      </c>
      <c r="B899" s="55" t="s">
        <v>126</v>
      </c>
      <c r="C899" s="56">
        <v>48</v>
      </c>
      <c r="D899" s="52">
        <v>1.1000000000000001</v>
      </c>
      <c r="E899" s="57" t="s">
        <v>76</v>
      </c>
      <c r="F899" s="52" t="s">
        <v>77</v>
      </c>
      <c r="G899" s="52" t="s">
        <v>0</v>
      </c>
    </row>
    <row r="900" spans="1:7">
      <c r="A900" s="54" t="s">
        <v>1267</v>
      </c>
      <c r="B900" s="55" t="s">
        <v>126</v>
      </c>
      <c r="C900" s="56">
        <v>49</v>
      </c>
      <c r="D900" s="52">
        <v>1.4</v>
      </c>
      <c r="E900" s="57" t="s">
        <v>81</v>
      </c>
      <c r="F900" s="52" t="s">
        <v>30</v>
      </c>
      <c r="G900" s="52" t="s">
        <v>3</v>
      </c>
    </row>
    <row r="901" spans="1:7">
      <c r="A901" s="54" t="s">
        <v>1268</v>
      </c>
      <c r="B901" s="55" t="s">
        <v>126</v>
      </c>
      <c r="C901" s="56">
        <v>50</v>
      </c>
      <c r="D901" s="52">
        <v>2.34</v>
      </c>
      <c r="E901" s="57" t="s">
        <v>100</v>
      </c>
      <c r="F901" s="52" t="s">
        <v>88</v>
      </c>
      <c r="G901" s="52" t="s">
        <v>0</v>
      </c>
    </row>
    <row r="902" spans="1:7">
      <c r="A902" s="54" t="s">
        <v>1269</v>
      </c>
      <c r="B902" s="55" t="s">
        <v>127</v>
      </c>
      <c r="C902" s="56">
        <v>1</v>
      </c>
      <c r="D902" s="52">
        <v>1.1000000000000001</v>
      </c>
      <c r="E902" s="57" t="s">
        <v>81</v>
      </c>
      <c r="F902" s="52" t="s">
        <v>77</v>
      </c>
      <c r="G902" s="52" t="s">
        <v>2</v>
      </c>
    </row>
    <row r="903" spans="1:7">
      <c r="A903" s="54" t="s">
        <v>1270</v>
      </c>
      <c r="B903" s="55" t="s">
        <v>127</v>
      </c>
      <c r="C903" s="56">
        <v>2</v>
      </c>
      <c r="D903" s="52">
        <v>2.1</v>
      </c>
      <c r="E903" s="57" t="s">
        <v>81</v>
      </c>
      <c r="F903" s="52" t="s">
        <v>82</v>
      </c>
      <c r="G903" s="52" t="s">
        <v>2</v>
      </c>
    </row>
    <row r="904" spans="1:7">
      <c r="A904" s="54" t="s">
        <v>1271</v>
      </c>
      <c r="B904" s="55" t="s">
        <v>127</v>
      </c>
      <c r="C904" s="56">
        <v>3</v>
      </c>
      <c r="D904" s="52">
        <v>2.31</v>
      </c>
      <c r="E904" s="57" t="s">
        <v>81</v>
      </c>
      <c r="F904" s="52" t="s">
        <v>85</v>
      </c>
      <c r="G904" s="52" t="s">
        <v>4</v>
      </c>
    </row>
    <row r="905" spans="1:7">
      <c r="A905" s="54" t="s">
        <v>1272</v>
      </c>
      <c r="B905" s="55" t="s">
        <v>127</v>
      </c>
      <c r="C905" s="56">
        <v>4</v>
      </c>
      <c r="D905" s="52">
        <v>2.2000000000000002</v>
      </c>
      <c r="E905" s="57" t="s">
        <v>96</v>
      </c>
      <c r="F905" s="52" t="s">
        <v>83</v>
      </c>
      <c r="G905" s="52" t="s">
        <v>3</v>
      </c>
    </row>
    <row r="906" spans="1:7">
      <c r="A906" s="54" t="s">
        <v>1273</v>
      </c>
      <c r="B906" s="55" t="s">
        <v>127</v>
      </c>
      <c r="C906" s="56">
        <v>5</v>
      </c>
      <c r="D906" s="52">
        <v>2.1</v>
      </c>
      <c r="E906" s="57" t="s">
        <v>81</v>
      </c>
      <c r="F906" s="52" t="s">
        <v>82</v>
      </c>
      <c r="G906" s="52" t="s">
        <v>2</v>
      </c>
    </row>
    <row r="907" spans="1:7">
      <c r="A907" s="54" t="s">
        <v>1274</v>
      </c>
      <c r="B907" s="55" t="s">
        <v>127</v>
      </c>
      <c r="C907" s="56">
        <v>6</v>
      </c>
      <c r="D907" s="52">
        <v>3.1</v>
      </c>
      <c r="E907" s="57" t="s">
        <v>76</v>
      </c>
      <c r="F907" s="52" t="s">
        <v>90</v>
      </c>
      <c r="G907" s="52" t="s">
        <v>2</v>
      </c>
    </row>
    <row r="908" spans="1:7">
      <c r="A908" s="54" t="s">
        <v>1275</v>
      </c>
      <c r="B908" s="55" t="s">
        <v>127</v>
      </c>
      <c r="C908" s="56">
        <v>7</v>
      </c>
      <c r="D908" s="52">
        <v>4.0999999999999996</v>
      </c>
      <c r="E908" s="57" t="s">
        <v>100</v>
      </c>
      <c r="F908" s="52" t="s">
        <v>94</v>
      </c>
      <c r="G908" s="52" t="s">
        <v>3</v>
      </c>
    </row>
    <row r="909" spans="1:7">
      <c r="A909" s="54" t="s">
        <v>1276</v>
      </c>
      <c r="B909" s="55" t="s">
        <v>127</v>
      </c>
      <c r="C909" s="56">
        <v>8</v>
      </c>
      <c r="D909" s="52">
        <v>3.1</v>
      </c>
      <c r="E909" s="57" t="s">
        <v>81</v>
      </c>
      <c r="F909" s="52" t="s">
        <v>90</v>
      </c>
      <c r="G909" s="52" t="s">
        <v>1</v>
      </c>
    </row>
    <row r="910" spans="1:7">
      <c r="A910" s="54" t="s">
        <v>1277</v>
      </c>
      <c r="B910" s="55" t="s">
        <v>127</v>
      </c>
      <c r="C910" s="56">
        <v>9</v>
      </c>
      <c r="D910" s="52">
        <v>2.35</v>
      </c>
      <c r="E910" s="57" t="s">
        <v>81</v>
      </c>
      <c r="F910" s="52" t="s">
        <v>89</v>
      </c>
      <c r="G910" s="52" t="s">
        <v>3</v>
      </c>
    </row>
    <row r="911" spans="1:7">
      <c r="A911" s="54" t="s">
        <v>1278</v>
      </c>
      <c r="B911" s="55" t="s">
        <v>127</v>
      </c>
      <c r="C911" s="56">
        <v>10</v>
      </c>
      <c r="D911" s="52">
        <v>2.3199999999999998</v>
      </c>
      <c r="E911" s="57" t="s">
        <v>76</v>
      </c>
      <c r="F911" s="52" t="s">
        <v>86</v>
      </c>
      <c r="G911" s="52" t="s">
        <v>4</v>
      </c>
    </row>
    <row r="912" spans="1:7">
      <c r="A912" s="54" t="s">
        <v>1279</v>
      </c>
      <c r="B912" s="55" t="s">
        <v>127</v>
      </c>
      <c r="C912" s="56">
        <v>11</v>
      </c>
      <c r="D912" s="52">
        <v>6.3</v>
      </c>
      <c r="E912" s="57" t="s">
        <v>81</v>
      </c>
      <c r="F912" s="52" t="s">
        <v>103</v>
      </c>
      <c r="G912" s="52" t="s">
        <v>3</v>
      </c>
    </row>
    <row r="913" spans="1:7">
      <c r="A913" s="54" t="s">
        <v>1280</v>
      </c>
      <c r="B913" s="55" t="s">
        <v>127</v>
      </c>
      <c r="C913" s="56">
        <v>12</v>
      </c>
      <c r="D913" s="52">
        <v>2.1</v>
      </c>
      <c r="E913" s="57" t="s">
        <v>28</v>
      </c>
      <c r="F913" s="52" t="s">
        <v>82</v>
      </c>
      <c r="G913" s="52" t="s">
        <v>0</v>
      </c>
    </row>
    <row r="914" spans="1:7">
      <c r="A914" s="54" t="s">
        <v>1281</v>
      </c>
      <c r="B914" s="55" t="s">
        <v>127</v>
      </c>
      <c r="C914" s="56">
        <v>13</v>
      </c>
      <c r="D914" s="52">
        <v>1.3</v>
      </c>
      <c r="E914" s="57" t="s">
        <v>81</v>
      </c>
      <c r="F914" s="52" t="s">
        <v>79</v>
      </c>
      <c r="G914" s="52" t="s">
        <v>4</v>
      </c>
    </row>
    <row r="915" spans="1:7">
      <c r="A915" s="54" t="s">
        <v>1282</v>
      </c>
      <c r="B915" s="55" t="s">
        <v>127</v>
      </c>
      <c r="C915" s="56">
        <v>14</v>
      </c>
      <c r="D915" s="52">
        <v>1.3</v>
      </c>
      <c r="E915" s="57" t="s">
        <v>81</v>
      </c>
      <c r="F915" s="52" t="s">
        <v>79</v>
      </c>
      <c r="G915" s="52" t="s">
        <v>0</v>
      </c>
    </row>
    <row r="916" spans="1:7">
      <c r="A916" s="54" t="s">
        <v>1283</v>
      </c>
      <c r="B916" s="55" t="s">
        <v>127</v>
      </c>
      <c r="C916" s="56">
        <v>15</v>
      </c>
      <c r="D916" s="52">
        <v>2.1</v>
      </c>
      <c r="E916" s="57" t="s">
        <v>81</v>
      </c>
      <c r="F916" s="52" t="s">
        <v>82</v>
      </c>
      <c r="G916" s="52" t="s">
        <v>0</v>
      </c>
    </row>
    <row r="917" spans="1:7">
      <c r="A917" s="54" t="s">
        <v>1284</v>
      </c>
      <c r="B917" s="55" t="s">
        <v>127</v>
      </c>
      <c r="C917" s="56">
        <v>16</v>
      </c>
      <c r="D917" s="52">
        <v>2.2000000000000002</v>
      </c>
      <c r="E917" s="57" t="s">
        <v>81</v>
      </c>
      <c r="F917" s="52" t="s">
        <v>83</v>
      </c>
      <c r="G917" s="52" t="s">
        <v>4</v>
      </c>
    </row>
    <row r="918" spans="1:7">
      <c r="A918" s="54" t="s">
        <v>1285</v>
      </c>
      <c r="B918" s="55" t="s">
        <v>127</v>
      </c>
      <c r="C918" s="56">
        <v>17</v>
      </c>
      <c r="D918" s="52">
        <v>2.31</v>
      </c>
      <c r="E918" s="57" t="s">
        <v>81</v>
      </c>
      <c r="F918" s="52" t="s">
        <v>85</v>
      </c>
      <c r="G918" s="52" t="s">
        <v>0</v>
      </c>
    </row>
    <row r="919" spans="1:7">
      <c r="A919" s="54" t="s">
        <v>1286</v>
      </c>
      <c r="B919" s="55" t="s">
        <v>127</v>
      </c>
      <c r="C919" s="56">
        <v>18</v>
      </c>
      <c r="D919" s="52">
        <v>5.0999999999999996</v>
      </c>
      <c r="E919" s="57" t="s">
        <v>100</v>
      </c>
      <c r="F919" s="52" t="s">
        <v>97</v>
      </c>
      <c r="G919" s="52" t="s">
        <v>1</v>
      </c>
    </row>
    <row r="920" spans="1:7">
      <c r="A920" s="54" t="s">
        <v>1287</v>
      </c>
      <c r="B920" s="55" t="s">
        <v>127</v>
      </c>
      <c r="C920" s="56">
        <v>19</v>
      </c>
      <c r="D920" s="52">
        <v>3.1</v>
      </c>
      <c r="E920" s="57" t="s">
        <v>96</v>
      </c>
      <c r="F920" s="52" t="s">
        <v>90</v>
      </c>
      <c r="G920" s="52" t="s">
        <v>0</v>
      </c>
    </row>
    <row r="921" spans="1:7">
      <c r="A921" s="54" t="s">
        <v>1288</v>
      </c>
      <c r="B921" s="55" t="s">
        <v>127</v>
      </c>
      <c r="C921" s="56">
        <v>20</v>
      </c>
      <c r="D921" s="52">
        <v>2.35</v>
      </c>
      <c r="E921" s="57" t="s">
        <v>81</v>
      </c>
      <c r="F921" s="52" t="s">
        <v>89</v>
      </c>
      <c r="G921" s="52" t="s">
        <v>4</v>
      </c>
    </row>
    <row r="922" spans="1:7">
      <c r="A922" s="54" t="s">
        <v>1289</v>
      </c>
      <c r="B922" s="55" t="s">
        <v>127</v>
      </c>
      <c r="C922" s="56">
        <v>21</v>
      </c>
      <c r="D922" s="52">
        <v>5.3</v>
      </c>
      <c r="E922" s="57" t="s">
        <v>81</v>
      </c>
      <c r="F922" s="52" t="s">
        <v>99</v>
      </c>
      <c r="G922" s="52" t="s">
        <v>0</v>
      </c>
    </row>
    <row r="923" spans="1:7">
      <c r="A923" s="54" t="s">
        <v>1290</v>
      </c>
      <c r="B923" s="55" t="s">
        <v>127</v>
      </c>
      <c r="C923" s="56">
        <v>22</v>
      </c>
      <c r="D923" s="52">
        <v>2.34</v>
      </c>
      <c r="E923" s="57" t="s">
        <v>100</v>
      </c>
      <c r="F923" s="52" t="s">
        <v>88</v>
      </c>
      <c r="G923" s="52" t="s">
        <v>3</v>
      </c>
    </row>
    <row r="924" spans="1:7">
      <c r="A924" s="54" t="s">
        <v>1291</v>
      </c>
      <c r="B924" s="55" t="s">
        <v>127</v>
      </c>
      <c r="C924" s="56">
        <v>23</v>
      </c>
      <c r="D924" s="52">
        <v>2.31</v>
      </c>
      <c r="E924" s="57" t="s">
        <v>96</v>
      </c>
      <c r="F924" s="52" t="s">
        <v>85</v>
      </c>
      <c r="G924" s="52" t="s">
        <v>3</v>
      </c>
    </row>
    <row r="925" spans="1:7">
      <c r="A925" s="54" t="s">
        <v>1292</v>
      </c>
      <c r="B925" s="55" t="s">
        <v>127</v>
      </c>
      <c r="C925" s="56">
        <v>24</v>
      </c>
      <c r="D925" s="52">
        <v>2.35</v>
      </c>
      <c r="E925" s="57" t="s">
        <v>100</v>
      </c>
      <c r="F925" s="52" t="s">
        <v>89</v>
      </c>
      <c r="G925" s="52" t="s">
        <v>1</v>
      </c>
    </row>
    <row r="926" spans="1:7">
      <c r="A926" s="54" t="s">
        <v>1293</v>
      </c>
      <c r="B926" s="55" t="s">
        <v>127</v>
      </c>
      <c r="C926" s="56">
        <v>25</v>
      </c>
      <c r="D926" s="52">
        <v>2.35</v>
      </c>
      <c r="E926" s="57" t="s">
        <v>81</v>
      </c>
      <c r="F926" s="52" t="s">
        <v>89</v>
      </c>
      <c r="G926" s="52" t="s">
        <v>2</v>
      </c>
    </row>
    <row r="927" spans="1:7">
      <c r="A927" s="54" t="s">
        <v>1294</v>
      </c>
      <c r="B927" s="55" t="s">
        <v>127</v>
      </c>
      <c r="C927" s="56">
        <v>26</v>
      </c>
      <c r="D927" s="52">
        <v>5.0999999999999996</v>
      </c>
      <c r="E927" s="57" t="s">
        <v>81</v>
      </c>
      <c r="F927" s="52" t="s">
        <v>97</v>
      </c>
      <c r="G927" s="52" t="s">
        <v>3</v>
      </c>
    </row>
    <row r="928" spans="1:7">
      <c r="A928" s="54" t="s">
        <v>1295</v>
      </c>
      <c r="B928" s="55" t="s">
        <v>127</v>
      </c>
      <c r="C928" s="56">
        <v>27</v>
      </c>
      <c r="D928" s="52">
        <v>4.0999999999999996</v>
      </c>
      <c r="E928" s="57" t="s">
        <v>93</v>
      </c>
      <c r="F928" s="52" t="s">
        <v>94</v>
      </c>
      <c r="G928" s="52" t="s">
        <v>3</v>
      </c>
    </row>
    <row r="929" spans="1:7">
      <c r="A929" s="54" t="s">
        <v>1296</v>
      </c>
      <c r="B929" s="55" t="s">
        <v>127</v>
      </c>
      <c r="C929" s="56">
        <v>28</v>
      </c>
      <c r="D929" s="52">
        <v>3.1</v>
      </c>
      <c r="E929" s="57" t="s">
        <v>100</v>
      </c>
      <c r="F929" s="52" t="s">
        <v>90</v>
      </c>
      <c r="G929" s="52" t="s">
        <v>4</v>
      </c>
    </row>
    <row r="930" spans="1:7">
      <c r="A930" s="54" t="s">
        <v>1297</v>
      </c>
      <c r="B930" s="55" t="s">
        <v>127</v>
      </c>
      <c r="C930" s="56">
        <v>29</v>
      </c>
      <c r="D930" s="52">
        <v>2.35</v>
      </c>
      <c r="E930" s="57" t="s">
        <v>96</v>
      </c>
      <c r="F930" s="52" t="s">
        <v>89</v>
      </c>
      <c r="G930" s="52" t="s">
        <v>4</v>
      </c>
    </row>
    <row r="931" spans="1:7">
      <c r="A931" s="54" t="s">
        <v>1298</v>
      </c>
      <c r="B931" s="55" t="s">
        <v>127</v>
      </c>
      <c r="C931" s="56">
        <v>30</v>
      </c>
      <c r="D931" s="52">
        <v>5.3</v>
      </c>
      <c r="E931" s="57" t="s">
        <v>28</v>
      </c>
      <c r="F931" s="52" t="s">
        <v>99</v>
      </c>
      <c r="G931" s="52" t="s">
        <v>1</v>
      </c>
    </row>
    <row r="932" spans="1:7">
      <c r="A932" s="54" t="s">
        <v>1299</v>
      </c>
      <c r="B932" s="55" t="s">
        <v>127</v>
      </c>
      <c r="C932" s="56">
        <v>31</v>
      </c>
      <c r="D932" s="52">
        <v>6.1</v>
      </c>
      <c r="E932" s="57" t="s">
        <v>81</v>
      </c>
      <c r="F932" s="52" t="s">
        <v>101</v>
      </c>
      <c r="G932" s="52" t="s">
        <v>4</v>
      </c>
    </row>
    <row r="933" spans="1:7">
      <c r="A933" s="54" t="s">
        <v>1300</v>
      </c>
      <c r="B933" s="55" t="s">
        <v>127</v>
      </c>
      <c r="C933" s="56">
        <v>32</v>
      </c>
      <c r="D933" s="52">
        <v>2.2000000000000002</v>
      </c>
      <c r="E933" s="57" t="s">
        <v>81</v>
      </c>
      <c r="F933" s="52" t="s">
        <v>83</v>
      </c>
      <c r="G933" s="52" t="s">
        <v>1</v>
      </c>
    </row>
    <row r="934" spans="1:7">
      <c r="A934" s="54" t="s">
        <v>1301</v>
      </c>
      <c r="B934" s="55" t="s">
        <v>127</v>
      </c>
      <c r="C934" s="56">
        <v>33</v>
      </c>
      <c r="D934" s="52">
        <v>3.2</v>
      </c>
      <c r="E934" s="57" t="s">
        <v>93</v>
      </c>
      <c r="F934" s="52" t="s">
        <v>91</v>
      </c>
      <c r="G934" s="52" t="s">
        <v>3</v>
      </c>
    </row>
    <row r="935" spans="1:7">
      <c r="A935" s="54" t="s">
        <v>1302</v>
      </c>
      <c r="B935" s="55" t="s">
        <v>127</v>
      </c>
      <c r="C935" s="56">
        <v>34</v>
      </c>
      <c r="D935" s="52">
        <v>2.33</v>
      </c>
      <c r="E935" s="57" t="s">
        <v>28</v>
      </c>
      <c r="F935" s="52" t="s">
        <v>87</v>
      </c>
      <c r="G935" s="52" t="s">
        <v>4</v>
      </c>
    </row>
    <row r="936" spans="1:7">
      <c r="A936" s="54" t="s">
        <v>1303</v>
      </c>
      <c r="B936" s="55" t="s">
        <v>127</v>
      </c>
      <c r="C936" s="56">
        <v>35</v>
      </c>
      <c r="D936" s="52">
        <v>4.0999999999999996</v>
      </c>
      <c r="E936" s="57" t="s">
        <v>81</v>
      </c>
      <c r="F936" s="52" t="s">
        <v>94</v>
      </c>
      <c r="G936" s="52" t="s">
        <v>2</v>
      </c>
    </row>
    <row r="937" spans="1:7">
      <c r="A937" s="54" t="s">
        <v>1304</v>
      </c>
      <c r="B937" s="55" t="s">
        <v>127</v>
      </c>
      <c r="C937" s="56">
        <v>36</v>
      </c>
      <c r="D937" s="52">
        <v>2.33</v>
      </c>
      <c r="E937" s="57" t="s">
        <v>81</v>
      </c>
      <c r="F937" s="52" t="s">
        <v>87</v>
      </c>
      <c r="G937" s="52" t="s">
        <v>4</v>
      </c>
    </row>
    <row r="938" spans="1:7">
      <c r="A938" s="54" t="s">
        <v>1305</v>
      </c>
      <c r="B938" s="55" t="s">
        <v>127</v>
      </c>
      <c r="C938" s="56">
        <v>37</v>
      </c>
      <c r="D938" s="52">
        <v>6.1</v>
      </c>
      <c r="E938" s="57" t="s">
        <v>96</v>
      </c>
      <c r="F938" s="52" t="s">
        <v>101</v>
      </c>
      <c r="G938" s="52" t="s">
        <v>0</v>
      </c>
    </row>
    <row r="939" spans="1:7">
      <c r="A939" s="54" t="s">
        <v>1306</v>
      </c>
      <c r="B939" s="55" t="s">
        <v>127</v>
      </c>
      <c r="C939" s="56">
        <v>38</v>
      </c>
      <c r="D939" s="52">
        <v>2.35</v>
      </c>
      <c r="E939" s="57" t="s">
        <v>81</v>
      </c>
      <c r="F939" s="52" t="s">
        <v>89</v>
      </c>
      <c r="G939" s="52" t="s">
        <v>4</v>
      </c>
    </row>
    <row r="940" spans="1:7">
      <c r="A940" s="54" t="s">
        <v>1307</v>
      </c>
      <c r="B940" s="55" t="s">
        <v>127</v>
      </c>
      <c r="C940" s="56">
        <v>39</v>
      </c>
      <c r="D940" s="52">
        <v>5.0999999999999996</v>
      </c>
      <c r="E940" s="57" t="s">
        <v>96</v>
      </c>
      <c r="F940" s="52" t="s">
        <v>97</v>
      </c>
      <c r="G940" s="52" t="s">
        <v>3</v>
      </c>
    </row>
    <row r="941" spans="1:7">
      <c r="A941" s="54" t="s">
        <v>1308</v>
      </c>
      <c r="B941" s="55" t="s">
        <v>127</v>
      </c>
      <c r="C941" s="56">
        <v>40</v>
      </c>
      <c r="D941" s="52">
        <v>2.31</v>
      </c>
      <c r="E941" s="57" t="s">
        <v>81</v>
      </c>
      <c r="F941" s="52" t="s">
        <v>85</v>
      </c>
      <c r="G941" s="52" t="s">
        <v>3</v>
      </c>
    </row>
    <row r="942" spans="1:7">
      <c r="A942" s="54" t="s">
        <v>1309</v>
      </c>
      <c r="B942" s="55" t="s">
        <v>127</v>
      </c>
      <c r="C942" s="56">
        <v>41</v>
      </c>
      <c r="D942" s="52">
        <v>2.2000000000000002</v>
      </c>
      <c r="E942" s="57" t="s">
        <v>81</v>
      </c>
      <c r="F942" s="52" t="s">
        <v>83</v>
      </c>
      <c r="G942" s="52" t="s">
        <v>3</v>
      </c>
    </row>
    <row r="943" spans="1:7">
      <c r="A943" s="54" t="s">
        <v>1310</v>
      </c>
      <c r="B943" s="55" t="s">
        <v>127</v>
      </c>
      <c r="C943" s="56">
        <v>42</v>
      </c>
      <c r="D943" s="52">
        <v>2.34</v>
      </c>
      <c r="E943" s="57" t="s">
        <v>81</v>
      </c>
      <c r="F943" s="52" t="s">
        <v>88</v>
      </c>
      <c r="G943" s="52" t="s">
        <v>4</v>
      </c>
    </row>
    <row r="944" spans="1:7">
      <c r="A944" s="54" t="s">
        <v>1311</v>
      </c>
      <c r="B944" s="55" t="s">
        <v>127</v>
      </c>
      <c r="C944" s="56">
        <v>43</v>
      </c>
      <c r="D944" s="52">
        <v>2.3199999999999998</v>
      </c>
      <c r="E944" s="57" t="s">
        <v>76</v>
      </c>
      <c r="F944" s="52" t="s">
        <v>86</v>
      </c>
      <c r="G944" s="52" t="s">
        <v>3</v>
      </c>
    </row>
    <row r="945" spans="1:7">
      <c r="A945" s="54" t="s">
        <v>1312</v>
      </c>
      <c r="B945" s="55" t="s">
        <v>127</v>
      </c>
      <c r="C945" s="56">
        <v>44</v>
      </c>
      <c r="D945" s="52">
        <v>6.4</v>
      </c>
      <c r="E945" s="57" t="s">
        <v>81</v>
      </c>
      <c r="F945" s="52" t="s">
        <v>104</v>
      </c>
      <c r="G945" s="52" t="s">
        <v>2</v>
      </c>
    </row>
    <row r="946" spans="1:7">
      <c r="A946" s="54" t="s">
        <v>1313</v>
      </c>
      <c r="B946" s="55" t="s">
        <v>127</v>
      </c>
      <c r="C946" s="56">
        <v>45</v>
      </c>
      <c r="D946" s="52">
        <v>2.3199999999999998</v>
      </c>
      <c r="E946" s="57" t="s">
        <v>28</v>
      </c>
      <c r="F946" s="52" t="s">
        <v>86</v>
      </c>
      <c r="G946" s="52" t="s">
        <v>3</v>
      </c>
    </row>
    <row r="947" spans="1:7">
      <c r="A947" s="54" t="s">
        <v>1314</v>
      </c>
      <c r="B947" s="55" t="s">
        <v>127</v>
      </c>
      <c r="C947" s="56">
        <v>46</v>
      </c>
      <c r="D947" s="52">
        <v>2.35</v>
      </c>
      <c r="E947" s="57" t="s">
        <v>96</v>
      </c>
      <c r="F947" s="52" t="s">
        <v>89</v>
      </c>
      <c r="G947" s="52" t="s">
        <v>2</v>
      </c>
    </row>
    <row r="948" spans="1:7">
      <c r="A948" s="54" t="s">
        <v>1315</v>
      </c>
      <c r="B948" s="55" t="s">
        <v>127</v>
      </c>
      <c r="C948" s="56">
        <v>47</v>
      </c>
      <c r="D948" s="52">
        <v>2.35</v>
      </c>
      <c r="E948" s="57" t="s">
        <v>93</v>
      </c>
      <c r="F948" s="52" t="s">
        <v>89</v>
      </c>
      <c r="G948" s="52" t="s">
        <v>4</v>
      </c>
    </row>
    <row r="949" spans="1:7">
      <c r="A949" s="54" t="s">
        <v>1316</v>
      </c>
      <c r="B949" s="55" t="s">
        <v>127</v>
      </c>
      <c r="C949" s="56">
        <v>48</v>
      </c>
      <c r="D949" s="52">
        <v>1.3</v>
      </c>
      <c r="E949" s="57" t="s">
        <v>81</v>
      </c>
      <c r="F949" s="52" t="s">
        <v>79</v>
      </c>
      <c r="G949" s="52" t="s">
        <v>1</v>
      </c>
    </row>
    <row r="950" spans="1:7">
      <c r="A950" s="54" t="s">
        <v>1317</v>
      </c>
      <c r="B950" s="55" t="s">
        <v>127</v>
      </c>
      <c r="C950" s="56">
        <v>49</v>
      </c>
      <c r="D950" s="52">
        <v>2.3199999999999998</v>
      </c>
      <c r="E950" s="57" t="s">
        <v>28</v>
      </c>
      <c r="F950" s="52" t="s">
        <v>86</v>
      </c>
      <c r="G950" s="52" t="s">
        <v>2</v>
      </c>
    </row>
    <row r="951" spans="1:7">
      <c r="A951" s="54" t="s">
        <v>1318</v>
      </c>
      <c r="B951" s="55" t="s">
        <v>127</v>
      </c>
      <c r="C951" s="56">
        <v>50</v>
      </c>
      <c r="D951" s="52">
        <v>3.1</v>
      </c>
      <c r="E951" s="57" t="s">
        <v>96</v>
      </c>
      <c r="F951" s="52" t="s">
        <v>90</v>
      </c>
      <c r="G951" s="52" t="s">
        <v>2</v>
      </c>
    </row>
    <row r="952" spans="1:7">
      <c r="A952" s="54" t="s">
        <v>1319</v>
      </c>
      <c r="B952" s="55" t="s">
        <v>128</v>
      </c>
      <c r="C952" s="56">
        <v>1</v>
      </c>
      <c r="D952" s="52">
        <v>2.2000000000000002</v>
      </c>
      <c r="E952" s="57" t="s">
        <v>76</v>
      </c>
      <c r="F952" s="52" t="s">
        <v>83</v>
      </c>
      <c r="G952" s="52" t="s">
        <v>3</v>
      </c>
    </row>
    <row r="953" spans="1:7">
      <c r="A953" s="54" t="s">
        <v>1320</v>
      </c>
      <c r="B953" s="55" t="s">
        <v>128</v>
      </c>
      <c r="C953" s="56">
        <v>2</v>
      </c>
      <c r="D953" s="52">
        <v>2.1</v>
      </c>
      <c r="E953" s="57" t="s">
        <v>76</v>
      </c>
      <c r="F953" s="52" t="s">
        <v>82</v>
      </c>
      <c r="G953" s="52" t="s">
        <v>2</v>
      </c>
    </row>
    <row r="954" spans="1:7">
      <c r="A954" s="54" t="s">
        <v>1321</v>
      </c>
      <c r="B954" s="55" t="s">
        <v>128</v>
      </c>
      <c r="C954" s="56">
        <v>3</v>
      </c>
      <c r="D954" s="52">
        <v>2.31</v>
      </c>
      <c r="E954" s="57" t="s">
        <v>93</v>
      </c>
      <c r="F954" s="52" t="s">
        <v>85</v>
      </c>
      <c r="G954" s="52" t="s">
        <v>0</v>
      </c>
    </row>
    <row r="955" spans="1:7">
      <c r="A955" s="54" t="s">
        <v>1322</v>
      </c>
      <c r="B955" s="55" t="s">
        <v>128</v>
      </c>
      <c r="C955" s="56">
        <v>4</v>
      </c>
      <c r="D955" s="52">
        <v>5.2</v>
      </c>
      <c r="E955" s="57" t="s">
        <v>81</v>
      </c>
      <c r="F955" s="52" t="s">
        <v>98</v>
      </c>
      <c r="G955" s="52" t="s">
        <v>4</v>
      </c>
    </row>
    <row r="956" spans="1:7">
      <c r="A956" s="54" t="s">
        <v>1323</v>
      </c>
      <c r="B956" s="55" t="s">
        <v>128</v>
      </c>
      <c r="C956" s="56">
        <v>5</v>
      </c>
      <c r="D956" s="52">
        <v>2.31</v>
      </c>
      <c r="E956" s="57" t="s">
        <v>76</v>
      </c>
      <c r="F956" s="52" t="s">
        <v>85</v>
      </c>
      <c r="G956" s="52" t="s">
        <v>3</v>
      </c>
    </row>
    <row r="957" spans="1:7">
      <c r="A957" s="54" t="s">
        <v>1324</v>
      </c>
      <c r="B957" s="55" t="s">
        <v>128</v>
      </c>
      <c r="C957" s="56">
        <v>6</v>
      </c>
      <c r="D957" s="52">
        <v>1.1000000000000001</v>
      </c>
      <c r="E957" s="57" t="s">
        <v>100</v>
      </c>
      <c r="F957" s="52" t="s">
        <v>77</v>
      </c>
      <c r="G957" s="52" t="s">
        <v>1</v>
      </c>
    </row>
    <row r="958" spans="1:7">
      <c r="A958" s="54" t="s">
        <v>1325</v>
      </c>
      <c r="B958" s="55" t="s">
        <v>128</v>
      </c>
      <c r="C958" s="56">
        <v>7</v>
      </c>
      <c r="D958" s="52">
        <v>6.3</v>
      </c>
      <c r="E958" s="57" t="s">
        <v>100</v>
      </c>
      <c r="F958" s="52" t="s">
        <v>103</v>
      </c>
      <c r="G958" s="52" t="s">
        <v>3</v>
      </c>
    </row>
    <row r="959" spans="1:7">
      <c r="A959" s="54" t="s">
        <v>1326</v>
      </c>
      <c r="B959" s="55" t="s">
        <v>128</v>
      </c>
      <c r="C959" s="56">
        <v>8</v>
      </c>
      <c r="D959" s="52">
        <v>2.33</v>
      </c>
      <c r="E959" s="57" t="s">
        <v>81</v>
      </c>
      <c r="F959" s="52" t="s">
        <v>87</v>
      </c>
      <c r="G959" s="52" t="s">
        <v>3</v>
      </c>
    </row>
    <row r="960" spans="1:7">
      <c r="A960" s="54" t="s">
        <v>1327</v>
      </c>
      <c r="B960" s="55" t="s">
        <v>128</v>
      </c>
      <c r="C960" s="56">
        <v>9</v>
      </c>
      <c r="D960" s="52">
        <v>2.2000000000000002</v>
      </c>
      <c r="E960" s="57" t="s">
        <v>76</v>
      </c>
      <c r="F960" s="52" t="s">
        <v>83</v>
      </c>
      <c r="G960" s="52" t="s">
        <v>1</v>
      </c>
    </row>
    <row r="961" spans="1:7">
      <c r="A961" s="54" t="s">
        <v>1328</v>
      </c>
      <c r="B961" s="55" t="s">
        <v>128</v>
      </c>
      <c r="C961" s="56">
        <v>10</v>
      </c>
      <c r="D961" s="52">
        <v>1.3</v>
      </c>
      <c r="E961" s="57" t="s">
        <v>81</v>
      </c>
      <c r="F961" s="52" t="s">
        <v>79</v>
      </c>
      <c r="G961" s="52" t="s">
        <v>3</v>
      </c>
    </row>
    <row r="962" spans="1:7">
      <c r="A962" s="54" t="s">
        <v>1329</v>
      </c>
      <c r="B962" s="55" t="s">
        <v>128</v>
      </c>
      <c r="C962" s="56">
        <v>11</v>
      </c>
      <c r="D962" s="52">
        <v>2.3199999999999998</v>
      </c>
      <c r="E962" s="57" t="s">
        <v>81</v>
      </c>
      <c r="F962" s="52" t="s">
        <v>86</v>
      </c>
      <c r="G962" s="52" t="s">
        <v>0</v>
      </c>
    </row>
    <row r="963" spans="1:7">
      <c r="A963" s="54" t="s">
        <v>1330</v>
      </c>
      <c r="B963" s="55" t="s">
        <v>128</v>
      </c>
      <c r="C963" s="56">
        <v>12</v>
      </c>
      <c r="D963" s="52">
        <v>3.2</v>
      </c>
      <c r="E963" s="57" t="s">
        <v>81</v>
      </c>
      <c r="F963" s="52" t="s">
        <v>91</v>
      </c>
      <c r="G963" s="52" t="s">
        <v>2</v>
      </c>
    </row>
    <row r="964" spans="1:7">
      <c r="A964" s="54" t="s">
        <v>1331</v>
      </c>
      <c r="B964" s="55" t="s">
        <v>128</v>
      </c>
      <c r="C964" s="56">
        <v>13</v>
      </c>
      <c r="D964" s="52">
        <v>2.31</v>
      </c>
      <c r="E964" s="57" t="s">
        <v>81</v>
      </c>
      <c r="F964" s="52" t="s">
        <v>85</v>
      </c>
      <c r="G964" s="52" t="s">
        <v>3</v>
      </c>
    </row>
    <row r="965" spans="1:7">
      <c r="A965" s="54" t="s">
        <v>1332</v>
      </c>
      <c r="B965" s="55" t="s">
        <v>128</v>
      </c>
      <c r="C965" s="56">
        <v>14</v>
      </c>
      <c r="D965" s="52">
        <v>2.1</v>
      </c>
      <c r="E965" s="57" t="s">
        <v>81</v>
      </c>
      <c r="F965" s="52" t="s">
        <v>82</v>
      </c>
      <c r="G965" s="52" t="s">
        <v>0</v>
      </c>
    </row>
    <row r="966" spans="1:7">
      <c r="A966" s="54" t="s">
        <v>1333</v>
      </c>
      <c r="B966" s="55" t="s">
        <v>128</v>
      </c>
      <c r="C966" s="56">
        <v>15</v>
      </c>
      <c r="D966" s="52">
        <v>2.31</v>
      </c>
      <c r="E966" s="57" t="s">
        <v>100</v>
      </c>
      <c r="F966" s="52" t="s">
        <v>85</v>
      </c>
      <c r="G966" s="52" t="s">
        <v>2</v>
      </c>
    </row>
    <row r="967" spans="1:7">
      <c r="A967" s="54" t="s">
        <v>1334</v>
      </c>
      <c r="B967" s="55" t="s">
        <v>128</v>
      </c>
      <c r="C967" s="56">
        <v>16</v>
      </c>
      <c r="D967" s="52">
        <v>2.3199999999999998</v>
      </c>
      <c r="E967" s="57" t="s">
        <v>81</v>
      </c>
      <c r="F967" s="52" t="s">
        <v>86</v>
      </c>
      <c r="G967" s="52" t="s">
        <v>3</v>
      </c>
    </row>
    <row r="968" spans="1:7">
      <c r="A968" s="54" t="s">
        <v>1335</v>
      </c>
      <c r="B968" s="55" t="s">
        <v>128</v>
      </c>
      <c r="C968" s="56">
        <v>17</v>
      </c>
      <c r="D968" s="52">
        <v>2.31</v>
      </c>
      <c r="E968" s="57" t="s">
        <v>81</v>
      </c>
      <c r="F968" s="52" t="s">
        <v>85</v>
      </c>
      <c r="G968" s="52" t="s">
        <v>4</v>
      </c>
    </row>
    <row r="969" spans="1:7">
      <c r="A969" s="54" t="s">
        <v>1336</v>
      </c>
      <c r="B969" s="55" t="s">
        <v>128</v>
      </c>
      <c r="C969" s="56">
        <v>18</v>
      </c>
      <c r="D969" s="52">
        <v>6.4</v>
      </c>
      <c r="E969" s="57" t="s">
        <v>81</v>
      </c>
      <c r="F969" s="52" t="s">
        <v>104</v>
      </c>
      <c r="G969" s="52" t="s">
        <v>4</v>
      </c>
    </row>
    <row r="970" spans="1:7">
      <c r="A970" s="54" t="s">
        <v>1337</v>
      </c>
      <c r="B970" s="55" t="s">
        <v>128</v>
      </c>
      <c r="C970" s="56">
        <v>19</v>
      </c>
      <c r="D970" s="52">
        <v>5.3</v>
      </c>
      <c r="E970" s="57" t="s">
        <v>28</v>
      </c>
      <c r="F970" s="52" t="s">
        <v>99</v>
      </c>
      <c r="G970" s="52" t="s">
        <v>1</v>
      </c>
    </row>
    <row r="971" spans="1:7">
      <c r="A971" s="54" t="s">
        <v>1338</v>
      </c>
      <c r="B971" s="55" t="s">
        <v>128</v>
      </c>
      <c r="C971" s="56">
        <v>20</v>
      </c>
      <c r="D971" s="52">
        <v>2.35</v>
      </c>
      <c r="E971" s="57" t="s">
        <v>81</v>
      </c>
      <c r="F971" s="52" t="s">
        <v>89</v>
      </c>
      <c r="G971" s="52" t="s">
        <v>1</v>
      </c>
    </row>
    <row r="972" spans="1:7">
      <c r="A972" s="54" t="s">
        <v>1339</v>
      </c>
      <c r="B972" s="55" t="s">
        <v>128</v>
      </c>
      <c r="C972" s="56">
        <v>21</v>
      </c>
      <c r="D972" s="52">
        <v>2.2000000000000002</v>
      </c>
      <c r="E972" s="57" t="s">
        <v>81</v>
      </c>
      <c r="F972" s="52" t="s">
        <v>83</v>
      </c>
      <c r="G972" s="52" t="s">
        <v>4</v>
      </c>
    </row>
    <row r="973" spans="1:7">
      <c r="A973" s="54" t="s">
        <v>1340</v>
      </c>
      <c r="B973" s="55" t="s">
        <v>128</v>
      </c>
      <c r="C973" s="56">
        <v>22</v>
      </c>
      <c r="D973" s="52">
        <v>6.4</v>
      </c>
      <c r="E973" s="57" t="s">
        <v>81</v>
      </c>
      <c r="F973" s="52" t="s">
        <v>104</v>
      </c>
      <c r="G973" s="52" t="s">
        <v>1</v>
      </c>
    </row>
    <row r="974" spans="1:7">
      <c r="A974" s="54" t="s">
        <v>1341</v>
      </c>
      <c r="B974" s="55" t="s">
        <v>128</v>
      </c>
      <c r="C974" s="56">
        <v>23</v>
      </c>
      <c r="D974" s="52">
        <v>5.0999999999999996</v>
      </c>
      <c r="E974" s="57" t="s">
        <v>81</v>
      </c>
      <c r="F974" s="52" t="s">
        <v>97</v>
      </c>
      <c r="G974" s="52" t="s">
        <v>0</v>
      </c>
    </row>
    <row r="975" spans="1:7">
      <c r="A975" s="54" t="s">
        <v>1342</v>
      </c>
      <c r="B975" s="55" t="s">
        <v>128</v>
      </c>
      <c r="C975" s="56">
        <v>24</v>
      </c>
      <c r="D975" s="52">
        <v>6.3</v>
      </c>
      <c r="E975" s="57" t="s">
        <v>76</v>
      </c>
      <c r="F975" s="52" t="s">
        <v>103</v>
      </c>
      <c r="G975" s="52" t="s">
        <v>3</v>
      </c>
    </row>
    <row r="976" spans="1:7">
      <c r="A976" s="54" t="s">
        <v>1343</v>
      </c>
      <c r="B976" s="55" t="s">
        <v>128</v>
      </c>
      <c r="C976" s="56">
        <v>25</v>
      </c>
      <c r="D976" s="52">
        <v>2.1</v>
      </c>
      <c r="E976" s="57" t="s">
        <v>96</v>
      </c>
      <c r="F976" s="52" t="s">
        <v>82</v>
      </c>
      <c r="G976" s="52" t="s">
        <v>2</v>
      </c>
    </row>
    <row r="977" spans="1:7">
      <c r="A977" s="54" t="s">
        <v>1344</v>
      </c>
      <c r="B977" s="55" t="s">
        <v>128</v>
      </c>
      <c r="C977" s="56">
        <v>26</v>
      </c>
      <c r="D977" s="52">
        <v>2.35</v>
      </c>
      <c r="E977" s="57" t="s">
        <v>81</v>
      </c>
      <c r="F977" s="52" t="s">
        <v>89</v>
      </c>
      <c r="G977" s="52" t="s">
        <v>4</v>
      </c>
    </row>
    <row r="978" spans="1:7">
      <c r="A978" s="54" t="s">
        <v>1345</v>
      </c>
      <c r="B978" s="55" t="s">
        <v>128</v>
      </c>
      <c r="C978" s="56">
        <v>27</v>
      </c>
      <c r="D978" s="52">
        <v>4.0999999999999996</v>
      </c>
      <c r="E978" s="57" t="s">
        <v>81</v>
      </c>
      <c r="F978" s="52" t="s">
        <v>94</v>
      </c>
      <c r="G978" s="52" t="s">
        <v>2</v>
      </c>
    </row>
    <row r="979" spans="1:7">
      <c r="A979" s="54" t="s">
        <v>1346</v>
      </c>
      <c r="B979" s="55" t="s">
        <v>128</v>
      </c>
      <c r="C979" s="56">
        <v>28</v>
      </c>
      <c r="D979" s="52">
        <v>6.1</v>
      </c>
      <c r="E979" s="57" t="s">
        <v>81</v>
      </c>
      <c r="F979" s="52" t="s">
        <v>101</v>
      </c>
      <c r="G979" s="52" t="s">
        <v>4</v>
      </c>
    </row>
    <row r="980" spans="1:7">
      <c r="A980" s="54" t="s">
        <v>1347</v>
      </c>
      <c r="B980" s="55" t="s">
        <v>128</v>
      </c>
      <c r="C980" s="56">
        <v>29</v>
      </c>
      <c r="D980" s="52">
        <v>5.2</v>
      </c>
      <c r="E980" s="57" t="s">
        <v>100</v>
      </c>
      <c r="F980" s="52" t="s">
        <v>98</v>
      </c>
      <c r="G980" s="52" t="s">
        <v>1</v>
      </c>
    </row>
    <row r="981" spans="1:7">
      <c r="A981" s="54" t="s">
        <v>1348</v>
      </c>
      <c r="B981" s="55" t="s">
        <v>128</v>
      </c>
      <c r="C981" s="56">
        <v>30</v>
      </c>
      <c r="D981" s="52">
        <v>3.1</v>
      </c>
      <c r="E981" s="57" t="s">
        <v>81</v>
      </c>
      <c r="F981" s="52" t="s">
        <v>90</v>
      </c>
      <c r="G981" s="52" t="s">
        <v>0</v>
      </c>
    </row>
    <row r="982" spans="1:7">
      <c r="A982" s="54" t="s">
        <v>1349</v>
      </c>
      <c r="B982" s="55" t="s">
        <v>128</v>
      </c>
      <c r="C982" s="56">
        <v>31</v>
      </c>
      <c r="D982" s="52">
        <v>2.35</v>
      </c>
      <c r="E982" s="57" t="s">
        <v>93</v>
      </c>
      <c r="F982" s="52" t="s">
        <v>89</v>
      </c>
      <c r="G982" s="52" t="s">
        <v>3</v>
      </c>
    </row>
    <row r="983" spans="1:7">
      <c r="A983" s="54" t="s">
        <v>1350</v>
      </c>
      <c r="B983" s="55" t="s">
        <v>128</v>
      </c>
      <c r="C983" s="56">
        <v>32</v>
      </c>
      <c r="D983" s="52">
        <v>2.1</v>
      </c>
      <c r="E983" s="57" t="s">
        <v>81</v>
      </c>
      <c r="F983" s="52" t="s">
        <v>82</v>
      </c>
      <c r="G983" s="52" t="s">
        <v>0</v>
      </c>
    </row>
    <row r="984" spans="1:7">
      <c r="A984" s="54" t="s">
        <v>1351</v>
      </c>
      <c r="B984" s="55" t="s">
        <v>128</v>
      </c>
      <c r="C984" s="56">
        <v>33</v>
      </c>
      <c r="D984" s="52">
        <v>4.2</v>
      </c>
      <c r="E984" s="57" t="s">
        <v>96</v>
      </c>
      <c r="F984" s="52" t="s">
        <v>95</v>
      </c>
      <c r="G984" s="52" t="s">
        <v>2</v>
      </c>
    </row>
    <row r="985" spans="1:7">
      <c r="A985" s="54" t="s">
        <v>1352</v>
      </c>
      <c r="B985" s="55" t="s">
        <v>128</v>
      </c>
      <c r="C985" s="56">
        <v>34</v>
      </c>
      <c r="D985" s="52">
        <v>3.4</v>
      </c>
      <c r="E985" s="57" t="s">
        <v>96</v>
      </c>
      <c r="F985" s="52" t="s">
        <v>29</v>
      </c>
      <c r="G985" s="52" t="s">
        <v>3</v>
      </c>
    </row>
    <row r="986" spans="1:7">
      <c r="A986" s="54" t="s">
        <v>1353</v>
      </c>
      <c r="B986" s="55" t="s">
        <v>128</v>
      </c>
      <c r="C986" s="56">
        <v>35</v>
      </c>
      <c r="D986" s="52">
        <v>6.2</v>
      </c>
      <c r="E986" s="57" t="s">
        <v>76</v>
      </c>
      <c r="F986" s="52" t="s">
        <v>102</v>
      </c>
      <c r="G986" s="52" t="s">
        <v>1</v>
      </c>
    </row>
    <row r="987" spans="1:7">
      <c r="A987" s="54" t="s">
        <v>1354</v>
      </c>
      <c r="B987" s="55" t="s">
        <v>128</v>
      </c>
      <c r="C987" s="56">
        <v>36</v>
      </c>
      <c r="D987" s="52">
        <v>2.31</v>
      </c>
      <c r="E987" s="57" t="s">
        <v>28</v>
      </c>
      <c r="F987" s="52" t="s">
        <v>85</v>
      </c>
      <c r="G987" s="52" t="s">
        <v>2</v>
      </c>
    </row>
    <row r="988" spans="1:7">
      <c r="A988" s="54" t="s">
        <v>1355</v>
      </c>
      <c r="B988" s="55" t="s">
        <v>128</v>
      </c>
      <c r="C988" s="56">
        <v>37</v>
      </c>
      <c r="D988" s="52">
        <v>5.0999999999999996</v>
      </c>
      <c r="E988" s="57" t="s">
        <v>100</v>
      </c>
      <c r="F988" s="52" t="s">
        <v>97</v>
      </c>
      <c r="G988" s="52" t="s">
        <v>0</v>
      </c>
    </row>
    <row r="989" spans="1:7">
      <c r="A989" s="54" t="s">
        <v>1356</v>
      </c>
      <c r="B989" s="55" t="s">
        <v>128</v>
      </c>
      <c r="C989" s="56">
        <v>38</v>
      </c>
      <c r="D989" s="52">
        <v>2.35</v>
      </c>
      <c r="E989" s="57" t="s">
        <v>100</v>
      </c>
      <c r="F989" s="52" t="s">
        <v>89</v>
      </c>
      <c r="G989" s="52" t="s">
        <v>1</v>
      </c>
    </row>
    <row r="990" spans="1:7">
      <c r="A990" s="54" t="s">
        <v>1357</v>
      </c>
      <c r="B990" s="55" t="s">
        <v>128</v>
      </c>
      <c r="C990" s="56">
        <v>39</v>
      </c>
      <c r="D990" s="52">
        <v>5.3</v>
      </c>
      <c r="E990" s="57" t="s">
        <v>96</v>
      </c>
      <c r="F990" s="52" t="s">
        <v>99</v>
      </c>
      <c r="G990" s="52" t="s">
        <v>1</v>
      </c>
    </row>
    <row r="991" spans="1:7">
      <c r="A991" s="54" t="s">
        <v>1358</v>
      </c>
      <c r="B991" s="55" t="s">
        <v>128</v>
      </c>
      <c r="C991" s="56">
        <v>40</v>
      </c>
      <c r="D991" s="52">
        <v>2.1</v>
      </c>
      <c r="E991" s="57" t="s">
        <v>96</v>
      </c>
      <c r="F991" s="52" t="s">
        <v>82</v>
      </c>
      <c r="G991" s="52" t="s">
        <v>0</v>
      </c>
    </row>
    <row r="992" spans="1:7">
      <c r="A992" s="54" t="s">
        <v>1359</v>
      </c>
      <c r="B992" s="55" t="s">
        <v>128</v>
      </c>
      <c r="C992" s="56">
        <v>41</v>
      </c>
      <c r="D992" s="52">
        <v>2.35</v>
      </c>
      <c r="E992" s="57" t="s">
        <v>81</v>
      </c>
      <c r="F992" s="52" t="s">
        <v>89</v>
      </c>
      <c r="G992" s="52" t="s">
        <v>0</v>
      </c>
    </row>
    <row r="993" spans="1:7">
      <c r="A993" s="54" t="s">
        <v>1360</v>
      </c>
      <c r="B993" s="55" t="s">
        <v>128</v>
      </c>
      <c r="C993" s="56">
        <v>42</v>
      </c>
      <c r="D993" s="52">
        <v>2.33</v>
      </c>
      <c r="E993" s="57" t="s">
        <v>81</v>
      </c>
      <c r="F993" s="52" t="s">
        <v>87</v>
      </c>
      <c r="G993" s="52" t="s">
        <v>3</v>
      </c>
    </row>
    <row r="994" spans="1:7">
      <c r="A994" s="54" t="s">
        <v>1361</v>
      </c>
      <c r="B994" s="55" t="s">
        <v>128</v>
      </c>
      <c r="C994" s="56">
        <v>43</v>
      </c>
      <c r="D994" s="52">
        <v>1.6</v>
      </c>
      <c r="E994" s="57" t="s">
        <v>81</v>
      </c>
      <c r="F994" s="52" t="s">
        <v>27</v>
      </c>
      <c r="G994" s="52" t="s">
        <v>2</v>
      </c>
    </row>
    <row r="995" spans="1:7">
      <c r="A995" s="54" t="s">
        <v>1362</v>
      </c>
      <c r="B995" s="55" t="s">
        <v>128</v>
      </c>
      <c r="C995" s="56">
        <v>44</v>
      </c>
      <c r="D995" s="52">
        <v>2.3199999999999998</v>
      </c>
      <c r="E995" s="57" t="s">
        <v>100</v>
      </c>
      <c r="F995" s="52" t="s">
        <v>86</v>
      </c>
      <c r="G995" s="52" t="s">
        <v>4</v>
      </c>
    </row>
    <row r="996" spans="1:7">
      <c r="A996" s="54" t="s">
        <v>1363</v>
      </c>
      <c r="B996" s="55" t="s">
        <v>128</v>
      </c>
      <c r="C996" s="56">
        <v>45</v>
      </c>
      <c r="D996" s="52">
        <v>3.2</v>
      </c>
      <c r="E996" s="57" t="s">
        <v>96</v>
      </c>
      <c r="F996" s="52" t="s">
        <v>91</v>
      </c>
      <c r="G996" s="52" t="s">
        <v>3</v>
      </c>
    </row>
    <row r="997" spans="1:7">
      <c r="A997" s="54" t="s">
        <v>1364</v>
      </c>
      <c r="B997" s="55" t="s">
        <v>128</v>
      </c>
      <c r="C997" s="56">
        <v>46</v>
      </c>
      <c r="D997" s="52">
        <v>5.2</v>
      </c>
      <c r="E997" s="57" t="s">
        <v>93</v>
      </c>
      <c r="F997" s="52" t="s">
        <v>98</v>
      </c>
      <c r="G997" s="52" t="s">
        <v>0</v>
      </c>
    </row>
    <row r="998" spans="1:7">
      <c r="A998" s="54" t="s">
        <v>1365</v>
      </c>
      <c r="B998" s="55" t="s">
        <v>128</v>
      </c>
      <c r="C998" s="56">
        <v>47</v>
      </c>
      <c r="D998" s="52">
        <v>4.0999999999999996</v>
      </c>
      <c r="E998" s="57" t="s">
        <v>81</v>
      </c>
      <c r="F998" s="52" t="s">
        <v>94</v>
      </c>
      <c r="G998" s="52" t="s">
        <v>0</v>
      </c>
    </row>
    <row r="999" spans="1:7">
      <c r="A999" s="54" t="s">
        <v>1366</v>
      </c>
      <c r="B999" s="55" t="s">
        <v>128</v>
      </c>
      <c r="C999" s="56">
        <v>48</v>
      </c>
      <c r="D999" s="52">
        <v>2.34</v>
      </c>
      <c r="E999" s="57" t="s">
        <v>100</v>
      </c>
      <c r="F999" s="52" t="s">
        <v>88</v>
      </c>
      <c r="G999" s="52" t="s">
        <v>2</v>
      </c>
    </row>
    <row r="1000" spans="1:7">
      <c r="A1000" s="54" t="s">
        <v>1367</v>
      </c>
      <c r="B1000" s="55" t="s">
        <v>128</v>
      </c>
      <c r="C1000" s="56">
        <v>49</v>
      </c>
      <c r="D1000" s="52">
        <v>3.1</v>
      </c>
      <c r="E1000" s="57" t="s">
        <v>100</v>
      </c>
      <c r="F1000" s="52" t="s">
        <v>90</v>
      </c>
      <c r="G1000" s="52" t="s">
        <v>3</v>
      </c>
    </row>
    <row r="1001" spans="1:7">
      <c r="A1001" s="54" t="s">
        <v>1368</v>
      </c>
      <c r="B1001" s="55" t="s">
        <v>128</v>
      </c>
      <c r="C1001" s="56">
        <v>50</v>
      </c>
      <c r="D1001" s="52">
        <v>5.2</v>
      </c>
      <c r="E1001" s="57" t="s">
        <v>100</v>
      </c>
      <c r="F1001" s="52" t="s">
        <v>98</v>
      </c>
      <c r="G1001" s="52" t="s">
        <v>3</v>
      </c>
    </row>
    <row r="1002" spans="1:7">
      <c r="A1002" s="54" t="s">
        <v>1369</v>
      </c>
      <c r="B1002" s="55" t="s">
        <v>129</v>
      </c>
      <c r="C1002" s="56">
        <v>1</v>
      </c>
      <c r="D1002" s="52">
        <v>1.1000000000000001</v>
      </c>
      <c r="E1002" s="57" t="s">
        <v>81</v>
      </c>
      <c r="F1002" s="52" t="s">
        <v>77</v>
      </c>
      <c r="G1002" s="52" t="s">
        <v>1</v>
      </c>
    </row>
    <row r="1003" spans="1:7">
      <c r="A1003" s="54" t="s">
        <v>1370</v>
      </c>
      <c r="B1003" s="55" t="s">
        <v>129</v>
      </c>
      <c r="C1003" s="56">
        <v>2</v>
      </c>
      <c r="D1003" s="52">
        <v>1.3</v>
      </c>
      <c r="E1003" s="57" t="s">
        <v>81</v>
      </c>
      <c r="F1003" s="52" t="s">
        <v>79</v>
      </c>
      <c r="G1003" s="52" t="s">
        <v>2</v>
      </c>
    </row>
    <row r="1004" spans="1:7">
      <c r="A1004" s="54" t="s">
        <v>1371</v>
      </c>
      <c r="B1004" s="55" t="s">
        <v>129</v>
      </c>
      <c r="C1004" s="56">
        <v>3</v>
      </c>
      <c r="D1004" s="52">
        <v>4.0999999999999996</v>
      </c>
      <c r="E1004" s="57" t="s">
        <v>100</v>
      </c>
      <c r="F1004" s="52" t="s">
        <v>94</v>
      </c>
      <c r="G1004" s="52" t="s">
        <v>0</v>
      </c>
    </row>
    <row r="1005" spans="1:7">
      <c r="A1005" s="54" t="s">
        <v>1372</v>
      </c>
      <c r="B1005" s="55" t="s">
        <v>129</v>
      </c>
      <c r="C1005" s="56">
        <v>4</v>
      </c>
      <c r="D1005" s="52">
        <v>2.35</v>
      </c>
      <c r="E1005" s="57" t="s">
        <v>96</v>
      </c>
      <c r="F1005" s="52" t="s">
        <v>89</v>
      </c>
      <c r="G1005" s="52" t="s">
        <v>0</v>
      </c>
    </row>
    <row r="1006" spans="1:7">
      <c r="A1006" s="54" t="s">
        <v>1373</v>
      </c>
      <c r="B1006" s="55" t="s">
        <v>129</v>
      </c>
      <c r="C1006" s="56">
        <v>5</v>
      </c>
      <c r="D1006" s="52">
        <v>1.3</v>
      </c>
      <c r="E1006" s="57" t="s">
        <v>81</v>
      </c>
      <c r="F1006" s="52" t="s">
        <v>79</v>
      </c>
      <c r="G1006" s="52" t="s">
        <v>3</v>
      </c>
    </row>
    <row r="1007" spans="1:7">
      <c r="A1007" s="54" t="s">
        <v>1374</v>
      </c>
      <c r="B1007" s="55" t="s">
        <v>129</v>
      </c>
      <c r="C1007" s="56">
        <v>6</v>
      </c>
      <c r="D1007" s="52">
        <v>6.1</v>
      </c>
      <c r="E1007" s="57" t="s">
        <v>81</v>
      </c>
      <c r="F1007" s="52" t="s">
        <v>101</v>
      </c>
      <c r="G1007" s="52" t="s">
        <v>0</v>
      </c>
    </row>
    <row r="1008" spans="1:7">
      <c r="A1008" s="54" t="s">
        <v>1375</v>
      </c>
      <c r="B1008" s="55" t="s">
        <v>129</v>
      </c>
      <c r="C1008" s="56">
        <v>7</v>
      </c>
      <c r="D1008" s="52">
        <v>6.4</v>
      </c>
      <c r="E1008" s="57" t="s">
        <v>81</v>
      </c>
      <c r="F1008" s="52" t="s">
        <v>104</v>
      </c>
      <c r="G1008" s="52" t="s">
        <v>0</v>
      </c>
    </row>
    <row r="1009" spans="1:7">
      <c r="A1009" s="54" t="s">
        <v>1376</v>
      </c>
      <c r="B1009" s="55" t="s">
        <v>129</v>
      </c>
      <c r="C1009" s="56">
        <v>8</v>
      </c>
      <c r="D1009" s="52">
        <v>2.3199999999999998</v>
      </c>
      <c r="E1009" s="57" t="s">
        <v>81</v>
      </c>
      <c r="F1009" s="52" t="s">
        <v>86</v>
      </c>
      <c r="G1009" s="52" t="s">
        <v>0</v>
      </c>
    </row>
    <row r="1010" spans="1:7">
      <c r="A1010" s="54" t="s">
        <v>1377</v>
      </c>
      <c r="B1010" s="55" t="s">
        <v>129</v>
      </c>
      <c r="C1010" s="56">
        <v>9</v>
      </c>
      <c r="D1010" s="52">
        <v>1.1000000000000001</v>
      </c>
      <c r="E1010" s="57" t="s">
        <v>81</v>
      </c>
      <c r="F1010" s="52" t="s">
        <v>77</v>
      </c>
      <c r="G1010" s="52" t="s">
        <v>2</v>
      </c>
    </row>
    <row r="1011" spans="1:7">
      <c r="A1011" s="54" t="s">
        <v>1378</v>
      </c>
      <c r="B1011" s="55" t="s">
        <v>129</v>
      </c>
      <c r="C1011" s="56">
        <v>10</v>
      </c>
      <c r="D1011" s="52">
        <v>5.2</v>
      </c>
      <c r="E1011" s="57" t="s">
        <v>96</v>
      </c>
      <c r="F1011" s="52" t="s">
        <v>98</v>
      </c>
      <c r="G1011" s="52" t="s">
        <v>4</v>
      </c>
    </row>
    <row r="1012" spans="1:7">
      <c r="A1012" s="54" t="s">
        <v>1379</v>
      </c>
      <c r="B1012" s="55" t="s">
        <v>129</v>
      </c>
      <c r="C1012" s="56">
        <v>11</v>
      </c>
      <c r="D1012" s="52">
        <v>2.31</v>
      </c>
      <c r="E1012" s="57" t="s">
        <v>81</v>
      </c>
      <c r="F1012" s="52" t="s">
        <v>85</v>
      </c>
      <c r="G1012" s="52" t="s">
        <v>2</v>
      </c>
    </row>
    <row r="1013" spans="1:7">
      <c r="A1013" s="54" t="s">
        <v>1380</v>
      </c>
      <c r="B1013" s="55" t="s">
        <v>129</v>
      </c>
      <c r="C1013" s="56">
        <v>12</v>
      </c>
      <c r="D1013" s="52">
        <v>2.31</v>
      </c>
      <c r="E1013" s="57" t="s">
        <v>81</v>
      </c>
      <c r="F1013" s="52" t="s">
        <v>85</v>
      </c>
      <c r="G1013" s="52" t="s">
        <v>3</v>
      </c>
    </row>
    <row r="1014" spans="1:7">
      <c r="A1014" s="54" t="s">
        <v>1381</v>
      </c>
      <c r="B1014" s="55" t="s">
        <v>129</v>
      </c>
      <c r="C1014" s="56">
        <v>13</v>
      </c>
      <c r="D1014" s="52">
        <v>2.31</v>
      </c>
      <c r="E1014" s="57" t="s">
        <v>96</v>
      </c>
      <c r="F1014" s="52" t="s">
        <v>85</v>
      </c>
      <c r="G1014" s="52" t="s">
        <v>0</v>
      </c>
    </row>
    <row r="1015" spans="1:7">
      <c r="A1015" s="54" t="s">
        <v>1382</v>
      </c>
      <c r="B1015" s="55" t="s">
        <v>129</v>
      </c>
      <c r="C1015" s="56">
        <v>14</v>
      </c>
      <c r="D1015" s="52">
        <v>2.35</v>
      </c>
      <c r="E1015" s="57" t="s">
        <v>81</v>
      </c>
      <c r="F1015" s="52" t="s">
        <v>89</v>
      </c>
      <c r="G1015" s="52" t="s">
        <v>2</v>
      </c>
    </row>
    <row r="1016" spans="1:7">
      <c r="A1016" s="54" t="s">
        <v>1383</v>
      </c>
      <c r="B1016" s="55" t="s">
        <v>129</v>
      </c>
      <c r="C1016" s="56">
        <v>15</v>
      </c>
      <c r="D1016" s="52">
        <v>6.4</v>
      </c>
      <c r="E1016" s="57" t="s">
        <v>81</v>
      </c>
      <c r="F1016" s="52" t="s">
        <v>104</v>
      </c>
      <c r="G1016" s="52" t="s">
        <v>2</v>
      </c>
    </row>
    <row r="1017" spans="1:7">
      <c r="A1017" s="54" t="s">
        <v>1384</v>
      </c>
      <c r="B1017" s="55" t="s">
        <v>129</v>
      </c>
      <c r="C1017" s="56">
        <v>16</v>
      </c>
      <c r="D1017" s="52">
        <v>2.1</v>
      </c>
      <c r="E1017" s="57" t="s">
        <v>76</v>
      </c>
      <c r="F1017" s="52" t="s">
        <v>82</v>
      </c>
      <c r="G1017" s="52" t="s">
        <v>2</v>
      </c>
    </row>
    <row r="1018" spans="1:7">
      <c r="A1018" s="54" t="s">
        <v>1385</v>
      </c>
      <c r="B1018" s="55" t="s">
        <v>129</v>
      </c>
      <c r="C1018" s="56">
        <v>17</v>
      </c>
      <c r="D1018" s="52">
        <v>2.35</v>
      </c>
      <c r="E1018" s="57" t="s">
        <v>81</v>
      </c>
      <c r="F1018" s="52" t="s">
        <v>89</v>
      </c>
      <c r="G1018" s="52" t="s">
        <v>4</v>
      </c>
    </row>
    <row r="1019" spans="1:7">
      <c r="A1019" s="54" t="s">
        <v>1386</v>
      </c>
      <c r="B1019" s="55" t="s">
        <v>129</v>
      </c>
      <c r="C1019" s="56">
        <v>18</v>
      </c>
      <c r="D1019" s="52">
        <v>2.35</v>
      </c>
      <c r="E1019" s="57" t="s">
        <v>81</v>
      </c>
      <c r="F1019" s="52" t="s">
        <v>89</v>
      </c>
      <c r="G1019" s="52" t="s">
        <v>1</v>
      </c>
    </row>
    <row r="1020" spans="1:7">
      <c r="A1020" s="54" t="s">
        <v>1387</v>
      </c>
      <c r="B1020" s="55" t="s">
        <v>129</v>
      </c>
      <c r="C1020" s="56">
        <v>19</v>
      </c>
      <c r="D1020" s="52">
        <v>3.4</v>
      </c>
      <c r="E1020" s="57" t="s">
        <v>81</v>
      </c>
      <c r="F1020" s="52" t="s">
        <v>29</v>
      </c>
      <c r="G1020" s="52" t="s">
        <v>2</v>
      </c>
    </row>
    <row r="1021" spans="1:7">
      <c r="A1021" s="54" t="s">
        <v>1388</v>
      </c>
      <c r="B1021" s="55" t="s">
        <v>129</v>
      </c>
      <c r="C1021" s="56">
        <v>20</v>
      </c>
      <c r="D1021" s="52">
        <v>2.1</v>
      </c>
      <c r="E1021" s="57" t="s">
        <v>28</v>
      </c>
      <c r="F1021" s="52" t="s">
        <v>82</v>
      </c>
      <c r="G1021" s="52" t="s">
        <v>0</v>
      </c>
    </row>
    <row r="1022" spans="1:7">
      <c r="A1022" s="54" t="s">
        <v>1389</v>
      </c>
      <c r="B1022" s="55" t="s">
        <v>129</v>
      </c>
      <c r="C1022" s="56">
        <v>21</v>
      </c>
      <c r="D1022" s="52">
        <v>2.35</v>
      </c>
      <c r="E1022" s="57" t="s">
        <v>81</v>
      </c>
      <c r="F1022" s="52" t="s">
        <v>89</v>
      </c>
      <c r="G1022" s="52" t="s">
        <v>4</v>
      </c>
    </row>
    <row r="1023" spans="1:7">
      <c r="A1023" s="54" t="s">
        <v>1390</v>
      </c>
      <c r="B1023" s="55" t="s">
        <v>129</v>
      </c>
      <c r="C1023" s="56">
        <v>22</v>
      </c>
      <c r="D1023" s="52">
        <v>2.33</v>
      </c>
      <c r="E1023" s="57" t="s">
        <v>81</v>
      </c>
      <c r="F1023" s="52" t="s">
        <v>87</v>
      </c>
      <c r="G1023" s="52" t="s">
        <v>3</v>
      </c>
    </row>
    <row r="1024" spans="1:7">
      <c r="A1024" s="54" t="s">
        <v>1391</v>
      </c>
      <c r="B1024" s="55" t="s">
        <v>129</v>
      </c>
      <c r="C1024" s="56">
        <v>23</v>
      </c>
      <c r="D1024" s="52">
        <v>2.31</v>
      </c>
      <c r="E1024" s="57" t="s">
        <v>81</v>
      </c>
      <c r="F1024" s="52" t="s">
        <v>85</v>
      </c>
      <c r="G1024" s="52" t="s">
        <v>3</v>
      </c>
    </row>
    <row r="1025" spans="1:7">
      <c r="A1025" s="54" t="s">
        <v>1392</v>
      </c>
      <c r="B1025" s="55" t="s">
        <v>129</v>
      </c>
      <c r="C1025" s="56">
        <v>24</v>
      </c>
      <c r="D1025" s="52">
        <v>6.3</v>
      </c>
      <c r="E1025" s="57" t="s">
        <v>81</v>
      </c>
      <c r="F1025" s="52" t="s">
        <v>103</v>
      </c>
      <c r="G1025" s="52" t="s">
        <v>3</v>
      </c>
    </row>
    <row r="1026" spans="1:7">
      <c r="A1026" s="54" t="s">
        <v>1393</v>
      </c>
      <c r="B1026" s="55" t="s">
        <v>129</v>
      </c>
      <c r="C1026" s="56">
        <v>25</v>
      </c>
      <c r="D1026" s="52">
        <v>5.3</v>
      </c>
      <c r="E1026" s="57" t="s">
        <v>28</v>
      </c>
      <c r="F1026" s="52" t="s">
        <v>99</v>
      </c>
      <c r="G1026" s="52" t="s">
        <v>2</v>
      </c>
    </row>
    <row r="1027" spans="1:7">
      <c r="A1027" s="54" t="s">
        <v>1394</v>
      </c>
      <c r="B1027" s="55" t="s">
        <v>129</v>
      </c>
      <c r="C1027" s="56">
        <v>26</v>
      </c>
      <c r="D1027" s="52">
        <v>2.1</v>
      </c>
      <c r="E1027" s="57" t="s">
        <v>93</v>
      </c>
      <c r="F1027" s="52" t="s">
        <v>82</v>
      </c>
      <c r="G1027" s="52" t="s">
        <v>4</v>
      </c>
    </row>
    <row r="1028" spans="1:7">
      <c r="A1028" s="54" t="s">
        <v>1395</v>
      </c>
      <c r="B1028" s="55" t="s">
        <v>129</v>
      </c>
      <c r="C1028" s="56">
        <v>27</v>
      </c>
      <c r="D1028" s="52">
        <v>2.1</v>
      </c>
      <c r="E1028" s="57" t="s">
        <v>81</v>
      </c>
      <c r="F1028" s="52" t="s">
        <v>82</v>
      </c>
      <c r="G1028" s="52" t="s">
        <v>4</v>
      </c>
    </row>
    <row r="1029" spans="1:7">
      <c r="A1029" s="54" t="s">
        <v>1396</v>
      </c>
      <c r="B1029" s="55" t="s">
        <v>129</v>
      </c>
      <c r="C1029" s="56">
        <v>28</v>
      </c>
      <c r="D1029" s="52">
        <v>2.35</v>
      </c>
      <c r="E1029" s="57" t="s">
        <v>93</v>
      </c>
      <c r="F1029" s="52" t="s">
        <v>89</v>
      </c>
      <c r="G1029" s="52" t="s">
        <v>3</v>
      </c>
    </row>
    <row r="1030" spans="1:7">
      <c r="A1030" s="54" t="s">
        <v>1397</v>
      </c>
      <c r="B1030" s="55" t="s">
        <v>129</v>
      </c>
      <c r="C1030" s="56">
        <v>29</v>
      </c>
      <c r="D1030" s="52">
        <v>6.4</v>
      </c>
      <c r="E1030" s="57" t="s">
        <v>81</v>
      </c>
      <c r="F1030" s="52" t="s">
        <v>104</v>
      </c>
      <c r="G1030" s="52" t="s">
        <v>0</v>
      </c>
    </row>
    <row r="1031" spans="1:7">
      <c r="A1031" s="54" t="s">
        <v>1398</v>
      </c>
      <c r="B1031" s="55" t="s">
        <v>129</v>
      </c>
      <c r="C1031" s="56">
        <v>30</v>
      </c>
      <c r="D1031" s="52">
        <v>2.35</v>
      </c>
      <c r="E1031" s="57" t="s">
        <v>81</v>
      </c>
      <c r="F1031" s="52" t="s">
        <v>89</v>
      </c>
      <c r="G1031" s="52" t="s">
        <v>2</v>
      </c>
    </row>
    <row r="1032" spans="1:7">
      <c r="A1032" s="54" t="s">
        <v>1399</v>
      </c>
      <c r="B1032" s="55" t="s">
        <v>129</v>
      </c>
      <c r="C1032" s="56">
        <v>31</v>
      </c>
      <c r="D1032" s="52">
        <v>4.0999999999999996</v>
      </c>
      <c r="E1032" s="57" t="s">
        <v>81</v>
      </c>
      <c r="F1032" s="52" t="s">
        <v>94</v>
      </c>
      <c r="G1032" s="52" t="s">
        <v>2</v>
      </c>
    </row>
    <row r="1033" spans="1:7">
      <c r="A1033" s="54" t="s">
        <v>1400</v>
      </c>
      <c r="B1033" s="55" t="s">
        <v>129</v>
      </c>
      <c r="C1033" s="56">
        <v>32</v>
      </c>
      <c r="D1033" s="52">
        <v>2.2000000000000002</v>
      </c>
      <c r="E1033" s="57" t="s">
        <v>100</v>
      </c>
      <c r="F1033" s="52" t="s">
        <v>83</v>
      </c>
      <c r="G1033" s="52" t="s">
        <v>0</v>
      </c>
    </row>
    <row r="1034" spans="1:7">
      <c r="A1034" s="54" t="s">
        <v>1401</v>
      </c>
      <c r="B1034" s="55" t="s">
        <v>129</v>
      </c>
      <c r="C1034" s="56">
        <v>33</v>
      </c>
      <c r="D1034" s="52">
        <v>5.2</v>
      </c>
      <c r="E1034" s="57" t="s">
        <v>96</v>
      </c>
      <c r="F1034" s="52" t="s">
        <v>98</v>
      </c>
      <c r="G1034" s="52" t="s">
        <v>4</v>
      </c>
    </row>
    <row r="1035" spans="1:7">
      <c r="A1035" s="54" t="s">
        <v>1402</v>
      </c>
      <c r="B1035" s="55" t="s">
        <v>129</v>
      </c>
      <c r="C1035" s="56">
        <v>34</v>
      </c>
      <c r="D1035" s="52">
        <v>5.2</v>
      </c>
      <c r="E1035" s="57" t="s">
        <v>100</v>
      </c>
      <c r="F1035" s="52" t="s">
        <v>98</v>
      </c>
      <c r="G1035" s="52" t="s">
        <v>2</v>
      </c>
    </row>
    <row r="1036" spans="1:7">
      <c r="A1036" s="54" t="s">
        <v>1403</v>
      </c>
      <c r="B1036" s="55" t="s">
        <v>129</v>
      </c>
      <c r="C1036" s="56">
        <v>35</v>
      </c>
      <c r="D1036" s="52">
        <v>1.1000000000000001</v>
      </c>
      <c r="E1036" s="57" t="s">
        <v>28</v>
      </c>
      <c r="F1036" s="52" t="s">
        <v>77</v>
      </c>
      <c r="G1036" s="52" t="s">
        <v>2</v>
      </c>
    </row>
    <row r="1037" spans="1:7">
      <c r="A1037" s="54" t="s">
        <v>1404</v>
      </c>
      <c r="B1037" s="55" t="s">
        <v>129</v>
      </c>
      <c r="C1037" s="56">
        <v>36</v>
      </c>
      <c r="D1037" s="52">
        <v>2.34</v>
      </c>
      <c r="E1037" s="57" t="s">
        <v>100</v>
      </c>
      <c r="F1037" s="52" t="s">
        <v>88</v>
      </c>
      <c r="G1037" s="52" t="s">
        <v>3</v>
      </c>
    </row>
    <row r="1038" spans="1:7">
      <c r="A1038" s="54" t="s">
        <v>1405</v>
      </c>
      <c r="B1038" s="55" t="s">
        <v>129</v>
      </c>
      <c r="C1038" s="56">
        <v>37</v>
      </c>
      <c r="D1038" s="52">
        <v>6.3</v>
      </c>
      <c r="E1038" s="57" t="s">
        <v>28</v>
      </c>
      <c r="F1038" s="52" t="s">
        <v>103</v>
      </c>
      <c r="G1038" s="52" t="s">
        <v>3</v>
      </c>
    </row>
    <row r="1039" spans="1:7">
      <c r="A1039" s="54" t="s">
        <v>1406</v>
      </c>
      <c r="B1039" s="55" t="s">
        <v>129</v>
      </c>
      <c r="C1039" s="56">
        <v>38</v>
      </c>
      <c r="D1039" s="52">
        <v>6.1</v>
      </c>
      <c r="E1039" s="57" t="s">
        <v>76</v>
      </c>
      <c r="F1039" s="52" t="s">
        <v>101</v>
      </c>
      <c r="G1039" s="52" t="s">
        <v>1</v>
      </c>
    </row>
    <row r="1040" spans="1:7">
      <c r="A1040" s="54" t="s">
        <v>1407</v>
      </c>
      <c r="B1040" s="55" t="s">
        <v>129</v>
      </c>
      <c r="C1040" s="56">
        <v>39</v>
      </c>
      <c r="D1040" s="52">
        <v>5.2</v>
      </c>
      <c r="E1040" s="57" t="s">
        <v>81</v>
      </c>
      <c r="F1040" s="52" t="s">
        <v>98</v>
      </c>
      <c r="G1040" s="52" t="s">
        <v>1</v>
      </c>
    </row>
    <row r="1041" spans="1:7">
      <c r="A1041" s="54" t="s">
        <v>1408</v>
      </c>
      <c r="B1041" s="55" t="s">
        <v>129</v>
      </c>
      <c r="C1041" s="56">
        <v>40</v>
      </c>
      <c r="D1041" s="52">
        <v>5.2</v>
      </c>
      <c r="E1041" s="57" t="s">
        <v>81</v>
      </c>
      <c r="F1041" s="52" t="s">
        <v>98</v>
      </c>
      <c r="G1041" s="52" t="s">
        <v>1</v>
      </c>
    </row>
    <row r="1042" spans="1:7">
      <c r="A1042" s="54" t="s">
        <v>1409</v>
      </c>
      <c r="B1042" s="55" t="s">
        <v>129</v>
      </c>
      <c r="C1042" s="56">
        <v>41</v>
      </c>
      <c r="D1042" s="52">
        <v>6.2</v>
      </c>
      <c r="E1042" s="57" t="s">
        <v>81</v>
      </c>
      <c r="F1042" s="52" t="s">
        <v>102</v>
      </c>
      <c r="G1042" s="52" t="s">
        <v>4</v>
      </c>
    </row>
    <row r="1043" spans="1:7">
      <c r="A1043" s="54" t="s">
        <v>1410</v>
      </c>
      <c r="B1043" s="55" t="s">
        <v>129</v>
      </c>
      <c r="C1043" s="56">
        <v>42</v>
      </c>
      <c r="D1043" s="52">
        <v>2.34</v>
      </c>
      <c r="E1043" s="57" t="s">
        <v>81</v>
      </c>
      <c r="F1043" s="52" t="s">
        <v>88</v>
      </c>
      <c r="G1043" s="52" t="s">
        <v>4</v>
      </c>
    </row>
    <row r="1044" spans="1:7">
      <c r="A1044" s="54" t="s">
        <v>1411</v>
      </c>
      <c r="B1044" s="55" t="s">
        <v>129</v>
      </c>
      <c r="C1044" s="56">
        <v>43</v>
      </c>
      <c r="D1044" s="52">
        <v>2.1</v>
      </c>
      <c r="E1044" s="57" t="s">
        <v>81</v>
      </c>
      <c r="F1044" s="52" t="s">
        <v>82</v>
      </c>
      <c r="G1044" s="52" t="s">
        <v>0</v>
      </c>
    </row>
    <row r="1045" spans="1:7">
      <c r="A1045" s="54" t="s">
        <v>1412</v>
      </c>
      <c r="B1045" s="55" t="s">
        <v>129</v>
      </c>
      <c r="C1045" s="56">
        <v>44</v>
      </c>
      <c r="D1045" s="52">
        <v>6.4</v>
      </c>
      <c r="E1045" s="57" t="s">
        <v>100</v>
      </c>
      <c r="F1045" s="52" t="s">
        <v>104</v>
      </c>
      <c r="G1045" s="52" t="s">
        <v>0</v>
      </c>
    </row>
    <row r="1046" spans="1:7">
      <c r="A1046" s="54" t="s">
        <v>1413</v>
      </c>
      <c r="B1046" s="55" t="s">
        <v>129</v>
      </c>
      <c r="C1046" s="56">
        <v>45</v>
      </c>
      <c r="D1046" s="52">
        <v>5.3</v>
      </c>
      <c r="E1046" s="57" t="s">
        <v>96</v>
      </c>
      <c r="F1046" s="52" t="s">
        <v>99</v>
      </c>
      <c r="G1046" s="52" t="s">
        <v>1</v>
      </c>
    </row>
    <row r="1047" spans="1:7">
      <c r="A1047" s="54" t="s">
        <v>1414</v>
      </c>
      <c r="B1047" s="55" t="s">
        <v>129</v>
      </c>
      <c r="C1047" s="56">
        <v>46</v>
      </c>
      <c r="D1047" s="52">
        <v>4.0999999999999996</v>
      </c>
      <c r="E1047" s="57" t="s">
        <v>76</v>
      </c>
      <c r="F1047" s="52" t="s">
        <v>94</v>
      </c>
      <c r="G1047" s="52" t="s">
        <v>0</v>
      </c>
    </row>
    <row r="1048" spans="1:7">
      <c r="A1048" s="54" t="s">
        <v>1415</v>
      </c>
      <c r="B1048" s="55" t="s">
        <v>129</v>
      </c>
      <c r="C1048" s="56">
        <v>47</v>
      </c>
      <c r="D1048" s="52">
        <v>2.33</v>
      </c>
      <c r="E1048" s="57" t="s">
        <v>81</v>
      </c>
      <c r="F1048" s="52" t="s">
        <v>87</v>
      </c>
      <c r="G1048" s="52" t="s">
        <v>2</v>
      </c>
    </row>
    <row r="1049" spans="1:7">
      <c r="A1049" s="54" t="s">
        <v>1416</v>
      </c>
      <c r="B1049" s="55" t="s">
        <v>129</v>
      </c>
      <c r="C1049" s="56">
        <v>48</v>
      </c>
      <c r="D1049" s="52">
        <v>6.2</v>
      </c>
      <c r="E1049" s="57" t="s">
        <v>81</v>
      </c>
      <c r="F1049" s="52" t="s">
        <v>102</v>
      </c>
      <c r="G1049" s="52" t="s">
        <v>3</v>
      </c>
    </row>
    <row r="1050" spans="1:7">
      <c r="A1050" s="54" t="s">
        <v>1417</v>
      </c>
      <c r="B1050" s="55" t="s">
        <v>129</v>
      </c>
      <c r="C1050" s="56">
        <v>49</v>
      </c>
      <c r="D1050" s="52">
        <v>6.3</v>
      </c>
      <c r="E1050" s="57" t="s">
        <v>81</v>
      </c>
      <c r="F1050" s="52" t="s">
        <v>103</v>
      </c>
      <c r="G1050" s="52" t="s">
        <v>2</v>
      </c>
    </row>
    <row r="1051" spans="1:7">
      <c r="A1051" s="54" t="s">
        <v>1418</v>
      </c>
      <c r="B1051" s="55" t="s">
        <v>129</v>
      </c>
      <c r="C1051" s="56">
        <v>50</v>
      </c>
      <c r="D1051" s="52">
        <v>6.3</v>
      </c>
      <c r="E1051" s="57" t="s">
        <v>96</v>
      </c>
      <c r="F1051" s="52" t="s">
        <v>103</v>
      </c>
      <c r="G1051" s="52" t="s">
        <v>1</v>
      </c>
    </row>
    <row r="1052" spans="1:7">
      <c r="A1052" s="54" t="s">
        <v>1419</v>
      </c>
      <c r="B1052" s="55" t="s">
        <v>130</v>
      </c>
      <c r="C1052" s="56">
        <v>1</v>
      </c>
      <c r="D1052" s="52">
        <v>2.1</v>
      </c>
      <c r="E1052" s="57" t="s">
        <v>81</v>
      </c>
      <c r="F1052" s="52" t="s">
        <v>82</v>
      </c>
      <c r="G1052" s="52" t="s">
        <v>2</v>
      </c>
    </row>
    <row r="1053" spans="1:7">
      <c r="A1053" s="54" t="s">
        <v>1420</v>
      </c>
      <c r="B1053" s="55" t="s">
        <v>130</v>
      </c>
      <c r="C1053" s="56">
        <v>2</v>
      </c>
      <c r="D1053" s="52">
        <v>2.31</v>
      </c>
      <c r="E1053" s="57" t="s">
        <v>76</v>
      </c>
      <c r="F1053" s="52" t="s">
        <v>85</v>
      </c>
      <c r="G1053" s="52" t="s">
        <v>0</v>
      </c>
    </row>
    <row r="1054" spans="1:7">
      <c r="A1054" s="54" t="s">
        <v>1421</v>
      </c>
      <c r="B1054" s="55" t="s">
        <v>130</v>
      </c>
      <c r="C1054" s="56">
        <v>3</v>
      </c>
      <c r="D1054" s="52">
        <v>2.35</v>
      </c>
      <c r="E1054" s="57" t="s">
        <v>81</v>
      </c>
      <c r="F1054" s="52" t="s">
        <v>89</v>
      </c>
      <c r="G1054" s="52" t="s">
        <v>2</v>
      </c>
    </row>
    <row r="1055" spans="1:7">
      <c r="A1055" s="54" t="s">
        <v>1422</v>
      </c>
      <c r="B1055" s="55" t="s">
        <v>130</v>
      </c>
      <c r="C1055" s="56">
        <v>4</v>
      </c>
      <c r="D1055" s="52">
        <v>5.0999999999999996</v>
      </c>
      <c r="E1055" s="57" t="s">
        <v>81</v>
      </c>
      <c r="F1055" s="52" t="s">
        <v>97</v>
      </c>
      <c r="G1055" s="52" t="s">
        <v>4</v>
      </c>
    </row>
    <row r="1056" spans="1:7">
      <c r="A1056" s="54" t="s">
        <v>1423</v>
      </c>
      <c r="B1056" s="55" t="s">
        <v>130</v>
      </c>
      <c r="C1056" s="56">
        <v>5</v>
      </c>
      <c r="D1056" s="52">
        <v>2.35</v>
      </c>
      <c r="E1056" s="57" t="s">
        <v>28</v>
      </c>
      <c r="F1056" s="52" t="s">
        <v>89</v>
      </c>
      <c r="G1056" s="52" t="s">
        <v>3</v>
      </c>
    </row>
    <row r="1057" spans="1:7">
      <c r="A1057" s="54" t="s">
        <v>1424</v>
      </c>
      <c r="B1057" s="55" t="s">
        <v>130</v>
      </c>
      <c r="C1057" s="56">
        <v>6</v>
      </c>
      <c r="D1057" s="52">
        <v>2.1</v>
      </c>
      <c r="E1057" s="57" t="s">
        <v>28</v>
      </c>
      <c r="F1057" s="52" t="s">
        <v>82</v>
      </c>
      <c r="G1057" s="52" t="s">
        <v>2</v>
      </c>
    </row>
    <row r="1058" spans="1:7">
      <c r="A1058" s="54" t="s">
        <v>1425</v>
      </c>
      <c r="B1058" s="55" t="s">
        <v>130</v>
      </c>
      <c r="C1058" s="56">
        <v>7</v>
      </c>
      <c r="D1058" s="52">
        <v>2.35</v>
      </c>
      <c r="E1058" s="57" t="s">
        <v>76</v>
      </c>
      <c r="F1058" s="52" t="s">
        <v>89</v>
      </c>
      <c r="G1058" s="52" t="s">
        <v>3</v>
      </c>
    </row>
    <row r="1059" spans="1:7">
      <c r="A1059" s="54" t="s">
        <v>1426</v>
      </c>
      <c r="B1059" s="55" t="s">
        <v>130</v>
      </c>
      <c r="C1059" s="56">
        <v>8</v>
      </c>
      <c r="D1059" s="52">
        <v>2.1</v>
      </c>
      <c r="E1059" s="57" t="s">
        <v>28</v>
      </c>
      <c r="F1059" s="52" t="s">
        <v>82</v>
      </c>
      <c r="G1059" s="52" t="s">
        <v>4</v>
      </c>
    </row>
    <row r="1060" spans="1:7">
      <c r="A1060" s="54" t="s">
        <v>1427</v>
      </c>
      <c r="B1060" s="55" t="s">
        <v>130</v>
      </c>
      <c r="C1060" s="56">
        <v>9</v>
      </c>
      <c r="D1060" s="52">
        <v>2.31</v>
      </c>
      <c r="E1060" s="57" t="s">
        <v>28</v>
      </c>
      <c r="F1060" s="52" t="s">
        <v>85</v>
      </c>
      <c r="G1060" s="52" t="s">
        <v>2</v>
      </c>
    </row>
    <row r="1061" spans="1:7">
      <c r="A1061" s="54" t="s">
        <v>1428</v>
      </c>
      <c r="B1061" s="55" t="s">
        <v>130</v>
      </c>
      <c r="C1061" s="56">
        <v>10</v>
      </c>
      <c r="D1061" s="52">
        <v>5.3</v>
      </c>
      <c r="E1061" s="57" t="s">
        <v>81</v>
      </c>
      <c r="F1061" s="52" t="s">
        <v>99</v>
      </c>
      <c r="G1061" s="52" t="s">
        <v>2</v>
      </c>
    </row>
    <row r="1062" spans="1:7">
      <c r="A1062" s="54" t="s">
        <v>1429</v>
      </c>
      <c r="B1062" s="55" t="s">
        <v>130</v>
      </c>
      <c r="C1062" s="56">
        <v>11</v>
      </c>
      <c r="D1062" s="52">
        <v>2.35</v>
      </c>
      <c r="E1062" s="57" t="s">
        <v>81</v>
      </c>
      <c r="F1062" s="52" t="s">
        <v>89</v>
      </c>
      <c r="G1062" s="52" t="s">
        <v>2</v>
      </c>
    </row>
    <row r="1063" spans="1:7">
      <c r="A1063" s="54" t="s">
        <v>1430</v>
      </c>
      <c r="B1063" s="55" t="s">
        <v>130</v>
      </c>
      <c r="C1063" s="56">
        <v>12</v>
      </c>
      <c r="D1063" s="52">
        <v>2.35</v>
      </c>
      <c r="E1063" s="57" t="s">
        <v>96</v>
      </c>
      <c r="F1063" s="52" t="s">
        <v>89</v>
      </c>
      <c r="G1063" s="52" t="s">
        <v>0</v>
      </c>
    </row>
    <row r="1064" spans="1:7">
      <c r="A1064" s="54" t="s">
        <v>1431</v>
      </c>
      <c r="B1064" s="55" t="s">
        <v>130</v>
      </c>
      <c r="C1064" s="56">
        <v>13</v>
      </c>
      <c r="D1064" s="52">
        <v>5.3</v>
      </c>
      <c r="E1064" s="57" t="s">
        <v>81</v>
      </c>
      <c r="F1064" s="52" t="s">
        <v>99</v>
      </c>
      <c r="G1064" s="52" t="s">
        <v>4</v>
      </c>
    </row>
    <row r="1065" spans="1:7">
      <c r="A1065" s="54" t="s">
        <v>1432</v>
      </c>
      <c r="B1065" s="55" t="s">
        <v>130</v>
      </c>
      <c r="C1065" s="56">
        <v>14</v>
      </c>
      <c r="D1065" s="52">
        <v>2.34</v>
      </c>
      <c r="E1065" s="57" t="s">
        <v>81</v>
      </c>
      <c r="F1065" s="52" t="s">
        <v>88</v>
      </c>
      <c r="G1065" s="52" t="s">
        <v>0</v>
      </c>
    </row>
    <row r="1066" spans="1:7">
      <c r="A1066" s="54" t="s">
        <v>1433</v>
      </c>
      <c r="B1066" s="55" t="s">
        <v>130</v>
      </c>
      <c r="C1066" s="56">
        <v>15</v>
      </c>
      <c r="D1066" s="52">
        <v>2.1</v>
      </c>
      <c r="E1066" s="57" t="s">
        <v>81</v>
      </c>
      <c r="F1066" s="52" t="s">
        <v>82</v>
      </c>
      <c r="G1066" s="52" t="s">
        <v>0</v>
      </c>
    </row>
    <row r="1067" spans="1:7">
      <c r="A1067" s="54" t="s">
        <v>1434</v>
      </c>
      <c r="B1067" s="55" t="s">
        <v>130</v>
      </c>
      <c r="C1067" s="56">
        <v>16</v>
      </c>
      <c r="D1067" s="52">
        <v>1.1000000000000001</v>
      </c>
      <c r="E1067" s="57" t="s">
        <v>100</v>
      </c>
      <c r="F1067" s="52" t="s">
        <v>77</v>
      </c>
      <c r="G1067" s="52" t="s">
        <v>4</v>
      </c>
    </row>
    <row r="1068" spans="1:7">
      <c r="A1068" s="54" t="s">
        <v>1435</v>
      </c>
      <c r="B1068" s="55" t="s">
        <v>130</v>
      </c>
      <c r="C1068" s="56">
        <v>17</v>
      </c>
      <c r="D1068" s="52">
        <v>2.31</v>
      </c>
      <c r="E1068" s="57" t="s">
        <v>28</v>
      </c>
      <c r="F1068" s="52" t="s">
        <v>85</v>
      </c>
      <c r="G1068" s="52" t="s">
        <v>0</v>
      </c>
    </row>
    <row r="1069" spans="1:7">
      <c r="A1069" s="54" t="s">
        <v>1436</v>
      </c>
      <c r="B1069" s="55" t="s">
        <v>130</v>
      </c>
      <c r="C1069" s="56">
        <v>18</v>
      </c>
      <c r="D1069" s="52">
        <v>2.1</v>
      </c>
      <c r="E1069" s="57" t="s">
        <v>81</v>
      </c>
      <c r="F1069" s="52" t="s">
        <v>82</v>
      </c>
      <c r="G1069" s="52" t="s">
        <v>2</v>
      </c>
    </row>
    <row r="1070" spans="1:7">
      <c r="A1070" s="54" t="s">
        <v>1437</v>
      </c>
      <c r="B1070" s="55" t="s">
        <v>130</v>
      </c>
      <c r="C1070" s="56">
        <v>19</v>
      </c>
      <c r="D1070" s="52">
        <v>2.3199999999999998</v>
      </c>
      <c r="E1070" s="57" t="s">
        <v>81</v>
      </c>
      <c r="F1070" s="52" t="s">
        <v>86</v>
      </c>
      <c r="G1070" s="52" t="s">
        <v>3</v>
      </c>
    </row>
    <row r="1071" spans="1:7">
      <c r="A1071" s="54" t="s">
        <v>1438</v>
      </c>
      <c r="B1071" s="55" t="s">
        <v>130</v>
      </c>
      <c r="C1071" s="56">
        <v>20</v>
      </c>
      <c r="D1071" s="52">
        <v>3.2</v>
      </c>
      <c r="E1071" s="57" t="s">
        <v>93</v>
      </c>
      <c r="F1071" s="52" t="s">
        <v>91</v>
      </c>
      <c r="G1071" s="52" t="s">
        <v>0</v>
      </c>
    </row>
    <row r="1072" spans="1:7">
      <c r="A1072" s="54" t="s">
        <v>1439</v>
      </c>
      <c r="B1072" s="55" t="s">
        <v>130</v>
      </c>
      <c r="C1072" s="56">
        <v>21</v>
      </c>
      <c r="D1072" s="52">
        <v>2.33</v>
      </c>
      <c r="E1072" s="57" t="s">
        <v>76</v>
      </c>
      <c r="F1072" s="52" t="s">
        <v>87</v>
      </c>
      <c r="G1072" s="52" t="s">
        <v>3</v>
      </c>
    </row>
    <row r="1073" spans="1:7">
      <c r="A1073" s="54" t="s">
        <v>1440</v>
      </c>
      <c r="B1073" s="55" t="s">
        <v>130</v>
      </c>
      <c r="C1073" s="56">
        <v>22</v>
      </c>
      <c r="D1073" s="52">
        <v>2.1</v>
      </c>
      <c r="E1073" s="57" t="s">
        <v>76</v>
      </c>
      <c r="F1073" s="52" t="s">
        <v>82</v>
      </c>
      <c r="G1073" s="52" t="s">
        <v>2</v>
      </c>
    </row>
    <row r="1074" spans="1:7">
      <c r="A1074" s="54" t="s">
        <v>1441</v>
      </c>
      <c r="B1074" s="55" t="s">
        <v>130</v>
      </c>
      <c r="C1074" s="56">
        <v>23</v>
      </c>
      <c r="D1074" s="52">
        <v>2.31</v>
      </c>
      <c r="E1074" s="57" t="s">
        <v>76</v>
      </c>
      <c r="F1074" s="52" t="s">
        <v>85</v>
      </c>
      <c r="G1074" s="52" t="s">
        <v>0</v>
      </c>
    </row>
    <row r="1075" spans="1:7">
      <c r="A1075" s="54" t="s">
        <v>1442</v>
      </c>
      <c r="B1075" s="55" t="s">
        <v>130</v>
      </c>
      <c r="C1075" s="56">
        <v>24</v>
      </c>
      <c r="D1075" s="52">
        <v>2.35</v>
      </c>
      <c r="E1075" s="57" t="s">
        <v>96</v>
      </c>
      <c r="F1075" s="52" t="s">
        <v>89</v>
      </c>
      <c r="G1075" s="52" t="s">
        <v>0</v>
      </c>
    </row>
    <row r="1076" spans="1:7">
      <c r="A1076" s="54" t="s">
        <v>1443</v>
      </c>
      <c r="B1076" s="55" t="s">
        <v>130</v>
      </c>
      <c r="C1076" s="56">
        <v>25</v>
      </c>
      <c r="D1076" s="52">
        <v>5.3</v>
      </c>
      <c r="E1076" s="57" t="s">
        <v>28</v>
      </c>
      <c r="F1076" s="52" t="s">
        <v>99</v>
      </c>
      <c r="G1076" s="52" t="s">
        <v>2</v>
      </c>
    </row>
    <row r="1077" spans="1:7">
      <c r="A1077" s="54" t="s">
        <v>1444</v>
      </c>
      <c r="B1077" s="55" t="s">
        <v>130</v>
      </c>
      <c r="C1077" s="56">
        <v>26</v>
      </c>
      <c r="D1077" s="52">
        <v>4.2</v>
      </c>
      <c r="E1077" s="57" t="s">
        <v>96</v>
      </c>
      <c r="F1077" s="52" t="s">
        <v>95</v>
      </c>
      <c r="G1077" s="52" t="s">
        <v>0</v>
      </c>
    </row>
    <row r="1078" spans="1:7">
      <c r="A1078" s="54" t="s">
        <v>1445</v>
      </c>
      <c r="B1078" s="55" t="s">
        <v>130</v>
      </c>
      <c r="C1078" s="56">
        <v>27</v>
      </c>
      <c r="D1078" s="52">
        <v>2.33</v>
      </c>
      <c r="E1078" s="57" t="s">
        <v>100</v>
      </c>
      <c r="F1078" s="52" t="s">
        <v>87</v>
      </c>
      <c r="G1078" s="52" t="s">
        <v>1</v>
      </c>
    </row>
    <row r="1079" spans="1:7">
      <c r="A1079" s="54" t="s">
        <v>1446</v>
      </c>
      <c r="B1079" s="55" t="s">
        <v>130</v>
      </c>
      <c r="C1079" s="56">
        <v>28</v>
      </c>
      <c r="D1079" s="52">
        <v>4.2</v>
      </c>
      <c r="E1079" s="57" t="s">
        <v>76</v>
      </c>
      <c r="F1079" s="52" t="s">
        <v>95</v>
      </c>
      <c r="G1079" s="52" t="s">
        <v>3</v>
      </c>
    </row>
    <row r="1080" spans="1:7">
      <c r="A1080" s="54" t="s">
        <v>1447</v>
      </c>
      <c r="B1080" s="55" t="s">
        <v>130</v>
      </c>
      <c r="C1080" s="56">
        <v>29</v>
      </c>
      <c r="D1080" s="52">
        <v>2.35</v>
      </c>
      <c r="E1080" s="57" t="s">
        <v>81</v>
      </c>
      <c r="F1080" s="52" t="s">
        <v>89</v>
      </c>
      <c r="G1080" s="52" t="s">
        <v>2</v>
      </c>
    </row>
    <row r="1081" spans="1:7">
      <c r="A1081" s="54" t="s">
        <v>1448</v>
      </c>
      <c r="B1081" s="55" t="s">
        <v>130</v>
      </c>
      <c r="C1081" s="56">
        <v>30</v>
      </c>
      <c r="D1081" s="52">
        <v>2.3199999999999998</v>
      </c>
      <c r="E1081" s="57" t="s">
        <v>81</v>
      </c>
      <c r="F1081" s="52" t="s">
        <v>86</v>
      </c>
      <c r="G1081" s="52" t="s">
        <v>3</v>
      </c>
    </row>
    <row r="1082" spans="1:7">
      <c r="A1082" s="54" t="s">
        <v>1449</v>
      </c>
      <c r="B1082" s="55" t="s">
        <v>130</v>
      </c>
      <c r="C1082" s="56">
        <v>31</v>
      </c>
      <c r="D1082" s="52">
        <v>2.35</v>
      </c>
      <c r="E1082" s="57" t="s">
        <v>76</v>
      </c>
      <c r="F1082" s="52" t="s">
        <v>89</v>
      </c>
      <c r="G1082" s="52" t="s">
        <v>0</v>
      </c>
    </row>
    <row r="1083" spans="1:7">
      <c r="A1083" s="54" t="s">
        <v>1450</v>
      </c>
      <c r="B1083" s="55" t="s">
        <v>130</v>
      </c>
      <c r="C1083" s="56">
        <v>32</v>
      </c>
      <c r="D1083" s="52">
        <v>6.1</v>
      </c>
      <c r="E1083" s="57" t="s">
        <v>76</v>
      </c>
      <c r="F1083" s="52" t="s">
        <v>101</v>
      </c>
      <c r="G1083" s="52" t="s">
        <v>1</v>
      </c>
    </row>
    <row r="1084" spans="1:7">
      <c r="A1084" s="54" t="s">
        <v>1451</v>
      </c>
      <c r="B1084" s="55" t="s">
        <v>130</v>
      </c>
      <c r="C1084" s="56">
        <v>33</v>
      </c>
      <c r="D1084" s="52">
        <v>5.0999999999999996</v>
      </c>
      <c r="E1084" s="57" t="s">
        <v>81</v>
      </c>
      <c r="F1084" s="52" t="s">
        <v>97</v>
      </c>
      <c r="G1084" s="52" t="s">
        <v>1</v>
      </c>
    </row>
    <row r="1085" spans="1:7">
      <c r="A1085" s="54" t="s">
        <v>1452</v>
      </c>
      <c r="B1085" s="55" t="s">
        <v>130</v>
      </c>
      <c r="C1085" s="56">
        <v>34</v>
      </c>
      <c r="D1085" s="52">
        <v>6.3</v>
      </c>
      <c r="E1085" s="57" t="s">
        <v>81</v>
      </c>
      <c r="F1085" s="52" t="s">
        <v>103</v>
      </c>
      <c r="G1085" s="52" t="s">
        <v>2</v>
      </c>
    </row>
    <row r="1086" spans="1:7">
      <c r="A1086" s="54" t="s">
        <v>1453</v>
      </c>
      <c r="B1086" s="55" t="s">
        <v>130</v>
      </c>
      <c r="C1086" s="56">
        <v>35</v>
      </c>
      <c r="D1086" s="52">
        <v>3.1</v>
      </c>
      <c r="E1086" s="57" t="s">
        <v>81</v>
      </c>
      <c r="F1086" s="52" t="s">
        <v>90</v>
      </c>
      <c r="G1086" s="52" t="s">
        <v>1</v>
      </c>
    </row>
    <row r="1087" spans="1:7">
      <c r="A1087" s="54" t="s">
        <v>1454</v>
      </c>
      <c r="B1087" s="55" t="s">
        <v>130</v>
      </c>
      <c r="C1087" s="56">
        <v>36</v>
      </c>
      <c r="D1087" s="52">
        <v>6.3</v>
      </c>
      <c r="E1087" s="57" t="s">
        <v>28</v>
      </c>
      <c r="F1087" s="52" t="s">
        <v>103</v>
      </c>
      <c r="G1087" s="52" t="s">
        <v>0</v>
      </c>
    </row>
    <row r="1088" spans="1:7">
      <c r="A1088" s="54" t="s">
        <v>1455</v>
      </c>
      <c r="B1088" s="55" t="s">
        <v>130</v>
      </c>
      <c r="C1088" s="56">
        <v>37</v>
      </c>
      <c r="D1088" s="52">
        <v>3.4</v>
      </c>
      <c r="E1088" s="57" t="s">
        <v>28</v>
      </c>
      <c r="F1088" s="52" t="s">
        <v>29</v>
      </c>
      <c r="G1088" s="52" t="s">
        <v>1</v>
      </c>
    </row>
    <row r="1089" spans="1:7">
      <c r="A1089" s="54" t="s">
        <v>1456</v>
      </c>
      <c r="B1089" s="55" t="s">
        <v>130</v>
      </c>
      <c r="C1089" s="56">
        <v>38</v>
      </c>
      <c r="D1089" s="52">
        <v>6.2</v>
      </c>
      <c r="E1089" s="57" t="s">
        <v>81</v>
      </c>
      <c r="F1089" s="52" t="s">
        <v>102</v>
      </c>
      <c r="G1089" s="52" t="s">
        <v>2</v>
      </c>
    </row>
    <row r="1090" spans="1:7">
      <c r="A1090" s="54" t="s">
        <v>1457</v>
      </c>
      <c r="B1090" s="55" t="s">
        <v>130</v>
      </c>
      <c r="C1090" s="56">
        <v>39</v>
      </c>
      <c r="D1090" s="52">
        <v>6.2</v>
      </c>
      <c r="E1090" s="57" t="s">
        <v>28</v>
      </c>
      <c r="F1090" s="52" t="s">
        <v>102</v>
      </c>
      <c r="G1090" s="52" t="s">
        <v>4</v>
      </c>
    </row>
    <row r="1091" spans="1:7">
      <c r="A1091" s="54" t="s">
        <v>1458</v>
      </c>
      <c r="B1091" s="55" t="s">
        <v>130</v>
      </c>
      <c r="C1091" s="56">
        <v>40</v>
      </c>
      <c r="D1091" s="52">
        <v>2.1</v>
      </c>
      <c r="E1091" s="57" t="s">
        <v>81</v>
      </c>
      <c r="F1091" s="52" t="s">
        <v>82</v>
      </c>
      <c r="G1091" s="52" t="s">
        <v>1</v>
      </c>
    </row>
    <row r="1092" spans="1:7">
      <c r="A1092" s="54" t="s">
        <v>1459</v>
      </c>
      <c r="B1092" s="55" t="s">
        <v>130</v>
      </c>
      <c r="C1092" s="56">
        <v>41</v>
      </c>
      <c r="D1092" s="52">
        <v>2.34</v>
      </c>
      <c r="E1092" s="57" t="s">
        <v>81</v>
      </c>
      <c r="F1092" s="52" t="s">
        <v>88</v>
      </c>
      <c r="G1092" s="52" t="s">
        <v>3</v>
      </c>
    </row>
    <row r="1093" spans="1:7">
      <c r="A1093" s="54" t="s">
        <v>1460</v>
      </c>
      <c r="B1093" s="55" t="s">
        <v>130</v>
      </c>
      <c r="C1093" s="56">
        <v>42</v>
      </c>
      <c r="D1093" s="52">
        <v>2.2000000000000002</v>
      </c>
      <c r="E1093" s="57" t="s">
        <v>28</v>
      </c>
      <c r="F1093" s="52" t="s">
        <v>83</v>
      </c>
      <c r="G1093" s="52" t="s">
        <v>1</v>
      </c>
    </row>
    <row r="1094" spans="1:7">
      <c r="A1094" s="54" t="s">
        <v>1461</v>
      </c>
      <c r="B1094" s="55" t="s">
        <v>130</v>
      </c>
      <c r="C1094" s="56">
        <v>43</v>
      </c>
      <c r="D1094" s="52">
        <v>2.31</v>
      </c>
      <c r="E1094" s="57" t="s">
        <v>81</v>
      </c>
      <c r="F1094" s="52" t="s">
        <v>85</v>
      </c>
      <c r="G1094" s="52" t="s">
        <v>2</v>
      </c>
    </row>
    <row r="1095" spans="1:7">
      <c r="A1095" s="54" t="s">
        <v>1462</v>
      </c>
      <c r="B1095" s="55" t="s">
        <v>130</v>
      </c>
      <c r="C1095" s="56">
        <v>44</v>
      </c>
      <c r="D1095" s="52">
        <v>6.3</v>
      </c>
      <c r="E1095" s="57" t="s">
        <v>96</v>
      </c>
      <c r="F1095" s="52" t="s">
        <v>103</v>
      </c>
      <c r="G1095" s="52" t="s">
        <v>3</v>
      </c>
    </row>
    <row r="1096" spans="1:7">
      <c r="A1096" s="54" t="s">
        <v>1463</v>
      </c>
      <c r="B1096" s="55" t="s">
        <v>130</v>
      </c>
      <c r="C1096" s="56">
        <v>45</v>
      </c>
      <c r="D1096" s="52">
        <v>5.3</v>
      </c>
      <c r="E1096" s="57" t="s">
        <v>81</v>
      </c>
      <c r="F1096" s="52" t="s">
        <v>99</v>
      </c>
      <c r="G1096" s="52" t="s">
        <v>3</v>
      </c>
    </row>
    <row r="1097" spans="1:7">
      <c r="A1097" s="54" t="s">
        <v>1464</v>
      </c>
      <c r="B1097" s="55" t="s">
        <v>130</v>
      </c>
      <c r="C1097" s="56">
        <v>46</v>
      </c>
      <c r="D1097" s="52">
        <v>1.4</v>
      </c>
      <c r="E1097" s="57" t="s">
        <v>81</v>
      </c>
      <c r="F1097" s="52" t="s">
        <v>30</v>
      </c>
      <c r="G1097" s="52" t="s">
        <v>0</v>
      </c>
    </row>
    <row r="1098" spans="1:7">
      <c r="A1098" s="54" t="s">
        <v>1465</v>
      </c>
      <c r="B1098" s="55" t="s">
        <v>130</v>
      </c>
      <c r="C1098" s="56">
        <v>47</v>
      </c>
      <c r="D1098" s="52">
        <v>2.3199999999999998</v>
      </c>
      <c r="E1098" s="57" t="s">
        <v>81</v>
      </c>
      <c r="F1098" s="52" t="s">
        <v>86</v>
      </c>
      <c r="G1098" s="52" t="s">
        <v>0</v>
      </c>
    </row>
    <row r="1099" spans="1:7">
      <c r="A1099" s="54" t="s">
        <v>1466</v>
      </c>
      <c r="B1099" s="55" t="s">
        <v>130</v>
      </c>
      <c r="C1099" s="56">
        <v>48</v>
      </c>
      <c r="D1099" s="52">
        <v>2.31</v>
      </c>
      <c r="E1099" s="57" t="s">
        <v>96</v>
      </c>
      <c r="F1099" s="52" t="s">
        <v>85</v>
      </c>
      <c r="G1099" s="52" t="s">
        <v>3</v>
      </c>
    </row>
    <row r="1100" spans="1:7">
      <c r="A1100" s="54" t="s">
        <v>1467</v>
      </c>
      <c r="B1100" s="55" t="s">
        <v>130</v>
      </c>
      <c r="C1100" s="56">
        <v>49</v>
      </c>
      <c r="D1100" s="52">
        <v>2.34</v>
      </c>
      <c r="E1100" s="57" t="s">
        <v>81</v>
      </c>
      <c r="F1100" s="52" t="s">
        <v>88</v>
      </c>
      <c r="G1100" s="52" t="s">
        <v>2</v>
      </c>
    </row>
    <row r="1101" spans="1:7">
      <c r="A1101" s="54" t="s">
        <v>1468</v>
      </c>
      <c r="B1101" s="55" t="s">
        <v>130</v>
      </c>
      <c r="C1101" s="56">
        <v>50</v>
      </c>
      <c r="D1101" s="52">
        <v>5.0999999999999996</v>
      </c>
      <c r="E1101" s="57" t="s">
        <v>96</v>
      </c>
      <c r="F1101" s="52" t="s">
        <v>97</v>
      </c>
      <c r="G1101" s="52" t="s">
        <v>3</v>
      </c>
    </row>
    <row r="1102" spans="1:7">
      <c r="A1102" s="54" t="s">
        <v>1469</v>
      </c>
      <c r="B1102" s="55" t="s">
        <v>131</v>
      </c>
      <c r="C1102" s="56">
        <v>1</v>
      </c>
      <c r="D1102" s="52">
        <v>2.1</v>
      </c>
      <c r="E1102" s="57" t="s">
        <v>76</v>
      </c>
      <c r="F1102" s="52" t="s">
        <v>82</v>
      </c>
      <c r="G1102" s="52" t="s">
        <v>0</v>
      </c>
    </row>
    <row r="1103" spans="1:7">
      <c r="A1103" s="54" t="s">
        <v>1470</v>
      </c>
      <c r="B1103" s="55" t="s">
        <v>131</v>
      </c>
      <c r="C1103" s="56">
        <v>2</v>
      </c>
      <c r="D1103" s="52">
        <v>1.1000000000000001</v>
      </c>
      <c r="E1103" s="57" t="s">
        <v>81</v>
      </c>
      <c r="F1103" s="52" t="s">
        <v>77</v>
      </c>
      <c r="G1103" s="52" t="s">
        <v>1</v>
      </c>
    </row>
    <row r="1104" spans="1:7">
      <c r="A1104" s="54" t="s">
        <v>1471</v>
      </c>
      <c r="B1104" s="55" t="s">
        <v>131</v>
      </c>
      <c r="C1104" s="56">
        <v>3</v>
      </c>
      <c r="D1104" s="52">
        <v>2.35</v>
      </c>
      <c r="E1104" s="57" t="s">
        <v>81</v>
      </c>
      <c r="F1104" s="52" t="s">
        <v>89</v>
      </c>
      <c r="G1104" s="52" t="s">
        <v>1</v>
      </c>
    </row>
    <row r="1105" spans="1:7">
      <c r="A1105" s="54" t="s">
        <v>1472</v>
      </c>
      <c r="B1105" s="55" t="s">
        <v>131</v>
      </c>
      <c r="C1105" s="56">
        <v>4</v>
      </c>
      <c r="D1105" s="52">
        <v>2.2000000000000002</v>
      </c>
      <c r="E1105" s="57" t="s">
        <v>81</v>
      </c>
      <c r="F1105" s="52" t="s">
        <v>83</v>
      </c>
      <c r="G1105" s="52" t="s">
        <v>4</v>
      </c>
    </row>
    <row r="1106" spans="1:7">
      <c r="A1106" s="54" t="s">
        <v>1473</v>
      </c>
      <c r="B1106" s="55" t="s">
        <v>131</v>
      </c>
      <c r="C1106" s="56">
        <v>5</v>
      </c>
      <c r="D1106" s="52">
        <v>3.1</v>
      </c>
      <c r="E1106" s="57" t="s">
        <v>100</v>
      </c>
      <c r="F1106" s="52" t="s">
        <v>90</v>
      </c>
      <c r="G1106" s="52" t="s">
        <v>2</v>
      </c>
    </row>
    <row r="1107" spans="1:7">
      <c r="A1107" s="54" t="s">
        <v>1474</v>
      </c>
      <c r="B1107" s="55" t="s">
        <v>131</v>
      </c>
      <c r="C1107" s="56">
        <v>6</v>
      </c>
      <c r="D1107" s="52">
        <v>3.2</v>
      </c>
      <c r="E1107" s="57" t="s">
        <v>81</v>
      </c>
      <c r="F1107" s="52" t="s">
        <v>91</v>
      </c>
      <c r="G1107" s="52" t="s">
        <v>0</v>
      </c>
    </row>
    <row r="1108" spans="1:7">
      <c r="A1108" s="54" t="s">
        <v>1475</v>
      </c>
      <c r="B1108" s="55" t="s">
        <v>131</v>
      </c>
      <c r="C1108" s="56">
        <v>7</v>
      </c>
      <c r="D1108" s="52">
        <v>1.5</v>
      </c>
      <c r="E1108" s="57" t="s">
        <v>28</v>
      </c>
      <c r="F1108" s="52" t="s">
        <v>80</v>
      </c>
      <c r="G1108" s="52" t="s">
        <v>0</v>
      </c>
    </row>
    <row r="1109" spans="1:7">
      <c r="A1109" s="54" t="s">
        <v>1476</v>
      </c>
      <c r="B1109" s="55" t="s">
        <v>131</v>
      </c>
      <c r="C1109" s="56">
        <v>8</v>
      </c>
      <c r="D1109" s="52">
        <v>3.2</v>
      </c>
      <c r="E1109" s="57" t="s">
        <v>28</v>
      </c>
      <c r="F1109" s="52" t="s">
        <v>91</v>
      </c>
      <c r="G1109" s="52" t="s">
        <v>4</v>
      </c>
    </row>
    <row r="1110" spans="1:7">
      <c r="A1110" s="54" t="s">
        <v>1477</v>
      </c>
      <c r="B1110" s="55" t="s">
        <v>131</v>
      </c>
      <c r="C1110" s="56">
        <v>9</v>
      </c>
      <c r="D1110" s="52">
        <v>3.2</v>
      </c>
      <c r="E1110" s="57" t="s">
        <v>81</v>
      </c>
      <c r="F1110" s="52" t="s">
        <v>91</v>
      </c>
      <c r="G1110" s="52" t="s">
        <v>2</v>
      </c>
    </row>
    <row r="1111" spans="1:7">
      <c r="A1111" s="54" t="s">
        <v>1478</v>
      </c>
      <c r="B1111" s="55" t="s">
        <v>131</v>
      </c>
      <c r="C1111" s="56">
        <v>10</v>
      </c>
      <c r="D1111" s="52">
        <v>2.33</v>
      </c>
      <c r="E1111" s="57" t="s">
        <v>76</v>
      </c>
      <c r="F1111" s="52" t="s">
        <v>87</v>
      </c>
      <c r="G1111" s="52" t="s">
        <v>3</v>
      </c>
    </row>
    <row r="1112" spans="1:7">
      <c r="A1112" s="54" t="s">
        <v>1479</v>
      </c>
      <c r="B1112" s="55" t="s">
        <v>131</v>
      </c>
      <c r="C1112" s="56">
        <v>11</v>
      </c>
      <c r="D1112" s="52">
        <v>2.1</v>
      </c>
      <c r="E1112" s="57" t="s">
        <v>81</v>
      </c>
      <c r="F1112" s="52" t="s">
        <v>82</v>
      </c>
      <c r="G1112" s="52" t="s">
        <v>0</v>
      </c>
    </row>
    <row r="1113" spans="1:7">
      <c r="A1113" s="54" t="s">
        <v>1480</v>
      </c>
      <c r="B1113" s="55" t="s">
        <v>131</v>
      </c>
      <c r="C1113" s="56">
        <v>12</v>
      </c>
      <c r="D1113" s="52">
        <v>5.2</v>
      </c>
      <c r="E1113" s="57" t="s">
        <v>76</v>
      </c>
      <c r="F1113" s="52" t="s">
        <v>98</v>
      </c>
      <c r="G1113" s="52" t="s">
        <v>1</v>
      </c>
    </row>
    <row r="1114" spans="1:7">
      <c r="A1114" s="54" t="s">
        <v>1481</v>
      </c>
      <c r="B1114" s="55" t="s">
        <v>131</v>
      </c>
      <c r="C1114" s="56">
        <v>13</v>
      </c>
      <c r="D1114" s="52">
        <v>2.3199999999999998</v>
      </c>
      <c r="E1114" s="57" t="s">
        <v>81</v>
      </c>
      <c r="F1114" s="52" t="s">
        <v>86</v>
      </c>
      <c r="G1114" s="52" t="s">
        <v>1</v>
      </c>
    </row>
    <row r="1115" spans="1:7">
      <c r="A1115" s="54" t="s">
        <v>1482</v>
      </c>
      <c r="B1115" s="55" t="s">
        <v>131</v>
      </c>
      <c r="C1115" s="56">
        <v>14</v>
      </c>
      <c r="D1115" s="52">
        <v>2.3199999999999998</v>
      </c>
      <c r="E1115" s="57" t="s">
        <v>100</v>
      </c>
      <c r="F1115" s="52" t="s">
        <v>86</v>
      </c>
      <c r="G1115" s="52" t="s">
        <v>1</v>
      </c>
    </row>
    <row r="1116" spans="1:7">
      <c r="A1116" s="54" t="s">
        <v>1483</v>
      </c>
      <c r="B1116" s="55" t="s">
        <v>131</v>
      </c>
      <c r="C1116" s="56">
        <v>15</v>
      </c>
      <c r="D1116" s="52">
        <v>2.1</v>
      </c>
      <c r="E1116" s="57" t="s">
        <v>81</v>
      </c>
      <c r="F1116" s="52" t="s">
        <v>82</v>
      </c>
      <c r="G1116" s="52" t="s">
        <v>2</v>
      </c>
    </row>
    <row r="1117" spans="1:7">
      <c r="A1117" s="54" t="s">
        <v>1484</v>
      </c>
      <c r="B1117" s="55" t="s">
        <v>131</v>
      </c>
      <c r="C1117" s="56">
        <v>16</v>
      </c>
      <c r="D1117" s="52">
        <v>6.4</v>
      </c>
      <c r="E1117" s="57" t="s">
        <v>81</v>
      </c>
      <c r="F1117" s="52" t="s">
        <v>104</v>
      </c>
      <c r="G1117" s="52" t="s">
        <v>1</v>
      </c>
    </row>
    <row r="1118" spans="1:7">
      <c r="A1118" s="54" t="s">
        <v>1485</v>
      </c>
      <c r="B1118" s="55" t="s">
        <v>131</v>
      </c>
      <c r="C1118" s="56">
        <v>17</v>
      </c>
      <c r="D1118" s="52">
        <v>3.2</v>
      </c>
      <c r="E1118" s="57" t="s">
        <v>76</v>
      </c>
      <c r="F1118" s="52" t="s">
        <v>91</v>
      </c>
      <c r="G1118" s="52" t="s">
        <v>3</v>
      </c>
    </row>
    <row r="1119" spans="1:7">
      <c r="A1119" s="54" t="s">
        <v>1486</v>
      </c>
      <c r="B1119" s="55" t="s">
        <v>131</v>
      </c>
      <c r="C1119" s="56">
        <v>18</v>
      </c>
      <c r="D1119" s="52">
        <v>2.31</v>
      </c>
      <c r="E1119" s="57" t="s">
        <v>81</v>
      </c>
      <c r="F1119" s="52" t="s">
        <v>85</v>
      </c>
      <c r="G1119" s="52" t="s">
        <v>0</v>
      </c>
    </row>
    <row r="1120" spans="1:7">
      <c r="A1120" s="54" t="s">
        <v>1487</v>
      </c>
      <c r="B1120" s="55" t="s">
        <v>131</v>
      </c>
      <c r="C1120" s="56">
        <v>19</v>
      </c>
      <c r="D1120" s="52">
        <v>2.1</v>
      </c>
      <c r="E1120" s="57" t="s">
        <v>81</v>
      </c>
      <c r="F1120" s="52" t="s">
        <v>82</v>
      </c>
      <c r="G1120" s="52" t="s">
        <v>3</v>
      </c>
    </row>
    <row r="1121" spans="1:7">
      <c r="A1121" s="54" t="s">
        <v>1488</v>
      </c>
      <c r="B1121" s="55" t="s">
        <v>131</v>
      </c>
      <c r="C1121" s="56">
        <v>20</v>
      </c>
      <c r="D1121" s="52">
        <v>4.0999999999999996</v>
      </c>
      <c r="E1121" s="57" t="s">
        <v>28</v>
      </c>
      <c r="F1121" s="52" t="s">
        <v>94</v>
      </c>
      <c r="G1121" s="52" t="s">
        <v>4</v>
      </c>
    </row>
    <row r="1122" spans="1:7">
      <c r="A1122" s="54" t="s">
        <v>1489</v>
      </c>
      <c r="B1122" s="55" t="s">
        <v>131</v>
      </c>
      <c r="C1122" s="56">
        <v>21</v>
      </c>
      <c r="D1122" s="52">
        <v>1.2</v>
      </c>
      <c r="E1122" s="57" t="s">
        <v>96</v>
      </c>
      <c r="F1122" s="52" t="s">
        <v>78</v>
      </c>
      <c r="G1122" s="52" t="s">
        <v>0</v>
      </c>
    </row>
    <row r="1123" spans="1:7">
      <c r="A1123" s="54" t="s">
        <v>1490</v>
      </c>
      <c r="B1123" s="55" t="s">
        <v>131</v>
      </c>
      <c r="C1123" s="56">
        <v>22</v>
      </c>
      <c r="D1123" s="52">
        <v>1.6</v>
      </c>
      <c r="E1123" s="57" t="s">
        <v>96</v>
      </c>
      <c r="F1123" s="52" t="s">
        <v>27</v>
      </c>
      <c r="G1123" s="52" t="s">
        <v>1</v>
      </c>
    </row>
    <row r="1124" spans="1:7">
      <c r="A1124" s="54" t="s">
        <v>1491</v>
      </c>
      <c r="B1124" s="55" t="s">
        <v>131</v>
      </c>
      <c r="C1124" s="56">
        <v>23</v>
      </c>
      <c r="D1124" s="52">
        <v>1.6</v>
      </c>
      <c r="E1124" s="57" t="s">
        <v>93</v>
      </c>
      <c r="F1124" s="52" t="s">
        <v>27</v>
      </c>
      <c r="G1124" s="52" t="s">
        <v>0</v>
      </c>
    </row>
    <row r="1125" spans="1:7">
      <c r="A1125" s="54" t="s">
        <v>1492</v>
      </c>
      <c r="B1125" s="55" t="s">
        <v>131</v>
      </c>
      <c r="C1125" s="56">
        <v>24</v>
      </c>
      <c r="D1125" s="52">
        <v>5.0999999999999996</v>
      </c>
      <c r="E1125" s="57" t="s">
        <v>96</v>
      </c>
      <c r="F1125" s="52" t="s">
        <v>97</v>
      </c>
      <c r="G1125" s="52" t="s">
        <v>4</v>
      </c>
    </row>
    <row r="1126" spans="1:7">
      <c r="A1126" s="54" t="s">
        <v>1493</v>
      </c>
      <c r="B1126" s="55" t="s">
        <v>131</v>
      </c>
      <c r="C1126" s="56">
        <v>25</v>
      </c>
      <c r="D1126" s="52">
        <v>3.2</v>
      </c>
      <c r="E1126" s="57" t="s">
        <v>28</v>
      </c>
      <c r="F1126" s="52" t="s">
        <v>91</v>
      </c>
      <c r="G1126" s="52" t="s">
        <v>2</v>
      </c>
    </row>
    <row r="1127" spans="1:7">
      <c r="A1127" s="54" t="s">
        <v>1494</v>
      </c>
      <c r="B1127" s="55" t="s">
        <v>131</v>
      </c>
      <c r="C1127" s="56">
        <v>26</v>
      </c>
      <c r="D1127" s="52">
        <v>5.2</v>
      </c>
      <c r="E1127" s="57" t="s">
        <v>100</v>
      </c>
      <c r="F1127" s="52" t="s">
        <v>98</v>
      </c>
      <c r="G1127" s="52" t="s">
        <v>0</v>
      </c>
    </row>
    <row r="1128" spans="1:7">
      <c r="A1128" s="54" t="s">
        <v>1495</v>
      </c>
      <c r="B1128" s="55" t="s">
        <v>131</v>
      </c>
      <c r="C1128" s="56">
        <v>27</v>
      </c>
      <c r="D1128" s="52">
        <v>6.3</v>
      </c>
      <c r="E1128" s="57" t="s">
        <v>28</v>
      </c>
      <c r="F1128" s="52" t="s">
        <v>103</v>
      </c>
      <c r="G1128" s="52" t="s">
        <v>1</v>
      </c>
    </row>
    <row r="1129" spans="1:7">
      <c r="A1129" s="54" t="s">
        <v>1496</v>
      </c>
      <c r="B1129" s="55" t="s">
        <v>131</v>
      </c>
      <c r="C1129" s="56">
        <v>28</v>
      </c>
      <c r="D1129" s="52">
        <v>1.6</v>
      </c>
      <c r="E1129" s="57" t="s">
        <v>96</v>
      </c>
      <c r="F1129" s="52" t="s">
        <v>27</v>
      </c>
      <c r="G1129" s="52" t="s">
        <v>2</v>
      </c>
    </row>
    <row r="1130" spans="1:7">
      <c r="A1130" s="54" t="s">
        <v>1497</v>
      </c>
      <c r="B1130" s="55" t="s">
        <v>131</v>
      </c>
      <c r="C1130" s="56">
        <v>29</v>
      </c>
      <c r="D1130" s="52">
        <v>2.31</v>
      </c>
      <c r="E1130" s="57" t="s">
        <v>96</v>
      </c>
      <c r="F1130" s="52" t="s">
        <v>85</v>
      </c>
      <c r="G1130" s="52" t="s">
        <v>4</v>
      </c>
    </row>
    <row r="1131" spans="1:7">
      <c r="A1131" s="54" t="s">
        <v>1498</v>
      </c>
      <c r="B1131" s="55" t="s">
        <v>131</v>
      </c>
      <c r="C1131" s="56">
        <v>30</v>
      </c>
      <c r="D1131" s="52">
        <v>2.1</v>
      </c>
      <c r="E1131" s="57" t="s">
        <v>96</v>
      </c>
      <c r="F1131" s="52" t="s">
        <v>82</v>
      </c>
      <c r="G1131" s="52" t="s">
        <v>4</v>
      </c>
    </row>
    <row r="1132" spans="1:7">
      <c r="A1132" s="54" t="s">
        <v>1499</v>
      </c>
      <c r="B1132" s="55" t="s">
        <v>131</v>
      </c>
      <c r="C1132" s="56">
        <v>31</v>
      </c>
      <c r="D1132" s="52">
        <v>1.6</v>
      </c>
      <c r="E1132" s="57" t="s">
        <v>81</v>
      </c>
      <c r="F1132" s="52" t="s">
        <v>27</v>
      </c>
      <c r="G1132" s="52" t="s">
        <v>4</v>
      </c>
    </row>
    <row r="1133" spans="1:7">
      <c r="A1133" s="54" t="s">
        <v>1500</v>
      </c>
      <c r="B1133" s="55" t="s">
        <v>131</v>
      </c>
      <c r="C1133" s="56">
        <v>32</v>
      </c>
      <c r="D1133" s="52">
        <v>1.1000000000000001</v>
      </c>
      <c r="E1133" s="57" t="s">
        <v>81</v>
      </c>
      <c r="F1133" s="52" t="s">
        <v>77</v>
      </c>
      <c r="G1133" s="52" t="s">
        <v>2</v>
      </c>
    </row>
    <row r="1134" spans="1:7">
      <c r="A1134" s="54" t="s">
        <v>1501</v>
      </c>
      <c r="B1134" s="55" t="s">
        <v>131</v>
      </c>
      <c r="C1134" s="56">
        <v>33</v>
      </c>
      <c r="D1134" s="52">
        <v>2.34</v>
      </c>
      <c r="E1134" s="57" t="s">
        <v>81</v>
      </c>
      <c r="F1134" s="52" t="s">
        <v>88</v>
      </c>
      <c r="G1134" s="52" t="s">
        <v>4</v>
      </c>
    </row>
    <row r="1135" spans="1:7">
      <c r="A1135" s="54" t="s">
        <v>1502</v>
      </c>
      <c r="B1135" s="55" t="s">
        <v>131</v>
      </c>
      <c r="C1135" s="56">
        <v>34</v>
      </c>
      <c r="D1135" s="52">
        <v>2.33</v>
      </c>
      <c r="E1135" s="57" t="s">
        <v>28</v>
      </c>
      <c r="F1135" s="52" t="s">
        <v>87</v>
      </c>
      <c r="G1135" s="52" t="s">
        <v>4</v>
      </c>
    </row>
    <row r="1136" spans="1:7">
      <c r="A1136" s="54" t="s">
        <v>1503</v>
      </c>
      <c r="B1136" s="55" t="s">
        <v>131</v>
      </c>
      <c r="C1136" s="56">
        <v>35</v>
      </c>
      <c r="D1136" s="52">
        <v>2.1</v>
      </c>
      <c r="E1136" s="57" t="s">
        <v>28</v>
      </c>
      <c r="F1136" s="52" t="s">
        <v>82</v>
      </c>
      <c r="G1136" s="52" t="s">
        <v>3</v>
      </c>
    </row>
    <row r="1137" spans="1:7">
      <c r="A1137" s="54" t="s">
        <v>1504</v>
      </c>
      <c r="B1137" s="55" t="s">
        <v>131</v>
      </c>
      <c r="C1137" s="56">
        <v>36</v>
      </c>
      <c r="D1137" s="52">
        <v>3.2</v>
      </c>
      <c r="E1137" s="57" t="s">
        <v>81</v>
      </c>
      <c r="F1137" s="52" t="s">
        <v>91</v>
      </c>
      <c r="G1137" s="52" t="s">
        <v>0</v>
      </c>
    </row>
    <row r="1138" spans="1:7">
      <c r="A1138" s="54" t="s">
        <v>1505</v>
      </c>
      <c r="B1138" s="55" t="s">
        <v>131</v>
      </c>
      <c r="C1138" s="56">
        <v>37</v>
      </c>
      <c r="D1138" s="52">
        <v>3.1</v>
      </c>
      <c r="E1138" s="57" t="s">
        <v>81</v>
      </c>
      <c r="F1138" s="52" t="s">
        <v>90</v>
      </c>
      <c r="G1138" s="52" t="s">
        <v>3</v>
      </c>
    </row>
    <row r="1139" spans="1:7">
      <c r="A1139" s="54" t="s">
        <v>1506</v>
      </c>
      <c r="B1139" s="55" t="s">
        <v>131</v>
      </c>
      <c r="C1139" s="56">
        <v>38</v>
      </c>
      <c r="D1139" s="52">
        <v>2.2000000000000002</v>
      </c>
      <c r="E1139" s="57" t="s">
        <v>96</v>
      </c>
      <c r="F1139" s="52" t="s">
        <v>83</v>
      </c>
      <c r="G1139" s="52" t="s">
        <v>4</v>
      </c>
    </row>
    <row r="1140" spans="1:7">
      <c r="A1140" s="54" t="s">
        <v>1507</v>
      </c>
      <c r="B1140" s="55" t="s">
        <v>131</v>
      </c>
      <c r="C1140" s="56">
        <v>39</v>
      </c>
      <c r="D1140" s="52">
        <v>3.2</v>
      </c>
      <c r="E1140" s="57" t="s">
        <v>93</v>
      </c>
      <c r="F1140" s="52" t="s">
        <v>91</v>
      </c>
      <c r="G1140" s="52" t="s">
        <v>2</v>
      </c>
    </row>
    <row r="1141" spans="1:7">
      <c r="A1141" s="54" t="s">
        <v>1508</v>
      </c>
      <c r="B1141" s="55" t="s">
        <v>131</v>
      </c>
      <c r="C1141" s="56">
        <v>40</v>
      </c>
      <c r="D1141" s="52">
        <v>2.33</v>
      </c>
      <c r="E1141" s="57" t="s">
        <v>100</v>
      </c>
      <c r="F1141" s="52" t="s">
        <v>87</v>
      </c>
      <c r="G1141" s="52" t="s">
        <v>1</v>
      </c>
    </row>
    <row r="1142" spans="1:7">
      <c r="A1142" s="54" t="s">
        <v>1509</v>
      </c>
      <c r="B1142" s="55" t="s">
        <v>131</v>
      </c>
      <c r="C1142" s="56">
        <v>41</v>
      </c>
      <c r="D1142" s="52">
        <v>2.33</v>
      </c>
      <c r="E1142" s="57" t="s">
        <v>96</v>
      </c>
      <c r="F1142" s="52" t="s">
        <v>87</v>
      </c>
      <c r="G1142" s="52" t="s">
        <v>0</v>
      </c>
    </row>
    <row r="1143" spans="1:7">
      <c r="A1143" s="54" t="s">
        <v>1510</v>
      </c>
      <c r="B1143" s="55" t="s">
        <v>131</v>
      </c>
      <c r="C1143" s="56">
        <v>42</v>
      </c>
      <c r="D1143" s="52">
        <v>3.2</v>
      </c>
      <c r="E1143" s="57" t="s">
        <v>76</v>
      </c>
      <c r="F1143" s="52" t="s">
        <v>91</v>
      </c>
      <c r="G1143" s="52" t="s">
        <v>1</v>
      </c>
    </row>
    <row r="1144" spans="1:7">
      <c r="A1144" s="54" t="s">
        <v>1511</v>
      </c>
      <c r="B1144" s="55" t="s">
        <v>131</v>
      </c>
      <c r="C1144" s="56">
        <v>43</v>
      </c>
      <c r="D1144" s="52">
        <v>2.1</v>
      </c>
      <c r="E1144" s="57" t="s">
        <v>28</v>
      </c>
      <c r="F1144" s="52" t="s">
        <v>82</v>
      </c>
      <c r="G1144" s="52" t="s">
        <v>0</v>
      </c>
    </row>
    <row r="1145" spans="1:7">
      <c r="A1145" s="54" t="s">
        <v>1512</v>
      </c>
      <c r="B1145" s="55" t="s">
        <v>131</v>
      </c>
      <c r="C1145" s="56">
        <v>44</v>
      </c>
      <c r="D1145" s="52">
        <v>5.3</v>
      </c>
      <c r="E1145" s="57" t="s">
        <v>93</v>
      </c>
      <c r="F1145" s="52" t="s">
        <v>99</v>
      </c>
      <c r="G1145" s="52" t="s">
        <v>2</v>
      </c>
    </row>
    <row r="1146" spans="1:7">
      <c r="A1146" s="54" t="s">
        <v>1513</v>
      </c>
      <c r="B1146" s="55" t="s">
        <v>131</v>
      </c>
      <c r="C1146" s="56">
        <v>45</v>
      </c>
      <c r="D1146" s="52">
        <v>2.1</v>
      </c>
      <c r="E1146" s="57" t="s">
        <v>28</v>
      </c>
      <c r="F1146" s="52" t="s">
        <v>82</v>
      </c>
      <c r="G1146" s="52" t="s">
        <v>3</v>
      </c>
    </row>
    <row r="1147" spans="1:7">
      <c r="A1147" s="54" t="s">
        <v>1514</v>
      </c>
      <c r="B1147" s="55" t="s">
        <v>131</v>
      </c>
      <c r="C1147" s="56">
        <v>46</v>
      </c>
      <c r="D1147" s="52">
        <v>2.34</v>
      </c>
      <c r="E1147" s="57" t="s">
        <v>81</v>
      </c>
      <c r="F1147" s="52" t="s">
        <v>88</v>
      </c>
      <c r="G1147" s="52" t="s">
        <v>1</v>
      </c>
    </row>
    <row r="1148" spans="1:7">
      <c r="A1148" s="54" t="s">
        <v>1515</v>
      </c>
      <c r="B1148" s="55" t="s">
        <v>131</v>
      </c>
      <c r="C1148" s="56">
        <v>47</v>
      </c>
      <c r="D1148" s="52">
        <v>2.3199999999999998</v>
      </c>
      <c r="E1148" s="57" t="s">
        <v>81</v>
      </c>
      <c r="F1148" s="52" t="s">
        <v>86</v>
      </c>
      <c r="G1148" s="52" t="s">
        <v>2</v>
      </c>
    </row>
    <row r="1149" spans="1:7">
      <c r="A1149" s="54" t="s">
        <v>1516</v>
      </c>
      <c r="B1149" s="55" t="s">
        <v>131</v>
      </c>
      <c r="C1149" s="56">
        <v>48</v>
      </c>
      <c r="D1149" s="52">
        <v>5.3</v>
      </c>
      <c r="E1149" s="57" t="s">
        <v>81</v>
      </c>
      <c r="F1149" s="52" t="s">
        <v>99</v>
      </c>
      <c r="G1149" s="52" t="s">
        <v>4</v>
      </c>
    </row>
    <row r="1150" spans="1:7">
      <c r="A1150" s="54" t="s">
        <v>1517</v>
      </c>
      <c r="B1150" s="55" t="s">
        <v>131</v>
      </c>
      <c r="C1150" s="56">
        <v>49</v>
      </c>
      <c r="D1150" s="52">
        <v>2.2000000000000002</v>
      </c>
      <c r="E1150" s="57" t="s">
        <v>28</v>
      </c>
      <c r="F1150" s="52" t="s">
        <v>83</v>
      </c>
      <c r="G1150" s="52" t="s">
        <v>3</v>
      </c>
    </row>
    <row r="1151" spans="1:7">
      <c r="A1151" s="54" t="s">
        <v>1518</v>
      </c>
      <c r="B1151" s="55" t="s">
        <v>131</v>
      </c>
      <c r="C1151" s="56">
        <v>50</v>
      </c>
      <c r="D1151" s="52">
        <v>5.2</v>
      </c>
      <c r="E1151" s="57" t="s">
        <v>96</v>
      </c>
      <c r="F1151" s="52" t="s">
        <v>98</v>
      </c>
      <c r="G1151" s="52" t="s">
        <v>2</v>
      </c>
    </row>
    <row r="1152" spans="1:7">
      <c r="A1152" s="54" t="s">
        <v>1519</v>
      </c>
      <c r="B1152" s="55" t="s">
        <v>132</v>
      </c>
      <c r="C1152" s="56">
        <v>1</v>
      </c>
      <c r="D1152" s="52">
        <v>1.6</v>
      </c>
      <c r="E1152" s="57" t="s">
        <v>81</v>
      </c>
      <c r="F1152" s="52" t="s">
        <v>27</v>
      </c>
      <c r="G1152" s="52" t="s">
        <v>2</v>
      </c>
    </row>
    <row r="1153" spans="1:7">
      <c r="A1153" s="54" t="s">
        <v>1520</v>
      </c>
      <c r="B1153" s="55" t="s">
        <v>132</v>
      </c>
      <c r="C1153" s="56">
        <v>2</v>
      </c>
      <c r="D1153" s="52">
        <v>2.2000000000000002</v>
      </c>
      <c r="E1153" s="57" t="s">
        <v>76</v>
      </c>
      <c r="F1153" s="52" t="s">
        <v>83</v>
      </c>
      <c r="G1153" s="52" t="s">
        <v>4</v>
      </c>
    </row>
    <row r="1154" spans="1:7">
      <c r="A1154" s="54" t="s">
        <v>1521</v>
      </c>
      <c r="B1154" s="55" t="s">
        <v>132</v>
      </c>
      <c r="C1154" s="56">
        <v>3</v>
      </c>
      <c r="D1154" s="52">
        <v>2.1</v>
      </c>
      <c r="E1154" s="57" t="s">
        <v>76</v>
      </c>
      <c r="F1154" s="52" t="s">
        <v>82</v>
      </c>
      <c r="G1154" s="52" t="s">
        <v>0</v>
      </c>
    </row>
    <row r="1155" spans="1:7">
      <c r="A1155" s="54" t="s">
        <v>1522</v>
      </c>
      <c r="B1155" s="55" t="s">
        <v>132</v>
      </c>
      <c r="C1155" s="56">
        <v>4</v>
      </c>
      <c r="D1155" s="52">
        <v>2.1</v>
      </c>
      <c r="E1155" s="57" t="s">
        <v>81</v>
      </c>
      <c r="F1155" s="52" t="s">
        <v>82</v>
      </c>
      <c r="G1155" s="52" t="s">
        <v>4</v>
      </c>
    </row>
    <row r="1156" spans="1:7">
      <c r="A1156" s="54" t="s">
        <v>1523</v>
      </c>
      <c r="B1156" s="55" t="s">
        <v>132</v>
      </c>
      <c r="C1156" s="56">
        <v>5</v>
      </c>
      <c r="D1156" s="52">
        <v>6.3</v>
      </c>
      <c r="E1156" s="57" t="s">
        <v>28</v>
      </c>
      <c r="F1156" s="52" t="s">
        <v>103</v>
      </c>
      <c r="G1156" s="52" t="s">
        <v>0</v>
      </c>
    </row>
    <row r="1157" spans="1:7">
      <c r="A1157" s="54" t="s">
        <v>1524</v>
      </c>
      <c r="B1157" s="55" t="s">
        <v>132</v>
      </c>
      <c r="C1157" s="56">
        <v>6</v>
      </c>
      <c r="D1157" s="52">
        <v>2.31</v>
      </c>
      <c r="E1157" s="57" t="s">
        <v>76</v>
      </c>
      <c r="F1157" s="52" t="s">
        <v>85</v>
      </c>
      <c r="G1157" s="52" t="s">
        <v>1</v>
      </c>
    </row>
    <row r="1158" spans="1:7">
      <c r="A1158" s="54" t="s">
        <v>1525</v>
      </c>
      <c r="B1158" s="55" t="s">
        <v>132</v>
      </c>
      <c r="C1158" s="56">
        <v>7</v>
      </c>
      <c r="D1158" s="52">
        <v>3.2</v>
      </c>
      <c r="E1158" s="57" t="s">
        <v>28</v>
      </c>
      <c r="F1158" s="52" t="s">
        <v>91</v>
      </c>
      <c r="G1158" s="52" t="s">
        <v>1</v>
      </c>
    </row>
    <row r="1159" spans="1:7">
      <c r="A1159" s="54" t="s">
        <v>1526</v>
      </c>
      <c r="B1159" s="55" t="s">
        <v>132</v>
      </c>
      <c r="C1159" s="56">
        <v>8</v>
      </c>
      <c r="D1159" s="52">
        <v>3.2</v>
      </c>
      <c r="E1159" s="57" t="s">
        <v>96</v>
      </c>
      <c r="F1159" s="52" t="s">
        <v>91</v>
      </c>
      <c r="G1159" s="52" t="s">
        <v>2</v>
      </c>
    </row>
    <row r="1160" spans="1:7">
      <c r="A1160" s="54" t="s">
        <v>1527</v>
      </c>
      <c r="B1160" s="55" t="s">
        <v>132</v>
      </c>
      <c r="C1160" s="56">
        <v>9</v>
      </c>
      <c r="D1160" s="52">
        <v>2.1</v>
      </c>
      <c r="E1160" s="57" t="s">
        <v>81</v>
      </c>
      <c r="F1160" s="52" t="s">
        <v>82</v>
      </c>
      <c r="G1160" s="52" t="s">
        <v>4</v>
      </c>
    </row>
    <row r="1161" spans="1:7">
      <c r="A1161" s="54" t="s">
        <v>1528</v>
      </c>
      <c r="B1161" s="55" t="s">
        <v>132</v>
      </c>
      <c r="C1161" s="56">
        <v>10</v>
      </c>
      <c r="D1161" s="52">
        <v>3.4</v>
      </c>
      <c r="E1161" s="57" t="s">
        <v>28</v>
      </c>
      <c r="F1161" s="52" t="s">
        <v>29</v>
      </c>
      <c r="G1161" s="52" t="s">
        <v>0</v>
      </c>
    </row>
    <row r="1162" spans="1:7">
      <c r="A1162" s="54" t="s">
        <v>1529</v>
      </c>
      <c r="B1162" s="55" t="s">
        <v>132</v>
      </c>
      <c r="C1162" s="56">
        <v>11</v>
      </c>
      <c r="D1162" s="52">
        <v>2.1</v>
      </c>
      <c r="E1162" s="57" t="s">
        <v>81</v>
      </c>
      <c r="F1162" s="52" t="s">
        <v>82</v>
      </c>
      <c r="G1162" s="52" t="s">
        <v>2</v>
      </c>
    </row>
    <row r="1163" spans="1:7">
      <c r="A1163" s="54" t="s">
        <v>1530</v>
      </c>
      <c r="B1163" s="55" t="s">
        <v>132</v>
      </c>
      <c r="C1163" s="56">
        <v>12</v>
      </c>
      <c r="D1163" s="52">
        <v>3.4</v>
      </c>
      <c r="E1163" s="57" t="s">
        <v>100</v>
      </c>
      <c r="F1163" s="52" t="s">
        <v>29</v>
      </c>
      <c r="G1163" s="52" t="s">
        <v>1</v>
      </c>
    </row>
    <row r="1164" spans="1:7">
      <c r="A1164" s="54" t="s">
        <v>1531</v>
      </c>
      <c r="B1164" s="55" t="s">
        <v>132</v>
      </c>
      <c r="C1164" s="56">
        <v>13</v>
      </c>
      <c r="D1164" s="52">
        <v>2.2000000000000002</v>
      </c>
      <c r="E1164" s="57" t="s">
        <v>81</v>
      </c>
      <c r="F1164" s="52" t="s">
        <v>83</v>
      </c>
      <c r="G1164" s="52" t="s">
        <v>2</v>
      </c>
    </row>
    <row r="1165" spans="1:7">
      <c r="A1165" s="54" t="s">
        <v>1532</v>
      </c>
      <c r="B1165" s="55" t="s">
        <v>132</v>
      </c>
      <c r="C1165" s="56">
        <v>14</v>
      </c>
      <c r="D1165" s="52">
        <v>6.4</v>
      </c>
      <c r="E1165" s="57" t="s">
        <v>100</v>
      </c>
      <c r="F1165" s="52" t="s">
        <v>104</v>
      </c>
      <c r="G1165" s="52" t="s">
        <v>4</v>
      </c>
    </row>
    <row r="1166" spans="1:7">
      <c r="A1166" s="54" t="s">
        <v>1533</v>
      </c>
      <c r="B1166" s="55" t="s">
        <v>132</v>
      </c>
      <c r="C1166" s="56">
        <v>15</v>
      </c>
      <c r="D1166" s="52">
        <v>2.34</v>
      </c>
      <c r="E1166" s="57" t="s">
        <v>76</v>
      </c>
      <c r="F1166" s="52" t="s">
        <v>88</v>
      </c>
      <c r="G1166" s="52" t="s">
        <v>3</v>
      </c>
    </row>
    <row r="1167" spans="1:7">
      <c r="A1167" s="54" t="s">
        <v>1534</v>
      </c>
      <c r="B1167" s="55" t="s">
        <v>132</v>
      </c>
      <c r="C1167" s="56">
        <v>16</v>
      </c>
      <c r="D1167" s="52">
        <v>2.34</v>
      </c>
      <c r="E1167" s="57" t="s">
        <v>81</v>
      </c>
      <c r="F1167" s="52" t="s">
        <v>88</v>
      </c>
      <c r="G1167" s="52" t="s">
        <v>4</v>
      </c>
    </row>
    <row r="1168" spans="1:7">
      <c r="A1168" s="54" t="s">
        <v>1535</v>
      </c>
      <c r="B1168" s="55" t="s">
        <v>132</v>
      </c>
      <c r="C1168" s="56">
        <v>17</v>
      </c>
      <c r="D1168" s="52">
        <v>1.5</v>
      </c>
      <c r="E1168" s="57" t="s">
        <v>96</v>
      </c>
      <c r="F1168" s="52" t="s">
        <v>80</v>
      </c>
      <c r="G1168" s="52" t="s">
        <v>4</v>
      </c>
    </row>
    <row r="1169" spans="1:7">
      <c r="A1169" s="54" t="s">
        <v>1536</v>
      </c>
      <c r="B1169" s="55" t="s">
        <v>132</v>
      </c>
      <c r="C1169" s="56">
        <v>18</v>
      </c>
      <c r="D1169" s="52">
        <v>2.31</v>
      </c>
      <c r="E1169" s="57" t="s">
        <v>28</v>
      </c>
      <c r="F1169" s="52" t="s">
        <v>85</v>
      </c>
      <c r="G1169" s="52" t="s">
        <v>3</v>
      </c>
    </row>
    <row r="1170" spans="1:7">
      <c r="A1170" s="54" t="s">
        <v>1537</v>
      </c>
      <c r="B1170" s="55" t="s">
        <v>132</v>
      </c>
      <c r="C1170" s="56">
        <v>19</v>
      </c>
      <c r="D1170" s="52">
        <v>2.3199999999999998</v>
      </c>
      <c r="E1170" s="57" t="s">
        <v>81</v>
      </c>
      <c r="F1170" s="52" t="s">
        <v>86</v>
      </c>
      <c r="G1170" s="52" t="s">
        <v>3</v>
      </c>
    </row>
    <row r="1171" spans="1:7">
      <c r="A1171" s="54" t="s">
        <v>1538</v>
      </c>
      <c r="B1171" s="55" t="s">
        <v>132</v>
      </c>
      <c r="C1171" s="56">
        <v>20</v>
      </c>
      <c r="D1171" s="52">
        <v>3.2</v>
      </c>
      <c r="E1171" s="57" t="s">
        <v>81</v>
      </c>
      <c r="F1171" s="52" t="s">
        <v>91</v>
      </c>
      <c r="G1171" s="52" t="s">
        <v>0</v>
      </c>
    </row>
    <row r="1172" spans="1:7">
      <c r="A1172" s="54" t="s">
        <v>1539</v>
      </c>
      <c r="B1172" s="55" t="s">
        <v>132</v>
      </c>
      <c r="C1172" s="56">
        <v>21</v>
      </c>
      <c r="D1172" s="52">
        <v>5.2</v>
      </c>
      <c r="E1172" s="57" t="s">
        <v>96</v>
      </c>
      <c r="F1172" s="52" t="s">
        <v>98</v>
      </c>
      <c r="G1172" s="52" t="s">
        <v>2</v>
      </c>
    </row>
    <row r="1173" spans="1:7">
      <c r="A1173" s="54" t="s">
        <v>1540</v>
      </c>
      <c r="B1173" s="55" t="s">
        <v>132</v>
      </c>
      <c r="C1173" s="56">
        <v>22</v>
      </c>
      <c r="D1173" s="52">
        <v>5.0999999999999996</v>
      </c>
      <c r="E1173" s="57" t="s">
        <v>76</v>
      </c>
      <c r="F1173" s="52" t="s">
        <v>97</v>
      </c>
      <c r="G1173" s="52" t="s">
        <v>4</v>
      </c>
    </row>
    <row r="1174" spans="1:7">
      <c r="A1174" s="54" t="s">
        <v>1541</v>
      </c>
      <c r="B1174" s="55" t="s">
        <v>132</v>
      </c>
      <c r="C1174" s="56">
        <v>23</v>
      </c>
      <c r="D1174" s="52">
        <v>4.0999999999999996</v>
      </c>
      <c r="E1174" s="57" t="s">
        <v>76</v>
      </c>
      <c r="F1174" s="52" t="s">
        <v>94</v>
      </c>
      <c r="G1174" s="52" t="s">
        <v>0</v>
      </c>
    </row>
    <row r="1175" spans="1:7">
      <c r="A1175" s="54" t="s">
        <v>1542</v>
      </c>
      <c r="B1175" s="55" t="s">
        <v>132</v>
      </c>
      <c r="C1175" s="56">
        <v>24</v>
      </c>
      <c r="D1175" s="52">
        <v>5.2</v>
      </c>
      <c r="E1175" s="57" t="s">
        <v>28</v>
      </c>
      <c r="F1175" s="52" t="s">
        <v>98</v>
      </c>
      <c r="G1175" s="52" t="s">
        <v>2</v>
      </c>
    </row>
    <row r="1176" spans="1:7">
      <c r="A1176" s="54" t="s">
        <v>1543</v>
      </c>
      <c r="B1176" s="55" t="s">
        <v>132</v>
      </c>
      <c r="C1176" s="56">
        <v>25</v>
      </c>
      <c r="D1176" s="52">
        <v>3.4</v>
      </c>
      <c r="E1176" s="57" t="s">
        <v>81</v>
      </c>
      <c r="F1176" s="52" t="s">
        <v>29</v>
      </c>
      <c r="G1176" s="52" t="s">
        <v>0</v>
      </c>
    </row>
    <row r="1177" spans="1:7">
      <c r="A1177" s="54" t="s">
        <v>1544</v>
      </c>
      <c r="B1177" s="55" t="s">
        <v>132</v>
      </c>
      <c r="C1177" s="56">
        <v>26</v>
      </c>
      <c r="D1177" s="52">
        <v>6.3</v>
      </c>
      <c r="E1177" s="57" t="s">
        <v>96</v>
      </c>
      <c r="F1177" s="52" t="s">
        <v>103</v>
      </c>
      <c r="G1177" s="52" t="s">
        <v>4</v>
      </c>
    </row>
    <row r="1178" spans="1:7">
      <c r="A1178" s="54" t="s">
        <v>1545</v>
      </c>
      <c r="B1178" s="55" t="s">
        <v>132</v>
      </c>
      <c r="C1178" s="56">
        <v>27</v>
      </c>
      <c r="D1178" s="52">
        <v>3.2</v>
      </c>
      <c r="E1178" s="57" t="s">
        <v>93</v>
      </c>
      <c r="F1178" s="52" t="s">
        <v>91</v>
      </c>
      <c r="G1178" s="52" t="s">
        <v>4</v>
      </c>
    </row>
    <row r="1179" spans="1:7">
      <c r="A1179" s="54" t="s">
        <v>1546</v>
      </c>
      <c r="B1179" s="55" t="s">
        <v>132</v>
      </c>
      <c r="C1179" s="56">
        <v>28</v>
      </c>
      <c r="D1179" s="52">
        <v>5.0999999999999996</v>
      </c>
      <c r="E1179" s="57" t="s">
        <v>81</v>
      </c>
      <c r="F1179" s="52" t="s">
        <v>97</v>
      </c>
      <c r="G1179" s="52" t="s">
        <v>4</v>
      </c>
    </row>
    <row r="1180" spans="1:7">
      <c r="A1180" s="54" t="s">
        <v>1547</v>
      </c>
      <c r="B1180" s="55" t="s">
        <v>132</v>
      </c>
      <c r="C1180" s="56">
        <v>29</v>
      </c>
      <c r="D1180" s="52">
        <v>5.0999999999999996</v>
      </c>
      <c r="E1180" s="57" t="s">
        <v>81</v>
      </c>
      <c r="F1180" s="52" t="s">
        <v>97</v>
      </c>
      <c r="G1180" s="52" t="s">
        <v>2</v>
      </c>
    </row>
    <row r="1181" spans="1:7">
      <c r="A1181" s="54" t="s">
        <v>1548</v>
      </c>
      <c r="B1181" s="55" t="s">
        <v>132</v>
      </c>
      <c r="C1181" s="56">
        <v>30</v>
      </c>
      <c r="D1181" s="52">
        <v>2.33</v>
      </c>
      <c r="E1181" s="57" t="s">
        <v>81</v>
      </c>
      <c r="F1181" s="52" t="s">
        <v>87</v>
      </c>
      <c r="G1181" s="52" t="s">
        <v>2</v>
      </c>
    </row>
    <row r="1182" spans="1:7">
      <c r="A1182" s="54" t="s">
        <v>1549</v>
      </c>
      <c r="B1182" s="55" t="s">
        <v>132</v>
      </c>
      <c r="C1182" s="56">
        <v>31</v>
      </c>
      <c r="D1182" s="52">
        <v>2.34</v>
      </c>
      <c r="E1182" s="57" t="s">
        <v>93</v>
      </c>
      <c r="F1182" s="52" t="s">
        <v>88</v>
      </c>
      <c r="G1182" s="52" t="s">
        <v>3</v>
      </c>
    </row>
    <row r="1183" spans="1:7">
      <c r="A1183" s="54" t="s">
        <v>1550</v>
      </c>
      <c r="B1183" s="55" t="s">
        <v>132</v>
      </c>
      <c r="C1183" s="56">
        <v>32</v>
      </c>
      <c r="D1183" s="52">
        <v>2.34</v>
      </c>
      <c r="E1183" s="57" t="s">
        <v>76</v>
      </c>
      <c r="F1183" s="52" t="s">
        <v>88</v>
      </c>
      <c r="G1183" s="52" t="s">
        <v>4</v>
      </c>
    </row>
    <row r="1184" spans="1:7">
      <c r="A1184" s="54" t="s">
        <v>1551</v>
      </c>
      <c r="B1184" s="55" t="s">
        <v>132</v>
      </c>
      <c r="C1184" s="56">
        <v>33</v>
      </c>
      <c r="D1184" s="52">
        <v>2.31</v>
      </c>
      <c r="E1184" s="57" t="s">
        <v>76</v>
      </c>
      <c r="F1184" s="52" t="s">
        <v>85</v>
      </c>
      <c r="G1184" s="52" t="s">
        <v>3</v>
      </c>
    </row>
    <row r="1185" spans="1:7">
      <c r="A1185" s="54" t="s">
        <v>1552</v>
      </c>
      <c r="B1185" s="55" t="s">
        <v>132</v>
      </c>
      <c r="C1185" s="56">
        <v>34</v>
      </c>
      <c r="D1185" s="52">
        <v>3.1</v>
      </c>
      <c r="E1185" s="57" t="s">
        <v>28</v>
      </c>
      <c r="F1185" s="52" t="s">
        <v>90</v>
      </c>
      <c r="G1185" s="52" t="s">
        <v>0</v>
      </c>
    </row>
    <row r="1186" spans="1:7">
      <c r="A1186" s="54" t="s">
        <v>1553</v>
      </c>
      <c r="B1186" s="55" t="s">
        <v>132</v>
      </c>
      <c r="C1186" s="56">
        <v>35</v>
      </c>
      <c r="D1186" s="52">
        <v>2.31</v>
      </c>
      <c r="E1186" s="57" t="s">
        <v>76</v>
      </c>
      <c r="F1186" s="52" t="s">
        <v>85</v>
      </c>
      <c r="G1186" s="52" t="s">
        <v>0</v>
      </c>
    </row>
    <row r="1187" spans="1:7">
      <c r="A1187" s="54" t="s">
        <v>1554</v>
      </c>
      <c r="B1187" s="55" t="s">
        <v>132</v>
      </c>
      <c r="C1187" s="56">
        <v>36</v>
      </c>
      <c r="D1187" s="52">
        <v>2.1</v>
      </c>
      <c r="E1187" s="57" t="s">
        <v>81</v>
      </c>
      <c r="F1187" s="52" t="s">
        <v>82</v>
      </c>
      <c r="G1187" s="52" t="s">
        <v>0</v>
      </c>
    </row>
    <row r="1188" spans="1:7">
      <c r="A1188" s="54" t="s">
        <v>1555</v>
      </c>
      <c r="B1188" s="55" t="s">
        <v>132</v>
      </c>
      <c r="C1188" s="56">
        <v>37</v>
      </c>
      <c r="D1188" s="52">
        <v>2.34</v>
      </c>
      <c r="E1188" s="57" t="s">
        <v>96</v>
      </c>
      <c r="F1188" s="52" t="s">
        <v>88</v>
      </c>
      <c r="G1188" s="52" t="s">
        <v>2</v>
      </c>
    </row>
    <row r="1189" spans="1:7">
      <c r="A1189" s="54" t="s">
        <v>1556</v>
      </c>
      <c r="B1189" s="55" t="s">
        <v>132</v>
      </c>
      <c r="C1189" s="56">
        <v>38</v>
      </c>
      <c r="D1189" s="52">
        <v>5.3</v>
      </c>
      <c r="E1189" s="57" t="s">
        <v>93</v>
      </c>
      <c r="F1189" s="52" t="s">
        <v>99</v>
      </c>
      <c r="G1189" s="52" t="s">
        <v>2</v>
      </c>
    </row>
    <row r="1190" spans="1:7">
      <c r="A1190" s="54" t="s">
        <v>1557</v>
      </c>
      <c r="B1190" s="55" t="s">
        <v>132</v>
      </c>
      <c r="C1190" s="56">
        <v>39</v>
      </c>
      <c r="D1190" s="52">
        <v>4.0999999999999996</v>
      </c>
      <c r="E1190" s="57" t="s">
        <v>81</v>
      </c>
      <c r="F1190" s="52" t="s">
        <v>94</v>
      </c>
      <c r="G1190" s="52" t="s">
        <v>4</v>
      </c>
    </row>
    <row r="1191" spans="1:7">
      <c r="A1191" s="54" t="s">
        <v>1558</v>
      </c>
      <c r="B1191" s="55" t="s">
        <v>132</v>
      </c>
      <c r="C1191" s="56">
        <v>40</v>
      </c>
      <c r="D1191" s="52">
        <v>6.3</v>
      </c>
      <c r="E1191" s="57" t="s">
        <v>100</v>
      </c>
      <c r="F1191" s="52" t="s">
        <v>103</v>
      </c>
      <c r="G1191" s="52" t="s">
        <v>1</v>
      </c>
    </row>
    <row r="1192" spans="1:7">
      <c r="A1192" s="54" t="s">
        <v>1559</v>
      </c>
      <c r="B1192" s="55" t="s">
        <v>132</v>
      </c>
      <c r="C1192" s="56">
        <v>41</v>
      </c>
      <c r="D1192" s="52">
        <v>5.2</v>
      </c>
      <c r="E1192" s="57" t="s">
        <v>28</v>
      </c>
      <c r="F1192" s="52" t="s">
        <v>98</v>
      </c>
      <c r="G1192" s="52" t="s">
        <v>4</v>
      </c>
    </row>
    <row r="1193" spans="1:7">
      <c r="A1193" s="54" t="s">
        <v>1560</v>
      </c>
      <c r="B1193" s="55" t="s">
        <v>132</v>
      </c>
      <c r="C1193" s="56">
        <v>42</v>
      </c>
      <c r="D1193" s="52">
        <v>1.3</v>
      </c>
      <c r="E1193" s="57" t="s">
        <v>81</v>
      </c>
      <c r="F1193" s="52" t="s">
        <v>79</v>
      </c>
      <c r="G1193" s="52" t="s">
        <v>2</v>
      </c>
    </row>
    <row r="1194" spans="1:7">
      <c r="A1194" s="54" t="s">
        <v>1561</v>
      </c>
      <c r="B1194" s="55" t="s">
        <v>132</v>
      </c>
      <c r="C1194" s="56">
        <v>43</v>
      </c>
      <c r="D1194" s="52">
        <v>3.2</v>
      </c>
      <c r="E1194" s="57" t="s">
        <v>96</v>
      </c>
      <c r="F1194" s="52" t="s">
        <v>91</v>
      </c>
      <c r="G1194" s="52" t="s">
        <v>1</v>
      </c>
    </row>
    <row r="1195" spans="1:7">
      <c r="A1195" s="54" t="s">
        <v>1562</v>
      </c>
      <c r="B1195" s="55" t="s">
        <v>132</v>
      </c>
      <c r="C1195" s="56">
        <v>44</v>
      </c>
      <c r="D1195" s="52">
        <v>4.0999999999999996</v>
      </c>
      <c r="E1195" s="57" t="s">
        <v>81</v>
      </c>
      <c r="F1195" s="52" t="s">
        <v>94</v>
      </c>
      <c r="G1195" s="52" t="s">
        <v>2</v>
      </c>
    </row>
    <row r="1196" spans="1:7">
      <c r="A1196" s="54" t="s">
        <v>1563</v>
      </c>
      <c r="B1196" s="55" t="s">
        <v>132</v>
      </c>
      <c r="C1196" s="56">
        <v>45</v>
      </c>
      <c r="D1196" s="52">
        <v>3.2</v>
      </c>
      <c r="E1196" s="57" t="s">
        <v>28</v>
      </c>
      <c r="F1196" s="52" t="s">
        <v>91</v>
      </c>
      <c r="G1196" s="52" t="s">
        <v>2</v>
      </c>
    </row>
    <row r="1197" spans="1:7">
      <c r="A1197" s="54" t="s">
        <v>1564</v>
      </c>
      <c r="B1197" s="55" t="s">
        <v>132</v>
      </c>
      <c r="C1197" s="56">
        <v>46</v>
      </c>
      <c r="D1197" s="52">
        <v>2.2000000000000002</v>
      </c>
      <c r="E1197" s="57" t="s">
        <v>81</v>
      </c>
      <c r="F1197" s="52" t="s">
        <v>83</v>
      </c>
      <c r="G1197" s="52" t="s">
        <v>1</v>
      </c>
    </row>
    <row r="1198" spans="1:7">
      <c r="A1198" s="54" t="s">
        <v>1565</v>
      </c>
      <c r="B1198" s="55" t="s">
        <v>132</v>
      </c>
      <c r="C1198" s="56">
        <v>47</v>
      </c>
      <c r="D1198" s="52">
        <v>2.1</v>
      </c>
      <c r="E1198" s="57" t="s">
        <v>81</v>
      </c>
      <c r="F1198" s="52" t="s">
        <v>82</v>
      </c>
      <c r="G1198" s="52" t="s">
        <v>0</v>
      </c>
    </row>
    <row r="1199" spans="1:7">
      <c r="A1199" s="54" t="s">
        <v>1566</v>
      </c>
      <c r="B1199" s="55" t="s">
        <v>132</v>
      </c>
      <c r="C1199" s="56">
        <v>48</v>
      </c>
      <c r="D1199" s="52">
        <v>2.2000000000000002</v>
      </c>
      <c r="E1199" s="57" t="s">
        <v>100</v>
      </c>
      <c r="F1199" s="52" t="s">
        <v>83</v>
      </c>
      <c r="G1199" s="52" t="s">
        <v>1</v>
      </c>
    </row>
    <row r="1200" spans="1:7">
      <c r="A1200" s="54" t="s">
        <v>1567</v>
      </c>
      <c r="B1200" s="55" t="s">
        <v>132</v>
      </c>
      <c r="C1200" s="56">
        <v>49</v>
      </c>
      <c r="D1200" s="52">
        <v>3.2</v>
      </c>
      <c r="E1200" s="57" t="s">
        <v>81</v>
      </c>
      <c r="F1200" s="52" t="s">
        <v>91</v>
      </c>
      <c r="G1200" s="52" t="s">
        <v>4</v>
      </c>
    </row>
    <row r="1201" spans="1:7">
      <c r="A1201" s="54" t="s">
        <v>1568</v>
      </c>
      <c r="B1201" s="55" t="s">
        <v>132</v>
      </c>
      <c r="C1201" s="56">
        <v>50</v>
      </c>
      <c r="D1201" s="52">
        <v>5.2</v>
      </c>
      <c r="E1201" s="57" t="s">
        <v>81</v>
      </c>
      <c r="F1201" s="52" t="s">
        <v>98</v>
      </c>
      <c r="G1201" s="52" t="s">
        <v>0</v>
      </c>
    </row>
    <row r="1202" spans="1:7">
      <c r="A1202" s="15" t="s">
        <v>1569</v>
      </c>
      <c r="B1202" s="63" t="s">
        <v>133</v>
      </c>
      <c r="C1202" s="64">
        <v>1</v>
      </c>
      <c r="D1202" s="65">
        <v>2.34</v>
      </c>
      <c r="E1202" s="67" t="s">
        <v>81</v>
      </c>
      <c r="F1202" s="52" t="s">
        <v>88</v>
      </c>
      <c r="G1202" s="52" t="s">
        <v>0</v>
      </c>
    </row>
    <row r="1203" spans="1:7">
      <c r="A1203" s="15" t="s">
        <v>1570</v>
      </c>
      <c r="B1203" s="63" t="s">
        <v>133</v>
      </c>
      <c r="C1203" s="64">
        <v>2</v>
      </c>
      <c r="D1203" s="65">
        <v>1.2</v>
      </c>
      <c r="E1203" s="67" t="s">
        <v>76</v>
      </c>
      <c r="F1203" s="52" t="s">
        <v>78</v>
      </c>
      <c r="G1203" s="52" t="s">
        <v>3</v>
      </c>
    </row>
    <row r="1204" spans="1:7">
      <c r="A1204" s="15" t="s">
        <v>1571</v>
      </c>
      <c r="B1204" s="63" t="s">
        <v>133</v>
      </c>
      <c r="C1204" s="64">
        <v>3</v>
      </c>
      <c r="D1204" s="65">
        <v>1.6</v>
      </c>
      <c r="E1204" s="67" t="s">
        <v>81</v>
      </c>
      <c r="F1204" s="52" t="s">
        <v>27</v>
      </c>
      <c r="G1204" s="52" t="s">
        <v>0</v>
      </c>
    </row>
    <row r="1205" spans="1:7">
      <c r="A1205" s="15" t="s">
        <v>1572</v>
      </c>
      <c r="B1205" s="63" t="s">
        <v>133</v>
      </c>
      <c r="C1205" s="64">
        <v>4</v>
      </c>
      <c r="D1205" s="65">
        <v>2.3199999999999998</v>
      </c>
      <c r="E1205" s="67" t="s">
        <v>81</v>
      </c>
      <c r="F1205" s="52" t="s">
        <v>86</v>
      </c>
      <c r="G1205" s="52" t="s">
        <v>2</v>
      </c>
    </row>
    <row r="1206" spans="1:7">
      <c r="A1206" s="15" t="s">
        <v>1573</v>
      </c>
      <c r="B1206" s="63" t="s">
        <v>133</v>
      </c>
      <c r="C1206" s="64">
        <v>5</v>
      </c>
      <c r="D1206" s="65">
        <v>3.2</v>
      </c>
      <c r="E1206" s="67" t="s">
        <v>81</v>
      </c>
      <c r="F1206" s="52" t="s">
        <v>91</v>
      </c>
      <c r="G1206" s="52" t="s">
        <v>1</v>
      </c>
    </row>
    <row r="1207" spans="1:7">
      <c r="A1207" s="15" t="s">
        <v>1574</v>
      </c>
      <c r="B1207" s="63" t="s">
        <v>133</v>
      </c>
      <c r="C1207" s="64">
        <v>6</v>
      </c>
      <c r="D1207" s="65">
        <v>1.5</v>
      </c>
      <c r="E1207" s="67" t="s">
        <v>81</v>
      </c>
      <c r="F1207" s="52" t="s">
        <v>80</v>
      </c>
      <c r="G1207" s="52" t="s">
        <v>4</v>
      </c>
    </row>
    <row r="1208" spans="1:7">
      <c r="A1208" s="15" t="s">
        <v>1575</v>
      </c>
      <c r="B1208" s="63" t="s">
        <v>133</v>
      </c>
      <c r="C1208" s="64">
        <v>7</v>
      </c>
      <c r="D1208" s="65">
        <v>3.2</v>
      </c>
      <c r="E1208" s="67" t="s">
        <v>96</v>
      </c>
      <c r="F1208" s="52" t="s">
        <v>91</v>
      </c>
      <c r="G1208" s="52" t="s">
        <v>2</v>
      </c>
    </row>
    <row r="1209" spans="1:7">
      <c r="A1209" s="15" t="s">
        <v>1576</v>
      </c>
      <c r="B1209" s="63" t="s">
        <v>133</v>
      </c>
      <c r="C1209" s="64">
        <v>8</v>
      </c>
      <c r="D1209" s="65">
        <v>5.0999999999999996</v>
      </c>
      <c r="E1209" s="67" t="s">
        <v>81</v>
      </c>
      <c r="F1209" s="52" t="s">
        <v>97</v>
      </c>
      <c r="G1209" s="52" t="s">
        <v>4</v>
      </c>
    </row>
    <row r="1210" spans="1:7">
      <c r="A1210" s="15" t="s">
        <v>1577</v>
      </c>
      <c r="B1210" s="63" t="s">
        <v>133</v>
      </c>
      <c r="C1210" s="64">
        <v>9</v>
      </c>
      <c r="D1210" s="65">
        <v>2.1</v>
      </c>
      <c r="E1210" s="67" t="s">
        <v>100</v>
      </c>
      <c r="F1210" s="52" t="s">
        <v>82</v>
      </c>
      <c r="G1210" s="52" t="s">
        <v>4</v>
      </c>
    </row>
    <row r="1211" spans="1:7">
      <c r="A1211" s="15" t="s">
        <v>1578</v>
      </c>
      <c r="B1211" s="63" t="s">
        <v>133</v>
      </c>
      <c r="C1211" s="64">
        <v>10</v>
      </c>
      <c r="D1211" s="65">
        <v>3.2</v>
      </c>
      <c r="E1211" s="67" t="s">
        <v>81</v>
      </c>
      <c r="F1211" s="52" t="s">
        <v>91</v>
      </c>
      <c r="G1211" s="52" t="s">
        <v>3</v>
      </c>
    </row>
    <row r="1212" spans="1:7">
      <c r="A1212" s="15" t="s">
        <v>1579</v>
      </c>
      <c r="B1212" s="63" t="s">
        <v>133</v>
      </c>
      <c r="C1212" s="64">
        <v>11</v>
      </c>
      <c r="D1212" s="65">
        <v>2.33</v>
      </c>
      <c r="E1212" s="67" t="s">
        <v>100</v>
      </c>
      <c r="F1212" s="52" t="s">
        <v>87</v>
      </c>
      <c r="G1212" s="52" t="s">
        <v>1</v>
      </c>
    </row>
    <row r="1213" spans="1:7">
      <c r="A1213" s="15" t="s">
        <v>1580</v>
      </c>
      <c r="B1213" s="63" t="s">
        <v>133</v>
      </c>
      <c r="C1213" s="64">
        <v>12</v>
      </c>
      <c r="D1213" s="65">
        <v>6.3</v>
      </c>
      <c r="E1213" s="67" t="s">
        <v>96</v>
      </c>
      <c r="F1213" s="52" t="s">
        <v>103</v>
      </c>
      <c r="G1213" s="52" t="s">
        <v>4</v>
      </c>
    </row>
    <row r="1214" spans="1:7">
      <c r="A1214" s="15" t="s">
        <v>1581</v>
      </c>
      <c r="B1214" s="63" t="s">
        <v>133</v>
      </c>
      <c r="C1214" s="64">
        <v>13</v>
      </c>
      <c r="D1214" s="65">
        <v>2.31</v>
      </c>
      <c r="E1214" s="67" t="s">
        <v>81</v>
      </c>
      <c r="F1214" s="52" t="s">
        <v>85</v>
      </c>
      <c r="G1214" s="52" t="s">
        <v>4</v>
      </c>
    </row>
    <row r="1215" spans="1:7">
      <c r="A1215" s="15" t="s">
        <v>1582</v>
      </c>
      <c r="B1215" s="63" t="s">
        <v>133</v>
      </c>
      <c r="C1215" s="64">
        <v>14</v>
      </c>
      <c r="D1215" s="65">
        <v>6.4</v>
      </c>
      <c r="E1215" s="67" t="s">
        <v>76</v>
      </c>
      <c r="F1215" s="52" t="s">
        <v>104</v>
      </c>
      <c r="G1215" s="52" t="s">
        <v>0</v>
      </c>
    </row>
    <row r="1216" spans="1:7">
      <c r="A1216" s="15" t="s">
        <v>1583</v>
      </c>
      <c r="B1216" s="63" t="s">
        <v>133</v>
      </c>
      <c r="C1216" s="64">
        <v>15</v>
      </c>
      <c r="D1216" s="65">
        <v>1.5</v>
      </c>
      <c r="E1216" s="67" t="s">
        <v>28</v>
      </c>
      <c r="F1216" s="52" t="s">
        <v>80</v>
      </c>
      <c r="G1216" s="52" t="s">
        <v>2</v>
      </c>
    </row>
    <row r="1217" spans="1:7">
      <c r="A1217" s="15" t="s">
        <v>1584</v>
      </c>
      <c r="B1217" s="63" t="s">
        <v>133</v>
      </c>
      <c r="C1217" s="64">
        <v>16</v>
      </c>
      <c r="D1217" s="65">
        <v>2.1</v>
      </c>
      <c r="E1217" s="67" t="s">
        <v>96</v>
      </c>
      <c r="F1217" s="52" t="s">
        <v>82</v>
      </c>
      <c r="G1217" s="52" t="s">
        <v>4</v>
      </c>
    </row>
    <row r="1218" spans="1:7">
      <c r="A1218" s="15" t="s">
        <v>1585</v>
      </c>
      <c r="B1218" s="63" t="s">
        <v>133</v>
      </c>
      <c r="C1218" s="64">
        <v>17</v>
      </c>
      <c r="D1218" s="65">
        <v>5.0999999999999996</v>
      </c>
      <c r="E1218" s="67" t="s">
        <v>81</v>
      </c>
      <c r="F1218" s="52" t="s">
        <v>97</v>
      </c>
      <c r="G1218" s="52" t="s">
        <v>1</v>
      </c>
    </row>
    <row r="1219" spans="1:7">
      <c r="A1219" s="15" t="s">
        <v>1586</v>
      </c>
      <c r="B1219" s="63" t="s">
        <v>133</v>
      </c>
      <c r="C1219" s="64">
        <v>18</v>
      </c>
      <c r="D1219" s="65">
        <v>3.2</v>
      </c>
      <c r="E1219" s="67" t="s">
        <v>81</v>
      </c>
      <c r="F1219" s="52" t="s">
        <v>91</v>
      </c>
      <c r="G1219" s="52" t="s">
        <v>0</v>
      </c>
    </row>
    <row r="1220" spans="1:7">
      <c r="A1220" s="15" t="s">
        <v>1587</v>
      </c>
      <c r="B1220" s="63" t="s">
        <v>133</v>
      </c>
      <c r="C1220" s="64">
        <v>19</v>
      </c>
      <c r="D1220" s="65">
        <v>2.1</v>
      </c>
      <c r="E1220" s="67" t="s">
        <v>81</v>
      </c>
      <c r="F1220" s="52" t="s">
        <v>82</v>
      </c>
      <c r="G1220" s="52" t="s">
        <v>2</v>
      </c>
    </row>
    <row r="1221" spans="1:7">
      <c r="A1221" s="15" t="s">
        <v>1588</v>
      </c>
      <c r="B1221" s="63" t="s">
        <v>133</v>
      </c>
      <c r="C1221" s="64">
        <v>20</v>
      </c>
      <c r="D1221" s="65">
        <v>2.3199999999999998</v>
      </c>
      <c r="E1221" s="67" t="s">
        <v>28</v>
      </c>
      <c r="F1221" s="52" t="s">
        <v>86</v>
      </c>
      <c r="G1221" s="52" t="s">
        <v>3</v>
      </c>
    </row>
    <row r="1222" spans="1:7">
      <c r="A1222" s="15" t="s">
        <v>1589</v>
      </c>
      <c r="B1222" s="63" t="s">
        <v>133</v>
      </c>
      <c r="C1222" s="64">
        <v>21</v>
      </c>
      <c r="D1222" s="65">
        <v>5.2</v>
      </c>
      <c r="E1222" s="67" t="s">
        <v>81</v>
      </c>
      <c r="F1222" s="52" t="s">
        <v>98</v>
      </c>
      <c r="G1222" s="52" t="s">
        <v>1</v>
      </c>
    </row>
    <row r="1223" spans="1:7">
      <c r="A1223" s="15" t="s">
        <v>1590</v>
      </c>
      <c r="B1223" s="63" t="s">
        <v>133</v>
      </c>
      <c r="C1223" s="64">
        <v>22</v>
      </c>
      <c r="D1223" s="65">
        <v>1.1000000000000001</v>
      </c>
      <c r="E1223" s="67" t="s">
        <v>100</v>
      </c>
      <c r="F1223" s="52" t="s">
        <v>77</v>
      </c>
      <c r="G1223" s="52" t="s">
        <v>2</v>
      </c>
    </row>
    <row r="1224" spans="1:7">
      <c r="A1224" s="15" t="s">
        <v>1591</v>
      </c>
      <c r="B1224" s="63" t="s">
        <v>133</v>
      </c>
      <c r="C1224" s="64">
        <v>23</v>
      </c>
      <c r="D1224" s="65">
        <v>1.3</v>
      </c>
      <c r="E1224" s="67" t="s">
        <v>81</v>
      </c>
      <c r="F1224" s="52" t="s">
        <v>79</v>
      </c>
      <c r="G1224" s="52" t="s">
        <v>4</v>
      </c>
    </row>
    <row r="1225" spans="1:7">
      <c r="A1225" s="15" t="s">
        <v>1592</v>
      </c>
      <c r="B1225" s="63" t="s">
        <v>133</v>
      </c>
      <c r="C1225" s="64">
        <v>24</v>
      </c>
      <c r="D1225" s="65">
        <v>3.2</v>
      </c>
      <c r="E1225" s="67" t="s">
        <v>76</v>
      </c>
      <c r="F1225" s="52" t="s">
        <v>91</v>
      </c>
      <c r="G1225" s="52" t="s">
        <v>0</v>
      </c>
    </row>
    <row r="1226" spans="1:7">
      <c r="A1226" s="15" t="s">
        <v>1593</v>
      </c>
      <c r="B1226" s="63" t="s">
        <v>133</v>
      </c>
      <c r="C1226" s="64">
        <v>25</v>
      </c>
      <c r="D1226" s="65">
        <v>2.3199999999999998</v>
      </c>
      <c r="E1226" s="67" t="s">
        <v>81</v>
      </c>
      <c r="F1226" s="52" t="s">
        <v>86</v>
      </c>
      <c r="G1226" s="52" t="s">
        <v>3</v>
      </c>
    </row>
    <row r="1227" spans="1:7">
      <c r="A1227" s="15" t="s">
        <v>1594</v>
      </c>
      <c r="B1227" s="63" t="s">
        <v>133</v>
      </c>
      <c r="C1227" s="64">
        <v>26</v>
      </c>
      <c r="D1227" s="65">
        <v>3.1</v>
      </c>
      <c r="E1227" s="67" t="s">
        <v>81</v>
      </c>
      <c r="F1227" s="52" t="s">
        <v>90</v>
      </c>
      <c r="G1227" s="52" t="s">
        <v>0</v>
      </c>
    </row>
    <row r="1228" spans="1:7">
      <c r="A1228" s="15" t="s">
        <v>1595</v>
      </c>
      <c r="B1228" s="63" t="s">
        <v>133</v>
      </c>
      <c r="C1228" s="64">
        <v>27</v>
      </c>
      <c r="D1228" s="65">
        <v>4.2</v>
      </c>
      <c r="E1228" s="67" t="s">
        <v>81</v>
      </c>
      <c r="F1228" s="52" t="s">
        <v>95</v>
      </c>
      <c r="G1228" s="52" t="s">
        <v>2</v>
      </c>
    </row>
    <row r="1229" spans="1:7">
      <c r="A1229" s="15" t="s">
        <v>1596</v>
      </c>
      <c r="B1229" s="63" t="s">
        <v>133</v>
      </c>
      <c r="C1229" s="64">
        <v>28</v>
      </c>
      <c r="D1229" s="65">
        <v>2.1</v>
      </c>
      <c r="E1229" s="67" t="s">
        <v>81</v>
      </c>
      <c r="F1229" s="52" t="s">
        <v>82</v>
      </c>
      <c r="G1229" s="52" t="s">
        <v>0</v>
      </c>
    </row>
    <row r="1230" spans="1:7">
      <c r="A1230" s="15" t="s">
        <v>1597</v>
      </c>
      <c r="B1230" s="63" t="s">
        <v>133</v>
      </c>
      <c r="C1230" s="64">
        <v>29</v>
      </c>
      <c r="D1230" s="65">
        <v>2.35</v>
      </c>
      <c r="E1230" s="67" t="s">
        <v>81</v>
      </c>
      <c r="F1230" s="52" t="s">
        <v>89</v>
      </c>
      <c r="G1230" s="52" t="s">
        <v>4</v>
      </c>
    </row>
    <row r="1231" spans="1:7">
      <c r="A1231" s="15" t="s">
        <v>1598</v>
      </c>
      <c r="B1231" s="63" t="s">
        <v>133</v>
      </c>
      <c r="C1231" s="64">
        <v>30</v>
      </c>
      <c r="D1231" s="65">
        <v>2.2000000000000002</v>
      </c>
      <c r="E1231" s="67" t="s">
        <v>81</v>
      </c>
      <c r="F1231" s="52" t="s">
        <v>83</v>
      </c>
      <c r="G1231" s="52" t="s">
        <v>4</v>
      </c>
    </row>
    <row r="1232" spans="1:7">
      <c r="A1232" s="15" t="s">
        <v>1599</v>
      </c>
      <c r="B1232" s="63" t="s">
        <v>133</v>
      </c>
      <c r="C1232" s="64">
        <v>31</v>
      </c>
      <c r="D1232" s="65">
        <v>4.0999999999999996</v>
      </c>
      <c r="E1232" s="67" t="s">
        <v>28</v>
      </c>
      <c r="F1232" s="52" t="s">
        <v>94</v>
      </c>
      <c r="G1232" s="52" t="s">
        <v>0</v>
      </c>
    </row>
    <row r="1233" spans="1:7">
      <c r="A1233" s="15" t="s">
        <v>1600</v>
      </c>
      <c r="B1233" s="63" t="s">
        <v>133</v>
      </c>
      <c r="C1233" s="64">
        <v>32</v>
      </c>
      <c r="D1233" s="65">
        <v>1.6</v>
      </c>
      <c r="E1233" s="67" t="s">
        <v>81</v>
      </c>
      <c r="F1233" s="52" t="s">
        <v>27</v>
      </c>
      <c r="G1233" s="52" t="s">
        <v>3</v>
      </c>
    </row>
    <row r="1234" spans="1:7">
      <c r="A1234" s="15" t="s">
        <v>1601</v>
      </c>
      <c r="B1234" s="63" t="s">
        <v>133</v>
      </c>
      <c r="C1234" s="64">
        <v>33</v>
      </c>
      <c r="D1234" s="65">
        <v>1.1000000000000001</v>
      </c>
      <c r="E1234" s="67" t="s">
        <v>76</v>
      </c>
      <c r="F1234" s="52" t="s">
        <v>77</v>
      </c>
      <c r="G1234" s="52" t="s">
        <v>1</v>
      </c>
    </row>
    <row r="1235" spans="1:7">
      <c r="A1235" s="15" t="s">
        <v>1602</v>
      </c>
      <c r="B1235" s="63" t="s">
        <v>133</v>
      </c>
      <c r="C1235" s="64">
        <v>34</v>
      </c>
      <c r="D1235" s="65">
        <v>3.1</v>
      </c>
      <c r="E1235" s="67" t="s">
        <v>76</v>
      </c>
      <c r="F1235" s="52" t="s">
        <v>90</v>
      </c>
      <c r="G1235" s="52" t="s">
        <v>3</v>
      </c>
    </row>
    <row r="1236" spans="1:7">
      <c r="A1236" s="15" t="s">
        <v>1603</v>
      </c>
      <c r="B1236" s="63" t="s">
        <v>133</v>
      </c>
      <c r="C1236" s="64">
        <v>35</v>
      </c>
      <c r="D1236" s="65">
        <v>1.6</v>
      </c>
      <c r="E1236" s="67" t="s">
        <v>81</v>
      </c>
      <c r="F1236" s="52" t="s">
        <v>27</v>
      </c>
      <c r="G1236" s="52" t="s">
        <v>0</v>
      </c>
    </row>
    <row r="1237" spans="1:7">
      <c r="A1237" s="15" t="s">
        <v>1604</v>
      </c>
      <c r="B1237" s="63" t="s">
        <v>133</v>
      </c>
      <c r="C1237" s="64">
        <v>36</v>
      </c>
      <c r="D1237" s="65">
        <v>2.33</v>
      </c>
      <c r="E1237" s="67" t="s">
        <v>96</v>
      </c>
      <c r="F1237" s="52" t="s">
        <v>87</v>
      </c>
      <c r="G1237" s="52" t="s">
        <v>2</v>
      </c>
    </row>
    <row r="1238" spans="1:7">
      <c r="A1238" s="15" t="s">
        <v>1605</v>
      </c>
      <c r="B1238" s="63" t="s">
        <v>133</v>
      </c>
      <c r="C1238" s="64">
        <v>37</v>
      </c>
      <c r="D1238" s="65">
        <v>5.0999999999999996</v>
      </c>
      <c r="E1238" s="67" t="s">
        <v>100</v>
      </c>
      <c r="F1238" s="52" t="s">
        <v>97</v>
      </c>
      <c r="G1238" s="52" t="s">
        <v>0</v>
      </c>
    </row>
    <row r="1239" spans="1:7">
      <c r="A1239" s="15" t="s">
        <v>1606</v>
      </c>
      <c r="B1239" s="63" t="s">
        <v>133</v>
      </c>
      <c r="C1239" s="64">
        <v>38</v>
      </c>
      <c r="D1239" s="65">
        <v>4.0999999999999996</v>
      </c>
      <c r="E1239" s="67" t="s">
        <v>93</v>
      </c>
      <c r="F1239" s="52" t="s">
        <v>94</v>
      </c>
      <c r="G1239" s="52" t="s">
        <v>3</v>
      </c>
    </row>
    <row r="1240" spans="1:7">
      <c r="A1240" s="15" t="s">
        <v>1607</v>
      </c>
      <c r="B1240" s="63" t="s">
        <v>133</v>
      </c>
      <c r="C1240" s="64">
        <v>39</v>
      </c>
      <c r="D1240" s="65">
        <v>2.1</v>
      </c>
      <c r="E1240" s="67" t="s">
        <v>81</v>
      </c>
      <c r="F1240" s="52" t="s">
        <v>82</v>
      </c>
      <c r="G1240" s="52" t="s">
        <v>1</v>
      </c>
    </row>
    <row r="1241" spans="1:7">
      <c r="A1241" s="15" t="s">
        <v>1608</v>
      </c>
      <c r="B1241" s="63" t="s">
        <v>133</v>
      </c>
      <c r="C1241" s="64">
        <v>40</v>
      </c>
      <c r="D1241" s="65">
        <v>6.3</v>
      </c>
      <c r="E1241" s="67" t="s">
        <v>81</v>
      </c>
      <c r="F1241" s="52" t="s">
        <v>103</v>
      </c>
      <c r="G1241" s="52" t="s">
        <v>3</v>
      </c>
    </row>
    <row r="1242" spans="1:7">
      <c r="A1242" s="15" t="s">
        <v>1609</v>
      </c>
      <c r="B1242" s="63" t="s">
        <v>133</v>
      </c>
      <c r="C1242" s="64">
        <v>41</v>
      </c>
      <c r="D1242" s="65">
        <v>3.1</v>
      </c>
      <c r="E1242" s="67" t="s">
        <v>93</v>
      </c>
      <c r="F1242" s="52" t="s">
        <v>90</v>
      </c>
      <c r="G1242" s="52" t="s">
        <v>4</v>
      </c>
    </row>
    <row r="1243" spans="1:7">
      <c r="A1243" s="15" t="s">
        <v>1610</v>
      </c>
      <c r="B1243" s="63" t="s">
        <v>133</v>
      </c>
      <c r="C1243" s="64">
        <v>42</v>
      </c>
      <c r="D1243" s="65">
        <v>2.31</v>
      </c>
      <c r="E1243" s="67" t="s">
        <v>28</v>
      </c>
      <c r="F1243" s="52" t="s">
        <v>85</v>
      </c>
      <c r="G1243" s="52" t="s">
        <v>0</v>
      </c>
    </row>
    <row r="1244" spans="1:7">
      <c r="A1244" s="15" t="s">
        <v>1611</v>
      </c>
      <c r="B1244" s="63" t="s">
        <v>133</v>
      </c>
      <c r="C1244" s="64">
        <v>43</v>
      </c>
      <c r="D1244" s="65">
        <v>5.0999999999999996</v>
      </c>
      <c r="E1244" s="67" t="s">
        <v>28</v>
      </c>
      <c r="F1244" s="52" t="s">
        <v>97</v>
      </c>
      <c r="G1244" s="52" t="s">
        <v>1</v>
      </c>
    </row>
    <row r="1245" spans="1:7">
      <c r="A1245" s="15" t="s">
        <v>1612</v>
      </c>
      <c r="B1245" s="63" t="s">
        <v>133</v>
      </c>
      <c r="C1245" s="64">
        <v>44</v>
      </c>
      <c r="D1245" s="65">
        <v>2.3199999999999998</v>
      </c>
      <c r="E1245" s="67" t="s">
        <v>81</v>
      </c>
      <c r="F1245" s="52" t="s">
        <v>86</v>
      </c>
      <c r="G1245" s="52" t="s">
        <v>0</v>
      </c>
    </row>
    <row r="1246" spans="1:7">
      <c r="A1246" s="15" t="s">
        <v>1613</v>
      </c>
      <c r="B1246" s="63" t="s">
        <v>133</v>
      </c>
      <c r="C1246" s="64">
        <v>45</v>
      </c>
      <c r="D1246" s="65">
        <v>3.2</v>
      </c>
      <c r="E1246" s="67" t="s">
        <v>81</v>
      </c>
      <c r="F1246" s="52" t="s">
        <v>91</v>
      </c>
      <c r="G1246" s="52" t="s">
        <v>1</v>
      </c>
    </row>
    <row r="1247" spans="1:7">
      <c r="A1247" s="15" t="s">
        <v>1614</v>
      </c>
      <c r="B1247" s="63" t="s">
        <v>133</v>
      </c>
      <c r="C1247" s="64">
        <v>46</v>
      </c>
      <c r="D1247" s="65">
        <v>2.34</v>
      </c>
      <c r="E1247" s="67" t="s">
        <v>96</v>
      </c>
      <c r="F1247" s="52" t="s">
        <v>88</v>
      </c>
      <c r="G1247" s="52" t="s">
        <v>3</v>
      </c>
    </row>
    <row r="1248" spans="1:7">
      <c r="A1248" s="15" t="s">
        <v>1615</v>
      </c>
      <c r="B1248" s="63" t="s">
        <v>133</v>
      </c>
      <c r="C1248" s="64">
        <v>47</v>
      </c>
      <c r="D1248" s="65">
        <v>2.34</v>
      </c>
      <c r="E1248" s="67" t="s">
        <v>76</v>
      </c>
      <c r="F1248" s="52" t="s">
        <v>88</v>
      </c>
      <c r="G1248" s="52" t="s">
        <v>0</v>
      </c>
    </row>
    <row r="1249" spans="1:7">
      <c r="A1249" s="15" t="s">
        <v>1616</v>
      </c>
      <c r="B1249" s="63" t="s">
        <v>133</v>
      </c>
      <c r="C1249" s="64">
        <v>48</v>
      </c>
      <c r="D1249" s="65">
        <v>6.4</v>
      </c>
      <c r="E1249" s="67" t="s">
        <v>96</v>
      </c>
      <c r="F1249" s="52" t="s">
        <v>104</v>
      </c>
      <c r="G1249" s="52" t="s">
        <v>3</v>
      </c>
    </row>
    <row r="1250" spans="1:7">
      <c r="A1250" s="15" t="s">
        <v>1617</v>
      </c>
      <c r="B1250" s="63" t="s">
        <v>133</v>
      </c>
      <c r="C1250" s="64">
        <v>49</v>
      </c>
      <c r="D1250" s="65">
        <v>2.31</v>
      </c>
      <c r="E1250" s="67" t="s">
        <v>76</v>
      </c>
      <c r="F1250" s="52" t="s">
        <v>85</v>
      </c>
      <c r="G1250" s="52" t="s">
        <v>4</v>
      </c>
    </row>
    <row r="1251" spans="1:7">
      <c r="A1251" s="15" t="s">
        <v>1618</v>
      </c>
      <c r="B1251" s="63" t="s">
        <v>133</v>
      </c>
      <c r="C1251" s="64">
        <v>50</v>
      </c>
      <c r="D1251" s="65">
        <v>2.3199999999999998</v>
      </c>
      <c r="E1251" s="67" t="s">
        <v>81</v>
      </c>
      <c r="F1251" s="52" t="s">
        <v>86</v>
      </c>
      <c r="G1251" s="52" t="s">
        <v>0</v>
      </c>
    </row>
    <row r="1252" spans="1:7">
      <c r="A1252" s="15" t="s">
        <v>1619</v>
      </c>
      <c r="B1252" s="63" t="s">
        <v>134</v>
      </c>
      <c r="C1252" s="64">
        <v>1</v>
      </c>
      <c r="D1252" s="66">
        <v>2.1</v>
      </c>
      <c r="E1252" s="67" t="s">
        <v>81</v>
      </c>
      <c r="F1252" s="57" t="s">
        <v>82</v>
      </c>
      <c r="G1252" s="52" t="s">
        <v>0</v>
      </c>
    </row>
    <row r="1253" spans="1:7">
      <c r="A1253" s="15" t="s">
        <v>1620</v>
      </c>
      <c r="B1253" s="63" t="s">
        <v>134</v>
      </c>
      <c r="C1253" s="64">
        <v>2</v>
      </c>
      <c r="D1253" s="66">
        <v>1.1000000000000001</v>
      </c>
      <c r="E1253" s="67" t="s">
        <v>81</v>
      </c>
      <c r="F1253" s="57" t="s">
        <v>77</v>
      </c>
      <c r="G1253" s="52" t="s">
        <v>2</v>
      </c>
    </row>
    <row r="1254" spans="1:7">
      <c r="A1254" s="15" t="s">
        <v>1621</v>
      </c>
      <c r="B1254" s="63" t="s">
        <v>134</v>
      </c>
      <c r="C1254" s="64">
        <v>3</v>
      </c>
      <c r="D1254" s="66">
        <v>3.1</v>
      </c>
      <c r="E1254" s="67" t="s">
        <v>81</v>
      </c>
      <c r="F1254" s="57" t="s">
        <v>90</v>
      </c>
      <c r="G1254" s="52" t="s">
        <v>4</v>
      </c>
    </row>
    <row r="1255" spans="1:7">
      <c r="A1255" s="15" t="s">
        <v>1622</v>
      </c>
      <c r="B1255" s="63" t="s">
        <v>134</v>
      </c>
      <c r="C1255" s="64">
        <v>4</v>
      </c>
      <c r="D1255" s="66">
        <v>2.31</v>
      </c>
      <c r="E1255" s="67" t="s">
        <v>81</v>
      </c>
      <c r="F1255" s="57" t="s">
        <v>85</v>
      </c>
      <c r="G1255" s="52" t="s">
        <v>1</v>
      </c>
    </row>
    <row r="1256" spans="1:7">
      <c r="A1256" s="15" t="s">
        <v>1623</v>
      </c>
      <c r="B1256" s="63" t="s">
        <v>134</v>
      </c>
      <c r="C1256" s="64">
        <v>5</v>
      </c>
      <c r="D1256" s="66">
        <v>2.35</v>
      </c>
      <c r="E1256" s="67" t="s">
        <v>76</v>
      </c>
      <c r="F1256" s="57" t="s">
        <v>89</v>
      </c>
      <c r="G1256" s="52" t="s">
        <v>4</v>
      </c>
    </row>
    <row r="1257" spans="1:7">
      <c r="A1257" s="15" t="s">
        <v>1624</v>
      </c>
      <c r="B1257" s="63" t="s">
        <v>134</v>
      </c>
      <c r="C1257" s="64">
        <v>6</v>
      </c>
      <c r="D1257" s="65">
        <v>2.2000000000000002</v>
      </c>
      <c r="E1257" s="67" t="s">
        <v>81</v>
      </c>
      <c r="F1257" s="52" t="s">
        <v>83</v>
      </c>
      <c r="G1257" s="52" t="s">
        <v>3</v>
      </c>
    </row>
    <row r="1258" spans="1:7">
      <c r="A1258" s="15" t="s">
        <v>1625</v>
      </c>
      <c r="B1258" s="63" t="s">
        <v>134</v>
      </c>
      <c r="C1258" s="64">
        <v>7</v>
      </c>
      <c r="D1258" s="65">
        <v>5.0999999999999996</v>
      </c>
      <c r="E1258" s="67" t="s">
        <v>81</v>
      </c>
      <c r="F1258" s="52" t="s">
        <v>97</v>
      </c>
      <c r="G1258" s="52" t="s">
        <v>4</v>
      </c>
    </row>
    <row r="1259" spans="1:7">
      <c r="A1259" s="15" t="s">
        <v>1626</v>
      </c>
      <c r="B1259" s="63" t="s">
        <v>134</v>
      </c>
      <c r="C1259" s="64">
        <v>8</v>
      </c>
      <c r="D1259" s="65">
        <v>2.1</v>
      </c>
      <c r="E1259" s="67" t="s">
        <v>81</v>
      </c>
      <c r="F1259" s="52" t="s">
        <v>82</v>
      </c>
      <c r="G1259" s="52" t="s">
        <v>0</v>
      </c>
    </row>
    <row r="1260" spans="1:7">
      <c r="A1260" s="15" t="s">
        <v>1627</v>
      </c>
      <c r="B1260" s="63" t="s">
        <v>134</v>
      </c>
      <c r="C1260" s="64">
        <v>9</v>
      </c>
      <c r="D1260" s="65">
        <v>6.3</v>
      </c>
      <c r="E1260" s="67" t="s">
        <v>81</v>
      </c>
      <c r="F1260" s="52" t="s">
        <v>103</v>
      </c>
      <c r="G1260" s="52" t="s">
        <v>4</v>
      </c>
    </row>
    <row r="1261" spans="1:7">
      <c r="A1261" s="15" t="s">
        <v>1628</v>
      </c>
      <c r="B1261" s="63" t="s">
        <v>134</v>
      </c>
      <c r="C1261" s="64">
        <v>10</v>
      </c>
      <c r="D1261" s="65">
        <v>2.31</v>
      </c>
      <c r="E1261" s="67" t="s">
        <v>28</v>
      </c>
      <c r="F1261" s="52" t="s">
        <v>85</v>
      </c>
      <c r="G1261" s="52" t="s">
        <v>4</v>
      </c>
    </row>
    <row r="1262" spans="1:7">
      <c r="A1262" s="15" t="s">
        <v>1629</v>
      </c>
      <c r="B1262" s="63" t="s">
        <v>134</v>
      </c>
      <c r="C1262" s="64">
        <v>11</v>
      </c>
      <c r="D1262" s="65">
        <v>6.3</v>
      </c>
      <c r="E1262" s="67" t="s">
        <v>96</v>
      </c>
      <c r="F1262" s="52" t="s">
        <v>103</v>
      </c>
      <c r="G1262" s="52" t="s">
        <v>1</v>
      </c>
    </row>
    <row r="1263" spans="1:7">
      <c r="A1263" s="15" t="s">
        <v>1630</v>
      </c>
      <c r="B1263" s="63" t="s">
        <v>134</v>
      </c>
      <c r="C1263" s="64">
        <v>12</v>
      </c>
      <c r="D1263" s="65">
        <v>5.3</v>
      </c>
      <c r="E1263" s="67" t="s">
        <v>81</v>
      </c>
      <c r="F1263" s="52" t="s">
        <v>99</v>
      </c>
      <c r="G1263" s="52" t="s">
        <v>2</v>
      </c>
    </row>
    <row r="1264" spans="1:7">
      <c r="A1264" s="15" t="s">
        <v>1631</v>
      </c>
      <c r="B1264" s="63" t="s">
        <v>134</v>
      </c>
      <c r="C1264" s="64">
        <v>13</v>
      </c>
      <c r="D1264" s="65">
        <v>2.3199999999999998</v>
      </c>
      <c r="E1264" s="67" t="s">
        <v>100</v>
      </c>
      <c r="F1264" s="52" t="s">
        <v>86</v>
      </c>
      <c r="G1264" s="52" t="s">
        <v>1</v>
      </c>
    </row>
    <row r="1265" spans="1:7">
      <c r="A1265" s="15" t="s">
        <v>1632</v>
      </c>
      <c r="B1265" s="63" t="s">
        <v>134</v>
      </c>
      <c r="C1265" s="64">
        <v>14</v>
      </c>
      <c r="D1265" s="65">
        <v>1.6</v>
      </c>
      <c r="E1265" s="67" t="s">
        <v>81</v>
      </c>
      <c r="F1265" s="52" t="s">
        <v>27</v>
      </c>
      <c r="G1265" s="52" t="s">
        <v>2</v>
      </c>
    </row>
    <row r="1266" spans="1:7">
      <c r="A1266" s="15" t="s">
        <v>1633</v>
      </c>
      <c r="B1266" s="63" t="s">
        <v>134</v>
      </c>
      <c r="C1266" s="64">
        <v>15</v>
      </c>
      <c r="D1266" s="65">
        <v>3.4</v>
      </c>
      <c r="E1266" s="67" t="s">
        <v>81</v>
      </c>
      <c r="F1266" s="52" t="s">
        <v>29</v>
      </c>
      <c r="G1266" s="52" t="s">
        <v>0</v>
      </c>
    </row>
    <row r="1267" spans="1:7">
      <c r="A1267" s="15" t="s">
        <v>1634</v>
      </c>
      <c r="B1267" s="63" t="s">
        <v>134</v>
      </c>
      <c r="C1267" s="64">
        <v>16</v>
      </c>
      <c r="D1267" s="65">
        <v>5.0999999999999996</v>
      </c>
      <c r="E1267" s="67" t="s">
        <v>96</v>
      </c>
      <c r="F1267" s="52" t="s">
        <v>97</v>
      </c>
      <c r="G1267" s="52" t="s">
        <v>3</v>
      </c>
    </row>
    <row r="1268" spans="1:7">
      <c r="A1268" s="15" t="s">
        <v>1635</v>
      </c>
      <c r="B1268" s="63" t="s">
        <v>134</v>
      </c>
      <c r="C1268" s="64">
        <v>17</v>
      </c>
      <c r="D1268" s="65">
        <v>2.35</v>
      </c>
      <c r="E1268" s="67" t="s">
        <v>96</v>
      </c>
      <c r="F1268" s="52" t="s">
        <v>89</v>
      </c>
      <c r="G1268" s="52" t="s">
        <v>0</v>
      </c>
    </row>
    <row r="1269" spans="1:7">
      <c r="A1269" s="15" t="s">
        <v>1636</v>
      </c>
      <c r="B1269" s="63" t="s">
        <v>134</v>
      </c>
      <c r="C1269" s="64">
        <v>18</v>
      </c>
      <c r="D1269" s="65">
        <v>2.31</v>
      </c>
      <c r="E1269" s="67" t="s">
        <v>81</v>
      </c>
      <c r="F1269" s="52" t="s">
        <v>85</v>
      </c>
      <c r="G1269" s="52" t="s">
        <v>4</v>
      </c>
    </row>
    <row r="1270" spans="1:7">
      <c r="A1270" s="15" t="s">
        <v>1637</v>
      </c>
      <c r="B1270" s="63" t="s">
        <v>134</v>
      </c>
      <c r="C1270" s="64">
        <v>19</v>
      </c>
      <c r="D1270" s="65">
        <v>2.1</v>
      </c>
      <c r="E1270" s="67" t="s">
        <v>76</v>
      </c>
      <c r="F1270" s="52" t="s">
        <v>82</v>
      </c>
      <c r="G1270" s="52" t="s">
        <v>1</v>
      </c>
    </row>
    <row r="1271" spans="1:7">
      <c r="A1271" s="15" t="s">
        <v>1638</v>
      </c>
      <c r="B1271" s="63" t="s">
        <v>134</v>
      </c>
      <c r="C1271" s="64">
        <v>20</v>
      </c>
      <c r="D1271" s="65">
        <v>3.2</v>
      </c>
      <c r="E1271" s="67" t="s">
        <v>81</v>
      </c>
      <c r="F1271" s="52" t="s">
        <v>91</v>
      </c>
      <c r="G1271" s="52" t="s">
        <v>0</v>
      </c>
    </row>
    <row r="1272" spans="1:7">
      <c r="A1272" s="15" t="s">
        <v>1639</v>
      </c>
      <c r="B1272" s="63" t="s">
        <v>134</v>
      </c>
      <c r="C1272" s="64">
        <v>21</v>
      </c>
      <c r="D1272" s="65">
        <v>2.35</v>
      </c>
      <c r="E1272" s="67" t="s">
        <v>81</v>
      </c>
      <c r="F1272" s="52" t="s">
        <v>89</v>
      </c>
      <c r="G1272" s="52" t="s">
        <v>2</v>
      </c>
    </row>
    <row r="1273" spans="1:7">
      <c r="A1273" s="15" t="s">
        <v>1640</v>
      </c>
      <c r="B1273" s="63" t="s">
        <v>134</v>
      </c>
      <c r="C1273" s="64">
        <v>22</v>
      </c>
      <c r="D1273" s="65">
        <v>6.1</v>
      </c>
      <c r="E1273" s="67" t="s">
        <v>28</v>
      </c>
      <c r="F1273" s="52" t="s">
        <v>101</v>
      </c>
      <c r="G1273" s="52" t="s">
        <v>3</v>
      </c>
    </row>
    <row r="1274" spans="1:7">
      <c r="A1274" s="15" t="s">
        <v>1641</v>
      </c>
      <c r="B1274" s="63" t="s">
        <v>134</v>
      </c>
      <c r="C1274" s="64">
        <v>23</v>
      </c>
      <c r="D1274" s="65">
        <v>2.31</v>
      </c>
      <c r="E1274" s="67" t="s">
        <v>93</v>
      </c>
      <c r="F1274" s="52" t="s">
        <v>85</v>
      </c>
      <c r="G1274" s="52" t="s">
        <v>2</v>
      </c>
    </row>
    <row r="1275" spans="1:7">
      <c r="A1275" s="15" t="s">
        <v>1642</v>
      </c>
      <c r="B1275" s="63" t="s">
        <v>134</v>
      </c>
      <c r="C1275" s="64">
        <v>24</v>
      </c>
      <c r="D1275" s="65">
        <v>1.6</v>
      </c>
      <c r="E1275" s="67" t="s">
        <v>76</v>
      </c>
      <c r="F1275" s="52" t="s">
        <v>27</v>
      </c>
      <c r="G1275" s="52" t="s">
        <v>1</v>
      </c>
    </row>
    <row r="1276" spans="1:7">
      <c r="A1276" s="15" t="s">
        <v>1643</v>
      </c>
      <c r="B1276" s="63" t="s">
        <v>134</v>
      </c>
      <c r="C1276" s="64">
        <v>25</v>
      </c>
      <c r="D1276" s="65">
        <v>2.31</v>
      </c>
      <c r="E1276" s="67" t="s">
        <v>81</v>
      </c>
      <c r="F1276" s="52" t="s">
        <v>85</v>
      </c>
      <c r="G1276" s="52" t="s">
        <v>0</v>
      </c>
    </row>
    <row r="1277" spans="1:7">
      <c r="A1277" s="15" t="s">
        <v>1644</v>
      </c>
      <c r="B1277" s="63" t="s">
        <v>134</v>
      </c>
      <c r="C1277" s="64">
        <v>26</v>
      </c>
      <c r="D1277" s="65">
        <v>2.2000000000000002</v>
      </c>
      <c r="E1277" s="67" t="s">
        <v>81</v>
      </c>
      <c r="F1277" s="52" t="s">
        <v>83</v>
      </c>
      <c r="G1277" s="52" t="s">
        <v>4</v>
      </c>
    </row>
    <row r="1278" spans="1:7">
      <c r="A1278" s="15" t="s">
        <v>1645</v>
      </c>
      <c r="B1278" s="63" t="s">
        <v>134</v>
      </c>
      <c r="C1278" s="64">
        <v>27</v>
      </c>
      <c r="D1278" s="65">
        <v>3.1</v>
      </c>
      <c r="E1278" s="67" t="s">
        <v>96</v>
      </c>
      <c r="F1278" s="52" t="s">
        <v>90</v>
      </c>
      <c r="G1278" s="52" t="s">
        <v>3</v>
      </c>
    </row>
    <row r="1279" spans="1:7">
      <c r="A1279" s="15" t="s">
        <v>1646</v>
      </c>
      <c r="B1279" s="63" t="s">
        <v>134</v>
      </c>
      <c r="C1279" s="64">
        <v>28</v>
      </c>
      <c r="D1279" s="65">
        <v>2.31</v>
      </c>
      <c r="E1279" s="67" t="s">
        <v>100</v>
      </c>
      <c r="F1279" s="52" t="s">
        <v>85</v>
      </c>
      <c r="G1279" s="52" t="s">
        <v>4</v>
      </c>
    </row>
    <row r="1280" spans="1:7">
      <c r="A1280" s="15" t="s">
        <v>1647</v>
      </c>
      <c r="B1280" s="63" t="s">
        <v>134</v>
      </c>
      <c r="C1280" s="64">
        <v>29</v>
      </c>
      <c r="D1280" s="65">
        <v>2.2000000000000002</v>
      </c>
      <c r="E1280" s="67" t="s">
        <v>28</v>
      </c>
      <c r="F1280" s="52" t="s">
        <v>83</v>
      </c>
      <c r="G1280" s="52" t="s">
        <v>1</v>
      </c>
    </row>
    <row r="1281" spans="1:7">
      <c r="A1281" s="15" t="s">
        <v>1648</v>
      </c>
      <c r="B1281" s="63" t="s">
        <v>134</v>
      </c>
      <c r="C1281" s="64">
        <v>30</v>
      </c>
      <c r="D1281" s="65">
        <v>2.1</v>
      </c>
      <c r="E1281" s="67" t="s">
        <v>81</v>
      </c>
      <c r="F1281" s="52" t="s">
        <v>82</v>
      </c>
      <c r="G1281" s="52" t="s">
        <v>4</v>
      </c>
    </row>
    <row r="1282" spans="1:7">
      <c r="A1282" s="15" t="s">
        <v>1649</v>
      </c>
      <c r="B1282" s="63" t="s">
        <v>134</v>
      </c>
      <c r="C1282" s="64">
        <v>31</v>
      </c>
      <c r="D1282" s="65">
        <v>3.2</v>
      </c>
      <c r="E1282" s="67" t="s">
        <v>81</v>
      </c>
      <c r="F1282" s="52" t="s">
        <v>91</v>
      </c>
      <c r="G1282" s="52" t="s">
        <v>2</v>
      </c>
    </row>
    <row r="1283" spans="1:7">
      <c r="A1283" s="15" t="s">
        <v>1650</v>
      </c>
      <c r="B1283" s="63" t="s">
        <v>134</v>
      </c>
      <c r="C1283" s="64">
        <v>32</v>
      </c>
      <c r="D1283" s="65">
        <v>2.1</v>
      </c>
      <c r="E1283" s="67" t="s">
        <v>76</v>
      </c>
      <c r="F1283" s="52" t="s">
        <v>82</v>
      </c>
      <c r="G1283" s="52" t="s">
        <v>0</v>
      </c>
    </row>
    <row r="1284" spans="1:7">
      <c r="A1284" s="15" t="s">
        <v>1651</v>
      </c>
      <c r="B1284" s="63" t="s">
        <v>134</v>
      </c>
      <c r="C1284" s="64">
        <v>33</v>
      </c>
      <c r="D1284" s="65">
        <v>1.3</v>
      </c>
      <c r="E1284" s="67" t="s">
        <v>93</v>
      </c>
      <c r="F1284" s="52" t="s">
        <v>79</v>
      </c>
      <c r="G1284" s="52" t="s">
        <v>2</v>
      </c>
    </row>
    <row r="1285" spans="1:7">
      <c r="A1285" s="15" t="s">
        <v>1652</v>
      </c>
      <c r="B1285" s="63" t="s">
        <v>134</v>
      </c>
      <c r="C1285" s="64">
        <v>34</v>
      </c>
      <c r="D1285" s="65">
        <v>1.1000000000000001</v>
      </c>
      <c r="E1285" s="67" t="s">
        <v>100</v>
      </c>
      <c r="F1285" s="52" t="s">
        <v>77</v>
      </c>
      <c r="G1285" s="52" t="s">
        <v>4</v>
      </c>
    </row>
    <row r="1286" spans="1:7">
      <c r="A1286" s="15" t="s">
        <v>1653</v>
      </c>
      <c r="B1286" s="63" t="s">
        <v>134</v>
      </c>
      <c r="C1286" s="64">
        <v>35</v>
      </c>
      <c r="D1286" s="65">
        <v>2.33</v>
      </c>
      <c r="E1286" s="67" t="s">
        <v>81</v>
      </c>
      <c r="F1286" s="52" t="s">
        <v>87</v>
      </c>
      <c r="G1286" s="52" t="s">
        <v>1</v>
      </c>
    </row>
    <row r="1287" spans="1:7">
      <c r="A1287" s="15" t="s">
        <v>1654</v>
      </c>
      <c r="B1287" s="63" t="s">
        <v>134</v>
      </c>
      <c r="C1287" s="64">
        <v>36</v>
      </c>
      <c r="D1287" s="65">
        <v>5.0999999999999996</v>
      </c>
      <c r="E1287" s="67" t="s">
        <v>81</v>
      </c>
      <c r="F1287" s="52" t="s">
        <v>97</v>
      </c>
      <c r="G1287" s="52" t="s">
        <v>3</v>
      </c>
    </row>
    <row r="1288" spans="1:7">
      <c r="A1288" s="15" t="s">
        <v>1655</v>
      </c>
      <c r="B1288" s="63" t="s">
        <v>134</v>
      </c>
      <c r="C1288" s="64">
        <v>37</v>
      </c>
      <c r="D1288" s="65">
        <v>6.1</v>
      </c>
      <c r="E1288" s="67" t="s">
        <v>28</v>
      </c>
      <c r="F1288" s="52" t="s">
        <v>101</v>
      </c>
      <c r="G1288" s="52" t="s">
        <v>4</v>
      </c>
    </row>
    <row r="1289" spans="1:7">
      <c r="A1289" s="15" t="s">
        <v>1656</v>
      </c>
      <c r="B1289" s="63" t="s">
        <v>134</v>
      </c>
      <c r="C1289" s="64">
        <v>38</v>
      </c>
      <c r="D1289" s="65">
        <v>4.2</v>
      </c>
      <c r="E1289" s="67" t="s">
        <v>81</v>
      </c>
      <c r="F1289" s="52" t="s">
        <v>95</v>
      </c>
      <c r="G1289" s="52" t="s">
        <v>0</v>
      </c>
    </row>
    <row r="1290" spans="1:7">
      <c r="A1290" s="15" t="s">
        <v>1657</v>
      </c>
      <c r="B1290" s="63" t="s">
        <v>134</v>
      </c>
      <c r="C1290" s="64">
        <v>39</v>
      </c>
      <c r="D1290" s="65">
        <v>2.34</v>
      </c>
      <c r="E1290" s="67" t="s">
        <v>28</v>
      </c>
      <c r="F1290" s="52" t="s">
        <v>88</v>
      </c>
      <c r="G1290" s="52" t="s">
        <v>0</v>
      </c>
    </row>
    <row r="1291" spans="1:7">
      <c r="A1291" s="15" t="s">
        <v>1658</v>
      </c>
      <c r="B1291" s="63" t="s">
        <v>134</v>
      </c>
      <c r="C1291" s="64">
        <v>40</v>
      </c>
      <c r="D1291" s="65">
        <v>2.1</v>
      </c>
      <c r="E1291" s="67" t="s">
        <v>76</v>
      </c>
      <c r="F1291" s="52" t="s">
        <v>82</v>
      </c>
      <c r="G1291" s="52" t="s">
        <v>2</v>
      </c>
    </row>
    <row r="1292" spans="1:7">
      <c r="A1292" s="15" t="s">
        <v>1659</v>
      </c>
      <c r="B1292" s="63" t="s">
        <v>134</v>
      </c>
      <c r="C1292" s="64">
        <v>41</v>
      </c>
      <c r="D1292" s="65">
        <v>4.2</v>
      </c>
      <c r="E1292" s="67" t="s">
        <v>96</v>
      </c>
      <c r="F1292" s="52" t="s">
        <v>95</v>
      </c>
      <c r="G1292" s="52" t="s">
        <v>2</v>
      </c>
    </row>
    <row r="1293" spans="1:7">
      <c r="A1293" s="15" t="s">
        <v>1660</v>
      </c>
      <c r="B1293" s="63" t="s">
        <v>134</v>
      </c>
      <c r="C1293" s="64">
        <v>42</v>
      </c>
      <c r="D1293" s="65">
        <v>3.2</v>
      </c>
      <c r="E1293" s="67" t="s">
        <v>81</v>
      </c>
      <c r="F1293" s="52" t="s">
        <v>91</v>
      </c>
      <c r="G1293" s="52" t="s">
        <v>2</v>
      </c>
    </row>
    <row r="1294" spans="1:7">
      <c r="A1294" s="15" t="s">
        <v>1661</v>
      </c>
      <c r="B1294" s="63" t="s">
        <v>134</v>
      </c>
      <c r="C1294" s="64">
        <v>43</v>
      </c>
      <c r="D1294" s="65">
        <v>3.2</v>
      </c>
      <c r="E1294" s="67" t="s">
        <v>81</v>
      </c>
      <c r="F1294" s="52" t="s">
        <v>91</v>
      </c>
      <c r="G1294" s="52" t="s">
        <v>4</v>
      </c>
    </row>
    <row r="1295" spans="1:7">
      <c r="A1295" s="15" t="s">
        <v>1662</v>
      </c>
      <c r="B1295" s="63" t="s">
        <v>134</v>
      </c>
      <c r="C1295" s="64">
        <v>44</v>
      </c>
      <c r="D1295" s="65">
        <v>2.31</v>
      </c>
      <c r="E1295" s="67" t="s">
        <v>81</v>
      </c>
      <c r="F1295" s="52" t="s">
        <v>85</v>
      </c>
      <c r="G1295" s="52" t="s">
        <v>2</v>
      </c>
    </row>
    <row r="1296" spans="1:7">
      <c r="A1296" s="15" t="s">
        <v>1663</v>
      </c>
      <c r="B1296" s="63" t="s">
        <v>134</v>
      </c>
      <c r="C1296" s="64">
        <v>45</v>
      </c>
      <c r="D1296" s="65">
        <v>2.35</v>
      </c>
      <c r="E1296" s="67" t="s">
        <v>76</v>
      </c>
      <c r="F1296" s="52" t="s">
        <v>89</v>
      </c>
      <c r="G1296" s="52" t="s">
        <v>3</v>
      </c>
    </row>
    <row r="1297" spans="1:7">
      <c r="A1297" s="15" t="s">
        <v>1664</v>
      </c>
      <c r="B1297" s="63" t="s">
        <v>134</v>
      </c>
      <c r="C1297" s="64">
        <v>46</v>
      </c>
      <c r="D1297" s="65">
        <v>5.2</v>
      </c>
      <c r="E1297" s="67" t="s">
        <v>76</v>
      </c>
      <c r="F1297" s="52" t="s">
        <v>98</v>
      </c>
      <c r="G1297" s="52" t="s">
        <v>1</v>
      </c>
    </row>
    <row r="1298" spans="1:7">
      <c r="A1298" s="15" t="s">
        <v>1665</v>
      </c>
      <c r="B1298" s="63" t="s">
        <v>134</v>
      </c>
      <c r="C1298" s="64">
        <v>47</v>
      </c>
      <c r="D1298" s="65">
        <v>1.6</v>
      </c>
      <c r="E1298" s="67" t="s">
        <v>96</v>
      </c>
      <c r="F1298" s="52" t="s">
        <v>27</v>
      </c>
      <c r="G1298" s="52" t="s">
        <v>0</v>
      </c>
    </row>
    <row r="1299" spans="1:7">
      <c r="A1299" s="15" t="s">
        <v>1666</v>
      </c>
      <c r="B1299" s="63" t="s">
        <v>134</v>
      </c>
      <c r="C1299" s="64">
        <v>48</v>
      </c>
      <c r="D1299" s="65">
        <v>5.0999999999999996</v>
      </c>
      <c r="E1299" s="67" t="s">
        <v>100</v>
      </c>
      <c r="F1299" s="52" t="s">
        <v>97</v>
      </c>
      <c r="G1299" s="52" t="s">
        <v>0</v>
      </c>
    </row>
    <row r="1300" spans="1:7">
      <c r="A1300" s="15" t="s">
        <v>1667</v>
      </c>
      <c r="B1300" s="63" t="s">
        <v>134</v>
      </c>
      <c r="C1300" s="64">
        <v>49</v>
      </c>
      <c r="D1300" s="65">
        <v>1.3</v>
      </c>
      <c r="E1300" s="67" t="s">
        <v>96</v>
      </c>
      <c r="F1300" s="52" t="s">
        <v>79</v>
      </c>
      <c r="G1300" s="52" t="s">
        <v>3</v>
      </c>
    </row>
    <row r="1301" spans="1:7">
      <c r="A1301" s="15" t="s">
        <v>1668</v>
      </c>
      <c r="B1301" s="63" t="s">
        <v>134</v>
      </c>
      <c r="C1301" s="64">
        <v>50</v>
      </c>
      <c r="D1301" s="65">
        <v>2.2000000000000002</v>
      </c>
      <c r="E1301" s="67" t="s">
        <v>28</v>
      </c>
      <c r="F1301" s="52" t="s">
        <v>83</v>
      </c>
      <c r="G1301" s="52" t="s">
        <v>4</v>
      </c>
    </row>
    <row r="1302" spans="1:7">
      <c r="A1302" s="15" t="s">
        <v>1669</v>
      </c>
      <c r="B1302" s="63" t="s">
        <v>135</v>
      </c>
      <c r="C1302" s="64">
        <v>1</v>
      </c>
      <c r="D1302" s="66">
        <v>2.1</v>
      </c>
      <c r="E1302" s="67" t="s">
        <v>81</v>
      </c>
      <c r="F1302" s="57" t="s">
        <v>82</v>
      </c>
      <c r="G1302" s="52" t="s">
        <v>0</v>
      </c>
    </row>
    <row r="1303" spans="1:7">
      <c r="A1303" s="15" t="s">
        <v>1670</v>
      </c>
      <c r="B1303" s="63" t="s">
        <v>135</v>
      </c>
      <c r="C1303" s="64">
        <v>2</v>
      </c>
      <c r="D1303" s="66">
        <v>2.35</v>
      </c>
      <c r="E1303" s="67" t="s">
        <v>81</v>
      </c>
      <c r="F1303" s="57" t="s">
        <v>89</v>
      </c>
      <c r="G1303" s="52" t="s">
        <v>2</v>
      </c>
    </row>
    <row r="1304" spans="1:7">
      <c r="A1304" s="15" t="s">
        <v>1671</v>
      </c>
      <c r="B1304" s="63" t="s">
        <v>135</v>
      </c>
      <c r="C1304" s="64">
        <v>3</v>
      </c>
      <c r="D1304" s="65">
        <v>2.2000000000000002</v>
      </c>
      <c r="E1304" s="67" t="s">
        <v>81</v>
      </c>
      <c r="F1304" s="52" t="s">
        <v>83</v>
      </c>
      <c r="G1304" s="52" t="s">
        <v>3</v>
      </c>
    </row>
    <row r="1305" spans="1:7">
      <c r="A1305" s="15" t="s">
        <v>1672</v>
      </c>
      <c r="B1305" s="63" t="s">
        <v>135</v>
      </c>
      <c r="C1305" s="64">
        <v>4</v>
      </c>
      <c r="D1305" s="65">
        <v>2.2000000000000002</v>
      </c>
      <c r="E1305" s="67" t="s">
        <v>28</v>
      </c>
      <c r="F1305" s="52" t="s">
        <v>83</v>
      </c>
      <c r="G1305" s="52" t="s">
        <v>4</v>
      </c>
    </row>
    <row r="1306" spans="1:7">
      <c r="A1306" s="15" t="s">
        <v>1673</v>
      </c>
      <c r="B1306" s="63" t="s">
        <v>135</v>
      </c>
      <c r="C1306" s="64">
        <v>5</v>
      </c>
      <c r="D1306" s="65">
        <v>1.6</v>
      </c>
      <c r="E1306" s="67" t="s">
        <v>96</v>
      </c>
      <c r="F1306" s="52" t="s">
        <v>27</v>
      </c>
      <c r="G1306" s="52" t="s">
        <v>4</v>
      </c>
    </row>
    <row r="1307" spans="1:7">
      <c r="A1307" s="15" t="s">
        <v>1674</v>
      </c>
      <c r="B1307" s="63" t="s">
        <v>135</v>
      </c>
      <c r="C1307" s="64">
        <v>6</v>
      </c>
      <c r="D1307" s="65">
        <v>2.2000000000000002</v>
      </c>
      <c r="E1307" s="67" t="s">
        <v>81</v>
      </c>
      <c r="F1307" s="52" t="s">
        <v>83</v>
      </c>
      <c r="G1307" s="52" t="s">
        <v>1</v>
      </c>
    </row>
    <row r="1308" spans="1:7">
      <c r="A1308" s="15" t="s">
        <v>1675</v>
      </c>
      <c r="B1308" s="63" t="s">
        <v>135</v>
      </c>
      <c r="C1308" s="64">
        <v>7</v>
      </c>
      <c r="D1308" s="65">
        <v>2.2000000000000002</v>
      </c>
      <c r="E1308" s="67" t="s">
        <v>81</v>
      </c>
      <c r="F1308" s="52" t="s">
        <v>83</v>
      </c>
      <c r="G1308" s="52" t="s">
        <v>4</v>
      </c>
    </row>
    <row r="1309" spans="1:7">
      <c r="A1309" s="15" t="s">
        <v>1676</v>
      </c>
      <c r="B1309" s="63" t="s">
        <v>135</v>
      </c>
      <c r="C1309" s="64">
        <v>8</v>
      </c>
      <c r="D1309" s="65">
        <v>2.1</v>
      </c>
      <c r="E1309" s="67" t="s">
        <v>81</v>
      </c>
      <c r="F1309" s="52" t="s">
        <v>82</v>
      </c>
      <c r="G1309" s="52" t="s">
        <v>2</v>
      </c>
    </row>
    <row r="1310" spans="1:7">
      <c r="A1310" s="15" t="s">
        <v>1677</v>
      </c>
      <c r="B1310" s="63" t="s">
        <v>135</v>
      </c>
      <c r="C1310" s="64">
        <v>9</v>
      </c>
      <c r="D1310" s="65">
        <v>2.2000000000000002</v>
      </c>
      <c r="E1310" s="67" t="s">
        <v>100</v>
      </c>
      <c r="F1310" s="52" t="s">
        <v>83</v>
      </c>
      <c r="G1310" s="52" t="s">
        <v>3</v>
      </c>
    </row>
    <row r="1311" spans="1:7">
      <c r="A1311" s="15" t="s">
        <v>1678</v>
      </c>
      <c r="B1311" s="63" t="s">
        <v>135</v>
      </c>
      <c r="C1311" s="64">
        <v>10</v>
      </c>
      <c r="D1311" s="65">
        <v>2.31</v>
      </c>
      <c r="E1311" s="67" t="s">
        <v>76</v>
      </c>
      <c r="F1311" s="52" t="s">
        <v>85</v>
      </c>
      <c r="G1311" s="52" t="s">
        <v>0</v>
      </c>
    </row>
    <row r="1312" spans="1:7">
      <c r="A1312" s="15" t="s">
        <v>1679</v>
      </c>
      <c r="B1312" s="63" t="s">
        <v>135</v>
      </c>
      <c r="C1312" s="64">
        <v>11</v>
      </c>
      <c r="D1312" s="65">
        <v>5.0999999999999996</v>
      </c>
      <c r="E1312" s="67" t="s">
        <v>81</v>
      </c>
      <c r="F1312" s="52" t="s">
        <v>97</v>
      </c>
      <c r="G1312" s="52" t="s">
        <v>2</v>
      </c>
    </row>
    <row r="1313" spans="1:7">
      <c r="A1313" s="15" t="s">
        <v>1680</v>
      </c>
      <c r="B1313" s="63" t="s">
        <v>135</v>
      </c>
      <c r="C1313" s="64">
        <v>12</v>
      </c>
      <c r="D1313" s="65">
        <v>2.1</v>
      </c>
      <c r="E1313" s="67" t="s">
        <v>81</v>
      </c>
      <c r="F1313" s="52" t="s">
        <v>82</v>
      </c>
      <c r="G1313" s="52" t="s">
        <v>1</v>
      </c>
    </row>
    <row r="1314" spans="1:7">
      <c r="A1314" s="15" t="s">
        <v>1681</v>
      </c>
      <c r="B1314" s="63" t="s">
        <v>135</v>
      </c>
      <c r="C1314" s="64">
        <v>13</v>
      </c>
      <c r="D1314" s="65">
        <v>6.3</v>
      </c>
      <c r="E1314" s="67" t="s">
        <v>81</v>
      </c>
      <c r="F1314" s="52" t="s">
        <v>103</v>
      </c>
      <c r="G1314" s="52" t="s">
        <v>4</v>
      </c>
    </row>
    <row r="1315" spans="1:7">
      <c r="A1315" s="15" t="s">
        <v>1682</v>
      </c>
      <c r="B1315" s="63" t="s">
        <v>135</v>
      </c>
      <c r="C1315" s="64">
        <v>14</v>
      </c>
      <c r="D1315" s="65">
        <v>2.1</v>
      </c>
      <c r="E1315" s="67" t="s">
        <v>81</v>
      </c>
      <c r="F1315" s="52" t="s">
        <v>82</v>
      </c>
      <c r="G1315" s="52" t="s">
        <v>4</v>
      </c>
    </row>
    <row r="1316" spans="1:7">
      <c r="A1316" s="15" t="s">
        <v>1683</v>
      </c>
      <c r="B1316" s="63" t="s">
        <v>135</v>
      </c>
      <c r="C1316" s="64">
        <v>15</v>
      </c>
      <c r="D1316" s="65">
        <v>2.1</v>
      </c>
      <c r="E1316" s="67" t="s">
        <v>81</v>
      </c>
      <c r="F1316" s="52" t="s">
        <v>82</v>
      </c>
      <c r="G1316" s="52" t="s">
        <v>1</v>
      </c>
    </row>
    <row r="1317" spans="1:7">
      <c r="A1317" s="15" t="s">
        <v>1684</v>
      </c>
      <c r="B1317" s="63" t="s">
        <v>135</v>
      </c>
      <c r="C1317" s="64">
        <v>16</v>
      </c>
      <c r="D1317" s="65">
        <v>5.0999999999999996</v>
      </c>
      <c r="E1317" s="67" t="s">
        <v>96</v>
      </c>
      <c r="F1317" s="52" t="s">
        <v>97</v>
      </c>
      <c r="G1317" s="52" t="s">
        <v>2</v>
      </c>
    </row>
    <row r="1318" spans="1:7">
      <c r="A1318" s="15" t="s">
        <v>1685</v>
      </c>
      <c r="B1318" s="63" t="s">
        <v>135</v>
      </c>
      <c r="C1318" s="64">
        <v>17</v>
      </c>
      <c r="D1318" s="65">
        <v>5.3</v>
      </c>
      <c r="E1318" s="67" t="s">
        <v>28</v>
      </c>
      <c r="F1318" s="52" t="s">
        <v>99</v>
      </c>
      <c r="G1318" s="52" t="s">
        <v>3</v>
      </c>
    </row>
    <row r="1319" spans="1:7">
      <c r="A1319" s="15" t="s">
        <v>1686</v>
      </c>
      <c r="B1319" s="63" t="s">
        <v>135</v>
      </c>
      <c r="C1319" s="64">
        <v>18</v>
      </c>
      <c r="D1319" s="65">
        <v>2.31</v>
      </c>
      <c r="E1319" s="67" t="s">
        <v>81</v>
      </c>
      <c r="F1319" s="52" t="s">
        <v>85</v>
      </c>
      <c r="G1319" s="52" t="s">
        <v>4</v>
      </c>
    </row>
    <row r="1320" spans="1:7">
      <c r="A1320" s="15" t="s">
        <v>1687</v>
      </c>
      <c r="B1320" s="63" t="s">
        <v>135</v>
      </c>
      <c r="C1320" s="64">
        <v>19</v>
      </c>
      <c r="D1320" s="65">
        <v>1.6</v>
      </c>
      <c r="E1320" s="67" t="s">
        <v>76</v>
      </c>
      <c r="F1320" s="52" t="s">
        <v>27</v>
      </c>
      <c r="G1320" s="52" t="s">
        <v>2</v>
      </c>
    </row>
    <row r="1321" spans="1:7">
      <c r="A1321" s="15" t="s">
        <v>1688</v>
      </c>
      <c r="B1321" s="63" t="s">
        <v>135</v>
      </c>
      <c r="C1321" s="64">
        <v>20</v>
      </c>
      <c r="D1321" s="65">
        <v>2.1</v>
      </c>
      <c r="E1321" s="67" t="s">
        <v>93</v>
      </c>
      <c r="F1321" s="52" t="s">
        <v>82</v>
      </c>
      <c r="G1321" s="52" t="s">
        <v>1</v>
      </c>
    </row>
    <row r="1322" spans="1:7">
      <c r="A1322" s="15" t="s">
        <v>1689</v>
      </c>
      <c r="B1322" s="63" t="s">
        <v>135</v>
      </c>
      <c r="C1322" s="64">
        <v>21</v>
      </c>
      <c r="D1322" s="65">
        <v>2.35</v>
      </c>
      <c r="E1322" s="67" t="s">
        <v>100</v>
      </c>
      <c r="F1322" s="52" t="s">
        <v>89</v>
      </c>
      <c r="G1322" s="52" t="s">
        <v>0</v>
      </c>
    </row>
    <row r="1323" spans="1:7">
      <c r="A1323" s="15" t="s">
        <v>1690</v>
      </c>
      <c r="B1323" s="63" t="s">
        <v>135</v>
      </c>
      <c r="C1323" s="64">
        <v>22</v>
      </c>
      <c r="D1323" s="65">
        <v>3.2</v>
      </c>
      <c r="E1323" s="67" t="s">
        <v>81</v>
      </c>
      <c r="F1323" s="52" t="s">
        <v>91</v>
      </c>
      <c r="G1323" s="52" t="s">
        <v>3</v>
      </c>
    </row>
    <row r="1324" spans="1:7">
      <c r="A1324" s="15" t="s">
        <v>1691</v>
      </c>
      <c r="B1324" s="63" t="s">
        <v>135</v>
      </c>
      <c r="C1324" s="64">
        <v>23</v>
      </c>
      <c r="D1324" s="65">
        <v>4.2</v>
      </c>
      <c r="E1324" s="67" t="s">
        <v>81</v>
      </c>
      <c r="F1324" s="52" t="s">
        <v>95</v>
      </c>
      <c r="G1324" s="52" t="s">
        <v>4</v>
      </c>
    </row>
    <row r="1325" spans="1:7">
      <c r="A1325" s="15" t="s">
        <v>1692</v>
      </c>
      <c r="B1325" s="63" t="s">
        <v>135</v>
      </c>
      <c r="C1325" s="64">
        <v>24</v>
      </c>
      <c r="D1325" s="65">
        <v>1.1000000000000001</v>
      </c>
      <c r="E1325" s="67" t="s">
        <v>96</v>
      </c>
      <c r="F1325" s="52" t="s">
        <v>77</v>
      </c>
      <c r="G1325" s="52" t="s">
        <v>2</v>
      </c>
    </row>
    <row r="1326" spans="1:7">
      <c r="A1326" s="15" t="s">
        <v>1693</v>
      </c>
      <c r="B1326" s="63" t="s">
        <v>135</v>
      </c>
      <c r="C1326" s="64">
        <v>25</v>
      </c>
      <c r="D1326" s="65">
        <v>2.3199999999999998</v>
      </c>
      <c r="E1326" s="67" t="s">
        <v>76</v>
      </c>
      <c r="F1326" s="52" t="s">
        <v>86</v>
      </c>
      <c r="G1326" s="52" t="s">
        <v>0</v>
      </c>
    </row>
    <row r="1327" spans="1:7">
      <c r="A1327" s="15" t="s">
        <v>1694</v>
      </c>
      <c r="B1327" s="63" t="s">
        <v>135</v>
      </c>
      <c r="C1327" s="64">
        <v>26</v>
      </c>
      <c r="D1327" s="65">
        <v>2.3199999999999998</v>
      </c>
      <c r="E1327" s="67" t="s">
        <v>28</v>
      </c>
      <c r="F1327" s="52" t="s">
        <v>86</v>
      </c>
      <c r="G1327" s="52" t="s">
        <v>2</v>
      </c>
    </row>
    <row r="1328" spans="1:7">
      <c r="A1328" s="15" t="s">
        <v>1695</v>
      </c>
      <c r="B1328" s="63" t="s">
        <v>135</v>
      </c>
      <c r="C1328" s="64">
        <v>27</v>
      </c>
      <c r="D1328" s="65">
        <v>5.2</v>
      </c>
      <c r="E1328" s="67" t="s">
        <v>81</v>
      </c>
      <c r="F1328" s="52" t="s">
        <v>98</v>
      </c>
      <c r="G1328" s="52" t="s">
        <v>4</v>
      </c>
    </row>
    <row r="1329" spans="1:7">
      <c r="A1329" s="15" t="s">
        <v>1696</v>
      </c>
      <c r="B1329" s="63" t="s">
        <v>135</v>
      </c>
      <c r="C1329" s="64">
        <v>28</v>
      </c>
      <c r="D1329" s="65">
        <v>6.4</v>
      </c>
      <c r="E1329" s="67" t="s">
        <v>100</v>
      </c>
      <c r="F1329" s="52" t="s">
        <v>104</v>
      </c>
      <c r="G1329" s="52" t="s">
        <v>0</v>
      </c>
    </row>
    <row r="1330" spans="1:7">
      <c r="A1330" s="15" t="s">
        <v>1697</v>
      </c>
      <c r="B1330" s="63" t="s">
        <v>135</v>
      </c>
      <c r="C1330" s="64">
        <v>29</v>
      </c>
      <c r="D1330" s="65">
        <v>3.2</v>
      </c>
      <c r="E1330" s="67" t="s">
        <v>96</v>
      </c>
      <c r="F1330" s="52" t="s">
        <v>91</v>
      </c>
      <c r="G1330" s="52" t="s">
        <v>0</v>
      </c>
    </row>
    <row r="1331" spans="1:7">
      <c r="A1331" s="15" t="s">
        <v>1698</v>
      </c>
      <c r="B1331" s="63" t="s">
        <v>135</v>
      </c>
      <c r="C1331" s="64">
        <v>30</v>
      </c>
      <c r="D1331" s="65">
        <v>2.33</v>
      </c>
      <c r="E1331" s="67" t="s">
        <v>96</v>
      </c>
      <c r="F1331" s="52" t="s">
        <v>87</v>
      </c>
      <c r="G1331" s="52" t="s">
        <v>4</v>
      </c>
    </row>
    <row r="1332" spans="1:7">
      <c r="A1332" s="15" t="s">
        <v>1699</v>
      </c>
      <c r="B1332" s="63" t="s">
        <v>135</v>
      </c>
      <c r="C1332" s="64">
        <v>31</v>
      </c>
      <c r="D1332" s="65">
        <v>2.34</v>
      </c>
      <c r="E1332" s="67" t="s">
        <v>81</v>
      </c>
      <c r="F1332" s="52" t="s">
        <v>88</v>
      </c>
      <c r="G1332" s="52" t="s">
        <v>1</v>
      </c>
    </row>
    <row r="1333" spans="1:7">
      <c r="A1333" s="15" t="s">
        <v>1700</v>
      </c>
      <c r="B1333" s="63" t="s">
        <v>135</v>
      </c>
      <c r="C1333" s="64">
        <v>32</v>
      </c>
      <c r="D1333" s="65">
        <v>1.4</v>
      </c>
      <c r="E1333" s="67" t="s">
        <v>81</v>
      </c>
      <c r="F1333" s="52" t="s">
        <v>30</v>
      </c>
      <c r="G1333" s="52" t="s">
        <v>1</v>
      </c>
    </row>
    <row r="1334" spans="1:7">
      <c r="A1334" s="15" t="s">
        <v>1701</v>
      </c>
      <c r="B1334" s="63" t="s">
        <v>135</v>
      </c>
      <c r="C1334" s="64">
        <v>33</v>
      </c>
      <c r="D1334" s="65">
        <v>4.2</v>
      </c>
      <c r="E1334" s="67" t="s">
        <v>28</v>
      </c>
      <c r="F1334" s="52" t="s">
        <v>95</v>
      </c>
      <c r="G1334" s="52" t="s">
        <v>0</v>
      </c>
    </row>
    <row r="1335" spans="1:7">
      <c r="A1335" s="15" t="s">
        <v>1702</v>
      </c>
      <c r="B1335" s="63" t="s">
        <v>135</v>
      </c>
      <c r="C1335" s="64">
        <v>34</v>
      </c>
      <c r="D1335" s="65">
        <v>6.4</v>
      </c>
      <c r="E1335" s="67" t="s">
        <v>81</v>
      </c>
      <c r="F1335" s="52" t="s">
        <v>104</v>
      </c>
      <c r="G1335" s="52" t="s">
        <v>4</v>
      </c>
    </row>
    <row r="1336" spans="1:7">
      <c r="A1336" s="15" t="s">
        <v>1703</v>
      </c>
      <c r="B1336" s="63" t="s">
        <v>135</v>
      </c>
      <c r="C1336" s="64">
        <v>35</v>
      </c>
      <c r="D1336" s="65">
        <v>2.1</v>
      </c>
      <c r="E1336" s="67" t="s">
        <v>96</v>
      </c>
      <c r="F1336" s="52" t="s">
        <v>82</v>
      </c>
      <c r="G1336" s="52" t="s">
        <v>0</v>
      </c>
    </row>
    <row r="1337" spans="1:7">
      <c r="A1337" s="15" t="s">
        <v>1704</v>
      </c>
      <c r="B1337" s="63" t="s">
        <v>135</v>
      </c>
      <c r="C1337" s="64">
        <v>36</v>
      </c>
      <c r="D1337" s="65">
        <v>2.35</v>
      </c>
      <c r="E1337" s="67" t="s">
        <v>100</v>
      </c>
      <c r="F1337" s="52" t="s">
        <v>89</v>
      </c>
      <c r="G1337" s="52" t="s">
        <v>2</v>
      </c>
    </row>
    <row r="1338" spans="1:7">
      <c r="A1338" s="15" t="s">
        <v>1705</v>
      </c>
      <c r="B1338" s="63" t="s">
        <v>135</v>
      </c>
      <c r="C1338" s="64">
        <v>37</v>
      </c>
      <c r="D1338" s="65">
        <v>3.1</v>
      </c>
      <c r="E1338" s="67" t="s">
        <v>81</v>
      </c>
      <c r="F1338" s="52" t="s">
        <v>90</v>
      </c>
      <c r="G1338" s="52" t="s">
        <v>0</v>
      </c>
    </row>
    <row r="1339" spans="1:7">
      <c r="A1339" s="15" t="s">
        <v>1706</v>
      </c>
      <c r="B1339" s="63" t="s">
        <v>135</v>
      </c>
      <c r="C1339" s="64">
        <v>38</v>
      </c>
      <c r="D1339" s="65">
        <v>2.31</v>
      </c>
      <c r="E1339" s="67" t="s">
        <v>81</v>
      </c>
      <c r="F1339" s="52" t="s">
        <v>85</v>
      </c>
      <c r="G1339" s="52" t="s">
        <v>1</v>
      </c>
    </row>
    <row r="1340" spans="1:7">
      <c r="A1340" s="15" t="s">
        <v>1707</v>
      </c>
      <c r="B1340" s="63" t="s">
        <v>135</v>
      </c>
      <c r="C1340" s="64">
        <v>39</v>
      </c>
      <c r="D1340" s="65">
        <v>3.4</v>
      </c>
      <c r="E1340" s="67" t="s">
        <v>81</v>
      </c>
      <c r="F1340" s="52" t="s">
        <v>29</v>
      </c>
      <c r="G1340" s="52" t="s">
        <v>3</v>
      </c>
    </row>
    <row r="1341" spans="1:7">
      <c r="A1341" s="15" t="s">
        <v>1708</v>
      </c>
      <c r="B1341" s="63" t="s">
        <v>135</v>
      </c>
      <c r="C1341" s="64">
        <v>40</v>
      </c>
      <c r="D1341" s="65">
        <v>1.2</v>
      </c>
      <c r="E1341" s="67" t="s">
        <v>100</v>
      </c>
      <c r="F1341" s="52" t="s">
        <v>78</v>
      </c>
      <c r="G1341" s="52" t="s">
        <v>2</v>
      </c>
    </row>
    <row r="1342" spans="1:7">
      <c r="A1342" s="15" t="s">
        <v>1709</v>
      </c>
      <c r="B1342" s="63" t="s">
        <v>135</v>
      </c>
      <c r="C1342" s="64">
        <v>41</v>
      </c>
      <c r="D1342" s="65">
        <v>5.0999999999999996</v>
      </c>
      <c r="E1342" s="67" t="s">
        <v>81</v>
      </c>
      <c r="F1342" s="52" t="s">
        <v>97</v>
      </c>
      <c r="G1342" s="52" t="s">
        <v>4</v>
      </c>
    </row>
    <row r="1343" spans="1:7">
      <c r="A1343" s="15" t="s">
        <v>1710</v>
      </c>
      <c r="B1343" s="63" t="s">
        <v>135</v>
      </c>
      <c r="C1343" s="64">
        <v>42</v>
      </c>
      <c r="D1343" s="65">
        <v>2.31</v>
      </c>
      <c r="E1343" s="67" t="s">
        <v>81</v>
      </c>
      <c r="F1343" s="52" t="s">
        <v>85</v>
      </c>
      <c r="G1343" s="52" t="s">
        <v>0</v>
      </c>
    </row>
    <row r="1344" spans="1:7">
      <c r="A1344" s="15" t="s">
        <v>1711</v>
      </c>
      <c r="B1344" s="63" t="s">
        <v>135</v>
      </c>
      <c r="C1344" s="64">
        <v>43</v>
      </c>
      <c r="D1344" s="65">
        <v>2.35</v>
      </c>
      <c r="E1344" s="67" t="s">
        <v>81</v>
      </c>
      <c r="F1344" s="52" t="s">
        <v>89</v>
      </c>
      <c r="G1344" s="52" t="s">
        <v>2</v>
      </c>
    </row>
    <row r="1345" spans="1:7">
      <c r="A1345" s="15" t="s">
        <v>1712</v>
      </c>
      <c r="B1345" s="63" t="s">
        <v>135</v>
      </c>
      <c r="C1345" s="64">
        <v>44</v>
      </c>
      <c r="D1345" s="65">
        <v>2.34</v>
      </c>
      <c r="E1345" s="67" t="s">
        <v>81</v>
      </c>
      <c r="F1345" s="52" t="s">
        <v>88</v>
      </c>
      <c r="G1345" s="52" t="s">
        <v>1</v>
      </c>
    </row>
    <row r="1346" spans="1:7">
      <c r="A1346" s="15" t="s">
        <v>1713</v>
      </c>
      <c r="B1346" s="63" t="s">
        <v>135</v>
      </c>
      <c r="C1346" s="64">
        <v>45</v>
      </c>
      <c r="D1346" s="65">
        <v>1.3</v>
      </c>
      <c r="E1346" s="67" t="s">
        <v>93</v>
      </c>
      <c r="F1346" s="52" t="s">
        <v>79</v>
      </c>
      <c r="G1346" s="52" t="s">
        <v>1</v>
      </c>
    </row>
    <row r="1347" spans="1:7">
      <c r="A1347" s="15" t="s">
        <v>1714</v>
      </c>
      <c r="B1347" s="63" t="s">
        <v>135</v>
      </c>
      <c r="C1347" s="64">
        <v>46</v>
      </c>
      <c r="D1347" s="65">
        <v>1.1000000000000001</v>
      </c>
      <c r="E1347" s="67" t="s">
        <v>28</v>
      </c>
      <c r="F1347" s="52" t="s">
        <v>77</v>
      </c>
      <c r="G1347" s="52" t="s">
        <v>2</v>
      </c>
    </row>
    <row r="1348" spans="1:7">
      <c r="A1348" s="15" t="s">
        <v>1715</v>
      </c>
      <c r="B1348" s="63" t="s">
        <v>135</v>
      </c>
      <c r="C1348" s="64">
        <v>47</v>
      </c>
      <c r="D1348" s="65">
        <v>5.0999999999999996</v>
      </c>
      <c r="E1348" s="67" t="s">
        <v>100</v>
      </c>
      <c r="F1348" s="52" t="s">
        <v>97</v>
      </c>
      <c r="G1348" s="52" t="s">
        <v>4</v>
      </c>
    </row>
    <row r="1349" spans="1:7">
      <c r="A1349" s="15" t="s">
        <v>1716</v>
      </c>
      <c r="B1349" s="63" t="s">
        <v>135</v>
      </c>
      <c r="C1349" s="64">
        <v>48</v>
      </c>
      <c r="D1349" s="65">
        <v>6.3</v>
      </c>
      <c r="E1349" s="67" t="s">
        <v>81</v>
      </c>
      <c r="F1349" s="52" t="s">
        <v>103</v>
      </c>
      <c r="G1349" s="52" t="s">
        <v>3</v>
      </c>
    </row>
    <row r="1350" spans="1:7">
      <c r="A1350" s="15" t="s">
        <v>1717</v>
      </c>
      <c r="B1350" s="63" t="s">
        <v>135</v>
      </c>
      <c r="C1350" s="64">
        <v>49</v>
      </c>
      <c r="D1350" s="65">
        <v>5.3</v>
      </c>
      <c r="E1350" s="67" t="s">
        <v>81</v>
      </c>
      <c r="F1350" s="52" t="s">
        <v>99</v>
      </c>
      <c r="G1350" s="52" t="s">
        <v>4</v>
      </c>
    </row>
    <row r="1351" spans="1:7">
      <c r="A1351" s="15" t="s">
        <v>1718</v>
      </c>
      <c r="B1351" s="63" t="s">
        <v>135</v>
      </c>
      <c r="C1351" s="64">
        <v>50</v>
      </c>
      <c r="D1351" s="65">
        <v>3.1</v>
      </c>
      <c r="E1351" s="67" t="s">
        <v>81</v>
      </c>
      <c r="F1351" s="52" t="s">
        <v>90</v>
      </c>
      <c r="G1351" s="52" t="s">
        <v>2</v>
      </c>
    </row>
    <row r="1352" spans="1:7">
      <c r="A1352" s="15" t="s">
        <v>1719</v>
      </c>
      <c r="B1352" s="63" t="s">
        <v>136</v>
      </c>
      <c r="C1352" s="64">
        <v>1</v>
      </c>
      <c r="D1352" s="66">
        <v>2.1</v>
      </c>
      <c r="E1352" s="67" t="s">
        <v>81</v>
      </c>
      <c r="F1352" s="57" t="s">
        <v>82</v>
      </c>
      <c r="G1352" s="52" t="s">
        <v>0</v>
      </c>
    </row>
    <row r="1353" spans="1:7">
      <c r="A1353" s="15" t="s">
        <v>1720</v>
      </c>
      <c r="B1353" s="63" t="s">
        <v>136</v>
      </c>
      <c r="C1353" s="64">
        <v>2</v>
      </c>
      <c r="D1353" s="65">
        <v>2.1</v>
      </c>
      <c r="E1353" s="67" t="s">
        <v>81</v>
      </c>
      <c r="F1353" s="52" t="s">
        <v>82</v>
      </c>
      <c r="G1353" s="52" t="s">
        <v>3</v>
      </c>
    </row>
    <row r="1354" spans="1:7">
      <c r="A1354" s="15" t="s">
        <v>1721</v>
      </c>
      <c r="B1354" s="63" t="s">
        <v>136</v>
      </c>
      <c r="C1354" s="64">
        <v>3</v>
      </c>
      <c r="D1354" s="65">
        <v>2.2000000000000002</v>
      </c>
      <c r="E1354" s="67" t="s">
        <v>81</v>
      </c>
      <c r="F1354" s="52" t="s">
        <v>83</v>
      </c>
      <c r="G1354" s="52" t="s">
        <v>4</v>
      </c>
    </row>
    <row r="1355" spans="1:7">
      <c r="A1355" s="15" t="s">
        <v>1722</v>
      </c>
      <c r="B1355" s="63" t="s">
        <v>136</v>
      </c>
      <c r="C1355" s="64">
        <v>4</v>
      </c>
      <c r="D1355" s="65">
        <v>3.1</v>
      </c>
      <c r="E1355" s="67" t="s">
        <v>76</v>
      </c>
      <c r="F1355" s="52" t="s">
        <v>90</v>
      </c>
      <c r="G1355" s="52" t="s">
        <v>4</v>
      </c>
    </row>
    <row r="1356" spans="1:7">
      <c r="A1356" s="15" t="s">
        <v>1723</v>
      </c>
      <c r="B1356" s="63" t="s">
        <v>136</v>
      </c>
      <c r="C1356" s="64">
        <v>5</v>
      </c>
      <c r="D1356" s="65">
        <v>5.2</v>
      </c>
      <c r="E1356" s="67" t="s">
        <v>96</v>
      </c>
      <c r="F1356" s="52" t="s">
        <v>98</v>
      </c>
      <c r="G1356" s="52" t="s">
        <v>1</v>
      </c>
    </row>
    <row r="1357" spans="1:7">
      <c r="A1357" s="15" t="s">
        <v>1724</v>
      </c>
      <c r="B1357" s="63" t="s">
        <v>136</v>
      </c>
      <c r="C1357" s="64">
        <v>6</v>
      </c>
      <c r="D1357" s="65">
        <v>2.31</v>
      </c>
      <c r="E1357" s="67" t="s">
        <v>96</v>
      </c>
      <c r="F1357" s="52" t="s">
        <v>85</v>
      </c>
      <c r="G1357" s="52" t="s">
        <v>2</v>
      </c>
    </row>
    <row r="1358" spans="1:7">
      <c r="A1358" s="15" t="s">
        <v>1725</v>
      </c>
      <c r="B1358" s="63" t="s">
        <v>136</v>
      </c>
      <c r="C1358" s="64">
        <v>7</v>
      </c>
      <c r="D1358" s="65">
        <v>2.1</v>
      </c>
      <c r="E1358" s="67" t="s">
        <v>81</v>
      </c>
      <c r="F1358" s="52" t="s">
        <v>82</v>
      </c>
      <c r="G1358" s="52" t="s">
        <v>4</v>
      </c>
    </row>
    <row r="1359" spans="1:7">
      <c r="A1359" s="15" t="s">
        <v>1726</v>
      </c>
      <c r="B1359" s="63" t="s">
        <v>136</v>
      </c>
      <c r="C1359" s="64">
        <v>8</v>
      </c>
      <c r="D1359" s="65">
        <v>2.35</v>
      </c>
      <c r="E1359" s="67" t="s">
        <v>81</v>
      </c>
      <c r="F1359" s="52" t="s">
        <v>89</v>
      </c>
      <c r="G1359" s="52" t="s">
        <v>2</v>
      </c>
    </row>
    <row r="1360" spans="1:7">
      <c r="A1360" s="15" t="s">
        <v>1727</v>
      </c>
      <c r="B1360" s="63" t="s">
        <v>136</v>
      </c>
      <c r="C1360" s="64">
        <v>9</v>
      </c>
      <c r="D1360" s="65">
        <v>6.3</v>
      </c>
      <c r="E1360" s="67" t="s">
        <v>81</v>
      </c>
      <c r="F1360" s="52" t="s">
        <v>103</v>
      </c>
      <c r="G1360" s="52" t="s">
        <v>0</v>
      </c>
    </row>
    <row r="1361" spans="1:7">
      <c r="A1361" s="15" t="s">
        <v>1728</v>
      </c>
      <c r="B1361" s="63" t="s">
        <v>136</v>
      </c>
      <c r="C1361" s="64">
        <v>10</v>
      </c>
      <c r="D1361" s="65">
        <v>1.4</v>
      </c>
      <c r="E1361" s="67" t="s">
        <v>81</v>
      </c>
      <c r="F1361" s="52" t="s">
        <v>30</v>
      </c>
      <c r="G1361" s="52" t="s">
        <v>4</v>
      </c>
    </row>
    <row r="1362" spans="1:7">
      <c r="A1362" s="15" t="s">
        <v>1729</v>
      </c>
      <c r="B1362" s="63" t="s">
        <v>136</v>
      </c>
      <c r="C1362" s="64">
        <v>11</v>
      </c>
      <c r="D1362" s="65">
        <v>2.1</v>
      </c>
      <c r="E1362" s="67" t="s">
        <v>81</v>
      </c>
      <c r="F1362" s="52" t="s">
        <v>82</v>
      </c>
      <c r="G1362" s="52" t="s">
        <v>4</v>
      </c>
    </row>
    <row r="1363" spans="1:7">
      <c r="A1363" s="15" t="s">
        <v>1730</v>
      </c>
      <c r="B1363" s="63" t="s">
        <v>136</v>
      </c>
      <c r="C1363" s="64">
        <v>12</v>
      </c>
      <c r="D1363" s="65">
        <v>2.31</v>
      </c>
      <c r="E1363" s="67" t="s">
        <v>93</v>
      </c>
      <c r="F1363" s="52" t="s">
        <v>85</v>
      </c>
      <c r="G1363" s="52" t="s">
        <v>0</v>
      </c>
    </row>
    <row r="1364" spans="1:7">
      <c r="A1364" s="15" t="s">
        <v>1731</v>
      </c>
      <c r="B1364" s="63" t="s">
        <v>136</v>
      </c>
      <c r="C1364" s="64">
        <v>13</v>
      </c>
      <c r="D1364" s="65">
        <v>2.1</v>
      </c>
      <c r="E1364" s="67" t="s">
        <v>81</v>
      </c>
      <c r="F1364" s="52" t="s">
        <v>82</v>
      </c>
      <c r="G1364" s="52" t="s">
        <v>0</v>
      </c>
    </row>
    <row r="1365" spans="1:7">
      <c r="A1365" s="15" t="s">
        <v>1732</v>
      </c>
      <c r="B1365" s="63" t="s">
        <v>136</v>
      </c>
      <c r="C1365" s="64">
        <v>14</v>
      </c>
      <c r="D1365" s="65">
        <v>2.2000000000000002</v>
      </c>
      <c r="E1365" s="67" t="s">
        <v>100</v>
      </c>
      <c r="F1365" s="52" t="s">
        <v>83</v>
      </c>
      <c r="G1365" s="52" t="s">
        <v>4</v>
      </c>
    </row>
    <row r="1366" spans="1:7">
      <c r="A1366" s="15" t="s">
        <v>1733</v>
      </c>
      <c r="B1366" s="63" t="s">
        <v>136</v>
      </c>
      <c r="C1366" s="64">
        <v>15</v>
      </c>
      <c r="D1366" s="65">
        <v>2.1</v>
      </c>
      <c r="E1366" s="67" t="s">
        <v>100</v>
      </c>
      <c r="F1366" s="52" t="s">
        <v>82</v>
      </c>
      <c r="G1366" s="52" t="s">
        <v>1</v>
      </c>
    </row>
    <row r="1367" spans="1:7">
      <c r="A1367" s="15" t="s">
        <v>1734</v>
      </c>
      <c r="B1367" s="63" t="s">
        <v>136</v>
      </c>
      <c r="C1367" s="64">
        <v>16</v>
      </c>
      <c r="D1367" s="65">
        <v>5.0999999999999996</v>
      </c>
      <c r="E1367" s="67" t="s">
        <v>28</v>
      </c>
      <c r="F1367" s="52" t="s">
        <v>97</v>
      </c>
      <c r="G1367" s="52" t="s">
        <v>0</v>
      </c>
    </row>
    <row r="1368" spans="1:7">
      <c r="A1368" s="15" t="s">
        <v>1735</v>
      </c>
      <c r="B1368" s="63" t="s">
        <v>136</v>
      </c>
      <c r="C1368" s="64">
        <v>17</v>
      </c>
      <c r="D1368" s="65">
        <v>3.2</v>
      </c>
      <c r="E1368" s="67" t="s">
        <v>81</v>
      </c>
      <c r="F1368" s="52" t="s">
        <v>91</v>
      </c>
      <c r="G1368" s="52" t="s">
        <v>3</v>
      </c>
    </row>
    <row r="1369" spans="1:7">
      <c r="A1369" s="15" t="s">
        <v>1736</v>
      </c>
      <c r="B1369" s="63" t="s">
        <v>136</v>
      </c>
      <c r="C1369" s="64">
        <v>18</v>
      </c>
      <c r="D1369" s="65">
        <v>2.34</v>
      </c>
      <c r="E1369" s="67" t="s">
        <v>100</v>
      </c>
      <c r="F1369" s="52" t="s">
        <v>88</v>
      </c>
      <c r="G1369" s="52" t="s">
        <v>2</v>
      </c>
    </row>
    <row r="1370" spans="1:7">
      <c r="A1370" s="15" t="s">
        <v>1737</v>
      </c>
      <c r="B1370" s="63" t="s">
        <v>136</v>
      </c>
      <c r="C1370" s="64">
        <v>19</v>
      </c>
      <c r="D1370" s="65">
        <v>1.3</v>
      </c>
      <c r="E1370" s="67" t="s">
        <v>28</v>
      </c>
      <c r="F1370" s="52" t="s">
        <v>79</v>
      </c>
      <c r="G1370" s="52" t="s">
        <v>4</v>
      </c>
    </row>
    <row r="1371" spans="1:7">
      <c r="A1371" s="15" t="s">
        <v>1738</v>
      </c>
      <c r="B1371" s="63" t="s">
        <v>136</v>
      </c>
      <c r="C1371" s="64">
        <v>20</v>
      </c>
      <c r="D1371" s="65">
        <v>4.2</v>
      </c>
      <c r="E1371" s="67" t="s">
        <v>81</v>
      </c>
      <c r="F1371" s="52" t="s">
        <v>95</v>
      </c>
      <c r="G1371" s="52" t="s">
        <v>2</v>
      </c>
    </row>
    <row r="1372" spans="1:7">
      <c r="A1372" s="15" t="s">
        <v>1739</v>
      </c>
      <c r="B1372" s="63" t="s">
        <v>136</v>
      </c>
      <c r="C1372" s="64">
        <v>21</v>
      </c>
      <c r="D1372" s="65">
        <v>6.1</v>
      </c>
      <c r="E1372" s="67" t="s">
        <v>81</v>
      </c>
      <c r="F1372" s="52" t="s">
        <v>101</v>
      </c>
      <c r="G1372" s="52" t="s">
        <v>2</v>
      </c>
    </row>
    <row r="1373" spans="1:7">
      <c r="A1373" s="15" t="s">
        <v>1740</v>
      </c>
      <c r="B1373" s="63" t="s">
        <v>136</v>
      </c>
      <c r="C1373" s="64">
        <v>22</v>
      </c>
      <c r="D1373" s="65">
        <v>2.2000000000000002</v>
      </c>
      <c r="E1373" s="67" t="s">
        <v>81</v>
      </c>
      <c r="F1373" s="52" t="s">
        <v>83</v>
      </c>
      <c r="G1373" s="52" t="s">
        <v>3</v>
      </c>
    </row>
    <row r="1374" spans="1:7">
      <c r="A1374" s="15" t="s">
        <v>1741</v>
      </c>
      <c r="B1374" s="63" t="s">
        <v>136</v>
      </c>
      <c r="C1374" s="64">
        <v>23</v>
      </c>
      <c r="D1374" s="65">
        <v>2.31</v>
      </c>
      <c r="E1374" s="67" t="s">
        <v>76</v>
      </c>
      <c r="F1374" s="52" t="s">
        <v>85</v>
      </c>
      <c r="G1374" s="52" t="s">
        <v>4</v>
      </c>
    </row>
    <row r="1375" spans="1:7">
      <c r="A1375" s="15" t="s">
        <v>1742</v>
      </c>
      <c r="B1375" s="63" t="s">
        <v>136</v>
      </c>
      <c r="C1375" s="64">
        <v>24</v>
      </c>
      <c r="D1375" s="65">
        <v>5.2</v>
      </c>
      <c r="E1375" s="67" t="s">
        <v>96</v>
      </c>
      <c r="F1375" s="52" t="s">
        <v>98</v>
      </c>
      <c r="G1375" s="52" t="s">
        <v>3</v>
      </c>
    </row>
    <row r="1376" spans="1:7">
      <c r="A1376" s="15" t="s">
        <v>1743</v>
      </c>
      <c r="B1376" s="63" t="s">
        <v>136</v>
      </c>
      <c r="C1376" s="64">
        <v>25</v>
      </c>
      <c r="D1376" s="65">
        <v>1.3</v>
      </c>
      <c r="E1376" s="67" t="s">
        <v>81</v>
      </c>
      <c r="F1376" s="52" t="s">
        <v>79</v>
      </c>
      <c r="G1376" s="52" t="s">
        <v>2</v>
      </c>
    </row>
    <row r="1377" spans="1:7">
      <c r="A1377" s="15" t="s">
        <v>1744</v>
      </c>
      <c r="B1377" s="63" t="s">
        <v>136</v>
      </c>
      <c r="C1377" s="64">
        <v>26</v>
      </c>
      <c r="D1377" s="65">
        <v>3.2</v>
      </c>
      <c r="E1377" s="67" t="s">
        <v>96</v>
      </c>
      <c r="F1377" s="52" t="s">
        <v>91</v>
      </c>
      <c r="G1377" s="52" t="s">
        <v>3</v>
      </c>
    </row>
    <row r="1378" spans="1:7">
      <c r="A1378" s="15" t="s">
        <v>1745</v>
      </c>
      <c r="B1378" s="63" t="s">
        <v>136</v>
      </c>
      <c r="C1378" s="64">
        <v>27</v>
      </c>
      <c r="D1378" s="65">
        <v>2.31</v>
      </c>
      <c r="E1378" s="67" t="s">
        <v>28</v>
      </c>
      <c r="F1378" s="52" t="s">
        <v>85</v>
      </c>
      <c r="G1378" s="52" t="s">
        <v>4</v>
      </c>
    </row>
    <row r="1379" spans="1:7">
      <c r="A1379" s="15" t="s">
        <v>1746</v>
      </c>
      <c r="B1379" s="63" t="s">
        <v>136</v>
      </c>
      <c r="C1379" s="64">
        <v>28</v>
      </c>
      <c r="D1379" s="65">
        <v>6.3</v>
      </c>
      <c r="E1379" s="67" t="s">
        <v>81</v>
      </c>
      <c r="F1379" s="52" t="s">
        <v>103</v>
      </c>
      <c r="G1379" s="52" t="s">
        <v>3</v>
      </c>
    </row>
    <row r="1380" spans="1:7">
      <c r="A1380" s="15" t="s">
        <v>1747</v>
      </c>
      <c r="B1380" s="63" t="s">
        <v>136</v>
      </c>
      <c r="C1380" s="64">
        <v>29</v>
      </c>
      <c r="D1380" s="65">
        <v>5.0999999999999996</v>
      </c>
      <c r="E1380" s="67" t="s">
        <v>96</v>
      </c>
      <c r="F1380" s="52" t="s">
        <v>97</v>
      </c>
      <c r="G1380" s="52" t="s">
        <v>0</v>
      </c>
    </row>
    <row r="1381" spans="1:7">
      <c r="A1381" s="15" t="s">
        <v>1748</v>
      </c>
      <c r="B1381" s="63" t="s">
        <v>136</v>
      </c>
      <c r="C1381" s="64">
        <v>30</v>
      </c>
      <c r="D1381" s="65">
        <v>5.2</v>
      </c>
      <c r="E1381" s="67" t="s">
        <v>93</v>
      </c>
      <c r="F1381" s="52" t="s">
        <v>98</v>
      </c>
      <c r="G1381" s="52" t="s">
        <v>0</v>
      </c>
    </row>
    <row r="1382" spans="1:7">
      <c r="A1382" s="15" t="s">
        <v>1749</v>
      </c>
      <c r="B1382" s="63" t="s">
        <v>136</v>
      </c>
      <c r="C1382" s="64">
        <v>31</v>
      </c>
      <c r="D1382" s="65">
        <v>2.31</v>
      </c>
      <c r="E1382" s="67" t="s">
        <v>81</v>
      </c>
      <c r="F1382" s="52" t="s">
        <v>85</v>
      </c>
      <c r="G1382" s="52" t="s">
        <v>4</v>
      </c>
    </row>
    <row r="1383" spans="1:7">
      <c r="A1383" s="15" t="s">
        <v>1750</v>
      </c>
      <c r="B1383" s="63" t="s">
        <v>136</v>
      </c>
      <c r="C1383" s="64">
        <v>32</v>
      </c>
      <c r="D1383" s="65">
        <v>2.1</v>
      </c>
      <c r="E1383" s="67" t="s">
        <v>96</v>
      </c>
      <c r="F1383" s="52" t="s">
        <v>82</v>
      </c>
      <c r="G1383" s="52" t="s">
        <v>4</v>
      </c>
    </row>
    <row r="1384" spans="1:7">
      <c r="A1384" s="15" t="s">
        <v>1751</v>
      </c>
      <c r="B1384" s="63" t="s">
        <v>136</v>
      </c>
      <c r="C1384" s="64">
        <v>33</v>
      </c>
      <c r="D1384" s="65">
        <v>3.4</v>
      </c>
      <c r="E1384" s="67" t="s">
        <v>100</v>
      </c>
      <c r="F1384" s="52" t="s">
        <v>29</v>
      </c>
      <c r="G1384" s="52" t="s">
        <v>2</v>
      </c>
    </row>
    <row r="1385" spans="1:7">
      <c r="A1385" s="15" t="s">
        <v>1752</v>
      </c>
      <c r="B1385" s="63" t="s">
        <v>136</v>
      </c>
      <c r="C1385" s="64">
        <v>34</v>
      </c>
      <c r="D1385" s="65">
        <v>2.35</v>
      </c>
      <c r="E1385" s="67" t="s">
        <v>81</v>
      </c>
      <c r="F1385" s="52" t="s">
        <v>89</v>
      </c>
      <c r="G1385" s="52" t="s">
        <v>4</v>
      </c>
    </row>
    <row r="1386" spans="1:7">
      <c r="A1386" s="15" t="s">
        <v>1753</v>
      </c>
      <c r="B1386" s="63" t="s">
        <v>136</v>
      </c>
      <c r="C1386" s="64">
        <v>35</v>
      </c>
      <c r="D1386" s="65">
        <v>5.0999999999999996</v>
      </c>
      <c r="E1386" s="67" t="s">
        <v>76</v>
      </c>
      <c r="F1386" s="52" t="s">
        <v>97</v>
      </c>
      <c r="G1386" s="52" t="s">
        <v>2</v>
      </c>
    </row>
    <row r="1387" spans="1:7">
      <c r="A1387" s="15" t="s">
        <v>1754</v>
      </c>
      <c r="B1387" s="63" t="s">
        <v>136</v>
      </c>
      <c r="C1387" s="64">
        <v>36</v>
      </c>
      <c r="D1387" s="65">
        <v>6.3</v>
      </c>
      <c r="E1387" s="67" t="s">
        <v>76</v>
      </c>
      <c r="F1387" s="52" t="s">
        <v>103</v>
      </c>
      <c r="G1387" s="52" t="s">
        <v>3</v>
      </c>
    </row>
    <row r="1388" spans="1:7">
      <c r="A1388" s="15" t="s">
        <v>1755</v>
      </c>
      <c r="B1388" s="63" t="s">
        <v>136</v>
      </c>
      <c r="C1388" s="64">
        <v>37</v>
      </c>
      <c r="D1388" s="65">
        <v>2.35</v>
      </c>
      <c r="E1388" s="67" t="s">
        <v>81</v>
      </c>
      <c r="F1388" s="52" t="s">
        <v>89</v>
      </c>
      <c r="G1388" s="52" t="s">
        <v>0</v>
      </c>
    </row>
    <row r="1389" spans="1:7">
      <c r="A1389" s="15" t="s">
        <v>1756</v>
      </c>
      <c r="B1389" s="63" t="s">
        <v>136</v>
      </c>
      <c r="C1389" s="64">
        <v>38</v>
      </c>
      <c r="D1389" s="65">
        <v>2.35</v>
      </c>
      <c r="E1389" s="67" t="s">
        <v>81</v>
      </c>
      <c r="F1389" s="52" t="s">
        <v>89</v>
      </c>
      <c r="G1389" s="52" t="s">
        <v>2</v>
      </c>
    </row>
    <row r="1390" spans="1:7">
      <c r="A1390" s="15" t="s">
        <v>1757</v>
      </c>
      <c r="B1390" s="63" t="s">
        <v>136</v>
      </c>
      <c r="C1390" s="64">
        <v>39</v>
      </c>
      <c r="D1390" s="65">
        <v>2.33</v>
      </c>
      <c r="E1390" s="67" t="s">
        <v>76</v>
      </c>
      <c r="F1390" s="52" t="s">
        <v>87</v>
      </c>
      <c r="G1390" s="52" t="s">
        <v>4</v>
      </c>
    </row>
    <row r="1391" spans="1:7">
      <c r="A1391" s="15" t="s">
        <v>1758</v>
      </c>
      <c r="B1391" s="63" t="s">
        <v>136</v>
      </c>
      <c r="C1391" s="64">
        <v>40</v>
      </c>
      <c r="D1391" s="65">
        <v>6.1</v>
      </c>
      <c r="E1391" s="67" t="s">
        <v>28</v>
      </c>
      <c r="F1391" s="52" t="s">
        <v>101</v>
      </c>
      <c r="G1391" s="52" t="s">
        <v>0</v>
      </c>
    </row>
    <row r="1392" spans="1:7">
      <c r="A1392" s="15" t="s">
        <v>1759</v>
      </c>
      <c r="B1392" s="63" t="s">
        <v>136</v>
      </c>
      <c r="C1392" s="64">
        <v>41</v>
      </c>
      <c r="D1392" s="65">
        <v>2.31</v>
      </c>
      <c r="E1392" s="67" t="s">
        <v>81</v>
      </c>
      <c r="F1392" s="52" t="s">
        <v>85</v>
      </c>
      <c r="G1392" s="52" t="s">
        <v>4</v>
      </c>
    </row>
    <row r="1393" spans="1:7">
      <c r="A1393" s="15" t="s">
        <v>1760</v>
      </c>
      <c r="B1393" s="63" t="s">
        <v>136</v>
      </c>
      <c r="C1393" s="64">
        <v>42</v>
      </c>
      <c r="D1393" s="65">
        <v>2.3199999999999998</v>
      </c>
      <c r="E1393" s="67" t="s">
        <v>76</v>
      </c>
      <c r="F1393" s="52" t="s">
        <v>86</v>
      </c>
      <c r="G1393" s="52" t="s">
        <v>1</v>
      </c>
    </row>
    <row r="1394" spans="1:7">
      <c r="A1394" s="15" t="s">
        <v>1761</v>
      </c>
      <c r="B1394" s="63" t="s">
        <v>136</v>
      </c>
      <c r="C1394" s="64">
        <v>43</v>
      </c>
      <c r="D1394" s="65">
        <v>2.3199999999999998</v>
      </c>
      <c r="E1394" s="67" t="s">
        <v>81</v>
      </c>
      <c r="F1394" s="52" t="s">
        <v>86</v>
      </c>
      <c r="G1394" s="52" t="s">
        <v>4</v>
      </c>
    </row>
    <row r="1395" spans="1:7">
      <c r="A1395" s="15" t="s">
        <v>1762</v>
      </c>
      <c r="B1395" s="63" t="s">
        <v>136</v>
      </c>
      <c r="C1395" s="64">
        <v>44</v>
      </c>
      <c r="D1395" s="65">
        <v>2.1</v>
      </c>
      <c r="E1395" s="67" t="s">
        <v>81</v>
      </c>
      <c r="F1395" s="52" t="s">
        <v>82</v>
      </c>
      <c r="G1395" s="52" t="s">
        <v>4</v>
      </c>
    </row>
    <row r="1396" spans="1:7">
      <c r="A1396" s="15" t="s">
        <v>1763</v>
      </c>
      <c r="B1396" s="63" t="s">
        <v>136</v>
      </c>
      <c r="C1396" s="64">
        <v>45</v>
      </c>
      <c r="D1396" s="65">
        <v>4.0999999999999996</v>
      </c>
      <c r="E1396" s="67" t="s">
        <v>81</v>
      </c>
      <c r="F1396" s="52" t="s">
        <v>94</v>
      </c>
      <c r="G1396" s="52" t="s">
        <v>0</v>
      </c>
    </row>
    <row r="1397" spans="1:7">
      <c r="A1397" s="15" t="s">
        <v>1764</v>
      </c>
      <c r="B1397" s="63" t="s">
        <v>136</v>
      </c>
      <c r="C1397" s="64">
        <v>46</v>
      </c>
      <c r="D1397" s="65">
        <v>5.2</v>
      </c>
      <c r="E1397" s="67" t="s">
        <v>76</v>
      </c>
      <c r="F1397" s="52" t="s">
        <v>98</v>
      </c>
      <c r="G1397" s="52" t="s">
        <v>1</v>
      </c>
    </row>
    <row r="1398" spans="1:7">
      <c r="A1398" s="15" t="s">
        <v>1765</v>
      </c>
      <c r="B1398" s="63" t="s">
        <v>136</v>
      </c>
      <c r="C1398" s="64">
        <v>47</v>
      </c>
      <c r="D1398" s="65">
        <v>3.2</v>
      </c>
      <c r="E1398" s="67" t="s">
        <v>81</v>
      </c>
      <c r="F1398" s="52" t="s">
        <v>91</v>
      </c>
      <c r="G1398" s="52" t="s">
        <v>2</v>
      </c>
    </row>
    <row r="1399" spans="1:7">
      <c r="A1399" s="15" t="s">
        <v>1766</v>
      </c>
      <c r="B1399" s="63" t="s">
        <v>136</v>
      </c>
      <c r="C1399" s="64">
        <v>48</v>
      </c>
      <c r="D1399" s="65">
        <v>6.3</v>
      </c>
      <c r="E1399" s="67" t="s">
        <v>76</v>
      </c>
      <c r="F1399" s="52" t="s">
        <v>103</v>
      </c>
      <c r="G1399" s="52" t="s">
        <v>4</v>
      </c>
    </row>
    <row r="1400" spans="1:7">
      <c r="A1400" s="15" t="s">
        <v>1767</v>
      </c>
      <c r="B1400" s="63" t="s">
        <v>136</v>
      </c>
      <c r="C1400" s="64">
        <v>49</v>
      </c>
      <c r="D1400" s="65">
        <v>2.35</v>
      </c>
      <c r="E1400" s="67" t="s">
        <v>100</v>
      </c>
      <c r="F1400" s="52" t="s">
        <v>89</v>
      </c>
      <c r="G1400" s="52" t="s">
        <v>0</v>
      </c>
    </row>
    <row r="1401" spans="1:7">
      <c r="A1401" s="15" t="s">
        <v>1768</v>
      </c>
      <c r="B1401" s="63" t="s">
        <v>136</v>
      </c>
      <c r="C1401" s="64">
        <v>50</v>
      </c>
      <c r="D1401" s="65">
        <v>2.35</v>
      </c>
      <c r="E1401" s="67" t="s">
        <v>100</v>
      </c>
      <c r="F1401" s="52" t="s">
        <v>89</v>
      </c>
      <c r="G1401" s="52" t="s">
        <v>3</v>
      </c>
    </row>
    <row r="1402" spans="1:7">
      <c r="A1402" s="15" t="s">
        <v>1769</v>
      </c>
      <c r="B1402" s="63" t="s">
        <v>137</v>
      </c>
      <c r="C1402" s="64">
        <v>1</v>
      </c>
      <c r="D1402" s="66">
        <v>2.1</v>
      </c>
      <c r="E1402" s="67" t="s">
        <v>81</v>
      </c>
      <c r="F1402" s="57" t="s">
        <v>82</v>
      </c>
      <c r="G1402" s="52" t="s">
        <v>4</v>
      </c>
    </row>
    <row r="1403" spans="1:7">
      <c r="A1403" s="15" t="s">
        <v>1770</v>
      </c>
      <c r="B1403" s="63" t="s">
        <v>137</v>
      </c>
      <c r="C1403" s="64">
        <v>2</v>
      </c>
      <c r="D1403" s="65">
        <v>2.35</v>
      </c>
      <c r="E1403" s="67" t="s">
        <v>76</v>
      </c>
      <c r="F1403" s="52" t="s">
        <v>89</v>
      </c>
      <c r="G1403" s="52" t="s">
        <v>2</v>
      </c>
    </row>
    <row r="1404" spans="1:7">
      <c r="A1404" s="15" t="s">
        <v>1771</v>
      </c>
      <c r="B1404" s="63" t="s">
        <v>137</v>
      </c>
      <c r="C1404" s="64">
        <v>3</v>
      </c>
      <c r="D1404" s="65">
        <v>2.35</v>
      </c>
      <c r="E1404" s="67" t="s">
        <v>81</v>
      </c>
      <c r="F1404" s="52" t="s">
        <v>89</v>
      </c>
      <c r="G1404" s="52" t="s">
        <v>3</v>
      </c>
    </row>
    <row r="1405" spans="1:7">
      <c r="A1405" s="15" t="s">
        <v>1772</v>
      </c>
      <c r="B1405" s="63" t="s">
        <v>137</v>
      </c>
      <c r="C1405" s="64">
        <v>4</v>
      </c>
      <c r="D1405" s="65">
        <v>1.6</v>
      </c>
      <c r="E1405" s="67" t="s">
        <v>81</v>
      </c>
      <c r="F1405" s="52" t="s">
        <v>27</v>
      </c>
      <c r="G1405" s="52" t="s">
        <v>0</v>
      </c>
    </row>
    <row r="1406" spans="1:7">
      <c r="A1406" s="15" t="s">
        <v>1773</v>
      </c>
      <c r="B1406" s="63" t="s">
        <v>137</v>
      </c>
      <c r="C1406" s="64">
        <v>5</v>
      </c>
      <c r="D1406" s="65">
        <v>5.3</v>
      </c>
      <c r="E1406" s="67" t="s">
        <v>81</v>
      </c>
      <c r="F1406" s="52" t="s">
        <v>99</v>
      </c>
      <c r="G1406" s="52" t="s">
        <v>3</v>
      </c>
    </row>
    <row r="1407" spans="1:7">
      <c r="A1407" s="15" t="s">
        <v>1774</v>
      </c>
      <c r="B1407" s="63" t="s">
        <v>137</v>
      </c>
      <c r="C1407" s="64">
        <v>6</v>
      </c>
      <c r="D1407" s="65">
        <v>5.0999999999999996</v>
      </c>
      <c r="E1407" s="67" t="s">
        <v>81</v>
      </c>
      <c r="F1407" s="52" t="s">
        <v>97</v>
      </c>
      <c r="G1407" s="52" t="s">
        <v>0</v>
      </c>
    </row>
    <row r="1408" spans="1:7">
      <c r="A1408" s="15" t="s">
        <v>1775</v>
      </c>
      <c r="B1408" s="63" t="s">
        <v>137</v>
      </c>
      <c r="C1408" s="64">
        <v>7</v>
      </c>
      <c r="D1408" s="65">
        <v>2.31</v>
      </c>
      <c r="E1408" s="67" t="s">
        <v>96</v>
      </c>
      <c r="F1408" s="52" t="s">
        <v>85</v>
      </c>
      <c r="G1408" s="52" t="s">
        <v>1</v>
      </c>
    </row>
    <row r="1409" spans="1:7">
      <c r="A1409" s="15" t="s">
        <v>1776</v>
      </c>
      <c r="B1409" s="63" t="s">
        <v>137</v>
      </c>
      <c r="C1409" s="64">
        <v>8</v>
      </c>
      <c r="D1409" s="65">
        <v>2.31</v>
      </c>
      <c r="E1409" s="67" t="s">
        <v>81</v>
      </c>
      <c r="F1409" s="52" t="s">
        <v>85</v>
      </c>
      <c r="G1409" s="52" t="s">
        <v>4</v>
      </c>
    </row>
    <row r="1410" spans="1:7">
      <c r="A1410" s="15" t="s">
        <v>1777</v>
      </c>
      <c r="B1410" s="63" t="s">
        <v>137</v>
      </c>
      <c r="C1410" s="64">
        <v>9</v>
      </c>
      <c r="D1410" s="65">
        <v>2.1</v>
      </c>
      <c r="E1410" s="67" t="s">
        <v>100</v>
      </c>
      <c r="F1410" s="52" t="s">
        <v>82</v>
      </c>
      <c r="G1410" s="52" t="s">
        <v>4</v>
      </c>
    </row>
    <row r="1411" spans="1:7">
      <c r="A1411" s="15" t="s">
        <v>1778</v>
      </c>
      <c r="B1411" s="63" t="s">
        <v>137</v>
      </c>
      <c r="C1411" s="64">
        <v>10</v>
      </c>
      <c r="D1411" s="65">
        <v>2.1</v>
      </c>
      <c r="E1411" s="67" t="s">
        <v>81</v>
      </c>
      <c r="F1411" s="52" t="s">
        <v>82</v>
      </c>
      <c r="G1411" s="52" t="s">
        <v>3</v>
      </c>
    </row>
    <row r="1412" spans="1:7">
      <c r="A1412" s="15" t="s">
        <v>1779</v>
      </c>
      <c r="B1412" s="63" t="s">
        <v>137</v>
      </c>
      <c r="C1412" s="64">
        <v>11</v>
      </c>
      <c r="D1412" s="65">
        <v>2.31</v>
      </c>
      <c r="E1412" s="67" t="s">
        <v>100</v>
      </c>
      <c r="F1412" s="52" t="s">
        <v>85</v>
      </c>
      <c r="G1412" s="52" t="s">
        <v>1</v>
      </c>
    </row>
    <row r="1413" spans="1:7">
      <c r="A1413" s="15" t="s">
        <v>1780</v>
      </c>
      <c r="B1413" s="63" t="s">
        <v>137</v>
      </c>
      <c r="C1413" s="64">
        <v>12</v>
      </c>
      <c r="D1413" s="65">
        <v>4.0999999999999996</v>
      </c>
      <c r="E1413" s="67" t="s">
        <v>96</v>
      </c>
      <c r="F1413" s="52" t="s">
        <v>94</v>
      </c>
      <c r="G1413" s="52" t="s">
        <v>0</v>
      </c>
    </row>
    <row r="1414" spans="1:7">
      <c r="A1414" s="15" t="s">
        <v>1781</v>
      </c>
      <c r="B1414" s="63" t="s">
        <v>137</v>
      </c>
      <c r="C1414" s="64">
        <v>13</v>
      </c>
      <c r="D1414" s="65">
        <v>2.31</v>
      </c>
      <c r="E1414" s="67" t="s">
        <v>81</v>
      </c>
      <c r="F1414" s="52" t="s">
        <v>85</v>
      </c>
      <c r="G1414" s="52" t="s">
        <v>0</v>
      </c>
    </row>
    <row r="1415" spans="1:7">
      <c r="A1415" s="15" t="s">
        <v>1782</v>
      </c>
      <c r="B1415" s="63" t="s">
        <v>137</v>
      </c>
      <c r="C1415" s="64">
        <v>14</v>
      </c>
      <c r="D1415" s="65">
        <v>6.3</v>
      </c>
      <c r="E1415" s="67" t="s">
        <v>76</v>
      </c>
      <c r="F1415" s="52" t="s">
        <v>103</v>
      </c>
      <c r="G1415" s="52" t="s">
        <v>0</v>
      </c>
    </row>
    <row r="1416" spans="1:7">
      <c r="A1416" s="15" t="s">
        <v>1783</v>
      </c>
      <c r="B1416" s="63" t="s">
        <v>137</v>
      </c>
      <c r="C1416" s="64">
        <v>15</v>
      </c>
      <c r="D1416" s="65">
        <v>6.1</v>
      </c>
      <c r="E1416" s="67" t="s">
        <v>28</v>
      </c>
      <c r="F1416" s="52" t="s">
        <v>101</v>
      </c>
      <c r="G1416" s="52" t="s">
        <v>2</v>
      </c>
    </row>
    <row r="1417" spans="1:7">
      <c r="A1417" s="15" t="s">
        <v>1784</v>
      </c>
      <c r="B1417" s="63" t="s">
        <v>137</v>
      </c>
      <c r="C1417" s="64">
        <v>16</v>
      </c>
      <c r="D1417" s="65">
        <v>3.4</v>
      </c>
      <c r="E1417" s="67" t="s">
        <v>96</v>
      </c>
      <c r="F1417" s="52" t="s">
        <v>29</v>
      </c>
      <c r="G1417" s="52" t="s">
        <v>4</v>
      </c>
    </row>
    <row r="1418" spans="1:7">
      <c r="A1418" s="15" t="s">
        <v>1785</v>
      </c>
      <c r="B1418" s="63" t="s">
        <v>137</v>
      </c>
      <c r="C1418" s="64">
        <v>17</v>
      </c>
      <c r="D1418" s="65">
        <v>2.33</v>
      </c>
      <c r="E1418" s="67" t="s">
        <v>81</v>
      </c>
      <c r="F1418" s="52" t="s">
        <v>87</v>
      </c>
      <c r="G1418" s="52" t="s">
        <v>1</v>
      </c>
    </row>
    <row r="1419" spans="1:7">
      <c r="A1419" s="15" t="s">
        <v>1786</v>
      </c>
      <c r="B1419" s="63" t="s">
        <v>137</v>
      </c>
      <c r="C1419" s="64">
        <v>18</v>
      </c>
      <c r="D1419" s="65">
        <v>6.1</v>
      </c>
      <c r="E1419" s="67" t="s">
        <v>81</v>
      </c>
      <c r="F1419" s="52" t="s">
        <v>101</v>
      </c>
      <c r="G1419" s="52" t="s">
        <v>3</v>
      </c>
    </row>
    <row r="1420" spans="1:7">
      <c r="A1420" s="15" t="s">
        <v>1787</v>
      </c>
      <c r="B1420" s="63" t="s">
        <v>137</v>
      </c>
      <c r="C1420" s="64">
        <v>19</v>
      </c>
      <c r="D1420" s="65">
        <v>3.2</v>
      </c>
      <c r="E1420" s="67" t="s">
        <v>81</v>
      </c>
      <c r="F1420" s="52" t="s">
        <v>91</v>
      </c>
      <c r="G1420" s="52" t="s">
        <v>2</v>
      </c>
    </row>
    <row r="1421" spans="1:7">
      <c r="A1421" s="15" t="s">
        <v>1788</v>
      </c>
      <c r="B1421" s="63" t="s">
        <v>137</v>
      </c>
      <c r="C1421" s="64">
        <v>20</v>
      </c>
      <c r="D1421" s="65">
        <v>2.31</v>
      </c>
      <c r="E1421" s="67" t="s">
        <v>28</v>
      </c>
      <c r="F1421" s="52" t="s">
        <v>85</v>
      </c>
      <c r="G1421" s="52" t="s">
        <v>4</v>
      </c>
    </row>
    <row r="1422" spans="1:7">
      <c r="A1422" s="15" t="s">
        <v>1789</v>
      </c>
      <c r="B1422" s="63" t="s">
        <v>137</v>
      </c>
      <c r="C1422" s="64">
        <v>21</v>
      </c>
      <c r="D1422" s="65">
        <v>2.35</v>
      </c>
      <c r="E1422" s="67" t="s">
        <v>81</v>
      </c>
      <c r="F1422" s="52" t="s">
        <v>89</v>
      </c>
      <c r="G1422" s="52" t="s">
        <v>0</v>
      </c>
    </row>
    <row r="1423" spans="1:7">
      <c r="A1423" s="15" t="s">
        <v>1790</v>
      </c>
      <c r="B1423" s="63" t="s">
        <v>137</v>
      </c>
      <c r="C1423" s="64">
        <v>22</v>
      </c>
      <c r="D1423" s="65">
        <v>2.1</v>
      </c>
      <c r="E1423" s="67" t="s">
        <v>100</v>
      </c>
      <c r="F1423" s="52" t="s">
        <v>82</v>
      </c>
      <c r="G1423" s="52" t="s">
        <v>0</v>
      </c>
    </row>
    <row r="1424" spans="1:7">
      <c r="A1424" s="15" t="s">
        <v>1791</v>
      </c>
      <c r="B1424" s="63" t="s">
        <v>137</v>
      </c>
      <c r="C1424" s="64">
        <v>23</v>
      </c>
      <c r="D1424" s="65">
        <v>1.6</v>
      </c>
      <c r="E1424" s="67" t="s">
        <v>81</v>
      </c>
      <c r="F1424" s="52" t="s">
        <v>27</v>
      </c>
      <c r="G1424" s="52" t="s">
        <v>3</v>
      </c>
    </row>
    <row r="1425" spans="1:7">
      <c r="A1425" s="15" t="s">
        <v>1792</v>
      </c>
      <c r="B1425" s="63" t="s">
        <v>137</v>
      </c>
      <c r="C1425" s="64">
        <v>24</v>
      </c>
      <c r="D1425" s="65">
        <v>5.0999999999999996</v>
      </c>
      <c r="E1425" s="67" t="s">
        <v>76</v>
      </c>
      <c r="F1425" s="52" t="s">
        <v>97</v>
      </c>
      <c r="G1425" s="52" t="s">
        <v>1</v>
      </c>
    </row>
    <row r="1426" spans="1:7">
      <c r="A1426" s="15" t="s">
        <v>1793</v>
      </c>
      <c r="B1426" s="63" t="s">
        <v>137</v>
      </c>
      <c r="C1426" s="64">
        <v>25</v>
      </c>
      <c r="D1426" s="65">
        <v>2.1</v>
      </c>
      <c r="E1426" s="67" t="s">
        <v>76</v>
      </c>
      <c r="F1426" s="52" t="s">
        <v>82</v>
      </c>
      <c r="G1426" s="52" t="s">
        <v>2</v>
      </c>
    </row>
    <row r="1427" spans="1:7">
      <c r="A1427" s="15" t="s">
        <v>1794</v>
      </c>
      <c r="B1427" s="63" t="s">
        <v>137</v>
      </c>
      <c r="C1427" s="64">
        <v>26</v>
      </c>
      <c r="D1427" s="65">
        <v>5.3</v>
      </c>
      <c r="E1427" s="67" t="s">
        <v>81</v>
      </c>
      <c r="F1427" s="52" t="s">
        <v>99</v>
      </c>
      <c r="G1427" s="52" t="s">
        <v>4</v>
      </c>
    </row>
    <row r="1428" spans="1:7">
      <c r="A1428" s="15" t="s">
        <v>1795</v>
      </c>
      <c r="B1428" s="63" t="s">
        <v>137</v>
      </c>
      <c r="C1428" s="64">
        <v>27</v>
      </c>
      <c r="D1428" s="65">
        <v>3.3</v>
      </c>
      <c r="E1428" s="67" t="s">
        <v>81</v>
      </c>
      <c r="F1428" s="52" t="s">
        <v>92</v>
      </c>
      <c r="G1428" s="52" t="s">
        <v>4</v>
      </c>
    </row>
    <row r="1429" spans="1:7">
      <c r="A1429" s="15" t="s">
        <v>1796</v>
      </c>
      <c r="B1429" s="63" t="s">
        <v>137</v>
      </c>
      <c r="C1429" s="64">
        <v>28</v>
      </c>
      <c r="D1429" s="65">
        <v>2.31</v>
      </c>
      <c r="E1429" s="67" t="s">
        <v>81</v>
      </c>
      <c r="F1429" s="52" t="s">
        <v>85</v>
      </c>
      <c r="G1429" s="52" t="s">
        <v>2</v>
      </c>
    </row>
    <row r="1430" spans="1:7">
      <c r="A1430" s="15" t="s">
        <v>1797</v>
      </c>
      <c r="B1430" s="63" t="s">
        <v>137</v>
      </c>
      <c r="C1430" s="64">
        <v>29</v>
      </c>
      <c r="D1430" s="65">
        <v>5.0999999999999996</v>
      </c>
      <c r="E1430" s="67" t="s">
        <v>81</v>
      </c>
      <c r="F1430" s="52" t="s">
        <v>97</v>
      </c>
      <c r="G1430" s="52" t="s">
        <v>0</v>
      </c>
    </row>
    <row r="1431" spans="1:7">
      <c r="A1431" s="15" t="s">
        <v>1798</v>
      </c>
      <c r="B1431" s="63" t="s">
        <v>137</v>
      </c>
      <c r="C1431" s="64">
        <v>30</v>
      </c>
      <c r="D1431" s="65">
        <v>4.2</v>
      </c>
      <c r="E1431" s="67" t="s">
        <v>81</v>
      </c>
      <c r="F1431" s="52" t="s">
        <v>95</v>
      </c>
      <c r="G1431" s="52" t="s">
        <v>1</v>
      </c>
    </row>
    <row r="1432" spans="1:7">
      <c r="A1432" s="15" t="s">
        <v>1799</v>
      </c>
      <c r="B1432" s="63" t="s">
        <v>137</v>
      </c>
      <c r="C1432" s="64">
        <v>31</v>
      </c>
      <c r="D1432" s="65">
        <v>2.1</v>
      </c>
      <c r="E1432" s="67" t="s">
        <v>81</v>
      </c>
      <c r="F1432" s="52" t="s">
        <v>82</v>
      </c>
      <c r="G1432" s="52" t="s">
        <v>2</v>
      </c>
    </row>
    <row r="1433" spans="1:7">
      <c r="A1433" s="15" t="s">
        <v>1800</v>
      </c>
      <c r="B1433" s="63" t="s">
        <v>137</v>
      </c>
      <c r="C1433" s="64">
        <v>32</v>
      </c>
      <c r="D1433" s="65">
        <v>5.0999999999999996</v>
      </c>
      <c r="E1433" s="67" t="s">
        <v>81</v>
      </c>
      <c r="F1433" s="52" t="s">
        <v>97</v>
      </c>
      <c r="G1433" s="52" t="s">
        <v>3</v>
      </c>
    </row>
    <row r="1434" spans="1:7">
      <c r="A1434" s="15" t="s">
        <v>1801</v>
      </c>
      <c r="B1434" s="63" t="s">
        <v>137</v>
      </c>
      <c r="C1434" s="64">
        <v>33</v>
      </c>
      <c r="D1434" s="65">
        <v>6.4</v>
      </c>
      <c r="E1434" s="67" t="s">
        <v>76</v>
      </c>
      <c r="F1434" s="52" t="s">
        <v>104</v>
      </c>
      <c r="G1434" s="52" t="s">
        <v>3</v>
      </c>
    </row>
    <row r="1435" spans="1:7">
      <c r="A1435" s="15" t="s">
        <v>1802</v>
      </c>
      <c r="B1435" s="63" t="s">
        <v>137</v>
      </c>
      <c r="C1435" s="64">
        <v>34</v>
      </c>
      <c r="D1435" s="65">
        <v>2.1</v>
      </c>
      <c r="E1435" s="67" t="s">
        <v>76</v>
      </c>
      <c r="F1435" s="52" t="s">
        <v>82</v>
      </c>
      <c r="G1435" s="52" t="s">
        <v>1</v>
      </c>
    </row>
    <row r="1436" spans="1:7">
      <c r="A1436" s="15" t="s">
        <v>1803</v>
      </c>
      <c r="B1436" s="63" t="s">
        <v>137</v>
      </c>
      <c r="C1436" s="64">
        <v>35</v>
      </c>
      <c r="D1436" s="65">
        <v>1.1000000000000001</v>
      </c>
      <c r="E1436" s="67" t="s">
        <v>81</v>
      </c>
      <c r="F1436" s="52" t="s">
        <v>77</v>
      </c>
      <c r="G1436" s="52" t="s">
        <v>0</v>
      </c>
    </row>
    <row r="1437" spans="1:7">
      <c r="A1437" s="15" t="s">
        <v>1804</v>
      </c>
      <c r="B1437" s="63" t="s">
        <v>137</v>
      </c>
      <c r="C1437" s="64">
        <v>36</v>
      </c>
      <c r="D1437" s="65">
        <v>1.5</v>
      </c>
      <c r="E1437" s="67" t="s">
        <v>96</v>
      </c>
      <c r="F1437" s="52" t="s">
        <v>80</v>
      </c>
      <c r="G1437" s="52" t="s">
        <v>2</v>
      </c>
    </row>
    <row r="1438" spans="1:7">
      <c r="A1438" s="15" t="s">
        <v>1805</v>
      </c>
      <c r="B1438" s="63" t="s">
        <v>137</v>
      </c>
      <c r="C1438" s="64">
        <v>37</v>
      </c>
      <c r="D1438" s="65">
        <v>2.1</v>
      </c>
      <c r="E1438" s="67" t="s">
        <v>93</v>
      </c>
      <c r="F1438" s="52" t="s">
        <v>82</v>
      </c>
      <c r="G1438" s="52" t="s">
        <v>4</v>
      </c>
    </row>
    <row r="1439" spans="1:7">
      <c r="A1439" s="15" t="s">
        <v>1806</v>
      </c>
      <c r="B1439" s="63" t="s">
        <v>137</v>
      </c>
      <c r="C1439" s="64">
        <v>38</v>
      </c>
      <c r="D1439" s="65">
        <v>2.1</v>
      </c>
      <c r="E1439" s="67" t="s">
        <v>93</v>
      </c>
      <c r="F1439" s="52" t="s">
        <v>82</v>
      </c>
      <c r="G1439" s="52" t="s">
        <v>0</v>
      </c>
    </row>
    <row r="1440" spans="1:7">
      <c r="A1440" s="15" t="s">
        <v>1807</v>
      </c>
      <c r="B1440" s="63" t="s">
        <v>137</v>
      </c>
      <c r="C1440" s="64">
        <v>39</v>
      </c>
      <c r="D1440" s="65">
        <v>1.1000000000000001</v>
      </c>
      <c r="E1440" s="67" t="s">
        <v>100</v>
      </c>
      <c r="F1440" s="52" t="s">
        <v>77</v>
      </c>
      <c r="G1440" s="52" t="s">
        <v>1</v>
      </c>
    </row>
    <row r="1441" spans="1:7">
      <c r="A1441" s="15" t="s">
        <v>1808</v>
      </c>
      <c r="B1441" s="63" t="s">
        <v>137</v>
      </c>
      <c r="C1441" s="64">
        <v>40</v>
      </c>
      <c r="D1441" s="65">
        <v>3.1</v>
      </c>
      <c r="E1441" s="67" t="s">
        <v>81</v>
      </c>
      <c r="F1441" s="52" t="s">
        <v>90</v>
      </c>
      <c r="G1441" s="52" t="s">
        <v>2</v>
      </c>
    </row>
    <row r="1442" spans="1:7">
      <c r="A1442" s="15" t="s">
        <v>1809</v>
      </c>
      <c r="B1442" s="63" t="s">
        <v>137</v>
      </c>
      <c r="C1442" s="64">
        <v>41</v>
      </c>
      <c r="D1442" s="65">
        <v>2.2000000000000002</v>
      </c>
      <c r="E1442" s="67" t="s">
        <v>76</v>
      </c>
      <c r="F1442" s="52" t="s">
        <v>83</v>
      </c>
      <c r="G1442" s="52" t="s">
        <v>1</v>
      </c>
    </row>
    <row r="1443" spans="1:7">
      <c r="A1443" s="15" t="s">
        <v>1810</v>
      </c>
      <c r="B1443" s="63" t="s">
        <v>137</v>
      </c>
      <c r="C1443" s="64">
        <v>42</v>
      </c>
      <c r="D1443" s="65">
        <v>1.3</v>
      </c>
      <c r="E1443" s="67" t="s">
        <v>28</v>
      </c>
      <c r="F1443" s="52" t="s">
        <v>79</v>
      </c>
      <c r="G1443" s="52" t="s">
        <v>0</v>
      </c>
    </row>
    <row r="1444" spans="1:7">
      <c r="A1444" s="15" t="s">
        <v>1811</v>
      </c>
      <c r="B1444" s="63" t="s">
        <v>137</v>
      </c>
      <c r="C1444" s="64">
        <v>43</v>
      </c>
      <c r="D1444" s="65">
        <v>2.1</v>
      </c>
      <c r="E1444" s="67" t="s">
        <v>28</v>
      </c>
      <c r="F1444" s="52" t="s">
        <v>82</v>
      </c>
      <c r="G1444" s="52" t="s">
        <v>2</v>
      </c>
    </row>
    <row r="1445" spans="1:7">
      <c r="A1445" s="15" t="s">
        <v>1812</v>
      </c>
      <c r="B1445" s="63" t="s">
        <v>137</v>
      </c>
      <c r="C1445" s="64">
        <v>44</v>
      </c>
      <c r="D1445" s="65">
        <v>2.31</v>
      </c>
      <c r="E1445" s="67" t="s">
        <v>81</v>
      </c>
      <c r="F1445" s="52" t="s">
        <v>85</v>
      </c>
      <c r="G1445" s="52" t="s">
        <v>0</v>
      </c>
    </row>
    <row r="1446" spans="1:7">
      <c r="A1446" s="15" t="s">
        <v>1813</v>
      </c>
      <c r="B1446" s="63" t="s">
        <v>137</v>
      </c>
      <c r="C1446" s="64">
        <v>45</v>
      </c>
      <c r="D1446" s="65">
        <v>2.2000000000000002</v>
      </c>
      <c r="E1446" s="67" t="s">
        <v>81</v>
      </c>
      <c r="F1446" s="52" t="s">
        <v>83</v>
      </c>
      <c r="G1446" s="52" t="s">
        <v>1</v>
      </c>
    </row>
    <row r="1447" spans="1:7">
      <c r="A1447" s="15" t="s">
        <v>1814</v>
      </c>
      <c r="B1447" s="63" t="s">
        <v>137</v>
      </c>
      <c r="C1447" s="64">
        <v>46</v>
      </c>
      <c r="D1447" s="65">
        <v>1.3</v>
      </c>
      <c r="E1447" s="67" t="s">
        <v>96</v>
      </c>
      <c r="F1447" s="52" t="s">
        <v>79</v>
      </c>
      <c r="G1447" s="52" t="s">
        <v>4</v>
      </c>
    </row>
    <row r="1448" spans="1:7">
      <c r="A1448" s="15" t="s">
        <v>1815</v>
      </c>
      <c r="B1448" s="63" t="s">
        <v>137</v>
      </c>
      <c r="C1448" s="64">
        <v>47</v>
      </c>
      <c r="D1448" s="65">
        <v>2.34</v>
      </c>
      <c r="E1448" s="67" t="s">
        <v>76</v>
      </c>
      <c r="F1448" s="52" t="s">
        <v>88</v>
      </c>
      <c r="G1448" s="52" t="s">
        <v>0</v>
      </c>
    </row>
    <row r="1449" spans="1:7">
      <c r="A1449" s="15" t="s">
        <v>1816</v>
      </c>
      <c r="B1449" s="63" t="s">
        <v>137</v>
      </c>
      <c r="C1449" s="64">
        <v>48</v>
      </c>
      <c r="D1449" s="65">
        <v>1.6</v>
      </c>
      <c r="E1449" s="67" t="s">
        <v>96</v>
      </c>
      <c r="F1449" s="52" t="s">
        <v>27</v>
      </c>
      <c r="G1449" s="52" t="s">
        <v>3</v>
      </c>
    </row>
    <row r="1450" spans="1:7">
      <c r="A1450" s="15" t="s">
        <v>1817</v>
      </c>
      <c r="B1450" s="63" t="s">
        <v>137</v>
      </c>
      <c r="C1450" s="64">
        <v>49</v>
      </c>
      <c r="D1450" s="65">
        <v>6.3</v>
      </c>
      <c r="E1450" s="67" t="s">
        <v>93</v>
      </c>
      <c r="F1450" s="52" t="s">
        <v>103</v>
      </c>
      <c r="G1450" s="52" t="s">
        <v>2</v>
      </c>
    </row>
    <row r="1451" spans="1:7">
      <c r="A1451" s="15" t="s">
        <v>1818</v>
      </c>
      <c r="B1451" s="63" t="s">
        <v>137</v>
      </c>
      <c r="C1451" s="64">
        <v>50</v>
      </c>
      <c r="D1451" s="65">
        <v>6.3</v>
      </c>
      <c r="E1451" s="67" t="s">
        <v>81</v>
      </c>
      <c r="F1451" s="52" t="s">
        <v>103</v>
      </c>
      <c r="G1451" s="52" t="s">
        <v>4</v>
      </c>
    </row>
    <row r="1452" spans="1:7">
      <c r="A1452" s="15" t="s">
        <v>1819</v>
      </c>
      <c r="B1452" s="63" t="s">
        <v>138</v>
      </c>
      <c r="C1452" s="64">
        <v>1</v>
      </c>
      <c r="D1452" s="66">
        <v>2.1</v>
      </c>
      <c r="E1452" s="67" t="s">
        <v>81</v>
      </c>
      <c r="F1452" s="57" t="s">
        <v>82</v>
      </c>
      <c r="G1452" s="52" t="s">
        <v>0</v>
      </c>
    </row>
    <row r="1453" spans="1:7">
      <c r="A1453" s="15" t="s">
        <v>1820</v>
      </c>
      <c r="B1453" s="63" t="s">
        <v>138</v>
      </c>
      <c r="C1453" s="64">
        <v>2</v>
      </c>
      <c r="D1453" s="65">
        <v>1.1000000000000001</v>
      </c>
      <c r="E1453" s="67" t="s">
        <v>81</v>
      </c>
      <c r="F1453" s="52" t="s">
        <v>77</v>
      </c>
      <c r="G1453" s="52" t="s">
        <v>2</v>
      </c>
    </row>
    <row r="1454" spans="1:7">
      <c r="A1454" s="15" t="s">
        <v>1821</v>
      </c>
      <c r="B1454" s="63" t="s">
        <v>138</v>
      </c>
      <c r="C1454" s="64">
        <v>3</v>
      </c>
      <c r="D1454" s="65">
        <v>3.1</v>
      </c>
      <c r="E1454" s="67" t="s">
        <v>81</v>
      </c>
      <c r="F1454" s="52" t="s">
        <v>90</v>
      </c>
      <c r="G1454" s="52" t="s">
        <v>3</v>
      </c>
    </row>
    <row r="1455" spans="1:7">
      <c r="A1455" s="15" t="s">
        <v>1822</v>
      </c>
      <c r="B1455" s="63" t="s">
        <v>138</v>
      </c>
      <c r="C1455" s="64">
        <v>4</v>
      </c>
      <c r="D1455" s="65">
        <v>2.1</v>
      </c>
      <c r="E1455" s="67" t="s">
        <v>81</v>
      </c>
      <c r="F1455" s="52" t="s">
        <v>82</v>
      </c>
      <c r="G1455" s="52" t="s">
        <v>4</v>
      </c>
    </row>
    <row r="1456" spans="1:7">
      <c r="A1456" s="15" t="s">
        <v>1823</v>
      </c>
      <c r="B1456" s="63" t="s">
        <v>138</v>
      </c>
      <c r="C1456" s="64">
        <v>5</v>
      </c>
      <c r="D1456" s="65">
        <v>2.35</v>
      </c>
      <c r="E1456" s="67" t="s">
        <v>76</v>
      </c>
      <c r="F1456" s="52" t="s">
        <v>89</v>
      </c>
      <c r="G1456" s="52" t="s">
        <v>1</v>
      </c>
    </row>
    <row r="1457" spans="1:7">
      <c r="A1457" s="15" t="s">
        <v>1824</v>
      </c>
      <c r="B1457" s="63" t="s">
        <v>138</v>
      </c>
      <c r="C1457" s="64">
        <v>6</v>
      </c>
      <c r="D1457" s="65">
        <v>2.1</v>
      </c>
      <c r="E1457" s="67" t="s">
        <v>81</v>
      </c>
      <c r="F1457" s="52" t="s">
        <v>82</v>
      </c>
      <c r="G1457" s="52" t="s">
        <v>2</v>
      </c>
    </row>
    <row r="1458" spans="1:7">
      <c r="A1458" s="15" t="s">
        <v>1825</v>
      </c>
      <c r="B1458" s="63" t="s">
        <v>138</v>
      </c>
      <c r="C1458" s="64">
        <v>7</v>
      </c>
      <c r="D1458" s="65">
        <v>5.0999999999999996</v>
      </c>
      <c r="E1458" s="67" t="s">
        <v>81</v>
      </c>
      <c r="F1458" s="52" t="s">
        <v>97</v>
      </c>
      <c r="G1458" s="52" t="s">
        <v>4</v>
      </c>
    </row>
    <row r="1459" spans="1:7">
      <c r="A1459" s="15" t="s">
        <v>1826</v>
      </c>
      <c r="B1459" s="63" t="s">
        <v>138</v>
      </c>
      <c r="C1459" s="64">
        <v>8</v>
      </c>
      <c r="D1459" s="65">
        <v>2.1</v>
      </c>
      <c r="E1459" s="67" t="s">
        <v>81</v>
      </c>
      <c r="F1459" s="52" t="s">
        <v>82</v>
      </c>
      <c r="G1459" s="52" t="s">
        <v>3</v>
      </c>
    </row>
    <row r="1460" spans="1:7">
      <c r="A1460" s="15" t="s">
        <v>1827</v>
      </c>
      <c r="B1460" s="63" t="s">
        <v>138</v>
      </c>
      <c r="C1460" s="64">
        <v>9</v>
      </c>
      <c r="D1460" s="65">
        <v>6.1</v>
      </c>
      <c r="E1460" s="67" t="s">
        <v>76</v>
      </c>
      <c r="F1460" s="52" t="s">
        <v>101</v>
      </c>
      <c r="G1460" s="52" t="s">
        <v>0</v>
      </c>
    </row>
    <row r="1461" spans="1:7">
      <c r="A1461" s="15" t="s">
        <v>1828</v>
      </c>
      <c r="B1461" s="63" t="s">
        <v>138</v>
      </c>
      <c r="C1461" s="64">
        <v>10</v>
      </c>
      <c r="D1461" s="65">
        <v>2.31</v>
      </c>
      <c r="E1461" s="67" t="s">
        <v>28</v>
      </c>
      <c r="F1461" s="52" t="s">
        <v>85</v>
      </c>
      <c r="G1461" s="52" t="s">
        <v>4</v>
      </c>
    </row>
    <row r="1462" spans="1:7">
      <c r="A1462" s="15" t="s">
        <v>1829</v>
      </c>
      <c r="B1462" s="63" t="s">
        <v>138</v>
      </c>
      <c r="C1462" s="64">
        <v>11</v>
      </c>
      <c r="D1462" s="65">
        <v>6.3</v>
      </c>
      <c r="E1462" s="67" t="s">
        <v>96</v>
      </c>
      <c r="F1462" s="52" t="s">
        <v>103</v>
      </c>
      <c r="G1462" s="52" t="s">
        <v>3</v>
      </c>
    </row>
    <row r="1463" spans="1:7">
      <c r="A1463" s="15" t="s">
        <v>1830</v>
      </c>
      <c r="B1463" s="63" t="s">
        <v>138</v>
      </c>
      <c r="C1463" s="64">
        <v>12</v>
      </c>
      <c r="D1463" s="65">
        <v>5.3</v>
      </c>
      <c r="E1463" s="67" t="s">
        <v>81</v>
      </c>
      <c r="F1463" s="52" t="s">
        <v>99</v>
      </c>
      <c r="G1463" s="52" t="s">
        <v>0</v>
      </c>
    </row>
    <row r="1464" spans="1:7">
      <c r="A1464" s="15" t="s">
        <v>1831</v>
      </c>
      <c r="B1464" s="63" t="s">
        <v>138</v>
      </c>
      <c r="C1464" s="64">
        <v>13</v>
      </c>
      <c r="D1464" s="65">
        <v>2.3199999999999998</v>
      </c>
      <c r="E1464" s="67" t="s">
        <v>100</v>
      </c>
      <c r="F1464" s="52" t="s">
        <v>86</v>
      </c>
      <c r="G1464" s="52" t="s">
        <v>3</v>
      </c>
    </row>
    <row r="1465" spans="1:7">
      <c r="A1465" s="15" t="s">
        <v>1832</v>
      </c>
      <c r="B1465" s="63" t="s">
        <v>138</v>
      </c>
      <c r="C1465" s="64">
        <v>14</v>
      </c>
      <c r="D1465" s="65">
        <v>1.6</v>
      </c>
      <c r="E1465" s="67" t="s">
        <v>81</v>
      </c>
      <c r="F1465" s="52" t="s">
        <v>27</v>
      </c>
      <c r="G1465" s="52" t="s">
        <v>4</v>
      </c>
    </row>
    <row r="1466" spans="1:7">
      <c r="A1466" s="15" t="s">
        <v>1833</v>
      </c>
      <c r="B1466" s="63" t="s">
        <v>138</v>
      </c>
      <c r="C1466" s="64">
        <v>15</v>
      </c>
      <c r="D1466" s="65">
        <v>3.4</v>
      </c>
      <c r="E1466" s="67" t="s">
        <v>81</v>
      </c>
      <c r="F1466" s="52" t="s">
        <v>29</v>
      </c>
      <c r="G1466" s="52" t="s">
        <v>4</v>
      </c>
    </row>
    <row r="1467" spans="1:7">
      <c r="A1467" s="15" t="s">
        <v>1834</v>
      </c>
      <c r="B1467" s="63" t="s">
        <v>138</v>
      </c>
      <c r="C1467" s="64">
        <v>16</v>
      </c>
      <c r="D1467" s="65">
        <v>5.0999999999999996</v>
      </c>
      <c r="E1467" s="67" t="s">
        <v>96</v>
      </c>
      <c r="F1467" s="52" t="s">
        <v>97</v>
      </c>
      <c r="G1467" s="52" t="s">
        <v>2</v>
      </c>
    </row>
    <row r="1468" spans="1:7">
      <c r="A1468" s="15" t="s">
        <v>1835</v>
      </c>
      <c r="B1468" s="63" t="s">
        <v>138</v>
      </c>
      <c r="C1468" s="64">
        <v>17</v>
      </c>
      <c r="D1468" s="65">
        <v>2.3199999999999998</v>
      </c>
      <c r="E1468" s="67" t="s">
        <v>96</v>
      </c>
      <c r="F1468" s="52" t="s">
        <v>86</v>
      </c>
      <c r="G1468" s="52" t="s">
        <v>0</v>
      </c>
    </row>
    <row r="1469" spans="1:7">
      <c r="A1469" s="15" t="s">
        <v>1836</v>
      </c>
      <c r="B1469" s="63" t="s">
        <v>138</v>
      </c>
      <c r="C1469" s="64">
        <v>18</v>
      </c>
      <c r="D1469" s="65">
        <v>2.33</v>
      </c>
      <c r="E1469" s="67" t="s">
        <v>81</v>
      </c>
      <c r="F1469" s="52" t="s">
        <v>87</v>
      </c>
      <c r="G1469" s="52" t="s">
        <v>1</v>
      </c>
    </row>
    <row r="1470" spans="1:7">
      <c r="A1470" s="15" t="s">
        <v>1837</v>
      </c>
      <c r="B1470" s="63" t="s">
        <v>138</v>
      </c>
      <c r="C1470" s="64">
        <v>19</v>
      </c>
      <c r="D1470" s="65">
        <v>2.1</v>
      </c>
      <c r="E1470" s="67" t="s">
        <v>76</v>
      </c>
      <c r="F1470" s="52" t="s">
        <v>82</v>
      </c>
      <c r="G1470" s="52" t="s">
        <v>3</v>
      </c>
    </row>
    <row r="1471" spans="1:7">
      <c r="A1471" s="15" t="s">
        <v>1838</v>
      </c>
      <c r="B1471" s="63" t="s">
        <v>138</v>
      </c>
      <c r="C1471" s="64">
        <v>20</v>
      </c>
      <c r="D1471" s="65">
        <v>3.2</v>
      </c>
      <c r="E1471" s="67" t="s">
        <v>81</v>
      </c>
      <c r="F1471" s="52" t="s">
        <v>91</v>
      </c>
      <c r="G1471" s="52" t="s">
        <v>4</v>
      </c>
    </row>
    <row r="1472" spans="1:7">
      <c r="A1472" s="15" t="s">
        <v>1839</v>
      </c>
      <c r="B1472" s="63" t="s">
        <v>138</v>
      </c>
      <c r="C1472" s="64">
        <v>21</v>
      </c>
      <c r="D1472" s="65">
        <v>2.35</v>
      </c>
      <c r="E1472" s="67" t="s">
        <v>81</v>
      </c>
      <c r="F1472" s="52" t="s">
        <v>89</v>
      </c>
      <c r="G1472" s="52" t="s">
        <v>1</v>
      </c>
    </row>
    <row r="1473" spans="1:7">
      <c r="A1473" s="15" t="s">
        <v>1840</v>
      </c>
      <c r="B1473" s="63" t="s">
        <v>138</v>
      </c>
      <c r="C1473" s="64">
        <v>22</v>
      </c>
      <c r="D1473" s="65">
        <v>6.1</v>
      </c>
      <c r="E1473" s="67" t="s">
        <v>28</v>
      </c>
      <c r="F1473" s="52" t="s">
        <v>101</v>
      </c>
      <c r="G1473" s="52" t="s">
        <v>0</v>
      </c>
    </row>
    <row r="1474" spans="1:7">
      <c r="A1474" s="15" t="s">
        <v>1841</v>
      </c>
      <c r="B1474" s="63" t="s">
        <v>138</v>
      </c>
      <c r="C1474" s="64">
        <v>23</v>
      </c>
      <c r="D1474" s="65">
        <v>2.33</v>
      </c>
      <c r="E1474" s="67" t="s">
        <v>93</v>
      </c>
      <c r="F1474" s="52" t="s">
        <v>87</v>
      </c>
      <c r="G1474" s="52" t="s">
        <v>3</v>
      </c>
    </row>
    <row r="1475" spans="1:7">
      <c r="A1475" s="15" t="s">
        <v>1842</v>
      </c>
      <c r="B1475" s="63" t="s">
        <v>138</v>
      </c>
      <c r="C1475" s="64">
        <v>24</v>
      </c>
      <c r="D1475" s="65">
        <v>1.3</v>
      </c>
      <c r="E1475" s="67" t="s">
        <v>81</v>
      </c>
      <c r="F1475" s="52" t="s">
        <v>79</v>
      </c>
      <c r="G1475" s="52" t="s">
        <v>2</v>
      </c>
    </row>
    <row r="1476" spans="1:7">
      <c r="A1476" s="15" t="s">
        <v>1843</v>
      </c>
      <c r="B1476" s="63" t="s">
        <v>138</v>
      </c>
      <c r="C1476" s="64">
        <v>25</v>
      </c>
      <c r="D1476" s="65">
        <v>1.1000000000000001</v>
      </c>
      <c r="E1476" s="67" t="s">
        <v>81</v>
      </c>
      <c r="F1476" s="52" t="s">
        <v>77</v>
      </c>
      <c r="G1476" s="52" t="s">
        <v>0</v>
      </c>
    </row>
    <row r="1477" spans="1:7">
      <c r="A1477" s="15" t="s">
        <v>1844</v>
      </c>
      <c r="B1477" s="63" t="s">
        <v>138</v>
      </c>
      <c r="C1477" s="64">
        <v>26</v>
      </c>
      <c r="D1477" s="65">
        <v>2.1</v>
      </c>
      <c r="E1477" s="67" t="s">
        <v>81</v>
      </c>
      <c r="F1477" s="52" t="s">
        <v>82</v>
      </c>
      <c r="G1477" s="52" t="s">
        <v>3</v>
      </c>
    </row>
    <row r="1478" spans="1:7">
      <c r="A1478" s="15" t="s">
        <v>1845</v>
      </c>
      <c r="B1478" s="63" t="s">
        <v>138</v>
      </c>
      <c r="C1478" s="64">
        <v>27</v>
      </c>
      <c r="D1478" s="65">
        <v>3.1</v>
      </c>
      <c r="E1478" s="67" t="s">
        <v>96</v>
      </c>
      <c r="F1478" s="52" t="s">
        <v>90</v>
      </c>
      <c r="G1478" s="52" t="s">
        <v>4</v>
      </c>
    </row>
    <row r="1479" spans="1:7">
      <c r="A1479" s="15" t="s">
        <v>1846</v>
      </c>
      <c r="B1479" s="63" t="s">
        <v>138</v>
      </c>
      <c r="C1479" s="64">
        <v>28</v>
      </c>
      <c r="D1479" s="65">
        <v>2.33</v>
      </c>
      <c r="E1479" s="67" t="s">
        <v>96</v>
      </c>
      <c r="F1479" s="52" t="s">
        <v>87</v>
      </c>
      <c r="G1479" s="52" t="s">
        <v>2</v>
      </c>
    </row>
    <row r="1480" spans="1:7">
      <c r="A1480" s="15" t="s">
        <v>1847</v>
      </c>
      <c r="B1480" s="63" t="s">
        <v>138</v>
      </c>
      <c r="C1480" s="64">
        <v>29</v>
      </c>
      <c r="D1480" s="65">
        <v>2.2000000000000002</v>
      </c>
      <c r="E1480" s="67" t="s">
        <v>28</v>
      </c>
      <c r="F1480" s="52" t="s">
        <v>83</v>
      </c>
      <c r="G1480" s="52" t="s">
        <v>4</v>
      </c>
    </row>
    <row r="1481" spans="1:7">
      <c r="A1481" s="15" t="s">
        <v>1848</v>
      </c>
      <c r="B1481" s="63" t="s">
        <v>138</v>
      </c>
      <c r="C1481" s="64">
        <v>30</v>
      </c>
      <c r="D1481" s="65">
        <v>2.31</v>
      </c>
      <c r="E1481" s="67" t="s">
        <v>81</v>
      </c>
      <c r="F1481" s="52" t="s">
        <v>85</v>
      </c>
      <c r="G1481" s="52" t="s">
        <v>4</v>
      </c>
    </row>
    <row r="1482" spans="1:7">
      <c r="A1482" s="15" t="s">
        <v>1849</v>
      </c>
      <c r="B1482" s="63" t="s">
        <v>138</v>
      </c>
      <c r="C1482" s="64">
        <v>31</v>
      </c>
      <c r="D1482" s="65">
        <v>1.2</v>
      </c>
      <c r="E1482" s="67" t="s">
        <v>81</v>
      </c>
      <c r="F1482" s="52" t="s">
        <v>78</v>
      </c>
      <c r="G1482" s="52" t="s">
        <v>1</v>
      </c>
    </row>
    <row r="1483" spans="1:7">
      <c r="A1483" s="15" t="s">
        <v>1850</v>
      </c>
      <c r="B1483" s="63" t="s">
        <v>138</v>
      </c>
      <c r="C1483" s="64">
        <v>32</v>
      </c>
      <c r="D1483" s="65">
        <v>2.1</v>
      </c>
      <c r="E1483" s="67" t="s">
        <v>76</v>
      </c>
      <c r="F1483" s="52" t="s">
        <v>82</v>
      </c>
      <c r="G1483" s="52" t="s">
        <v>0</v>
      </c>
    </row>
    <row r="1484" spans="1:7">
      <c r="A1484" s="15" t="s">
        <v>1851</v>
      </c>
      <c r="B1484" s="63" t="s">
        <v>138</v>
      </c>
      <c r="C1484" s="64">
        <v>33</v>
      </c>
      <c r="D1484" s="65">
        <v>1.4</v>
      </c>
      <c r="E1484" s="67" t="s">
        <v>93</v>
      </c>
      <c r="F1484" s="52" t="s">
        <v>30</v>
      </c>
      <c r="G1484" s="52" t="s">
        <v>3</v>
      </c>
    </row>
    <row r="1485" spans="1:7">
      <c r="A1485" s="15" t="s">
        <v>1852</v>
      </c>
      <c r="B1485" s="63" t="s">
        <v>138</v>
      </c>
      <c r="C1485" s="64">
        <v>34</v>
      </c>
      <c r="D1485" s="65">
        <v>1.1000000000000001</v>
      </c>
      <c r="E1485" s="67" t="s">
        <v>81</v>
      </c>
      <c r="F1485" s="52" t="s">
        <v>77</v>
      </c>
      <c r="G1485" s="52" t="s">
        <v>2</v>
      </c>
    </row>
    <row r="1486" spans="1:7">
      <c r="A1486" s="15" t="s">
        <v>1853</v>
      </c>
      <c r="B1486" s="63" t="s">
        <v>138</v>
      </c>
      <c r="C1486" s="64">
        <v>35</v>
      </c>
      <c r="D1486" s="65">
        <v>2.31</v>
      </c>
      <c r="E1486" s="67" t="s">
        <v>81</v>
      </c>
      <c r="F1486" s="52" t="s">
        <v>85</v>
      </c>
      <c r="G1486" s="52" t="s">
        <v>2</v>
      </c>
    </row>
    <row r="1487" spans="1:7">
      <c r="A1487" s="15" t="s">
        <v>1854</v>
      </c>
      <c r="B1487" s="63" t="s">
        <v>138</v>
      </c>
      <c r="C1487" s="64">
        <v>36</v>
      </c>
      <c r="D1487" s="65">
        <v>5.0999999999999996</v>
      </c>
      <c r="E1487" s="67" t="s">
        <v>81</v>
      </c>
      <c r="F1487" s="52" t="s">
        <v>97</v>
      </c>
      <c r="G1487" s="52" t="s">
        <v>2</v>
      </c>
    </row>
    <row r="1488" spans="1:7">
      <c r="A1488" s="15" t="s">
        <v>1855</v>
      </c>
      <c r="B1488" s="63" t="s">
        <v>138</v>
      </c>
      <c r="C1488" s="64">
        <v>37</v>
      </c>
      <c r="D1488" s="65">
        <v>4.0999999999999996</v>
      </c>
      <c r="E1488" s="67" t="s">
        <v>28</v>
      </c>
      <c r="F1488" s="52" t="s">
        <v>94</v>
      </c>
      <c r="G1488" s="52" t="s">
        <v>0</v>
      </c>
    </row>
    <row r="1489" spans="1:7">
      <c r="A1489" s="15" t="s">
        <v>1856</v>
      </c>
      <c r="B1489" s="63" t="s">
        <v>138</v>
      </c>
      <c r="C1489" s="64">
        <v>38</v>
      </c>
      <c r="D1489" s="65">
        <v>4.2</v>
      </c>
      <c r="E1489" s="67" t="s">
        <v>81</v>
      </c>
      <c r="F1489" s="52" t="s">
        <v>95</v>
      </c>
      <c r="G1489" s="52" t="s">
        <v>4</v>
      </c>
    </row>
    <row r="1490" spans="1:7">
      <c r="A1490" s="15" t="s">
        <v>1857</v>
      </c>
      <c r="B1490" s="63" t="s">
        <v>138</v>
      </c>
      <c r="C1490" s="64">
        <v>39</v>
      </c>
      <c r="D1490" s="65">
        <v>6.3</v>
      </c>
      <c r="E1490" s="67" t="s">
        <v>100</v>
      </c>
      <c r="F1490" s="52" t="s">
        <v>103</v>
      </c>
      <c r="G1490" s="52" t="s">
        <v>4</v>
      </c>
    </row>
    <row r="1491" spans="1:7">
      <c r="A1491" s="15" t="s">
        <v>1858</v>
      </c>
      <c r="B1491" s="63" t="s">
        <v>138</v>
      </c>
      <c r="C1491" s="64">
        <v>40</v>
      </c>
      <c r="D1491" s="65">
        <v>2.1</v>
      </c>
      <c r="E1491" s="67" t="s">
        <v>76</v>
      </c>
      <c r="F1491" s="52" t="s">
        <v>82</v>
      </c>
      <c r="G1491" s="52" t="s">
        <v>4</v>
      </c>
    </row>
    <row r="1492" spans="1:7">
      <c r="A1492" s="15" t="s">
        <v>1859</v>
      </c>
      <c r="B1492" s="63" t="s">
        <v>138</v>
      </c>
      <c r="C1492" s="64">
        <v>41</v>
      </c>
      <c r="D1492" s="65">
        <v>1.3</v>
      </c>
      <c r="E1492" s="67" t="s">
        <v>96</v>
      </c>
      <c r="F1492" s="52" t="s">
        <v>79</v>
      </c>
      <c r="G1492" s="52" t="s">
        <v>3</v>
      </c>
    </row>
    <row r="1493" spans="1:7">
      <c r="A1493" s="15" t="s">
        <v>1860</v>
      </c>
      <c r="B1493" s="63" t="s">
        <v>138</v>
      </c>
      <c r="C1493" s="64">
        <v>42</v>
      </c>
      <c r="D1493" s="65">
        <v>3.2</v>
      </c>
      <c r="E1493" s="67" t="s">
        <v>100</v>
      </c>
      <c r="F1493" s="52" t="s">
        <v>91</v>
      </c>
      <c r="G1493" s="52" t="s">
        <v>2</v>
      </c>
    </row>
    <row r="1494" spans="1:7">
      <c r="A1494" s="15" t="s">
        <v>1861</v>
      </c>
      <c r="B1494" s="63" t="s">
        <v>138</v>
      </c>
      <c r="C1494" s="64">
        <v>43</v>
      </c>
      <c r="D1494" s="65">
        <v>3.2</v>
      </c>
      <c r="E1494" s="67" t="s">
        <v>81</v>
      </c>
      <c r="F1494" s="52" t="s">
        <v>91</v>
      </c>
      <c r="G1494" s="52" t="s">
        <v>4</v>
      </c>
    </row>
    <row r="1495" spans="1:7">
      <c r="A1495" s="15" t="s">
        <v>1862</v>
      </c>
      <c r="B1495" s="63" t="s">
        <v>138</v>
      </c>
      <c r="C1495" s="64">
        <v>44</v>
      </c>
      <c r="D1495" s="65">
        <v>2.31</v>
      </c>
      <c r="E1495" s="67" t="s">
        <v>81</v>
      </c>
      <c r="F1495" s="52" t="s">
        <v>85</v>
      </c>
      <c r="G1495" s="52" t="s">
        <v>2</v>
      </c>
    </row>
    <row r="1496" spans="1:7">
      <c r="A1496" s="15" t="s">
        <v>1863</v>
      </c>
      <c r="B1496" s="63" t="s">
        <v>138</v>
      </c>
      <c r="C1496" s="64">
        <v>45</v>
      </c>
      <c r="D1496" s="65">
        <v>2.35</v>
      </c>
      <c r="E1496" s="67" t="s">
        <v>76</v>
      </c>
      <c r="F1496" s="52" t="s">
        <v>89</v>
      </c>
      <c r="G1496" s="52" t="s">
        <v>1</v>
      </c>
    </row>
    <row r="1497" spans="1:7">
      <c r="A1497" s="15" t="s">
        <v>1864</v>
      </c>
      <c r="B1497" s="63" t="s">
        <v>138</v>
      </c>
      <c r="C1497" s="64">
        <v>46</v>
      </c>
      <c r="D1497" s="65">
        <v>5.2</v>
      </c>
      <c r="E1497" s="67" t="s">
        <v>100</v>
      </c>
      <c r="F1497" s="52" t="s">
        <v>98</v>
      </c>
      <c r="G1497" s="52" t="s">
        <v>4</v>
      </c>
    </row>
    <row r="1498" spans="1:7">
      <c r="A1498" s="15" t="s">
        <v>1865</v>
      </c>
      <c r="B1498" s="63" t="s">
        <v>138</v>
      </c>
      <c r="C1498" s="64">
        <v>47</v>
      </c>
      <c r="D1498" s="65">
        <v>1.6</v>
      </c>
      <c r="E1498" s="67" t="s">
        <v>96</v>
      </c>
      <c r="F1498" s="52" t="s">
        <v>27</v>
      </c>
      <c r="G1498" s="52" t="s">
        <v>0</v>
      </c>
    </row>
    <row r="1499" spans="1:7">
      <c r="A1499" s="15" t="s">
        <v>1866</v>
      </c>
      <c r="B1499" s="63" t="s">
        <v>138</v>
      </c>
      <c r="C1499" s="64">
        <v>48</v>
      </c>
      <c r="D1499" s="65">
        <v>5.2</v>
      </c>
      <c r="E1499" s="67" t="s">
        <v>100</v>
      </c>
      <c r="F1499" s="52" t="s">
        <v>98</v>
      </c>
      <c r="G1499" s="52" t="s">
        <v>2</v>
      </c>
    </row>
    <row r="1500" spans="1:7">
      <c r="A1500" s="15" t="s">
        <v>1867</v>
      </c>
      <c r="B1500" s="63" t="s">
        <v>138</v>
      </c>
      <c r="C1500" s="64">
        <v>49</v>
      </c>
      <c r="D1500" s="65">
        <v>4.0999999999999996</v>
      </c>
      <c r="E1500" s="67" t="s">
        <v>81</v>
      </c>
      <c r="F1500" s="52" t="s">
        <v>94</v>
      </c>
      <c r="G1500" s="52" t="s">
        <v>2</v>
      </c>
    </row>
    <row r="1501" spans="1:7">
      <c r="A1501" s="15" t="s">
        <v>1868</v>
      </c>
      <c r="B1501" s="63" t="s">
        <v>138</v>
      </c>
      <c r="C1501" s="64">
        <v>50</v>
      </c>
      <c r="D1501" s="65">
        <v>2.1</v>
      </c>
      <c r="E1501" s="67" t="s">
        <v>93</v>
      </c>
      <c r="F1501" s="52" t="s">
        <v>82</v>
      </c>
      <c r="G1501" s="52" t="s">
        <v>4</v>
      </c>
    </row>
    <row r="1502" spans="1:7">
      <c r="A1502" s="15" t="s">
        <v>1869</v>
      </c>
      <c r="B1502" s="63" t="s">
        <v>139</v>
      </c>
      <c r="C1502" s="64">
        <v>1</v>
      </c>
      <c r="D1502" s="66">
        <v>2.1</v>
      </c>
      <c r="E1502" s="67" t="s">
        <v>81</v>
      </c>
      <c r="F1502" s="57" t="s">
        <v>82</v>
      </c>
      <c r="G1502" s="52" t="s">
        <v>0</v>
      </c>
    </row>
    <row r="1503" spans="1:7">
      <c r="A1503" s="15" t="s">
        <v>1870</v>
      </c>
      <c r="B1503" s="63" t="s">
        <v>139</v>
      </c>
      <c r="C1503" s="64">
        <v>2</v>
      </c>
      <c r="D1503" s="65">
        <v>2.35</v>
      </c>
      <c r="E1503" s="67" t="s">
        <v>81</v>
      </c>
      <c r="F1503" s="52" t="s">
        <v>89</v>
      </c>
      <c r="G1503" s="52" t="s">
        <v>2</v>
      </c>
    </row>
    <row r="1504" spans="1:7">
      <c r="A1504" s="15" t="s">
        <v>1871</v>
      </c>
      <c r="B1504" s="63" t="s">
        <v>139</v>
      </c>
      <c r="C1504" s="64">
        <v>3</v>
      </c>
      <c r="D1504" s="65">
        <v>2.1</v>
      </c>
      <c r="E1504" s="67" t="s">
        <v>81</v>
      </c>
      <c r="F1504" s="52" t="s">
        <v>82</v>
      </c>
      <c r="G1504" s="52" t="s">
        <v>0</v>
      </c>
    </row>
    <row r="1505" spans="1:7">
      <c r="A1505" s="15" t="s">
        <v>1872</v>
      </c>
      <c r="B1505" s="63" t="s">
        <v>139</v>
      </c>
      <c r="C1505" s="64">
        <v>4</v>
      </c>
      <c r="D1505" s="65">
        <v>2.1</v>
      </c>
      <c r="E1505" s="67" t="s">
        <v>28</v>
      </c>
      <c r="F1505" s="52" t="s">
        <v>82</v>
      </c>
      <c r="G1505" s="52" t="s">
        <v>2</v>
      </c>
    </row>
    <row r="1506" spans="1:7">
      <c r="A1506" s="15" t="s">
        <v>1873</v>
      </c>
      <c r="B1506" s="63" t="s">
        <v>139</v>
      </c>
      <c r="C1506" s="64">
        <v>5</v>
      </c>
      <c r="D1506" s="65">
        <v>1.6</v>
      </c>
      <c r="E1506" s="67" t="s">
        <v>96</v>
      </c>
      <c r="F1506" s="52" t="s">
        <v>27</v>
      </c>
      <c r="G1506" s="52" t="s">
        <v>4</v>
      </c>
    </row>
    <row r="1507" spans="1:7">
      <c r="A1507" s="15" t="s">
        <v>1874</v>
      </c>
      <c r="B1507" s="63" t="s">
        <v>139</v>
      </c>
      <c r="C1507" s="64">
        <v>6</v>
      </c>
      <c r="D1507" s="65">
        <v>2.1</v>
      </c>
      <c r="E1507" s="67" t="s">
        <v>81</v>
      </c>
      <c r="F1507" s="52" t="s">
        <v>82</v>
      </c>
      <c r="G1507" s="52" t="s">
        <v>4</v>
      </c>
    </row>
    <row r="1508" spans="1:7">
      <c r="A1508" s="15" t="s">
        <v>1875</v>
      </c>
      <c r="B1508" s="63" t="s">
        <v>139</v>
      </c>
      <c r="C1508" s="64">
        <v>7</v>
      </c>
      <c r="D1508" s="65">
        <v>3.1</v>
      </c>
      <c r="E1508" s="67" t="s">
        <v>81</v>
      </c>
      <c r="F1508" s="52" t="s">
        <v>90</v>
      </c>
      <c r="G1508" s="52" t="s">
        <v>1</v>
      </c>
    </row>
    <row r="1509" spans="1:7">
      <c r="A1509" s="15" t="s">
        <v>1876</v>
      </c>
      <c r="B1509" s="63" t="s">
        <v>139</v>
      </c>
      <c r="C1509" s="64">
        <v>8</v>
      </c>
      <c r="D1509" s="65">
        <v>2.1</v>
      </c>
      <c r="E1509" s="67" t="s">
        <v>81</v>
      </c>
      <c r="F1509" s="52" t="s">
        <v>82</v>
      </c>
      <c r="G1509" s="52" t="s">
        <v>3</v>
      </c>
    </row>
    <row r="1510" spans="1:7">
      <c r="A1510" s="15" t="s">
        <v>1877</v>
      </c>
      <c r="B1510" s="63" t="s">
        <v>139</v>
      </c>
      <c r="C1510" s="64">
        <v>9</v>
      </c>
      <c r="D1510" s="65">
        <v>2.2000000000000002</v>
      </c>
      <c r="E1510" s="67" t="s">
        <v>100</v>
      </c>
      <c r="F1510" s="52" t="s">
        <v>83</v>
      </c>
      <c r="G1510" s="52" t="s">
        <v>2</v>
      </c>
    </row>
    <row r="1511" spans="1:7">
      <c r="A1511" s="15" t="s">
        <v>1878</v>
      </c>
      <c r="B1511" s="63" t="s">
        <v>139</v>
      </c>
      <c r="C1511" s="64">
        <v>10</v>
      </c>
      <c r="D1511" s="65">
        <v>3.2</v>
      </c>
      <c r="E1511" s="67" t="s">
        <v>76</v>
      </c>
      <c r="F1511" s="52" t="s">
        <v>91</v>
      </c>
      <c r="G1511" s="52" t="s">
        <v>1</v>
      </c>
    </row>
    <row r="1512" spans="1:7">
      <c r="A1512" s="15" t="s">
        <v>1879</v>
      </c>
      <c r="B1512" s="63" t="s">
        <v>139</v>
      </c>
      <c r="C1512" s="64">
        <v>11</v>
      </c>
      <c r="D1512" s="65">
        <v>5.2</v>
      </c>
      <c r="E1512" s="67" t="s">
        <v>81</v>
      </c>
      <c r="F1512" s="52" t="s">
        <v>98</v>
      </c>
      <c r="G1512" s="52" t="s">
        <v>3</v>
      </c>
    </row>
    <row r="1513" spans="1:7">
      <c r="A1513" s="15" t="s">
        <v>1880</v>
      </c>
      <c r="B1513" s="63" t="s">
        <v>139</v>
      </c>
      <c r="C1513" s="64">
        <v>12</v>
      </c>
      <c r="D1513" s="65">
        <v>2.1</v>
      </c>
      <c r="E1513" s="67" t="s">
        <v>81</v>
      </c>
      <c r="F1513" s="52" t="s">
        <v>82</v>
      </c>
      <c r="G1513" s="52" t="s">
        <v>4</v>
      </c>
    </row>
    <row r="1514" spans="1:7">
      <c r="A1514" s="15" t="s">
        <v>1881</v>
      </c>
      <c r="B1514" s="63" t="s">
        <v>139</v>
      </c>
      <c r="C1514" s="64">
        <v>13</v>
      </c>
      <c r="D1514" s="65">
        <v>6.3</v>
      </c>
      <c r="E1514" s="67" t="s">
        <v>76</v>
      </c>
      <c r="F1514" s="52" t="s">
        <v>103</v>
      </c>
      <c r="G1514" s="52" t="s">
        <v>2</v>
      </c>
    </row>
    <row r="1515" spans="1:7">
      <c r="A1515" s="15" t="s">
        <v>1882</v>
      </c>
      <c r="B1515" s="63" t="s">
        <v>139</v>
      </c>
      <c r="C1515" s="64">
        <v>14</v>
      </c>
      <c r="D1515" s="65">
        <v>2.1</v>
      </c>
      <c r="E1515" s="67" t="s">
        <v>81</v>
      </c>
      <c r="F1515" s="52" t="s">
        <v>82</v>
      </c>
      <c r="G1515" s="52" t="s">
        <v>4</v>
      </c>
    </row>
    <row r="1516" spans="1:7">
      <c r="A1516" s="15" t="s">
        <v>1883</v>
      </c>
      <c r="B1516" s="63" t="s">
        <v>139</v>
      </c>
      <c r="C1516" s="64">
        <v>15</v>
      </c>
      <c r="D1516" s="65">
        <v>2.1</v>
      </c>
      <c r="E1516" s="67" t="s">
        <v>81</v>
      </c>
      <c r="F1516" s="52" t="s">
        <v>82</v>
      </c>
      <c r="G1516" s="52" t="s">
        <v>1</v>
      </c>
    </row>
    <row r="1517" spans="1:7">
      <c r="A1517" s="15" t="s">
        <v>1884</v>
      </c>
      <c r="B1517" s="63" t="s">
        <v>139</v>
      </c>
      <c r="C1517" s="64">
        <v>16</v>
      </c>
      <c r="D1517" s="65">
        <v>5.0999999999999996</v>
      </c>
      <c r="E1517" s="67" t="s">
        <v>96</v>
      </c>
      <c r="F1517" s="52" t="s">
        <v>97</v>
      </c>
      <c r="G1517" s="52" t="s">
        <v>4</v>
      </c>
    </row>
    <row r="1518" spans="1:7">
      <c r="A1518" s="15" t="s">
        <v>1885</v>
      </c>
      <c r="B1518" s="63" t="s">
        <v>139</v>
      </c>
      <c r="C1518" s="64">
        <v>17</v>
      </c>
      <c r="D1518" s="65">
        <v>5.3</v>
      </c>
      <c r="E1518" s="67" t="s">
        <v>28</v>
      </c>
      <c r="F1518" s="52" t="s">
        <v>99</v>
      </c>
      <c r="G1518" s="52" t="s">
        <v>2</v>
      </c>
    </row>
    <row r="1519" spans="1:7">
      <c r="A1519" s="15" t="s">
        <v>1886</v>
      </c>
      <c r="B1519" s="63" t="s">
        <v>139</v>
      </c>
      <c r="C1519" s="64">
        <v>18</v>
      </c>
      <c r="D1519" s="65">
        <v>2.31</v>
      </c>
      <c r="E1519" s="67" t="s">
        <v>81</v>
      </c>
      <c r="F1519" s="52" t="s">
        <v>85</v>
      </c>
      <c r="G1519" s="52" t="s">
        <v>4</v>
      </c>
    </row>
    <row r="1520" spans="1:7">
      <c r="A1520" s="15" t="s">
        <v>1887</v>
      </c>
      <c r="B1520" s="63" t="s">
        <v>139</v>
      </c>
      <c r="C1520" s="64">
        <v>19</v>
      </c>
      <c r="D1520" s="65">
        <v>1.6</v>
      </c>
      <c r="E1520" s="67" t="s">
        <v>76</v>
      </c>
      <c r="F1520" s="52" t="s">
        <v>27</v>
      </c>
      <c r="G1520" s="52" t="s">
        <v>0</v>
      </c>
    </row>
    <row r="1521" spans="1:7">
      <c r="A1521" s="15" t="s">
        <v>1888</v>
      </c>
      <c r="B1521" s="63" t="s">
        <v>139</v>
      </c>
      <c r="C1521" s="64">
        <v>20</v>
      </c>
      <c r="D1521" s="65">
        <v>2.1</v>
      </c>
      <c r="E1521" s="67" t="s">
        <v>93</v>
      </c>
      <c r="F1521" s="52" t="s">
        <v>82</v>
      </c>
      <c r="G1521" s="52" t="s">
        <v>3</v>
      </c>
    </row>
    <row r="1522" spans="1:7">
      <c r="A1522" s="15" t="s">
        <v>1889</v>
      </c>
      <c r="B1522" s="63" t="s">
        <v>139</v>
      </c>
      <c r="C1522" s="64">
        <v>21</v>
      </c>
      <c r="D1522" s="65">
        <v>2.35</v>
      </c>
      <c r="E1522" s="67" t="s">
        <v>100</v>
      </c>
      <c r="F1522" s="52" t="s">
        <v>89</v>
      </c>
      <c r="G1522" s="52" t="s">
        <v>0</v>
      </c>
    </row>
    <row r="1523" spans="1:7">
      <c r="A1523" s="15" t="s">
        <v>1890</v>
      </c>
      <c r="B1523" s="63" t="s">
        <v>139</v>
      </c>
      <c r="C1523" s="64">
        <v>22</v>
      </c>
      <c r="D1523" s="65">
        <v>3.2</v>
      </c>
      <c r="E1523" s="67" t="s">
        <v>81</v>
      </c>
      <c r="F1523" s="52" t="s">
        <v>91</v>
      </c>
      <c r="G1523" s="52" t="s">
        <v>3</v>
      </c>
    </row>
    <row r="1524" spans="1:7">
      <c r="A1524" s="15" t="s">
        <v>1891</v>
      </c>
      <c r="B1524" s="63" t="s">
        <v>139</v>
      </c>
      <c r="C1524" s="64">
        <v>23</v>
      </c>
      <c r="D1524" s="65">
        <v>4.2</v>
      </c>
      <c r="E1524" s="67" t="s">
        <v>81</v>
      </c>
      <c r="F1524" s="52" t="s">
        <v>95</v>
      </c>
      <c r="G1524" s="52" t="s">
        <v>2</v>
      </c>
    </row>
    <row r="1525" spans="1:7">
      <c r="A1525" s="15" t="s">
        <v>1892</v>
      </c>
      <c r="B1525" s="63" t="s">
        <v>139</v>
      </c>
      <c r="C1525" s="64">
        <v>24</v>
      </c>
      <c r="D1525" s="65">
        <v>2.35</v>
      </c>
      <c r="E1525" s="67" t="s">
        <v>81</v>
      </c>
      <c r="F1525" s="52" t="s">
        <v>89</v>
      </c>
      <c r="G1525" s="52" t="s">
        <v>0</v>
      </c>
    </row>
    <row r="1526" spans="1:7">
      <c r="A1526" s="15" t="s">
        <v>1893</v>
      </c>
      <c r="B1526" s="63" t="s">
        <v>139</v>
      </c>
      <c r="C1526" s="64">
        <v>25</v>
      </c>
      <c r="D1526" s="65">
        <v>2.3199999999999998</v>
      </c>
      <c r="E1526" s="67" t="s">
        <v>76</v>
      </c>
      <c r="F1526" s="52" t="s">
        <v>86</v>
      </c>
      <c r="G1526" s="52" t="s">
        <v>4</v>
      </c>
    </row>
    <row r="1527" spans="1:7">
      <c r="A1527" s="15" t="s">
        <v>1894</v>
      </c>
      <c r="B1527" s="63" t="s">
        <v>139</v>
      </c>
      <c r="C1527" s="64">
        <v>26</v>
      </c>
      <c r="D1527" s="65">
        <v>2.3199999999999998</v>
      </c>
      <c r="E1527" s="67" t="s">
        <v>28</v>
      </c>
      <c r="F1527" s="52" t="s">
        <v>86</v>
      </c>
      <c r="G1527" s="52" t="s">
        <v>2</v>
      </c>
    </row>
    <row r="1528" spans="1:7">
      <c r="A1528" s="15" t="s">
        <v>1895</v>
      </c>
      <c r="B1528" s="63" t="s">
        <v>139</v>
      </c>
      <c r="C1528" s="64">
        <v>27</v>
      </c>
      <c r="D1528" s="65">
        <v>5.2</v>
      </c>
      <c r="E1528" s="67" t="s">
        <v>81</v>
      </c>
      <c r="F1528" s="52" t="s">
        <v>98</v>
      </c>
      <c r="G1528" s="52" t="s">
        <v>4</v>
      </c>
    </row>
    <row r="1529" spans="1:7">
      <c r="A1529" s="15" t="s">
        <v>1896</v>
      </c>
      <c r="B1529" s="63" t="s">
        <v>139</v>
      </c>
      <c r="C1529" s="64">
        <v>28</v>
      </c>
      <c r="D1529" s="65">
        <v>5.2</v>
      </c>
      <c r="E1529" s="67" t="s">
        <v>100</v>
      </c>
      <c r="F1529" s="52" t="s">
        <v>98</v>
      </c>
      <c r="G1529" s="52" t="s">
        <v>1</v>
      </c>
    </row>
    <row r="1530" spans="1:7">
      <c r="A1530" s="15" t="s">
        <v>1897</v>
      </c>
      <c r="B1530" s="63" t="s">
        <v>139</v>
      </c>
      <c r="C1530" s="64">
        <v>29</v>
      </c>
      <c r="D1530" s="65">
        <v>3.2</v>
      </c>
      <c r="E1530" s="67" t="s">
        <v>96</v>
      </c>
      <c r="F1530" s="52" t="s">
        <v>91</v>
      </c>
      <c r="G1530" s="52" t="s">
        <v>3</v>
      </c>
    </row>
    <row r="1531" spans="1:7">
      <c r="A1531" s="15" t="s">
        <v>1898</v>
      </c>
      <c r="B1531" s="63" t="s">
        <v>139</v>
      </c>
      <c r="C1531" s="64">
        <v>30</v>
      </c>
      <c r="D1531" s="65">
        <v>2.35</v>
      </c>
      <c r="E1531" s="67" t="s">
        <v>96</v>
      </c>
      <c r="F1531" s="52" t="s">
        <v>89</v>
      </c>
      <c r="G1531" s="52" t="s">
        <v>3</v>
      </c>
    </row>
    <row r="1532" spans="1:7">
      <c r="A1532" s="15" t="s">
        <v>1899</v>
      </c>
      <c r="B1532" s="63" t="s">
        <v>139</v>
      </c>
      <c r="C1532" s="64">
        <v>31</v>
      </c>
      <c r="D1532" s="65">
        <v>2.34</v>
      </c>
      <c r="E1532" s="67" t="s">
        <v>81</v>
      </c>
      <c r="F1532" s="52" t="s">
        <v>88</v>
      </c>
      <c r="G1532" s="52" t="s">
        <v>0</v>
      </c>
    </row>
    <row r="1533" spans="1:7">
      <c r="A1533" s="15" t="s">
        <v>1900</v>
      </c>
      <c r="B1533" s="63" t="s">
        <v>139</v>
      </c>
      <c r="C1533" s="64">
        <v>32</v>
      </c>
      <c r="D1533" s="65">
        <v>1.4</v>
      </c>
      <c r="E1533" s="67" t="s">
        <v>81</v>
      </c>
      <c r="F1533" s="52" t="s">
        <v>30</v>
      </c>
      <c r="G1533" s="52" t="s">
        <v>1</v>
      </c>
    </row>
    <row r="1534" spans="1:7">
      <c r="A1534" s="15" t="s">
        <v>1901</v>
      </c>
      <c r="B1534" s="63" t="s">
        <v>139</v>
      </c>
      <c r="C1534" s="64">
        <v>33</v>
      </c>
      <c r="D1534" s="65">
        <v>4.2</v>
      </c>
      <c r="E1534" s="67" t="s">
        <v>28</v>
      </c>
      <c r="F1534" s="52" t="s">
        <v>95</v>
      </c>
      <c r="G1534" s="52" t="s">
        <v>2</v>
      </c>
    </row>
    <row r="1535" spans="1:7">
      <c r="A1535" s="15" t="s">
        <v>1902</v>
      </c>
      <c r="B1535" s="63" t="s">
        <v>139</v>
      </c>
      <c r="C1535" s="64">
        <v>34</v>
      </c>
      <c r="D1535" s="65">
        <v>2.3199999999999998</v>
      </c>
      <c r="E1535" s="67" t="s">
        <v>81</v>
      </c>
      <c r="F1535" s="52" t="s">
        <v>86</v>
      </c>
      <c r="G1535" s="52" t="s">
        <v>2</v>
      </c>
    </row>
    <row r="1536" spans="1:7">
      <c r="A1536" s="15" t="s">
        <v>1903</v>
      </c>
      <c r="B1536" s="63" t="s">
        <v>139</v>
      </c>
      <c r="C1536" s="64">
        <v>35</v>
      </c>
      <c r="D1536" s="65">
        <v>2.1</v>
      </c>
      <c r="E1536" s="67" t="s">
        <v>96</v>
      </c>
      <c r="F1536" s="52" t="s">
        <v>82</v>
      </c>
      <c r="G1536" s="52" t="s">
        <v>4</v>
      </c>
    </row>
    <row r="1537" spans="1:7">
      <c r="A1537" s="15" t="s">
        <v>1904</v>
      </c>
      <c r="B1537" s="63" t="s">
        <v>139</v>
      </c>
      <c r="C1537" s="64">
        <v>36</v>
      </c>
      <c r="D1537" s="65">
        <v>2.35</v>
      </c>
      <c r="E1537" s="67" t="s">
        <v>100</v>
      </c>
      <c r="F1537" s="52" t="s">
        <v>89</v>
      </c>
      <c r="G1537" s="52" t="s">
        <v>0</v>
      </c>
    </row>
    <row r="1538" spans="1:7">
      <c r="A1538" s="15" t="s">
        <v>1905</v>
      </c>
      <c r="B1538" s="63" t="s">
        <v>139</v>
      </c>
      <c r="C1538" s="64">
        <v>37</v>
      </c>
      <c r="D1538" s="65">
        <v>3.1</v>
      </c>
      <c r="E1538" s="67" t="s">
        <v>81</v>
      </c>
      <c r="F1538" s="52" t="s">
        <v>90</v>
      </c>
      <c r="G1538" s="52" t="s">
        <v>1</v>
      </c>
    </row>
    <row r="1539" spans="1:7">
      <c r="A1539" s="15" t="s">
        <v>1906</v>
      </c>
      <c r="B1539" s="63" t="s">
        <v>139</v>
      </c>
      <c r="C1539" s="64">
        <v>38</v>
      </c>
      <c r="D1539" s="65">
        <v>2.31</v>
      </c>
      <c r="E1539" s="67" t="s">
        <v>81</v>
      </c>
      <c r="F1539" s="52" t="s">
        <v>85</v>
      </c>
      <c r="G1539" s="52" t="s">
        <v>0</v>
      </c>
    </row>
    <row r="1540" spans="1:7">
      <c r="A1540" s="15" t="s">
        <v>1907</v>
      </c>
      <c r="B1540" s="63" t="s">
        <v>139</v>
      </c>
      <c r="C1540" s="64">
        <v>39</v>
      </c>
      <c r="D1540" s="65">
        <v>6.1</v>
      </c>
      <c r="E1540" s="67" t="s">
        <v>81</v>
      </c>
      <c r="F1540" s="52" t="s">
        <v>101</v>
      </c>
      <c r="G1540" s="52" t="s">
        <v>2</v>
      </c>
    </row>
    <row r="1541" spans="1:7">
      <c r="A1541" s="15" t="s">
        <v>1908</v>
      </c>
      <c r="B1541" s="63" t="s">
        <v>139</v>
      </c>
      <c r="C1541" s="64">
        <v>40</v>
      </c>
      <c r="D1541" s="65">
        <v>1.2</v>
      </c>
      <c r="E1541" s="67" t="s">
        <v>100</v>
      </c>
      <c r="F1541" s="52" t="s">
        <v>78</v>
      </c>
      <c r="G1541" s="52" t="s">
        <v>0</v>
      </c>
    </row>
    <row r="1542" spans="1:7">
      <c r="A1542" s="15" t="s">
        <v>1909</v>
      </c>
      <c r="B1542" s="63" t="s">
        <v>139</v>
      </c>
      <c r="C1542" s="64">
        <v>41</v>
      </c>
      <c r="D1542" s="65">
        <v>5.3</v>
      </c>
      <c r="E1542" s="67" t="s">
        <v>81</v>
      </c>
      <c r="F1542" s="52" t="s">
        <v>99</v>
      </c>
      <c r="G1542" s="52" t="s">
        <v>4</v>
      </c>
    </row>
    <row r="1543" spans="1:7">
      <c r="A1543" s="15" t="s">
        <v>1910</v>
      </c>
      <c r="B1543" s="63" t="s">
        <v>139</v>
      </c>
      <c r="C1543" s="64">
        <v>42</v>
      </c>
      <c r="D1543" s="65">
        <v>6.2</v>
      </c>
      <c r="E1543" s="67" t="s">
        <v>81</v>
      </c>
      <c r="F1543" s="52" t="s">
        <v>102</v>
      </c>
      <c r="G1543" s="52" t="s">
        <v>4</v>
      </c>
    </row>
    <row r="1544" spans="1:7">
      <c r="A1544" s="15" t="s">
        <v>1911</v>
      </c>
      <c r="B1544" s="63" t="s">
        <v>139</v>
      </c>
      <c r="C1544" s="64">
        <v>43</v>
      </c>
      <c r="D1544" s="65">
        <v>2.31</v>
      </c>
      <c r="E1544" s="67" t="s">
        <v>81</v>
      </c>
      <c r="F1544" s="52" t="s">
        <v>85</v>
      </c>
      <c r="G1544" s="52" t="s">
        <v>0</v>
      </c>
    </row>
    <row r="1545" spans="1:7">
      <c r="A1545" s="15" t="s">
        <v>1912</v>
      </c>
      <c r="B1545" s="63" t="s">
        <v>139</v>
      </c>
      <c r="C1545" s="64">
        <v>44</v>
      </c>
      <c r="D1545" s="65">
        <v>2.34</v>
      </c>
      <c r="E1545" s="67" t="s">
        <v>81</v>
      </c>
      <c r="F1545" s="52" t="s">
        <v>88</v>
      </c>
      <c r="G1545" s="52" t="s">
        <v>3</v>
      </c>
    </row>
    <row r="1546" spans="1:7">
      <c r="A1546" s="15" t="s">
        <v>1913</v>
      </c>
      <c r="B1546" s="63" t="s">
        <v>139</v>
      </c>
      <c r="C1546" s="64">
        <v>45</v>
      </c>
      <c r="D1546" s="65">
        <v>1.3</v>
      </c>
      <c r="E1546" s="67" t="s">
        <v>93</v>
      </c>
      <c r="F1546" s="52" t="s">
        <v>79</v>
      </c>
      <c r="G1546" s="52" t="s">
        <v>2</v>
      </c>
    </row>
    <row r="1547" spans="1:7">
      <c r="A1547" s="15" t="s">
        <v>1914</v>
      </c>
      <c r="B1547" s="63" t="s">
        <v>139</v>
      </c>
      <c r="C1547" s="64">
        <v>46</v>
      </c>
      <c r="D1547" s="65">
        <v>6.3</v>
      </c>
      <c r="E1547" s="67" t="s">
        <v>96</v>
      </c>
      <c r="F1547" s="52" t="s">
        <v>103</v>
      </c>
      <c r="G1547" s="52" t="s">
        <v>0</v>
      </c>
    </row>
    <row r="1548" spans="1:7">
      <c r="A1548" s="15" t="s">
        <v>1915</v>
      </c>
      <c r="B1548" s="63" t="s">
        <v>139</v>
      </c>
      <c r="C1548" s="64">
        <v>47</v>
      </c>
      <c r="D1548" s="65">
        <v>5.0999999999999996</v>
      </c>
      <c r="E1548" s="67" t="s">
        <v>28</v>
      </c>
      <c r="F1548" s="52" t="s">
        <v>97</v>
      </c>
      <c r="G1548" s="52" t="s">
        <v>1</v>
      </c>
    </row>
    <row r="1549" spans="1:7">
      <c r="A1549" s="15" t="s">
        <v>1916</v>
      </c>
      <c r="B1549" s="63" t="s">
        <v>139</v>
      </c>
      <c r="C1549" s="64">
        <v>48</v>
      </c>
      <c r="D1549" s="65">
        <v>6.3</v>
      </c>
      <c r="E1549" s="67" t="s">
        <v>100</v>
      </c>
      <c r="F1549" s="52" t="s">
        <v>103</v>
      </c>
      <c r="G1549" s="52" t="s">
        <v>1</v>
      </c>
    </row>
    <row r="1550" spans="1:7">
      <c r="A1550" s="15" t="s">
        <v>1917</v>
      </c>
      <c r="B1550" s="63" t="s">
        <v>139</v>
      </c>
      <c r="C1550" s="64">
        <v>49</v>
      </c>
      <c r="D1550" s="65">
        <v>2.3199999999999998</v>
      </c>
      <c r="E1550" s="67" t="s">
        <v>81</v>
      </c>
      <c r="F1550" s="52" t="s">
        <v>86</v>
      </c>
      <c r="G1550" s="52" t="s">
        <v>0</v>
      </c>
    </row>
    <row r="1551" spans="1:7">
      <c r="A1551" s="15" t="s">
        <v>1918</v>
      </c>
      <c r="B1551" s="63" t="s">
        <v>139</v>
      </c>
      <c r="C1551" s="64">
        <v>50</v>
      </c>
      <c r="D1551" s="65">
        <v>4.0999999999999996</v>
      </c>
      <c r="E1551" s="67" t="s">
        <v>76</v>
      </c>
      <c r="F1551" s="52" t="s">
        <v>94</v>
      </c>
      <c r="G1551" s="52" t="s">
        <v>3</v>
      </c>
    </row>
    <row r="1552" spans="1:7">
      <c r="A1552" s="15" t="s">
        <v>1919</v>
      </c>
      <c r="B1552" s="63" t="s">
        <v>140</v>
      </c>
      <c r="C1552" s="64">
        <v>1</v>
      </c>
      <c r="D1552" s="66">
        <v>2.1</v>
      </c>
      <c r="E1552" s="67" t="s">
        <v>76</v>
      </c>
      <c r="F1552" s="57" t="s">
        <v>82</v>
      </c>
      <c r="G1552" s="52" t="s">
        <v>4</v>
      </c>
    </row>
    <row r="1553" spans="1:7">
      <c r="A1553" s="15" t="s">
        <v>1920</v>
      </c>
      <c r="B1553" s="63" t="s">
        <v>140</v>
      </c>
      <c r="C1553" s="64">
        <v>2</v>
      </c>
      <c r="D1553" s="65">
        <v>2.1</v>
      </c>
      <c r="E1553" s="67" t="s">
        <v>81</v>
      </c>
      <c r="F1553" s="52" t="s">
        <v>82</v>
      </c>
      <c r="G1553" s="52" t="s">
        <v>3</v>
      </c>
    </row>
    <row r="1554" spans="1:7">
      <c r="A1554" s="15" t="s">
        <v>1921</v>
      </c>
      <c r="B1554" s="63" t="s">
        <v>140</v>
      </c>
      <c r="C1554" s="64">
        <v>3</v>
      </c>
      <c r="D1554" s="65">
        <v>2.2000000000000002</v>
      </c>
      <c r="E1554" s="67" t="s">
        <v>81</v>
      </c>
      <c r="F1554" s="52" t="s">
        <v>83</v>
      </c>
      <c r="G1554" s="52" t="s">
        <v>2</v>
      </c>
    </row>
    <row r="1555" spans="1:7">
      <c r="A1555" s="15" t="s">
        <v>1922</v>
      </c>
      <c r="B1555" s="63" t="s">
        <v>140</v>
      </c>
      <c r="C1555" s="64">
        <v>4</v>
      </c>
      <c r="D1555" s="65">
        <v>3.1</v>
      </c>
      <c r="E1555" s="67" t="s">
        <v>81</v>
      </c>
      <c r="F1555" s="52" t="s">
        <v>90</v>
      </c>
      <c r="G1555" s="52" t="s">
        <v>0</v>
      </c>
    </row>
    <row r="1556" spans="1:7">
      <c r="A1556" s="15" t="s">
        <v>1923</v>
      </c>
      <c r="B1556" s="63" t="s">
        <v>140</v>
      </c>
      <c r="C1556" s="64">
        <v>5</v>
      </c>
      <c r="D1556" s="65">
        <v>5.0999999999999996</v>
      </c>
      <c r="E1556" s="67" t="s">
        <v>96</v>
      </c>
      <c r="F1556" s="52" t="s">
        <v>97</v>
      </c>
      <c r="G1556" s="52" t="s">
        <v>4</v>
      </c>
    </row>
    <row r="1557" spans="1:7">
      <c r="A1557" s="15" t="s">
        <v>1924</v>
      </c>
      <c r="B1557" s="63" t="s">
        <v>140</v>
      </c>
      <c r="C1557" s="64">
        <v>6</v>
      </c>
      <c r="D1557" s="65">
        <v>2.31</v>
      </c>
      <c r="E1557" s="67" t="s">
        <v>96</v>
      </c>
      <c r="F1557" s="52" t="s">
        <v>85</v>
      </c>
      <c r="G1557" s="52" t="s">
        <v>2</v>
      </c>
    </row>
    <row r="1558" spans="1:7">
      <c r="A1558" s="15" t="s">
        <v>1925</v>
      </c>
      <c r="B1558" s="63" t="s">
        <v>140</v>
      </c>
      <c r="C1558" s="64">
        <v>7</v>
      </c>
      <c r="D1558" s="65">
        <v>2.1</v>
      </c>
      <c r="E1558" s="67" t="s">
        <v>81</v>
      </c>
      <c r="F1558" s="52" t="s">
        <v>82</v>
      </c>
      <c r="G1558" s="52" t="s">
        <v>4</v>
      </c>
    </row>
    <row r="1559" spans="1:7">
      <c r="A1559" s="15" t="s">
        <v>1926</v>
      </c>
      <c r="B1559" s="63" t="s">
        <v>140</v>
      </c>
      <c r="C1559" s="64">
        <v>8</v>
      </c>
      <c r="D1559" s="65">
        <v>2.35</v>
      </c>
      <c r="E1559" s="67" t="s">
        <v>81</v>
      </c>
      <c r="F1559" s="52" t="s">
        <v>89</v>
      </c>
      <c r="G1559" s="52" t="s">
        <v>3</v>
      </c>
    </row>
    <row r="1560" spans="1:7">
      <c r="A1560" s="15" t="s">
        <v>1927</v>
      </c>
      <c r="B1560" s="63" t="s">
        <v>140</v>
      </c>
      <c r="C1560" s="64">
        <v>9</v>
      </c>
      <c r="D1560" s="65">
        <v>6.3</v>
      </c>
      <c r="E1560" s="67" t="s">
        <v>81</v>
      </c>
      <c r="F1560" s="52" t="s">
        <v>103</v>
      </c>
      <c r="G1560" s="52" t="s">
        <v>2</v>
      </c>
    </row>
    <row r="1561" spans="1:7">
      <c r="A1561" s="15" t="s">
        <v>1928</v>
      </c>
      <c r="B1561" s="63" t="s">
        <v>140</v>
      </c>
      <c r="C1561" s="64">
        <v>10</v>
      </c>
      <c r="D1561" s="65">
        <v>1.4</v>
      </c>
      <c r="E1561" s="67" t="s">
        <v>81</v>
      </c>
      <c r="F1561" s="52" t="s">
        <v>30</v>
      </c>
      <c r="G1561" s="52" t="s">
        <v>2</v>
      </c>
    </row>
    <row r="1562" spans="1:7">
      <c r="A1562" s="15" t="s">
        <v>1929</v>
      </c>
      <c r="B1562" s="63" t="s">
        <v>140</v>
      </c>
      <c r="C1562" s="64">
        <v>11</v>
      </c>
      <c r="D1562" s="65">
        <v>2.2000000000000002</v>
      </c>
      <c r="E1562" s="67" t="s">
        <v>81</v>
      </c>
      <c r="F1562" s="52" t="s">
        <v>83</v>
      </c>
      <c r="G1562" s="52" t="s">
        <v>1</v>
      </c>
    </row>
    <row r="1563" spans="1:7">
      <c r="A1563" s="15" t="s">
        <v>1930</v>
      </c>
      <c r="B1563" s="63" t="s">
        <v>140</v>
      </c>
      <c r="C1563" s="64">
        <v>12</v>
      </c>
      <c r="D1563" s="65">
        <v>2.31</v>
      </c>
      <c r="E1563" s="67" t="s">
        <v>96</v>
      </c>
      <c r="F1563" s="52" t="s">
        <v>85</v>
      </c>
      <c r="G1563" s="52" t="s">
        <v>4</v>
      </c>
    </row>
    <row r="1564" spans="1:7">
      <c r="A1564" s="15" t="s">
        <v>1931</v>
      </c>
      <c r="B1564" s="63" t="s">
        <v>140</v>
      </c>
      <c r="C1564" s="64">
        <v>13</v>
      </c>
      <c r="D1564" s="65">
        <v>1.1000000000000001</v>
      </c>
      <c r="E1564" s="67" t="s">
        <v>81</v>
      </c>
      <c r="F1564" s="52" t="s">
        <v>77</v>
      </c>
      <c r="G1564" s="52" t="s">
        <v>4</v>
      </c>
    </row>
    <row r="1565" spans="1:7">
      <c r="A1565" s="15" t="s">
        <v>1932</v>
      </c>
      <c r="B1565" s="63" t="s">
        <v>140</v>
      </c>
      <c r="C1565" s="64">
        <v>14</v>
      </c>
      <c r="D1565" s="65">
        <v>2.2000000000000002</v>
      </c>
      <c r="E1565" s="67" t="s">
        <v>100</v>
      </c>
      <c r="F1565" s="52" t="s">
        <v>83</v>
      </c>
      <c r="G1565" s="52" t="s">
        <v>0</v>
      </c>
    </row>
    <row r="1566" spans="1:7">
      <c r="A1566" s="15" t="s">
        <v>1933</v>
      </c>
      <c r="B1566" s="63" t="s">
        <v>140</v>
      </c>
      <c r="C1566" s="64">
        <v>15</v>
      </c>
      <c r="D1566" s="65">
        <v>2.31</v>
      </c>
      <c r="E1566" s="67" t="s">
        <v>100</v>
      </c>
      <c r="F1566" s="52" t="s">
        <v>85</v>
      </c>
      <c r="G1566" s="52" t="s">
        <v>3</v>
      </c>
    </row>
    <row r="1567" spans="1:7">
      <c r="A1567" s="15" t="s">
        <v>1934</v>
      </c>
      <c r="B1567" s="63" t="s">
        <v>140</v>
      </c>
      <c r="C1567" s="64">
        <v>16</v>
      </c>
      <c r="D1567" s="65">
        <v>5.0999999999999996</v>
      </c>
      <c r="E1567" s="67" t="s">
        <v>28</v>
      </c>
      <c r="F1567" s="52" t="s">
        <v>97</v>
      </c>
      <c r="G1567" s="52" t="s">
        <v>2</v>
      </c>
    </row>
    <row r="1568" spans="1:7">
      <c r="A1568" s="15" t="s">
        <v>1935</v>
      </c>
      <c r="B1568" s="63" t="s">
        <v>140</v>
      </c>
      <c r="C1568" s="64">
        <v>17</v>
      </c>
      <c r="D1568" s="65">
        <v>3.2</v>
      </c>
      <c r="E1568" s="67" t="s">
        <v>81</v>
      </c>
      <c r="F1568" s="52" t="s">
        <v>91</v>
      </c>
      <c r="G1568" s="52" t="s">
        <v>1</v>
      </c>
    </row>
    <row r="1569" spans="1:7">
      <c r="A1569" s="15" t="s">
        <v>1936</v>
      </c>
      <c r="B1569" s="63" t="s">
        <v>140</v>
      </c>
      <c r="C1569" s="64">
        <v>18</v>
      </c>
      <c r="D1569" s="65">
        <v>2.31</v>
      </c>
      <c r="E1569" s="67" t="s">
        <v>100</v>
      </c>
      <c r="F1569" s="52" t="s">
        <v>85</v>
      </c>
      <c r="G1569" s="52" t="s">
        <v>0</v>
      </c>
    </row>
    <row r="1570" spans="1:7">
      <c r="A1570" s="15" t="s">
        <v>1937</v>
      </c>
      <c r="B1570" s="63" t="s">
        <v>140</v>
      </c>
      <c r="C1570" s="64">
        <v>19</v>
      </c>
      <c r="D1570" s="65">
        <v>1.3</v>
      </c>
      <c r="E1570" s="67" t="s">
        <v>28</v>
      </c>
      <c r="F1570" s="52" t="s">
        <v>79</v>
      </c>
      <c r="G1570" s="52" t="s">
        <v>4</v>
      </c>
    </row>
    <row r="1571" spans="1:7">
      <c r="A1571" s="15" t="s">
        <v>1938</v>
      </c>
      <c r="B1571" s="63" t="s">
        <v>140</v>
      </c>
      <c r="C1571" s="64">
        <v>20</v>
      </c>
      <c r="D1571" s="65">
        <v>4.2</v>
      </c>
      <c r="E1571" s="67" t="s">
        <v>81</v>
      </c>
      <c r="F1571" s="52" t="s">
        <v>95</v>
      </c>
      <c r="G1571" s="52" t="s">
        <v>2</v>
      </c>
    </row>
    <row r="1572" spans="1:7">
      <c r="A1572" s="15" t="s">
        <v>1939</v>
      </c>
      <c r="B1572" s="63" t="s">
        <v>140</v>
      </c>
      <c r="C1572" s="64">
        <v>21</v>
      </c>
      <c r="D1572" s="65">
        <v>6.1</v>
      </c>
      <c r="E1572" s="67" t="s">
        <v>81</v>
      </c>
      <c r="F1572" s="52" t="s">
        <v>101</v>
      </c>
      <c r="G1572" s="52" t="s">
        <v>4</v>
      </c>
    </row>
    <row r="1573" spans="1:7">
      <c r="A1573" s="15" t="s">
        <v>1940</v>
      </c>
      <c r="B1573" s="63" t="s">
        <v>140</v>
      </c>
      <c r="C1573" s="64">
        <v>22</v>
      </c>
      <c r="D1573" s="65">
        <v>2.31</v>
      </c>
      <c r="E1573" s="67" t="s">
        <v>81</v>
      </c>
      <c r="F1573" s="52" t="s">
        <v>85</v>
      </c>
      <c r="G1573" s="52" t="s">
        <v>4</v>
      </c>
    </row>
    <row r="1574" spans="1:7">
      <c r="A1574" s="15" t="s">
        <v>1941</v>
      </c>
      <c r="B1574" s="63" t="s">
        <v>140</v>
      </c>
      <c r="C1574" s="64">
        <v>23</v>
      </c>
      <c r="D1574" s="65">
        <v>2.31</v>
      </c>
      <c r="E1574" s="67" t="s">
        <v>76</v>
      </c>
      <c r="F1574" s="52" t="s">
        <v>85</v>
      </c>
      <c r="G1574" s="52" t="s">
        <v>1</v>
      </c>
    </row>
    <row r="1575" spans="1:7">
      <c r="A1575" s="15" t="s">
        <v>1942</v>
      </c>
      <c r="B1575" s="63" t="s">
        <v>140</v>
      </c>
      <c r="C1575" s="64">
        <v>24</v>
      </c>
      <c r="D1575" s="65">
        <v>2.33</v>
      </c>
      <c r="E1575" s="67" t="s">
        <v>96</v>
      </c>
      <c r="F1575" s="52" t="s">
        <v>87</v>
      </c>
      <c r="G1575" s="52" t="s">
        <v>2</v>
      </c>
    </row>
    <row r="1576" spans="1:7">
      <c r="A1576" s="15" t="s">
        <v>1943</v>
      </c>
      <c r="B1576" s="63" t="s">
        <v>140</v>
      </c>
      <c r="C1576" s="64">
        <v>25</v>
      </c>
      <c r="D1576" s="65">
        <v>1.3</v>
      </c>
      <c r="E1576" s="67" t="s">
        <v>81</v>
      </c>
      <c r="F1576" s="52" t="s">
        <v>79</v>
      </c>
      <c r="G1576" s="52" t="s">
        <v>2</v>
      </c>
    </row>
    <row r="1577" spans="1:7">
      <c r="A1577" s="15" t="s">
        <v>1944</v>
      </c>
      <c r="B1577" s="63" t="s">
        <v>140</v>
      </c>
      <c r="C1577" s="64">
        <v>26</v>
      </c>
      <c r="D1577" s="65">
        <v>3.2</v>
      </c>
      <c r="E1577" s="67" t="s">
        <v>96</v>
      </c>
      <c r="F1577" s="52" t="s">
        <v>91</v>
      </c>
      <c r="G1577" s="52" t="s">
        <v>3</v>
      </c>
    </row>
    <row r="1578" spans="1:7">
      <c r="A1578" s="15" t="s">
        <v>1945</v>
      </c>
      <c r="B1578" s="63" t="s">
        <v>140</v>
      </c>
      <c r="C1578" s="64">
        <v>27</v>
      </c>
      <c r="D1578" s="65">
        <v>2.31</v>
      </c>
      <c r="E1578" s="67" t="s">
        <v>76</v>
      </c>
      <c r="F1578" s="52" t="s">
        <v>85</v>
      </c>
      <c r="G1578" s="52" t="s">
        <v>4</v>
      </c>
    </row>
    <row r="1579" spans="1:7">
      <c r="A1579" s="15" t="s">
        <v>1946</v>
      </c>
      <c r="B1579" s="63" t="s">
        <v>140</v>
      </c>
      <c r="C1579" s="64">
        <v>28</v>
      </c>
      <c r="D1579" s="65">
        <v>6.3</v>
      </c>
      <c r="E1579" s="67" t="s">
        <v>81</v>
      </c>
      <c r="F1579" s="52" t="s">
        <v>103</v>
      </c>
      <c r="G1579" s="52" t="s">
        <v>3</v>
      </c>
    </row>
    <row r="1580" spans="1:7">
      <c r="A1580" s="15" t="s">
        <v>1947</v>
      </c>
      <c r="B1580" s="63" t="s">
        <v>140</v>
      </c>
      <c r="C1580" s="64">
        <v>29</v>
      </c>
      <c r="D1580" s="65">
        <v>5.0999999999999996</v>
      </c>
      <c r="E1580" s="67" t="s">
        <v>96</v>
      </c>
      <c r="F1580" s="52" t="s">
        <v>97</v>
      </c>
      <c r="G1580" s="52" t="s">
        <v>0</v>
      </c>
    </row>
    <row r="1581" spans="1:7">
      <c r="A1581" s="15" t="s">
        <v>1948</v>
      </c>
      <c r="B1581" s="63" t="s">
        <v>140</v>
      </c>
      <c r="C1581" s="64">
        <v>30</v>
      </c>
      <c r="D1581" s="65">
        <v>5.2</v>
      </c>
      <c r="E1581" s="67" t="s">
        <v>76</v>
      </c>
      <c r="F1581" s="52" t="s">
        <v>98</v>
      </c>
      <c r="G1581" s="52" t="s">
        <v>0</v>
      </c>
    </row>
    <row r="1582" spans="1:7">
      <c r="A1582" s="15" t="s">
        <v>1949</v>
      </c>
      <c r="B1582" s="63" t="s">
        <v>140</v>
      </c>
      <c r="C1582" s="64">
        <v>31</v>
      </c>
      <c r="D1582" s="65">
        <v>2.31</v>
      </c>
      <c r="E1582" s="67" t="s">
        <v>81</v>
      </c>
      <c r="F1582" s="52" t="s">
        <v>85</v>
      </c>
      <c r="G1582" s="52" t="s">
        <v>1</v>
      </c>
    </row>
    <row r="1583" spans="1:7">
      <c r="A1583" s="15" t="s">
        <v>1950</v>
      </c>
      <c r="B1583" s="63" t="s">
        <v>140</v>
      </c>
      <c r="C1583" s="64">
        <v>32</v>
      </c>
      <c r="D1583" s="65">
        <v>2.1</v>
      </c>
      <c r="E1583" s="67" t="s">
        <v>96</v>
      </c>
      <c r="F1583" s="52" t="s">
        <v>82</v>
      </c>
      <c r="G1583" s="52" t="s">
        <v>0</v>
      </c>
    </row>
    <row r="1584" spans="1:7">
      <c r="A1584" s="15" t="s">
        <v>1951</v>
      </c>
      <c r="B1584" s="63" t="s">
        <v>140</v>
      </c>
      <c r="C1584" s="64">
        <v>33</v>
      </c>
      <c r="D1584" s="65">
        <v>3.4</v>
      </c>
      <c r="E1584" s="67" t="s">
        <v>28</v>
      </c>
      <c r="F1584" s="52" t="s">
        <v>29</v>
      </c>
      <c r="G1584" s="52" t="s">
        <v>4</v>
      </c>
    </row>
    <row r="1585" spans="1:7">
      <c r="A1585" s="15" t="s">
        <v>1952</v>
      </c>
      <c r="B1585" s="63" t="s">
        <v>140</v>
      </c>
      <c r="C1585" s="64">
        <v>34</v>
      </c>
      <c r="D1585" s="65">
        <v>2.35</v>
      </c>
      <c r="E1585" s="67" t="s">
        <v>81</v>
      </c>
      <c r="F1585" s="52" t="s">
        <v>89</v>
      </c>
      <c r="G1585" s="52" t="s">
        <v>3</v>
      </c>
    </row>
    <row r="1586" spans="1:7">
      <c r="A1586" s="15" t="s">
        <v>1953</v>
      </c>
      <c r="B1586" s="63" t="s">
        <v>140</v>
      </c>
      <c r="C1586" s="64">
        <v>35</v>
      </c>
      <c r="D1586" s="65">
        <v>5.0999999999999996</v>
      </c>
      <c r="E1586" s="67" t="s">
        <v>76</v>
      </c>
      <c r="F1586" s="52" t="s">
        <v>97</v>
      </c>
      <c r="G1586" s="52" t="s">
        <v>2</v>
      </c>
    </row>
    <row r="1587" spans="1:7">
      <c r="A1587" s="15" t="s">
        <v>1954</v>
      </c>
      <c r="B1587" s="63" t="s">
        <v>140</v>
      </c>
      <c r="C1587" s="64">
        <v>36</v>
      </c>
      <c r="D1587" s="65">
        <v>6.3</v>
      </c>
      <c r="E1587" s="67" t="s">
        <v>93</v>
      </c>
      <c r="F1587" s="52" t="s">
        <v>103</v>
      </c>
      <c r="G1587" s="52" t="s">
        <v>1</v>
      </c>
    </row>
    <row r="1588" spans="1:7">
      <c r="A1588" s="15" t="s">
        <v>1955</v>
      </c>
      <c r="B1588" s="63" t="s">
        <v>140</v>
      </c>
      <c r="C1588" s="64">
        <v>37</v>
      </c>
      <c r="D1588" s="65">
        <v>2.35</v>
      </c>
      <c r="E1588" s="67" t="s">
        <v>81</v>
      </c>
      <c r="F1588" s="52" t="s">
        <v>89</v>
      </c>
      <c r="G1588" s="52" t="s">
        <v>0</v>
      </c>
    </row>
    <row r="1589" spans="1:7">
      <c r="A1589" s="15" t="s">
        <v>1956</v>
      </c>
      <c r="B1589" s="63" t="s">
        <v>140</v>
      </c>
      <c r="C1589" s="64">
        <v>38</v>
      </c>
      <c r="D1589" s="65">
        <v>2.35</v>
      </c>
      <c r="E1589" s="67" t="s">
        <v>93</v>
      </c>
      <c r="F1589" s="52" t="s">
        <v>89</v>
      </c>
      <c r="G1589" s="52" t="s">
        <v>3</v>
      </c>
    </row>
    <row r="1590" spans="1:7">
      <c r="A1590" s="15" t="s">
        <v>1957</v>
      </c>
      <c r="B1590" s="63" t="s">
        <v>140</v>
      </c>
      <c r="C1590" s="64">
        <v>39</v>
      </c>
      <c r="D1590" s="65">
        <v>2.33</v>
      </c>
      <c r="E1590" s="67" t="s">
        <v>76</v>
      </c>
      <c r="F1590" s="52" t="s">
        <v>87</v>
      </c>
      <c r="G1590" s="52" t="s">
        <v>2</v>
      </c>
    </row>
    <row r="1591" spans="1:7">
      <c r="A1591" s="15" t="s">
        <v>1958</v>
      </c>
      <c r="B1591" s="63" t="s">
        <v>140</v>
      </c>
      <c r="C1591" s="64">
        <v>40</v>
      </c>
      <c r="D1591" s="65">
        <v>6.3</v>
      </c>
      <c r="E1591" s="67" t="s">
        <v>81</v>
      </c>
      <c r="F1591" s="52" t="s">
        <v>103</v>
      </c>
      <c r="G1591" s="52" t="s">
        <v>4</v>
      </c>
    </row>
    <row r="1592" spans="1:7">
      <c r="A1592" s="15" t="s">
        <v>1959</v>
      </c>
      <c r="B1592" s="63" t="s">
        <v>140</v>
      </c>
      <c r="C1592" s="64">
        <v>41</v>
      </c>
      <c r="D1592" s="65">
        <v>2.31</v>
      </c>
      <c r="E1592" s="67" t="s">
        <v>76</v>
      </c>
      <c r="F1592" s="52" t="s">
        <v>85</v>
      </c>
      <c r="G1592" s="52" t="s">
        <v>4</v>
      </c>
    </row>
    <row r="1593" spans="1:7">
      <c r="A1593" s="15" t="s">
        <v>1960</v>
      </c>
      <c r="B1593" s="63" t="s">
        <v>140</v>
      </c>
      <c r="C1593" s="64">
        <v>42</v>
      </c>
      <c r="D1593" s="65">
        <v>2.3199999999999998</v>
      </c>
      <c r="E1593" s="67" t="s">
        <v>81</v>
      </c>
      <c r="F1593" s="52" t="s">
        <v>86</v>
      </c>
      <c r="G1593" s="52" t="s">
        <v>4</v>
      </c>
    </row>
    <row r="1594" spans="1:7">
      <c r="A1594" s="15" t="s">
        <v>1961</v>
      </c>
      <c r="B1594" s="63" t="s">
        <v>140</v>
      </c>
      <c r="C1594" s="64">
        <v>43</v>
      </c>
      <c r="D1594" s="65">
        <v>2.3199999999999998</v>
      </c>
      <c r="E1594" s="67" t="s">
        <v>81</v>
      </c>
      <c r="F1594" s="52" t="s">
        <v>86</v>
      </c>
      <c r="G1594" s="52" t="s">
        <v>1</v>
      </c>
    </row>
    <row r="1595" spans="1:7">
      <c r="A1595" s="15" t="s">
        <v>1962</v>
      </c>
      <c r="B1595" s="63" t="s">
        <v>140</v>
      </c>
      <c r="C1595" s="64">
        <v>44</v>
      </c>
      <c r="D1595" s="65">
        <v>2.1</v>
      </c>
      <c r="E1595" s="67" t="s">
        <v>81</v>
      </c>
      <c r="F1595" s="52" t="s">
        <v>82</v>
      </c>
      <c r="G1595" s="52" t="s">
        <v>0</v>
      </c>
    </row>
    <row r="1596" spans="1:7">
      <c r="A1596" s="15" t="s">
        <v>1963</v>
      </c>
      <c r="B1596" s="63" t="s">
        <v>140</v>
      </c>
      <c r="C1596" s="64">
        <v>45</v>
      </c>
      <c r="D1596" s="65">
        <v>4.0999999999999996</v>
      </c>
      <c r="E1596" s="67" t="s">
        <v>81</v>
      </c>
      <c r="F1596" s="52" t="s">
        <v>94</v>
      </c>
      <c r="G1596" s="52" t="s">
        <v>0</v>
      </c>
    </row>
    <row r="1597" spans="1:7">
      <c r="A1597" s="15" t="s">
        <v>1964</v>
      </c>
      <c r="B1597" s="63" t="s">
        <v>140</v>
      </c>
      <c r="C1597" s="64">
        <v>46</v>
      </c>
      <c r="D1597" s="65">
        <v>5.0999999999999996</v>
      </c>
      <c r="E1597" s="67" t="s">
        <v>76</v>
      </c>
      <c r="F1597" s="52" t="s">
        <v>97</v>
      </c>
      <c r="G1597" s="52" t="s">
        <v>3</v>
      </c>
    </row>
    <row r="1598" spans="1:7">
      <c r="A1598" s="15" t="s">
        <v>1965</v>
      </c>
      <c r="B1598" s="63" t="s">
        <v>140</v>
      </c>
      <c r="C1598" s="64">
        <v>47</v>
      </c>
      <c r="D1598" s="65">
        <v>3.2</v>
      </c>
      <c r="E1598" s="67" t="s">
        <v>81</v>
      </c>
      <c r="F1598" s="52" t="s">
        <v>91</v>
      </c>
      <c r="G1598" s="52" t="s">
        <v>1</v>
      </c>
    </row>
    <row r="1599" spans="1:7">
      <c r="A1599" s="15" t="s">
        <v>1966</v>
      </c>
      <c r="B1599" s="63" t="s">
        <v>140</v>
      </c>
      <c r="C1599" s="64">
        <v>48</v>
      </c>
      <c r="D1599" s="65">
        <v>6.1</v>
      </c>
      <c r="E1599" s="67" t="s">
        <v>96</v>
      </c>
      <c r="F1599" s="52" t="s">
        <v>101</v>
      </c>
      <c r="G1599" s="52" t="s">
        <v>1</v>
      </c>
    </row>
    <row r="1600" spans="1:7">
      <c r="A1600" s="15" t="s">
        <v>1967</v>
      </c>
      <c r="B1600" s="63" t="s">
        <v>140</v>
      </c>
      <c r="C1600" s="64">
        <v>49</v>
      </c>
      <c r="D1600" s="65">
        <v>2.35</v>
      </c>
      <c r="E1600" s="67" t="s">
        <v>100</v>
      </c>
      <c r="F1600" s="52" t="s">
        <v>89</v>
      </c>
      <c r="G1600" s="52" t="s">
        <v>2</v>
      </c>
    </row>
    <row r="1601" spans="1:7">
      <c r="A1601" s="15" t="s">
        <v>1968</v>
      </c>
      <c r="B1601" s="63" t="s">
        <v>140</v>
      </c>
      <c r="C1601" s="64">
        <v>50</v>
      </c>
      <c r="D1601" s="65">
        <v>1.6</v>
      </c>
      <c r="E1601" s="67" t="s">
        <v>100</v>
      </c>
      <c r="F1601" s="52" t="s">
        <v>27</v>
      </c>
      <c r="G1601" s="52" t="s">
        <v>0</v>
      </c>
    </row>
    <row r="1602" spans="1:7">
      <c r="A1602" s="15" t="s">
        <v>1969</v>
      </c>
      <c r="B1602" s="63" t="s">
        <v>141</v>
      </c>
      <c r="C1602" s="64">
        <v>1</v>
      </c>
      <c r="D1602" s="66">
        <v>1.6</v>
      </c>
      <c r="E1602" s="67" t="s">
        <v>81</v>
      </c>
      <c r="F1602" s="57" t="s">
        <v>27</v>
      </c>
      <c r="G1602" s="52" t="s">
        <v>2</v>
      </c>
    </row>
    <row r="1603" spans="1:7">
      <c r="A1603" s="15" t="s">
        <v>1970</v>
      </c>
      <c r="B1603" s="63" t="s">
        <v>141</v>
      </c>
      <c r="C1603" s="64">
        <v>2</v>
      </c>
      <c r="D1603" s="65">
        <v>2.35</v>
      </c>
      <c r="E1603" s="67" t="s">
        <v>76</v>
      </c>
      <c r="F1603" s="52" t="s">
        <v>89</v>
      </c>
      <c r="G1603" s="52" t="s">
        <v>4</v>
      </c>
    </row>
    <row r="1604" spans="1:7">
      <c r="A1604" s="15" t="s">
        <v>1971</v>
      </c>
      <c r="B1604" s="63" t="s">
        <v>141</v>
      </c>
      <c r="C1604" s="64">
        <v>3</v>
      </c>
      <c r="D1604" s="65">
        <v>2.35</v>
      </c>
      <c r="E1604" s="67" t="s">
        <v>81</v>
      </c>
      <c r="F1604" s="52" t="s">
        <v>89</v>
      </c>
      <c r="G1604" s="52" t="s">
        <v>0</v>
      </c>
    </row>
    <row r="1605" spans="1:7">
      <c r="A1605" s="15" t="s">
        <v>1972</v>
      </c>
      <c r="B1605" s="63" t="s">
        <v>141</v>
      </c>
      <c r="C1605" s="64">
        <v>4</v>
      </c>
      <c r="D1605" s="65">
        <v>1.6</v>
      </c>
      <c r="E1605" s="67" t="s">
        <v>81</v>
      </c>
      <c r="F1605" s="52" t="s">
        <v>27</v>
      </c>
      <c r="G1605" s="52" t="s">
        <v>1</v>
      </c>
    </row>
    <row r="1606" spans="1:7">
      <c r="A1606" s="15" t="s">
        <v>1973</v>
      </c>
      <c r="B1606" s="63" t="s">
        <v>141</v>
      </c>
      <c r="C1606" s="64">
        <v>5</v>
      </c>
      <c r="D1606" s="65">
        <v>5.3</v>
      </c>
      <c r="E1606" s="67" t="s">
        <v>81</v>
      </c>
      <c r="F1606" s="52" t="s">
        <v>99</v>
      </c>
      <c r="G1606" s="52" t="s">
        <v>3</v>
      </c>
    </row>
    <row r="1607" spans="1:7">
      <c r="A1607" s="15" t="s">
        <v>1974</v>
      </c>
      <c r="B1607" s="63" t="s">
        <v>141</v>
      </c>
      <c r="C1607" s="64">
        <v>6</v>
      </c>
      <c r="D1607" s="65">
        <v>5.0999999999999996</v>
      </c>
      <c r="E1607" s="67" t="s">
        <v>100</v>
      </c>
      <c r="F1607" s="52" t="s">
        <v>97</v>
      </c>
      <c r="G1607" s="52" t="s">
        <v>3</v>
      </c>
    </row>
    <row r="1608" spans="1:7">
      <c r="A1608" s="15" t="s">
        <v>1975</v>
      </c>
      <c r="B1608" s="63" t="s">
        <v>141</v>
      </c>
      <c r="C1608" s="64">
        <v>7</v>
      </c>
      <c r="D1608" s="65">
        <v>2.31</v>
      </c>
      <c r="E1608" s="67" t="s">
        <v>76</v>
      </c>
      <c r="F1608" s="52" t="s">
        <v>85</v>
      </c>
      <c r="G1608" s="52" t="s">
        <v>2</v>
      </c>
    </row>
    <row r="1609" spans="1:7">
      <c r="A1609" s="15" t="s">
        <v>1976</v>
      </c>
      <c r="B1609" s="63" t="s">
        <v>141</v>
      </c>
      <c r="C1609" s="64">
        <v>8</v>
      </c>
      <c r="D1609" s="65">
        <v>2.31</v>
      </c>
      <c r="E1609" s="67" t="s">
        <v>76</v>
      </c>
      <c r="F1609" s="52" t="s">
        <v>85</v>
      </c>
      <c r="G1609" s="52" t="s">
        <v>2</v>
      </c>
    </row>
    <row r="1610" spans="1:7">
      <c r="A1610" s="15" t="s">
        <v>1977</v>
      </c>
      <c r="B1610" s="63" t="s">
        <v>141</v>
      </c>
      <c r="C1610" s="64">
        <v>9</v>
      </c>
      <c r="D1610" s="65">
        <v>2.3199999999999998</v>
      </c>
      <c r="E1610" s="67" t="s">
        <v>81</v>
      </c>
      <c r="F1610" s="52" t="s">
        <v>86</v>
      </c>
      <c r="G1610" s="52" t="s">
        <v>2</v>
      </c>
    </row>
    <row r="1611" spans="1:7">
      <c r="A1611" s="15" t="s">
        <v>1978</v>
      </c>
      <c r="B1611" s="63" t="s">
        <v>141</v>
      </c>
      <c r="C1611" s="64">
        <v>10</v>
      </c>
      <c r="D1611" s="65">
        <v>2.3199999999999998</v>
      </c>
      <c r="E1611" s="67" t="s">
        <v>81</v>
      </c>
      <c r="F1611" s="52" t="s">
        <v>86</v>
      </c>
      <c r="G1611" s="52" t="s">
        <v>4</v>
      </c>
    </row>
    <row r="1612" spans="1:7">
      <c r="A1612" s="15" t="s">
        <v>1979</v>
      </c>
      <c r="B1612" s="63" t="s">
        <v>141</v>
      </c>
      <c r="C1612" s="64">
        <v>11</v>
      </c>
      <c r="D1612" s="65">
        <v>2.34</v>
      </c>
      <c r="E1612" s="67" t="s">
        <v>81</v>
      </c>
      <c r="F1612" s="52" t="s">
        <v>88</v>
      </c>
      <c r="G1612" s="52" t="s">
        <v>4</v>
      </c>
    </row>
    <row r="1613" spans="1:7">
      <c r="A1613" s="15" t="s">
        <v>1980</v>
      </c>
      <c r="B1613" s="63" t="s">
        <v>141</v>
      </c>
      <c r="C1613" s="64">
        <v>12</v>
      </c>
      <c r="D1613" s="65">
        <v>5.0999999999999996</v>
      </c>
      <c r="E1613" s="67" t="s">
        <v>28</v>
      </c>
      <c r="F1613" s="52" t="s">
        <v>97</v>
      </c>
      <c r="G1613" s="52" t="s">
        <v>0</v>
      </c>
    </row>
    <row r="1614" spans="1:7">
      <c r="A1614" s="15" t="s">
        <v>1981</v>
      </c>
      <c r="B1614" s="63" t="s">
        <v>141</v>
      </c>
      <c r="C1614" s="64">
        <v>13</v>
      </c>
      <c r="D1614" s="65">
        <v>2.31</v>
      </c>
      <c r="E1614" s="67" t="s">
        <v>93</v>
      </c>
      <c r="F1614" s="52" t="s">
        <v>85</v>
      </c>
      <c r="G1614" s="52" t="s">
        <v>1</v>
      </c>
    </row>
    <row r="1615" spans="1:7">
      <c r="A1615" s="15" t="s">
        <v>1982</v>
      </c>
      <c r="B1615" s="63" t="s">
        <v>141</v>
      </c>
      <c r="C1615" s="64">
        <v>14</v>
      </c>
      <c r="D1615" s="65">
        <v>6.3</v>
      </c>
      <c r="E1615" s="67" t="s">
        <v>81</v>
      </c>
      <c r="F1615" s="52" t="s">
        <v>103</v>
      </c>
      <c r="G1615" s="52" t="s">
        <v>2</v>
      </c>
    </row>
    <row r="1616" spans="1:7">
      <c r="A1616" s="15" t="s">
        <v>1983</v>
      </c>
      <c r="B1616" s="63" t="s">
        <v>141</v>
      </c>
      <c r="C1616" s="64">
        <v>15</v>
      </c>
      <c r="D1616" s="65">
        <v>6.1</v>
      </c>
      <c r="E1616" s="67" t="s">
        <v>93</v>
      </c>
      <c r="F1616" s="52" t="s">
        <v>101</v>
      </c>
      <c r="G1616" s="52" t="s">
        <v>2</v>
      </c>
    </row>
    <row r="1617" spans="1:7">
      <c r="A1617" s="15" t="s">
        <v>1984</v>
      </c>
      <c r="B1617" s="63" t="s">
        <v>141</v>
      </c>
      <c r="C1617" s="64">
        <v>16</v>
      </c>
      <c r="D1617" s="65">
        <v>3.2</v>
      </c>
      <c r="E1617" s="67" t="s">
        <v>81</v>
      </c>
      <c r="F1617" s="52" t="s">
        <v>91</v>
      </c>
      <c r="G1617" s="52" t="s">
        <v>2</v>
      </c>
    </row>
    <row r="1618" spans="1:7">
      <c r="A1618" s="15" t="s">
        <v>1985</v>
      </c>
      <c r="B1618" s="63" t="s">
        <v>141</v>
      </c>
      <c r="C1618" s="64">
        <v>17</v>
      </c>
      <c r="D1618" s="65">
        <v>2.33</v>
      </c>
      <c r="E1618" s="67" t="s">
        <v>100</v>
      </c>
      <c r="F1618" s="52" t="s">
        <v>87</v>
      </c>
      <c r="G1618" s="52" t="s">
        <v>3</v>
      </c>
    </row>
    <row r="1619" spans="1:7">
      <c r="A1619" s="15" t="s">
        <v>1986</v>
      </c>
      <c r="B1619" s="63" t="s">
        <v>141</v>
      </c>
      <c r="C1619" s="64">
        <v>18</v>
      </c>
      <c r="D1619" s="65">
        <v>6.1</v>
      </c>
      <c r="E1619" s="67" t="s">
        <v>96</v>
      </c>
      <c r="F1619" s="52" t="s">
        <v>101</v>
      </c>
      <c r="G1619" s="52" t="s">
        <v>0</v>
      </c>
    </row>
    <row r="1620" spans="1:7">
      <c r="A1620" s="15" t="s">
        <v>1987</v>
      </c>
      <c r="B1620" s="63" t="s">
        <v>141</v>
      </c>
      <c r="C1620" s="64">
        <v>19</v>
      </c>
      <c r="D1620" s="65">
        <v>3.2</v>
      </c>
      <c r="E1620" s="67" t="s">
        <v>28</v>
      </c>
      <c r="F1620" s="52" t="s">
        <v>91</v>
      </c>
      <c r="G1620" s="52" t="s">
        <v>1</v>
      </c>
    </row>
    <row r="1621" spans="1:7">
      <c r="A1621" s="15" t="s">
        <v>1988</v>
      </c>
      <c r="B1621" s="63" t="s">
        <v>141</v>
      </c>
      <c r="C1621" s="64">
        <v>20</v>
      </c>
      <c r="D1621" s="65">
        <v>2.31</v>
      </c>
      <c r="E1621" s="67" t="s">
        <v>81</v>
      </c>
      <c r="F1621" s="52" t="s">
        <v>85</v>
      </c>
      <c r="G1621" s="52" t="s">
        <v>1</v>
      </c>
    </row>
    <row r="1622" spans="1:7">
      <c r="A1622" s="15" t="s">
        <v>1989</v>
      </c>
      <c r="B1622" s="63" t="s">
        <v>141</v>
      </c>
      <c r="C1622" s="64">
        <v>21</v>
      </c>
      <c r="D1622" s="65">
        <v>2.31</v>
      </c>
      <c r="E1622" s="67" t="s">
        <v>81</v>
      </c>
      <c r="F1622" s="52" t="s">
        <v>85</v>
      </c>
      <c r="G1622" s="52" t="s">
        <v>2</v>
      </c>
    </row>
    <row r="1623" spans="1:7">
      <c r="A1623" s="15" t="s">
        <v>1990</v>
      </c>
      <c r="B1623" s="63" t="s">
        <v>141</v>
      </c>
      <c r="C1623" s="64">
        <v>22</v>
      </c>
      <c r="D1623" s="65">
        <v>5.0999999999999996</v>
      </c>
      <c r="E1623" s="67" t="s">
        <v>93</v>
      </c>
      <c r="F1623" s="52" t="s">
        <v>97</v>
      </c>
      <c r="G1623" s="52" t="s">
        <v>0</v>
      </c>
    </row>
    <row r="1624" spans="1:7">
      <c r="A1624" s="15" t="s">
        <v>1991</v>
      </c>
      <c r="B1624" s="63" t="s">
        <v>141</v>
      </c>
      <c r="C1624" s="64">
        <v>23</v>
      </c>
      <c r="D1624" s="65">
        <v>1.6</v>
      </c>
      <c r="E1624" s="67" t="s">
        <v>28</v>
      </c>
      <c r="F1624" s="52" t="s">
        <v>27</v>
      </c>
      <c r="G1624" s="52" t="s">
        <v>4</v>
      </c>
    </row>
    <row r="1625" spans="1:7">
      <c r="A1625" s="15" t="s">
        <v>1992</v>
      </c>
      <c r="B1625" s="63" t="s">
        <v>141</v>
      </c>
      <c r="C1625" s="64">
        <v>24</v>
      </c>
      <c r="D1625" s="65">
        <v>5.3</v>
      </c>
      <c r="E1625" s="67" t="s">
        <v>96</v>
      </c>
      <c r="F1625" s="52" t="s">
        <v>99</v>
      </c>
      <c r="G1625" s="52" t="s">
        <v>0</v>
      </c>
    </row>
    <row r="1626" spans="1:7">
      <c r="A1626" s="15" t="s">
        <v>1993</v>
      </c>
      <c r="B1626" s="63" t="s">
        <v>141</v>
      </c>
      <c r="C1626" s="64">
        <v>25</v>
      </c>
      <c r="D1626" s="65">
        <v>2.2000000000000002</v>
      </c>
      <c r="E1626" s="67" t="s">
        <v>81</v>
      </c>
      <c r="F1626" s="52" t="s">
        <v>83</v>
      </c>
      <c r="G1626" s="52" t="s">
        <v>4</v>
      </c>
    </row>
    <row r="1627" spans="1:7">
      <c r="A1627" s="15" t="s">
        <v>1994</v>
      </c>
      <c r="B1627" s="63" t="s">
        <v>141</v>
      </c>
      <c r="C1627" s="64">
        <v>26</v>
      </c>
      <c r="D1627" s="65">
        <v>5.0999999999999996</v>
      </c>
      <c r="E1627" s="67" t="s">
        <v>28</v>
      </c>
      <c r="F1627" s="52" t="s">
        <v>97</v>
      </c>
      <c r="G1627" s="52" t="s">
        <v>3</v>
      </c>
    </row>
    <row r="1628" spans="1:7">
      <c r="A1628" s="15" t="s">
        <v>1995</v>
      </c>
      <c r="B1628" s="63" t="s">
        <v>141</v>
      </c>
      <c r="C1628" s="64">
        <v>27</v>
      </c>
      <c r="D1628" s="65">
        <v>1.1000000000000001</v>
      </c>
      <c r="E1628" s="67" t="s">
        <v>96</v>
      </c>
      <c r="F1628" s="52" t="s">
        <v>77</v>
      </c>
      <c r="G1628" s="52" t="s">
        <v>2</v>
      </c>
    </row>
    <row r="1629" spans="1:7">
      <c r="A1629" s="15" t="s">
        <v>1996</v>
      </c>
      <c r="B1629" s="63" t="s">
        <v>141</v>
      </c>
      <c r="C1629" s="64">
        <v>28</v>
      </c>
      <c r="D1629" s="65">
        <v>2.1</v>
      </c>
      <c r="E1629" s="67" t="s">
        <v>93</v>
      </c>
      <c r="F1629" s="52" t="s">
        <v>82</v>
      </c>
      <c r="G1629" s="52" t="s">
        <v>2</v>
      </c>
    </row>
    <row r="1630" spans="1:7">
      <c r="A1630" s="15" t="s">
        <v>1997</v>
      </c>
      <c r="B1630" s="63" t="s">
        <v>141</v>
      </c>
      <c r="C1630" s="64">
        <v>29</v>
      </c>
      <c r="D1630" s="65">
        <v>5.0999999999999996</v>
      </c>
      <c r="E1630" s="67" t="s">
        <v>28</v>
      </c>
      <c r="F1630" s="52" t="s">
        <v>97</v>
      </c>
      <c r="G1630" s="52" t="s">
        <v>1</v>
      </c>
    </row>
    <row r="1631" spans="1:7">
      <c r="A1631" s="15" t="s">
        <v>1998</v>
      </c>
      <c r="B1631" s="63" t="s">
        <v>141</v>
      </c>
      <c r="C1631" s="64">
        <v>30</v>
      </c>
      <c r="D1631" s="65">
        <v>1.1000000000000001</v>
      </c>
      <c r="E1631" s="67" t="s">
        <v>96</v>
      </c>
      <c r="F1631" s="52" t="s">
        <v>77</v>
      </c>
      <c r="G1631" s="52" t="s">
        <v>2</v>
      </c>
    </row>
    <row r="1632" spans="1:7">
      <c r="A1632" s="15" t="s">
        <v>1999</v>
      </c>
      <c r="B1632" s="63" t="s">
        <v>141</v>
      </c>
      <c r="C1632" s="64">
        <v>31</v>
      </c>
      <c r="D1632" s="65">
        <v>2.1</v>
      </c>
      <c r="E1632" s="67" t="s">
        <v>96</v>
      </c>
      <c r="F1632" s="52" t="s">
        <v>82</v>
      </c>
      <c r="G1632" s="52" t="s">
        <v>0</v>
      </c>
    </row>
    <row r="1633" spans="1:7">
      <c r="A1633" s="15" t="s">
        <v>2000</v>
      </c>
      <c r="B1633" s="63" t="s">
        <v>141</v>
      </c>
      <c r="C1633" s="64">
        <v>32</v>
      </c>
      <c r="D1633" s="65">
        <v>5.0999999999999996</v>
      </c>
      <c r="E1633" s="67" t="s">
        <v>96</v>
      </c>
      <c r="F1633" s="52" t="s">
        <v>97</v>
      </c>
      <c r="G1633" s="52" t="s">
        <v>4</v>
      </c>
    </row>
    <row r="1634" spans="1:7">
      <c r="A1634" s="15" t="s">
        <v>2001</v>
      </c>
      <c r="B1634" s="63" t="s">
        <v>141</v>
      </c>
      <c r="C1634" s="64">
        <v>33</v>
      </c>
      <c r="D1634" s="65">
        <v>3.2</v>
      </c>
      <c r="E1634" s="67" t="s">
        <v>96</v>
      </c>
      <c r="F1634" s="52" t="s">
        <v>91</v>
      </c>
      <c r="G1634" s="52" t="s">
        <v>2</v>
      </c>
    </row>
    <row r="1635" spans="1:7">
      <c r="A1635" s="15" t="s">
        <v>2002</v>
      </c>
      <c r="B1635" s="63" t="s">
        <v>141</v>
      </c>
      <c r="C1635" s="64">
        <v>34</v>
      </c>
      <c r="D1635" s="65">
        <v>2.1</v>
      </c>
      <c r="E1635" s="67" t="s">
        <v>81</v>
      </c>
      <c r="F1635" s="52" t="s">
        <v>82</v>
      </c>
      <c r="G1635" s="52" t="s">
        <v>3</v>
      </c>
    </row>
    <row r="1636" spans="1:7">
      <c r="A1636" s="15" t="s">
        <v>2003</v>
      </c>
      <c r="B1636" s="63" t="s">
        <v>141</v>
      </c>
      <c r="C1636" s="64">
        <v>35</v>
      </c>
      <c r="D1636" s="65">
        <v>1.1000000000000001</v>
      </c>
      <c r="E1636" s="67" t="s">
        <v>96</v>
      </c>
      <c r="F1636" s="52" t="s">
        <v>77</v>
      </c>
      <c r="G1636" s="52" t="s">
        <v>4</v>
      </c>
    </row>
    <row r="1637" spans="1:7">
      <c r="A1637" s="15" t="s">
        <v>2004</v>
      </c>
      <c r="B1637" s="63" t="s">
        <v>141</v>
      </c>
      <c r="C1637" s="64">
        <v>36</v>
      </c>
      <c r="D1637" s="65">
        <v>4.0999999999999996</v>
      </c>
      <c r="E1637" s="67" t="s">
        <v>96</v>
      </c>
      <c r="F1637" s="52" t="s">
        <v>94</v>
      </c>
      <c r="G1637" s="52" t="s">
        <v>0</v>
      </c>
    </row>
    <row r="1638" spans="1:7">
      <c r="A1638" s="15" t="s">
        <v>2005</v>
      </c>
      <c r="B1638" s="63" t="s">
        <v>141</v>
      </c>
      <c r="C1638" s="64">
        <v>37</v>
      </c>
      <c r="D1638" s="65">
        <v>2.1</v>
      </c>
      <c r="E1638" s="67" t="s">
        <v>96</v>
      </c>
      <c r="F1638" s="52" t="s">
        <v>82</v>
      </c>
      <c r="G1638" s="52" t="s">
        <v>1</v>
      </c>
    </row>
    <row r="1639" spans="1:7">
      <c r="A1639" s="15" t="s">
        <v>2006</v>
      </c>
      <c r="B1639" s="63" t="s">
        <v>141</v>
      </c>
      <c r="C1639" s="64">
        <v>38</v>
      </c>
      <c r="D1639" s="65">
        <v>4.0999999999999996</v>
      </c>
      <c r="E1639" s="67" t="s">
        <v>76</v>
      </c>
      <c r="F1639" s="52" t="s">
        <v>94</v>
      </c>
      <c r="G1639" s="52" t="s">
        <v>2</v>
      </c>
    </row>
    <row r="1640" spans="1:7">
      <c r="A1640" s="15" t="s">
        <v>2007</v>
      </c>
      <c r="B1640" s="63" t="s">
        <v>141</v>
      </c>
      <c r="C1640" s="64">
        <v>39</v>
      </c>
      <c r="D1640" s="65">
        <v>1.1000000000000001</v>
      </c>
      <c r="E1640" s="67" t="s">
        <v>100</v>
      </c>
      <c r="F1640" s="52" t="s">
        <v>77</v>
      </c>
      <c r="G1640" s="52" t="s">
        <v>4</v>
      </c>
    </row>
    <row r="1641" spans="1:7">
      <c r="A1641" s="15" t="s">
        <v>2008</v>
      </c>
      <c r="B1641" s="63" t="s">
        <v>141</v>
      </c>
      <c r="C1641" s="64">
        <v>40</v>
      </c>
      <c r="D1641" s="65">
        <v>2.2000000000000002</v>
      </c>
      <c r="E1641" s="67" t="s">
        <v>81</v>
      </c>
      <c r="F1641" s="52" t="s">
        <v>83</v>
      </c>
      <c r="G1641" s="52" t="s">
        <v>1</v>
      </c>
    </row>
    <row r="1642" spans="1:7">
      <c r="A1642" s="15" t="s">
        <v>2009</v>
      </c>
      <c r="B1642" s="63" t="s">
        <v>141</v>
      </c>
      <c r="C1642" s="64">
        <v>41</v>
      </c>
      <c r="D1642" s="65">
        <v>1.3</v>
      </c>
      <c r="E1642" s="67" t="s">
        <v>96</v>
      </c>
      <c r="F1642" s="52" t="s">
        <v>79</v>
      </c>
      <c r="G1642" s="52" t="s">
        <v>4</v>
      </c>
    </row>
    <row r="1643" spans="1:7">
      <c r="A1643" s="15" t="s">
        <v>2010</v>
      </c>
      <c r="B1643" s="63" t="s">
        <v>141</v>
      </c>
      <c r="C1643" s="64">
        <v>42</v>
      </c>
      <c r="D1643" s="65">
        <v>2.1</v>
      </c>
      <c r="E1643" s="67" t="s">
        <v>100</v>
      </c>
      <c r="F1643" s="52" t="s">
        <v>82</v>
      </c>
      <c r="G1643" s="52" t="s">
        <v>0</v>
      </c>
    </row>
    <row r="1644" spans="1:7">
      <c r="A1644" s="15" t="s">
        <v>2011</v>
      </c>
      <c r="B1644" s="63" t="s">
        <v>141</v>
      </c>
      <c r="C1644" s="64">
        <v>43</v>
      </c>
      <c r="D1644" s="65">
        <v>2.33</v>
      </c>
      <c r="E1644" s="67" t="s">
        <v>81</v>
      </c>
      <c r="F1644" s="52" t="s">
        <v>87</v>
      </c>
      <c r="G1644" s="52" t="s">
        <v>3</v>
      </c>
    </row>
    <row r="1645" spans="1:7">
      <c r="A1645" s="15" t="s">
        <v>2012</v>
      </c>
      <c r="B1645" s="63" t="s">
        <v>141</v>
      </c>
      <c r="C1645" s="64">
        <v>44</v>
      </c>
      <c r="D1645" s="65">
        <v>2.31</v>
      </c>
      <c r="E1645" s="67" t="s">
        <v>76</v>
      </c>
      <c r="F1645" s="52" t="s">
        <v>85</v>
      </c>
      <c r="G1645" s="52" t="s">
        <v>1</v>
      </c>
    </row>
    <row r="1646" spans="1:7">
      <c r="A1646" s="15" t="s">
        <v>2013</v>
      </c>
      <c r="B1646" s="63" t="s">
        <v>141</v>
      </c>
      <c r="C1646" s="64">
        <v>45</v>
      </c>
      <c r="D1646" s="65">
        <v>2.33</v>
      </c>
      <c r="E1646" s="67" t="s">
        <v>76</v>
      </c>
      <c r="F1646" s="52" t="s">
        <v>87</v>
      </c>
      <c r="G1646" s="52" t="s">
        <v>0</v>
      </c>
    </row>
    <row r="1647" spans="1:7">
      <c r="A1647" s="15" t="s">
        <v>2014</v>
      </c>
      <c r="B1647" s="63" t="s">
        <v>141</v>
      </c>
      <c r="C1647" s="64">
        <v>46</v>
      </c>
      <c r="D1647" s="65">
        <v>1.3</v>
      </c>
      <c r="E1647" s="67" t="s">
        <v>100</v>
      </c>
      <c r="F1647" s="52" t="s">
        <v>79</v>
      </c>
      <c r="G1647" s="52" t="s">
        <v>3</v>
      </c>
    </row>
    <row r="1648" spans="1:7">
      <c r="A1648" s="15" t="s">
        <v>2015</v>
      </c>
      <c r="B1648" s="63" t="s">
        <v>141</v>
      </c>
      <c r="C1648" s="64">
        <v>47</v>
      </c>
      <c r="D1648" s="65">
        <v>2.34</v>
      </c>
      <c r="E1648" s="67" t="s">
        <v>81</v>
      </c>
      <c r="F1648" s="52" t="s">
        <v>88</v>
      </c>
      <c r="G1648" s="52" t="s">
        <v>2</v>
      </c>
    </row>
    <row r="1649" spans="1:7">
      <c r="A1649" s="15" t="s">
        <v>2016</v>
      </c>
      <c r="B1649" s="63" t="s">
        <v>141</v>
      </c>
      <c r="C1649" s="64">
        <v>48</v>
      </c>
      <c r="D1649" s="65">
        <v>5.3</v>
      </c>
      <c r="E1649" s="67" t="s">
        <v>81</v>
      </c>
      <c r="F1649" s="52" t="s">
        <v>99</v>
      </c>
      <c r="G1649" s="52" t="s">
        <v>2</v>
      </c>
    </row>
    <row r="1650" spans="1:7">
      <c r="A1650" s="15" t="s">
        <v>2017</v>
      </c>
      <c r="B1650" s="63" t="s">
        <v>141</v>
      </c>
      <c r="C1650" s="64">
        <v>49</v>
      </c>
      <c r="D1650" s="65">
        <v>6.3</v>
      </c>
      <c r="E1650" s="67" t="s">
        <v>76</v>
      </c>
      <c r="F1650" s="52" t="s">
        <v>103</v>
      </c>
      <c r="G1650" s="52" t="s">
        <v>4</v>
      </c>
    </row>
    <row r="1651" spans="1:7">
      <c r="A1651" s="15" t="s">
        <v>2018</v>
      </c>
      <c r="B1651" s="63" t="s">
        <v>141</v>
      </c>
      <c r="C1651" s="64">
        <v>50</v>
      </c>
      <c r="D1651" s="65">
        <v>6.3</v>
      </c>
      <c r="E1651" s="67" t="s">
        <v>81</v>
      </c>
      <c r="F1651" s="52" t="s">
        <v>103</v>
      </c>
      <c r="G1651" s="52" t="s">
        <v>0</v>
      </c>
    </row>
    <row r="1652" spans="1:7">
      <c r="A1652" s="15" t="s">
        <v>2019</v>
      </c>
      <c r="B1652" s="63" t="s">
        <v>142</v>
      </c>
      <c r="C1652" s="64">
        <v>1</v>
      </c>
      <c r="D1652" s="66">
        <v>2.1</v>
      </c>
      <c r="E1652" s="67" t="s">
        <v>81</v>
      </c>
      <c r="F1652" s="57" t="s">
        <v>82</v>
      </c>
      <c r="G1652" s="52" t="s">
        <v>0</v>
      </c>
    </row>
    <row r="1653" spans="1:7">
      <c r="A1653" s="15" t="s">
        <v>2020</v>
      </c>
      <c r="B1653" s="63" t="s">
        <v>142</v>
      </c>
      <c r="C1653" s="64">
        <v>2</v>
      </c>
      <c r="D1653" s="65">
        <v>1.6</v>
      </c>
      <c r="E1653" s="67" t="s">
        <v>81</v>
      </c>
      <c r="F1653" s="52" t="s">
        <v>27</v>
      </c>
      <c r="G1653" s="52" t="s">
        <v>2</v>
      </c>
    </row>
    <row r="1654" spans="1:7">
      <c r="A1654" s="15" t="s">
        <v>2021</v>
      </c>
      <c r="B1654" s="63" t="s">
        <v>142</v>
      </c>
      <c r="C1654" s="64">
        <v>3</v>
      </c>
      <c r="D1654" s="65">
        <v>2.2000000000000002</v>
      </c>
      <c r="E1654" s="67" t="s">
        <v>81</v>
      </c>
      <c r="F1654" s="52" t="s">
        <v>83</v>
      </c>
      <c r="G1654" s="52" t="s">
        <v>3</v>
      </c>
    </row>
    <row r="1655" spans="1:7">
      <c r="A1655" s="15" t="s">
        <v>2022</v>
      </c>
      <c r="B1655" s="63" t="s">
        <v>142</v>
      </c>
      <c r="C1655" s="64">
        <v>4</v>
      </c>
      <c r="D1655" s="65">
        <v>2.2000000000000002</v>
      </c>
      <c r="E1655" s="67" t="s">
        <v>100</v>
      </c>
      <c r="F1655" s="52" t="s">
        <v>83</v>
      </c>
      <c r="G1655" s="52" t="s">
        <v>4</v>
      </c>
    </row>
    <row r="1656" spans="1:7">
      <c r="A1656" s="15" t="s">
        <v>2023</v>
      </c>
      <c r="B1656" s="63" t="s">
        <v>142</v>
      </c>
      <c r="C1656" s="64">
        <v>5</v>
      </c>
      <c r="D1656" s="65">
        <v>2.1</v>
      </c>
      <c r="E1656" s="67" t="s">
        <v>76</v>
      </c>
      <c r="F1656" s="52" t="s">
        <v>82</v>
      </c>
      <c r="G1656" s="52" t="s">
        <v>0</v>
      </c>
    </row>
    <row r="1657" spans="1:7">
      <c r="A1657" s="15" t="s">
        <v>2024</v>
      </c>
      <c r="B1657" s="63" t="s">
        <v>142</v>
      </c>
      <c r="C1657" s="64">
        <v>6</v>
      </c>
      <c r="D1657" s="65">
        <v>6.4</v>
      </c>
      <c r="E1657" s="67" t="s">
        <v>28</v>
      </c>
      <c r="F1657" s="52" t="s">
        <v>104</v>
      </c>
      <c r="G1657" s="52" t="s">
        <v>2</v>
      </c>
    </row>
    <row r="1658" spans="1:7">
      <c r="A1658" s="15" t="s">
        <v>2025</v>
      </c>
      <c r="B1658" s="63" t="s">
        <v>142</v>
      </c>
      <c r="C1658" s="64">
        <v>7</v>
      </c>
      <c r="D1658" s="65">
        <v>1.5</v>
      </c>
      <c r="E1658" s="67" t="s">
        <v>81</v>
      </c>
      <c r="F1658" s="52" t="s">
        <v>80</v>
      </c>
      <c r="G1658" s="52" t="s">
        <v>2</v>
      </c>
    </row>
    <row r="1659" spans="1:7">
      <c r="A1659" s="15" t="s">
        <v>2026</v>
      </c>
      <c r="B1659" s="63" t="s">
        <v>142</v>
      </c>
      <c r="C1659" s="64">
        <v>8</v>
      </c>
      <c r="D1659" s="65">
        <v>1.6</v>
      </c>
      <c r="E1659" s="67" t="s">
        <v>81</v>
      </c>
      <c r="F1659" s="52" t="s">
        <v>27</v>
      </c>
      <c r="G1659" s="52" t="s">
        <v>1</v>
      </c>
    </row>
    <row r="1660" spans="1:7">
      <c r="A1660" s="15" t="s">
        <v>2027</v>
      </c>
      <c r="B1660" s="63" t="s">
        <v>142</v>
      </c>
      <c r="C1660" s="64">
        <v>9</v>
      </c>
      <c r="D1660" s="65">
        <v>2.2000000000000002</v>
      </c>
      <c r="E1660" s="67" t="s">
        <v>96</v>
      </c>
      <c r="F1660" s="52" t="s">
        <v>83</v>
      </c>
      <c r="G1660" s="52" t="s">
        <v>3</v>
      </c>
    </row>
    <row r="1661" spans="1:7">
      <c r="A1661" s="15" t="s">
        <v>2028</v>
      </c>
      <c r="B1661" s="63" t="s">
        <v>142</v>
      </c>
      <c r="C1661" s="64">
        <v>10</v>
      </c>
      <c r="D1661" s="65">
        <v>2.1</v>
      </c>
      <c r="E1661" s="67" t="s">
        <v>93</v>
      </c>
      <c r="F1661" s="52" t="s">
        <v>82</v>
      </c>
      <c r="G1661" s="52" t="s">
        <v>4</v>
      </c>
    </row>
    <row r="1662" spans="1:7">
      <c r="A1662" s="15" t="s">
        <v>2029</v>
      </c>
      <c r="B1662" s="63" t="s">
        <v>142</v>
      </c>
      <c r="C1662" s="64">
        <v>11</v>
      </c>
      <c r="D1662" s="65">
        <v>2.35</v>
      </c>
      <c r="E1662" s="67" t="s">
        <v>81</v>
      </c>
      <c r="F1662" s="52" t="s">
        <v>89</v>
      </c>
      <c r="G1662" s="52" t="s">
        <v>0</v>
      </c>
    </row>
    <row r="1663" spans="1:7">
      <c r="A1663" s="15" t="s">
        <v>2030</v>
      </c>
      <c r="B1663" s="63" t="s">
        <v>142</v>
      </c>
      <c r="C1663" s="64">
        <v>12</v>
      </c>
      <c r="D1663" s="65">
        <v>3.1</v>
      </c>
      <c r="E1663" s="67" t="s">
        <v>28</v>
      </c>
      <c r="F1663" s="52" t="s">
        <v>90</v>
      </c>
      <c r="G1663" s="52" t="s">
        <v>3</v>
      </c>
    </row>
    <row r="1664" spans="1:7">
      <c r="A1664" s="15" t="s">
        <v>2031</v>
      </c>
      <c r="B1664" s="63" t="s">
        <v>142</v>
      </c>
      <c r="C1664" s="64">
        <v>13</v>
      </c>
      <c r="D1664" s="65">
        <v>4.0999999999999996</v>
      </c>
      <c r="E1664" s="67" t="s">
        <v>76</v>
      </c>
      <c r="F1664" s="52" t="s">
        <v>94</v>
      </c>
      <c r="G1664" s="52" t="s">
        <v>2</v>
      </c>
    </row>
    <row r="1665" spans="1:7">
      <c r="A1665" s="15" t="s">
        <v>2032</v>
      </c>
      <c r="B1665" s="63" t="s">
        <v>142</v>
      </c>
      <c r="C1665" s="64">
        <v>14</v>
      </c>
      <c r="D1665" s="65">
        <v>2.31</v>
      </c>
      <c r="E1665" s="67" t="s">
        <v>28</v>
      </c>
      <c r="F1665" s="52" t="s">
        <v>85</v>
      </c>
      <c r="G1665" s="52" t="s">
        <v>0</v>
      </c>
    </row>
    <row r="1666" spans="1:7">
      <c r="A1666" s="15" t="s">
        <v>2033</v>
      </c>
      <c r="B1666" s="63" t="s">
        <v>142</v>
      </c>
      <c r="C1666" s="64">
        <v>15</v>
      </c>
      <c r="D1666" s="65">
        <v>4.0999999999999996</v>
      </c>
      <c r="E1666" s="67" t="s">
        <v>81</v>
      </c>
      <c r="F1666" s="52" t="s">
        <v>94</v>
      </c>
      <c r="G1666" s="52" t="s">
        <v>3</v>
      </c>
    </row>
    <row r="1667" spans="1:7">
      <c r="A1667" s="15" t="s">
        <v>2034</v>
      </c>
      <c r="B1667" s="63" t="s">
        <v>142</v>
      </c>
      <c r="C1667" s="64">
        <v>16</v>
      </c>
      <c r="D1667" s="65">
        <v>2.31</v>
      </c>
      <c r="E1667" s="67" t="s">
        <v>81</v>
      </c>
      <c r="F1667" s="52" t="s">
        <v>85</v>
      </c>
      <c r="G1667" s="52" t="s">
        <v>3</v>
      </c>
    </row>
    <row r="1668" spans="1:7">
      <c r="A1668" s="15" t="s">
        <v>2035</v>
      </c>
      <c r="B1668" s="63" t="s">
        <v>142</v>
      </c>
      <c r="C1668" s="64">
        <v>17</v>
      </c>
      <c r="D1668" s="65">
        <v>5.3</v>
      </c>
      <c r="E1668" s="67" t="s">
        <v>28</v>
      </c>
      <c r="F1668" s="52" t="s">
        <v>99</v>
      </c>
      <c r="G1668" s="52" t="s">
        <v>2</v>
      </c>
    </row>
    <row r="1669" spans="1:7">
      <c r="A1669" s="15" t="s">
        <v>2036</v>
      </c>
      <c r="B1669" s="63" t="s">
        <v>142</v>
      </c>
      <c r="C1669" s="64">
        <v>18</v>
      </c>
      <c r="D1669" s="65">
        <v>5.3</v>
      </c>
      <c r="E1669" s="67" t="s">
        <v>81</v>
      </c>
      <c r="F1669" s="52" t="s">
        <v>99</v>
      </c>
      <c r="G1669" s="52" t="s">
        <v>0</v>
      </c>
    </row>
    <row r="1670" spans="1:7">
      <c r="A1670" s="15" t="s">
        <v>2037</v>
      </c>
      <c r="B1670" s="63" t="s">
        <v>142</v>
      </c>
      <c r="C1670" s="64">
        <v>19</v>
      </c>
      <c r="D1670" s="65">
        <v>3.1</v>
      </c>
      <c r="E1670" s="67" t="s">
        <v>81</v>
      </c>
      <c r="F1670" s="52" t="s">
        <v>90</v>
      </c>
      <c r="G1670" s="52" t="s">
        <v>2</v>
      </c>
    </row>
    <row r="1671" spans="1:7">
      <c r="A1671" s="15" t="s">
        <v>2038</v>
      </c>
      <c r="B1671" s="63" t="s">
        <v>142</v>
      </c>
      <c r="C1671" s="64">
        <v>20</v>
      </c>
      <c r="D1671" s="65">
        <v>2.34</v>
      </c>
      <c r="E1671" s="67" t="s">
        <v>96</v>
      </c>
      <c r="F1671" s="52" t="s">
        <v>88</v>
      </c>
      <c r="G1671" s="52" t="s">
        <v>4</v>
      </c>
    </row>
    <row r="1672" spans="1:7">
      <c r="A1672" s="15" t="s">
        <v>2039</v>
      </c>
      <c r="B1672" s="63" t="s">
        <v>142</v>
      </c>
      <c r="C1672" s="64">
        <v>21</v>
      </c>
      <c r="D1672" s="65">
        <v>3.1</v>
      </c>
      <c r="E1672" s="67" t="s">
        <v>81</v>
      </c>
      <c r="F1672" s="52" t="s">
        <v>90</v>
      </c>
      <c r="G1672" s="52" t="s">
        <v>1</v>
      </c>
    </row>
    <row r="1673" spans="1:7">
      <c r="A1673" s="15" t="s">
        <v>2040</v>
      </c>
      <c r="B1673" s="63" t="s">
        <v>142</v>
      </c>
      <c r="C1673" s="64">
        <v>22</v>
      </c>
      <c r="D1673" s="65">
        <v>4.2</v>
      </c>
      <c r="E1673" s="67" t="s">
        <v>81</v>
      </c>
      <c r="F1673" s="52" t="s">
        <v>95</v>
      </c>
      <c r="G1673" s="52" t="s">
        <v>3</v>
      </c>
    </row>
    <row r="1674" spans="1:7">
      <c r="A1674" s="15" t="s">
        <v>2041</v>
      </c>
      <c r="B1674" s="63" t="s">
        <v>142</v>
      </c>
      <c r="C1674" s="64">
        <v>23</v>
      </c>
      <c r="D1674" s="65">
        <v>3.2</v>
      </c>
      <c r="E1674" s="67" t="s">
        <v>100</v>
      </c>
      <c r="F1674" s="52" t="s">
        <v>91</v>
      </c>
      <c r="G1674" s="52" t="s">
        <v>0</v>
      </c>
    </row>
    <row r="1675" spans="1:7">
      <c r="A1675" s="15" t="s">
        <v>2042</v>
      </c>
      <c r="B1675" s="63" t="s">
        <v>142</v>
      </c>
      <c r="C1675" s="64">
        <v>24</v>
      </c>
      <c r="D1675" s="65">
        <v>5.0999999999999996</v>
      </c>
      <c r="E1675" s="67" t="s">
        <v>76</v>
      </c>
      <c r="F1675" s="52" t="s">
        <v>97</v>
      </c>
      <c r="G1675" s="52" t="s">
        <v>3</v>
      </c>
    </row>
    <row r="1676" spans="1:7">
      <c r="A1676" s="15" t="s">
        <v>2043</v>
      </c>
      <c r="B1676" s="63" t="s">
        <v>142</v>
      </c>
      <c r="C1676" s="64">
        <v>25</v>
      </c>
      <c r="D1676" s="65">
        <v>2.31</v>
      </c>
      <c r="E1676" s="67" t="s">
        <v>100</v>
      </c>
      <c r="F1676" s="52" t="s">
        <v>85</v>
      </c>
      <c r="G1676" s="52" t="s">
        <v>0</v>
      </c>
    </row>
    <row r="1677" spans="1:7">
      <c r="A1677" s="15" t="s">
        <v>2044</v>
      </c>
      <c r="B1677" s="63" t="s">
        <v>142</v>
      </c>
      <c r="C1677" s="64">
        <v>26</v>
      </c>
      <c r="D1677" s="65">
        <v>3.1</v>
      </c>
      <c r="E1677" s="67" t="s">
        <v>81</v>
      </c>
      <c r="F1677" s="52" t="s">
        <v>90</v>
      </c>
      <c r="G1677" s="52" t="s">
        <v>4</v>
      </c>
    </row>
    <row r="1678" spans="1:7">
      <c r="A1678" s="15" t="s">
        <v>2045</v>
      </c>
      <c r="B1678" s="63" t="s">
        <v>142</v>
      </c>
      <c r="C1678" s="64">
        <v>27</v>
      </c>
      <c r="D1678" s="65">
        <v>5.3</v>
      </c>
      <c r="E1678" s="67" t="s">
        <v>96</v>
      </c>
      <c r="F1678" s="52" t="s">
        <v>99</v>
      </c>
      <c r="G1678" s="52" t="s">
        <v>3</v>
      </c>
    </row>
    <row r="1679" spans="1:7">
      <c r="A1679" s="15" t="s">
        <v>2046</v>
      </c>
      <c r="B1679" s="63" t="s">
        <v>142</v>
      </c>
      <c r="C1679" s="64">
        <v>28</v>
      </c>
      <c r="D1679" s="65">
        <v>4.2</v>
      </c>
      <c r="E1679" s="67" t="s">
        <v>81</v>
      </c>
      <c r="F1679" s="52" t="s">
        <v>95</v>
      </c>
      <c r="G1679" s="52" t="s">
        <v>0</v>
      </c>
    </row>
    <row r="1680" spans="1:7">
      <c r="A1680" s="15" t="s">
        <v>2047</v>
      </c>
      <c r="B1680" s="63" t="s">
        <v>142</v>
      </c>
      <c r="C1680" s="64">
        <v>29</v>
      </c>
      <c r="D1680" s="65">
        <v>3.2</v>
      </c>
      <c r="E1680" s="67" t="s">
        <v>76</v>
      </c>
      <c r="F1680" s="52" t="s">
        <v>91</v>
      </c>
      <c r="G1680" s="52" t="s">
        <v>2</v>
      </c>
    </row>
    <row r="1681" spans="1:7">
      <c r="A1681" s="15" t="s">
        <v>2048</v>
      </c>
      <c r="B1681" s="63" t="s">
        <v>142</v>
      </c>
      <c r="C1681" s="64">
        <v>30</v>
      </c>
      <c r="D1681" s="65">
        <v>5.0999999999999996</v>
      </c>
      <c r="E1681" s="67" t="s">
        <v>81</v>
      </c>
      <c r="F1681" s="52" t="s">
        <v>97</v>
      </c>
      <c r="G1681" s="52" t="s">
        <v>4</v>
      </c>
    </row>
    <row r="1682" spans="1:7">
      <c r="A1682" s="15" t="s">
        <v>2049</v>
      </c>
      <c r="B1682" s="63" t="s">
        <v>142</v>
      </c>
      <c r="C1682" s="64">
        <v>31</v>
      </c>
      <c r="D1682" s="65">
        <v>5.2</v>
      </c>
      <c r="E1682" s="67" t="s">
        <v>96</v>
      </c>
      <c r="F1682" s="52" t="s">
        <v>98</v>
      </c>
      <c r="G1682" s="52" t="s">
        <v>2</v>
      </c>
    </row>
    <row r="1683" spans="1:7">
      <c r="A1683" s="15" t="s">
        <v>2050</v>
      </c>
      <c r="B1683" s="63" t="s">
        <v>142</v>
      </c>
      <c r="C1683" s="64">
        <v>32</v>
      </c>
      <c r="D1683" s="65">
        <v>5.3</v>
      </c>
      <c r="E1683" s="67" t="s">
        <v>28</v>
      </c>
      <c r="F1683" s="52" t="s">
        <v>99</v>
      </c>
      <c r="G1683" s="52" t="s">
        <v>2</v>
      </c>
    </row>
    <row r="1684" spans="1:7">
      <c r="A1684" s="15" t="s">
        <v>2051</v>
      </c>
      <c r="B1684" s="63" t="s">
        <v>142</v>
      </c>
      <c r="C1684" s="64">
        <v>33</v>
      </c>
      <c r="D1684" s="65">
        <v>5.3</v>
      </c>
      <c r="E1684" s="67" t="s">
        <v>81</v>
      </c>
      <c r="F1684" s="52" t="s">
        <v>99</v>
      </c>
      <c r="G1684" s="52" t="s">
        <v>2</v>
      </c>
    </row>
    <row r="1685" spans="1:7">
      <c r="A1685" s="15" t="s">
        <v>2052</v>
      </c>
      <c r="B1685" s="63" t="s">
        <v>142</v>
      </c>
      <c r="C1685" s="64">
        <v>34</v>
      </c>
      <c r="D1685" s="65">
        <v>2.33</v>
      </c>
      <c r="E1685" s="67" t="s">
        <v>76</v>
      </c>
      <c r="F1685" s="52" t="s">
        <v>87</v>
      </c>
      <c r="G1685" s="52" t="s">
        <v>2</v>
      </c>
    </row>
    <row r="1686" spans="1:7">
      <c r="A1686" s="15" t="s">
        <v>2053</v>
      </c>
      <c r="B1686" s="63" t="s">
        <v>142</v>
      </c>
      <c r="C1686" s="64">
        <v>35</v>
      </c>
      <c r="D1686" s="65">
        <v>5.0999999999999996</v>
      </c>
      <c r="E1686" s="67" t="s">
        <v>93</v>
      </c>
      <c r="F1686" s="52" t="s">
        <v>97</v>
      </c>
      <c r="G1686" s="52" t="s">
        <v>1</v>
      </c>
    </row>
    <row r="1687" spans="1:7">
      <c r="A1687" s="15" t="s">
        <v>2054</v>
      </c>
      <c r="B1687" s="63" t="s">
        <v>142</v>
      </c>
      <c r="C1687" s="64">
        <v>36</v>
      </c>
      <c r="D1687" s="65">
        <v>5.0999999999999996</v>
      </c>
      <c r="E1687" s="67" t="s">
        <v>81</v>
      </c>
      <c r="F1687" s="52" t="s">
        <v>97</v>
      </c>
      <c r="G1687" s="52" t="s">
        <v>0</v>
      </c>
    </row>
    <row r="1688" spans="1:7">
      <c r="A1688" s="15" t="s">
        <v>2055</v>
      </c>
      <c r="B1688" s="63" t="s">
        <v>142</v>
      </c>
      <c r="C1688" s="64">
        <v>37</v>
      </c>
      <c r="D1688" s="65">
        <v>5.3</v>
      </c>
      <c r="E1688" s="67" t="s">
        <v>100</v>
      </c>
      <c r="F1688" s="52" t="s">
        <v>99</v>
      </c>
      <c r="G1688" s="52" t="s">
        <v>3</v>
      </c>
    </row>
    <row r="1689" spans="1:7">
      <c r="A1689" s="15" t="s">
        <v>2056</v>
      </c>
      <c r="B1689" s="63" t="s">
        <v>142</v>
      </c>
      <c r="C1689" s="64">
        <v>38</v>
      </c>
      <c r="D1689" s="65">
        <v>1.1000000000000001</v>
      </c>
      <c r="E1689" s="67" t="s">
        <v>81</v>
      </c>
      <c r="F1689" s="52" t="s">
        <v>77</v>
      </c>
      <c r="G1689" s="52" t="s">
        <v>1</v>
      </c>
    </row>
    <row r="1690" spans="1:7">
      <c r="A1690" s="15" t="s">
        <v>2057</v>
      </c>
      <c r="B1690" s="63" t="s">
        <v>142</v>
      </c>
      <c r="C1690" s="64">
        <v>39</v>
      </c>
      <c r="D1690" s="65">
        <v>6.1</v>
      </c>
      <c r="E1690" s="67" t="s">
        <v>81</v>
      </c>
      <c r="F1690" s="52" t="s">
        <v>101</v>
      </c>
      <c r="G1690" s="52" t="s">
        <v>2</v>
      </c>
    </row>
    <row r="1691" spans="1:7">
      <c r="A1691" s="15" t="s">
        <v>2058</v>
      </c>
      <c r="B1691" s="63" t="s">
        <v>142</v>
      </c>
      <c r="C1691" s="64">
        <v>40</v>
      </c>
      <c r="D1691" s="65">
        <v>2.1</v>
      </c>
      <c r="E1691" s="67" t="s">
        <v>96</v>
      </c>
      <c r="F1691" s="52" t="s">
        <v>82</v>
      </c>
      <c r="G1691" s="52" t="s">
        <v>3</v>
      </c>
    </row>
    <row r="1692" spans="1:7">
      <c r="A1692" s="15" t="s">
        <v>2059</v>
      </c>
      <c r="B1692" s="63" t="s">
        <v>142</v>
      </c>
      <c r="C1692" s="64">
        <v>41</v>
      </c>
      <c r="D1692" s="65">
        <v>5.2</v>
      </c>
      <c r="E1692" s="67" t="s">
        <v>28</v>
      </c>
      <c r="F1692" s="52" t="s">
        <v>98</v>
      </c>
      <c r="G1692" s="52" t="s">
        <v>2</v>
      </c>
    </row>
    <row r="1693" spans="1:7">
      <c r="A1693" s="15" t="s">
        <v>2060</v>
      </c>
      <c r="B1693" s="63" t="s">
        <v>142</v>
      </c>
      <c r="C1693" s="64">
        <v>42</v>
      </c>
      <c r="D1693" s="65">
        <v>6.3</v>
      </c>
      <c r="E1693" s="67" t="s">
        <v>76</v>
      </c>
      <c r="F1693" s="52" t="s">
        <v>103</v>
      </c>
      <c r="G1693" s="52" t="s">
        <v>0</v>
      </c>
    </row>
    <row r="1694" spans="1:7">
      <c r="A1694" s="15" t="s">
        <v>2061</v>
      </c>
      <c r="B1694" s="63" t="s">
        <v>142</v>
      </c>
      <c r="C1694" s="64">
        <v>43</v>
      </c>
      <c r="D1694" s="65">
        <v>2.3199999999999998</v>
      </c>
      <c r="E1694" s="67" t="s">
        <v>28</v>
      </c>
      <c r="F1694" s="52" t="s">
        <v>86</v>
      </c>
      <c r="G1694" s="52" t="s">
        <v>0</v>
      </c>
    </row>
    <row r="1695" spans="1:7">
      <c r="A1695" s="15" t="s">
        <v>2062</v>
      </c>
      <c r="B1695" s="63" t="s">
        <v>142</v>
      </c>
      <c r="C1695" s="64">
        <v>44</v>
      </c>
      <c r="D1695" s="65">
        <v>1.1000000000000001</v>
      </c>
      <c r="E1695" s="67" t="s">
        <v>81</v>
      </c>
      <c r="F1695" s="52" t="s">
        <v>77</v>
      </c>
      <c r="G1695" s="52" t="s">
        <v>2</v>
      </c>
    </row>
    <row r="1696" spans="1:7">
      <c r="A1696" s="15" t="s">
        <v>2063</v>
      </c>
      <c r="B1696" s="63" t="s">
        <v>142</v>
      </c>
      <c r="C1696" s="64">
        <v>45</v>
      </c>
      <c r="D1696" s="65">
        <v>1.3</v>
      </c>
      <c r="E1696" s="67" t="s">
        <v>93</v>
      </c>
      <c r="F1696" s="52" t="s">
        <v>79</v>
      </c>
      <c r="G1696" s="52" t="s">
        <v>1</v>
      </c>
    </row>
    <row r="1697" spans="1:7">
      <c r="A1697" s="15" t="s">
        <v>2064</v>
      </c>
      <c r="B1697" s="63" t="s">
        <v>142</v>
      </c>
      <c r="C1697" s="64">
        <v>46</v>
      </c>
      <c r="D1697" s="65">
        <v>6.3</v>
      </c>
      <c r="E1697" s="67" t="s">
        <v>81</v>
      </c>
      <c r="F1697" s="52" t="s">
        <v>103</v>
      </c>
      <c r="G1697" s="52" t="s">
        <v>0</v>
      </c>
    </row>
    <row r="1698" spans="1:7">
      <c r="A1698" s="15" t="s">
        <v>2065</v>
      </c>
      <c r="B1698" s="63" t="s">
        <v>142</v>
      </c>
      <c r="C1698" s="64">
        <v>47</v>
      </c>
      <c r="D1698" s="65">
        <v>1.5</v>
      </c>
      <c r="E1698" s="67" t="s">
        <v>76</v>
      </c>
      <c r="F1698" s="52" t="s">
        <v>80</v>
      </c>
      <c r="G1698" s="52" t="s">
        <v>3</v>
      </c>
    </row>
    <row r="1699" spans="1:7">
      <c r="A1699" s="15" t="s">
        <v>2066</v>
      </c>
      <c r="B1699" s="63" t="s">
        <v>142</v>
      </c>
      <c r="C1699" s="64">
        <v>48</v>
      </c>
      <c r="D1699" s="65">
        <v>2.2000000000000002</v>
      </c>
      <c r="E1699" s="67" t="s">
        <v>81</v>
      </c>
      <c r="F1699" s="52" t="s">
        <v>83</v>
      </c>
      <c r="G1699" s="52" t="s">
        <v>2</v>
      </c>
    </row>
    <row r="1700" spans="1:7">
      <c r="A1700" s="15" t="s">
        <v>2067</v>
      </c>
      <c r="B1700" s="63" t="s">
        <v>142</v>
      </c>
      <c r="C1700" s="64">
        <v>49</v>
      </c>
      <c r="D1700" s="65">
        <v>1.3</v>
      </c>
      <c r="E1700" s="67" t="s">
        <v>76</v>
      </c>
      <c r="F1700" s="52" t="s">
        <v>79</v>
      </c>
      <c r="G1700" s="52" t="s">
        <v>3</v>
      </c>
    </row>
    <row r="1701" spans="1:7">
      <c r="A1701" s="15" t="s">
        <v>2068</v>
      </c>
      <c r="B1701" s="63" t="s">
        <v>142</v>
      </c>
      <c r="C1701" s="64">
        <v>50</v>
      </c>
      <c r="D1701" s="65">
        <v>2.34</v>
      </c>
      <c r="E1701" s="67" t="s">
        <v>96</v>
      </c>
      <c r="F1701" s="52" t="s">
        <v>88</v>
      </c>
      <c r="G1701" s="52" t="s">
        <v>1</v>
      </c>
    </row>
    <row r="1702" spans="1:7">
      <c r="A1702" s="15" t="s">
        <v>2069</v>
      </c>
      <c r="B1702" s="63" t="s">
        <v>143</v>
      </c>
      <c r="C1702" s="64">
        <v>1</v>
      </c>
      <c r="D1702" s="66">
        <v>2.31</v>
      </c>
      <c r="E1702" s="67" t="s">
        <v>81</v>
      </c>
      <c r="F1702" s="57" t="s">
        <v>85</v>
      </c>
      <c r="G1702" s="52" t="s">
        <v>2</v>
      </c>
    </row>
    <row r="1703" spans="1:7">
      <c r="A1703" s="15" t="s">
        <v>2070</v>
      </c>
      <c r="B1703" s="63" t="s">
        <v>143</v>
      </c>
      <c r="C1703" s="64">
        <v>2</v>
      </c>
      <c r="D1703" s="65">
        <v>2.33</v>
      </c>
      <c r="E1703" s="67" t="s">
        <v>76</v>
      </c>
      <c r="F1703" s="52" t="s">
        <v>87</v>
      </c>
      <c r="G1703" s="52" t="s">
        <v>4</v>
      </c>
    </row>
    <row r="1704" spans="1:7">
      <c r="A1704" s="15" t="s">
        <v>2071</v>
      </c>
      <c r="B1704" s="63" t="s">
        <v>143</v>
      </c>
      <c r="C1704" s="64">
        <v>3</v>
      </c>
      <c r="D1704" s="65">
        <v>2.35</v>
      </c>
      <c r="E1704" s="67" t="s">
        <v>81</v>
      </c>
      <c r="F1704" s="52" t="s">
        <v>89</v>
      </c>
      <c r="G1704" s="52" t="s">
        <v>0</v>
      </c>
    </row>
    <row r="1705" spans="1:7">
      <c r="A1705" s="15" t="s">
        <v>2072</v>
      </c>
      <c r="B1705" s="63" t="s">
        <v>143</v>
      </c>
      <c r="C1705" s="64">
        <v>4</v>
      </c>
      <c r="D1705" s="65">
        <v>6.3</v>
      </c>
      <c r="E1705" s="67" t="s">
        <v>81</v>
      </c>
      <c r="F1705" s="52" t="s">
        <v>103</v>
      </c>
      <c r="G1705" s="52" t="s">
        <v>4</v>
      </c>
    </row>
    <row r="1706" spans="1:7">
      <c r="A1706" s="15" t="s">
        <v>2073</v>
      </c>
      <c r="B1706" s="63" t="s">
        <v>143</v>
      </c>
      <c r="C1706" s="64">
        <v>5</v>
      </c>
      <c r="D1706" s="65">
        <v>1.5</v>
      </c>
      <c r="E1706" s="67" t="s">
        <v>81</v>
      </c>
      <c r="F1706" s="52" t="s">
        <v>80</v>
      </c>
      <c r="G1706" s="52" t="s">
        <v>2</v>
      </c>
    </row>
    <row r="1707" spans="1:7">
      <c r="A1707" s="15" t="s">
        <v>2074</v>
      </c>
      <c r="B1707" s="63" t="s">
        <v>143</v>
      </c>
      <c r="C1707" s="64">
        <v>6</v>
      </c>
      <c r="D1707" s="65">
        <v>3.2</v>
      </c>
      <c r="E1707" s="67" t="s">
        <v>81</v>
      </c>
      <c r="F1707" s="52" t="s">
        <v>91</v>
      </c>
      <c r="G1707" s="52" t="s">
        <v>0</v>
      </c>
    </row>
    <row r="1708" spans="1:7">
      <c r="A1708" s="15" t="s">
        <v>2075</v>
      </c>
      <c r="B1708" s="63" t="s">
        <v>143</v>
      </c>
      <c r="C1708" s="64">
        <v>7</v>
      </c>
      <c r="D1708" s="65">
        <v>1.2</v>
      </c>
      <c r="E1708" s="67" t="s">
        <v>76</v>
      </c>
      <c r="F1708" s="52" t="s">
        <v>78</v>
      </c>
      <c r="G1708" s="52" t="s">
        <v>0</v>
      </c>
    </row>
    <row r="1709" spans="1:7">
      <c r="A1709" s="15" t="s">
        <v>2076</v>
      </c>
      <c r="B1709" s="63" t="s">
        <v>143</v>
      </c>
      <c r="C1709" s="64">
        <v>8</v>
      </c>
      <c r="D1709" s="65">
        <v>2.33</v>
      </c>
      <c r="E1709" s="67" t="s">
        <v>76</v>
      </c>
      <c r="F1709" s="52" t="s">
        <v>87</v>
      </c>
      <c r="G1709" s="52" t="s">
        <v>4</v>
      </c>
    </row>
    <row r="1710" spans="1:7">
      <c r="A1710" s="15" t="s">
        <v>2077</v>
      </c>
      <c r="B1710" s="63" t="s">
        <v>143</v>
      </c>
      <c r="C1710" s="64">
        <v>9</v>
      </c>
      <c r="D1710" s="65">
        <v>5.2</v>
      </c>
      <c r="E1710" s="67" t="s">
        <v>81</v>
      </c>
      <c r="F1710" s="52" t="s">
        <v>98</v>
      </c>
      <c r="G1710" s="52" t="s">
        <v>0</v>
      </c>
    </row>
    <row r="1711" spans="1:7">
      <c r="A1711" s="15" t="s">
        <v>2078</v>
      </c>
      <c r="B1711" s="63" t="s">
        <v>143</v>
      </c>
      <c r="C1711" s="64">
        <v>10</v>
      </c>
      <c r="D1711" s="65">
        <v>4.0999999999999996</v>
      </c>
      <c r="E1711" s="67" t="s">
        <v>81</v>
      </c>
      <c r="F1711" s="52" t="s">
        <v>94</v>
      </c>
      <c r="G1711" s="52" t="s">
        <v>1</v>
      </c>
    </row>
    <row r="1712" spans="1:7">
      <c r="A1712" s="15" t="s">
        <v>2079</v>
      </c>
      <c r="B1712" s="63" t="s">
        <v>143</v>
      </c>
      <c r="C1712" s="64">
        <v>11</v>
      </c>
      <c r="D1712" s="65">
        <v>2.1</v>
      </c>
      <c r="E1712" s="67" t="s">
        <v>81</v>
      </c>
      <c r="F1712" s="52" t="s">
        <v>82</v>
      </c>
      <c r="G1712" s="52" t="s">
        <v>4</v>
      </c>
    </row>
    <row r="1713" spans="1:7">
      <c r="A1713" s="15" t="s">
        <v>2080</v>
      </c>
      <c r="B1713" s="63" t="s">
        <v>143</v>
      </c>
      <c r="C1713" s="64">
        <v>12</v>
      </c>
      <c r="D1713" s="65">
        <v>3.2</v>
      </c>
      <c r="E1713" s="67" t="s">
        <v>28</v>
      </c>
      <c r="F1713" s="52" t="s">
        <v>91</v>
      </c>
      <c r="G1713" s="52" t="s">
        <v>4</v>
      </c>
    </row>
    <row r="1714" spans="1:7">
      <c r="A1714" s="15" t="s">
        <v>2081</v>
      </c>
      <c r="B1714" s="63" t="s">
        <v>143</v>
      </c>
      <c r="C1714" s="64">
        <v>13</v>
      </c>
      <c r="D1714" s="65">
        <v>1.1000000000000001</v>
      </c>
      <c r="E1714" s="67" t="s">
        <v>93</v>
      </c>
      <c r="F1714" s="52" t="s">
        <v>77</v>
      </c>
      <c r="G1714" s="52" t="s">
        <v>2</v>
      </c>
    </row>
    <row r="1715" spans="1:7">
      <c r="A1715" s="15" t="s">
        <v>2082</v>
      </c>
      <c r="B1715" s="63" t="s">
        <v>143</v>
      </c>
      <c r="C1715" s="64">
        <v>14</v>
      </c>
      <c r="D1715" s="65">
        <v>3.1</v>
      </c>
      <c r="E1715" s="67" t="s">
        <v>81</v>
      </c>
      <c r="F1715" s="52" t="s">
        <v>90</v>
      </c>
      <c r="G1715" s="52" t="s">
        <v>3</v>
      </c>
    </row>
    <row r="1716" spans="1:7">
      <c r="A1716" s="15" t="s">
        <v>2083</v>
      </c>
      <c r="B1716" s="63" t="s">
        <v>143</v>
      </c>
      <c r="C1716" s="64">
        <v>15</v>
      </c>
      <c r="D1716" s="65">
        <v>2.2000000000000002</v>
      </c>
      <c r="E1716" s="67" t="s">
        <v>93</v>
      </c>
      <c r="F1716" s="52" t="s">
        <v>83</v>
      </c>
      <c r="G1716" s="52" t="s">
        <v>1</v>
      </c>
    </row>
    <row r="1717" spans="1:7">
      <c r="A1717" s="15" t="s">
        <v>2084</v>
      </c>
      <c r="B1717" s="63" t="s">
        <v>143</v>
      </c>
      <c r="C1717" s="64">
        <v>16</v>
      </c>
      <c r="D1717" s="65">
        <v>2.31</v>
      </c>
      <c r="E1717" s="67" t="s">
        <v>28</v>
      </c>
      <c r="F1717" s="52" t="s">
        <v>85</v>
      </c>
      <c r="G1717" s="52" t="s">
        <v>3</v>
      </c>
    </row>
    <row r="1718" spans="1:7">
      <c r="A1718" s="15" t="s">
        <v>2085</v>
      </c>
      <c r="B1718" s="63" t="s">
        <v>143</v>
      </c>
      <c r="C1718" s="64">
        <v>17</v>
      </c>
      <c r="D1718" s="65">
        <v>3.1</v>
      </c>
      <c r="E1718" s="67" t="s">
        <v>100</v>
      </c>
      <c r="F1718" s="52" t="s">
        <v>90</v>
      </c>
      <c r="G1718" s="52" t="s">
        <v>4</v>
      </c>
    </row>
    <row r="1719" spans="1:7">
      <c r="A1719" s="15" t="s">
        <v>2086</v>
      </c>
      <c r="B1719" s="63" t="s">
        <v>143</v>
      </c>
      <c r="C1719" s="64">
        <v>18</v>
      </c>
      <c r="D1719" s="65">
        <v>2.2000000000000002</v>
      </c>
      <c r="E1719" s="67" t="s">
        <v>96</v>
      </c>
      <c r="F1719" s="52" t="s">
        <v>83</v>
      </c>
      <c r="G1719" s="52" t="s">
        <v>4</v>
      </c>
    </row>
    <row r="1720" spans="1:7">
      <c r="A1720" s="15" t="s">
        <v>2087</v>
      </c>
      <c r="B1720" s="63" t="s">
        <v>143</v>
      </c>
      <c r="C1720" s="64">
        <v>19</v>
      </c>
      <c r="D1720" s="65">
        <v>2.1</v>
      </c>
      <c r="E1720" s="67" t="s">
        <v>28</v>
      </c>
      <c r="F1720" s="52" t="s">
        <v>82</v>
      </c>
      <c r="G1720" s="52" t="s">
        <v>4</v>
      </c>
    </row>
    <row r="1721" spans="1:7">
      <c r="A1721" s="15" t="s">
        <v>2088</v>
      </c>
      <c r="B1721" s="63" t="s">
        <v>143</v>
      </c>
      <c r="C1721" s="64">
        <v>20</v>
      </c>
      <c r="D1721" s="65">
        <v>5.2</v>
      </c>
      <c r="E1721" s="67" t="s">
        <v>81</v>
      </c>
      <c r="F1721" s="52" t="s">
        <v>98</v>
      </c>
      <c r="G1721" s="52" t="s">
        <v>1</v>
      </c>
    </row>
    <row r="1722" spans="1:7">
      <c r="A1722" s="15" t="s">
        <v>2089</v>
      </c>
      <c r="B1722" s="63" t="s">
        <v>143</v>
      </c>
      <c r="C1722" s="64">
        <v>21</v>
      </c>
      <c r="D1722" s="65">
        <v>2.33</v>
      </c>
      <c r="E1722" s="67" t="s">
        <v>81</v>
      </c>
      <c r="F1722" s="52" t="s">
        <v>87</v>
      </c>
      <c r="G1722" s="52" t="s">
        <v>3</v>
      </c>
    </row>
    <row r="1723" spans="1:7">
      <c r="A1723" s="15" t="s">
        <v>2090</v>
      </c>
      <c r="B1723" s="63" t="s">
        <v>143</v>
      </c>
      <c r="C1723" s="64">
        <v>22</v>
      </c>
      <c r="D1723" s="65">
        <v>2.3199999999999998</v>
      </c>
      <c r="E1723" s="67" t="s">
        <v>93</v>
      </c>
      <c r="F1723" s="52" t="s">
        <v>86</v>
      </c>
      <c r="G1723" s="52" t="s">
        <v>4</v>
      </c>
    </row>
    <row r="1724" spans="1:7">
      <c r="A1724" s="15" t="s">
        <v>2091</v>
      </c>
      <c r="B1724" s="63" t="s">
        <v>143</v>
      </c>
      <c r="C1724" s="64">
        <v>23</v>
      </c>
      <c r="D1724" s="65">
        <v>6.3</v>
      </c>
      <c r="E1724" s="67" t="s">
        <v>96</v>
      </c>
      <c r="F1724" s="52" t="s">
        <v>103</v>
      </c>
      <c r="G1724" s="52" t="s">
        <v>4</v>
      </c>
    </row>
    <row r="1725" spans="1:7">
      <c r="A1725" s="15" t="s">
        <v>2092</v>
      </c>
      <c r="B1725" s="63" t="s">
        <v>143</v>
      </c>
      <c r="C1725" s="64">
        <v>24</v>
      </c>
      <c r="D1725" s="65">
        <v>1.3</v>
      </c>
      <c r="E1725" s="67" t="s">
        <v>96</v>
      </c>
      <c r="F1725" s="52" t="s">
        <v>79</v>
      </c>
      <c r="G1725" s="52" t="s">
        <v>2</v>
      </c>
    </row>
    <row r="1726" spans="1:7">
      <c r="A1726" s="15" t="s">
        <v>2093</v>
      </c>
      <c r="B1726" s="63" t="s">
        <v>143</v>
      </c>
      <c r="C1726" s="64">
        <v>25</v>
      </c>
      <c r="D1726" s="65">
        <v>6.4</v>
      </c>
      <c r="E1726" s="67" t="s">
        <v>81</v>
      </c>
      <c r="F1726" s="52" t="s">
        <v>104</v>
      </c>
      <c r="G1726" s="52" t="s">
        <v>0</v>
      </c>
    </row>
    <row r="1727" spans="1:7">
      <c r="A1727" s="15" t="s">
        <v>2094</v>
      </c>
      <c r="B1727" s="63" t="s">
        <v>143</v>
      </c>
      <c r="C1727" s="64">
        <v>26</v>
      </c>
      <c r="D1727" s="65">
        <v>2.31</v>
      </c>
      <c r="E1727" s="67" t="s">
        <v>28</v>
      </c>
      <c r="F1727" s="52" t="s">
        <v>85</v>
      </c>
      <c r="G1727" s="52" t="s">
        <v>4</v>
      </c>
    </row>
    <row r="1728" spans="1:7">
      <c r="A1728" s="15" t="s">
        <v>2095</v>
      </c>
      <c r="B1728" s="63" t="s">
        <v>143</v>
      </c>
      <c r="C1728" s="64">
        <v>27</v>
      </c>
      <c r="D1728" s="65">
        <v>5.0999999999999996</v>
      </c>
      <c r="E1728" s="67" t="s">
        <v>28</v>
      </c>
      <c r="F1728" s="52" t="s">
        <v>97</v>
      </c>
      <c r="G1728" s="52" t="s">
        <v>2</v>
      </c>
    </row>
    <row r="1729" spans="1:7">
      <c r="A1729" s="15" t="s">
        <v>2096</v>
      </c>
      <c r="B1729" s="63" t="s">
        <v>143</v>
      </c>
      <c r="C1729" s="64">
        <v>28</v>
      </c>
      <c r="D1729" s="65">
        <v>2.35</v>
      </c>
      <c r="E1729" s="67" t="s">
        <v>93</v>
      </c>
      <c r="F1729" s="52" t="s">
        <v>89</v>
      </c>
      <c r="G1729" s="52" t="s">
        <v>4</v>
      </c>
    </row>
    <row r="1730" spans="1:7">
      <c r="A1730" s="15" t="s">
        <v>2097</v>
      </c>
      <c r="B1730" s="63" t="s">
        <v>143</v>
      </c>
      <c r="C1730" s="64">
        <v>29</v>
      </c>
      <c r="D1730" s="65">
        <v>1.3</v>
      </c>
      <c r="E1730" s="67" t="s">
        <v>28</v>
      </c>
      <c r="F1730" s="52" t="s">
        <v>79</v>
      </c>
      <c r="G1730" s="52" t="s">
        <v>2</v>
      </c>
    </row>
    <row r="1731" spans="1:7">
      <c r="A1731" s="15" t="s">
        <v>2098</v>
      </c>
      <c r="B1731" s="63" t="s">
        <v>143</v>
      </c>
      <c r="C1731" s="64">
        <v>30</v>
      </c>
      <c r="D1731" s="65">
        <v>2.2000000000000002</v>
      </c>
      <c r="E1731" s="67" t="s">
        <v>96</v>
      </c>
      <c r="F1731" s="52" t="s">
        <v>83</v>
      </c>
      <c r="G1731" s="52" t="s">
        <v>2</v>
      </c>
    </row>
    <row r="1732" spans="1:7">
      <c r="A1732" s="15" t="s">
        <v>2099</v>
      </c>
      <c r="B1732" s="63" t="s">
        <v>143</v>
      </c>
      <c r="C1732" s="64">
        <v>31</v>
      </c>
      <c r="D1732" s="65">
        <v>5.0999999999999996</v>
      </c>
      <c r="E1732" s="67" t="s">
        <v>96</v>
      </c>
      <c r="F1732" s="52" t="s">
        <v>97</v>
      </c>
      <c r="G1732" s="52" t="s">
        <v>2</v>
      </c>
    </row>
    <row r="1733" spans="1:7">
      <c r="A1733" s="15" t="s">
        <v>2100</v>
      </c>
      <c r="B1733" s="63" t="s">
        <v>143</v>
      </c>
      <c r="C1733" s="64">
        <v>32</v>
      </c>
      <c r="D1733" s="65">
        <v>3.1</v>
      </c>
      <c r="E1733" s="67" t="s">
        <v>96</v>
      </c>
      <c r="F1733" s="52" t="s">
        <v>90</v>
      </c>
      <c r="G1733" s="52" t="s">
        <v>0</v>
      </c>
    </row>
    <row r="1734" spans="1:7">
      <c r="A1734" s="15" t="s">
        <v>2101</v>
      </c>
      <c r="B1734" s="63" t="s">
        <v>143</v>
      </c>
      <c r="C1734" s="64">
        <v>33</v>
      </c>
      <c r="D1734" s="65">
        <v>2.1</v>
      </c>
      <c r="E1734" s="67" t="s">
        <v>96</v>
      </c>
      <c r="F1734" s="52" t="s">
        <v>82</v>
      </c>
      <c r="G1734" s="52" t="s">
        <v>3</v>
      </c>
    </row>
    <row r="1735" spans="1:7">
      <c r="A1735" s="15" t="s">
        <v>2102</v>
      </c>
      <c r="B1735" s="63" t="s">
        <v>143</v>
      </c>
      <c r="C1735" s="64">
        <v>34</v>
      </c>
      <c r="D1735" s="65">
        <v>1.2</v>
      </c>
      <c r="E1735" s="67" t="s">
        <v>81</v>
      </c>
      <c r="F1735" s="52" t="s">
        <v>78</v>
      </c>
      <c r="G1735" s="52" t="s">
        <v>0</v>
      </c>
    </row>
    <row r="1736" spans="1:7">
      <c r="A1736" s="15" t="s">
        <v>2103</v>
      </c>
      <c r="B1736" s="63" t="s">
        <v>143</v>
      </c>
      <c r="C1736" s="64">
        <v>35</v>
      </c>
      <c r="D1736" s="65">
        <v>4.0999999999999996</v>
      </c>
      <c r="E1736" s="67" t="s">
        <v>96</v>
      </c>
      <c r="F1736" s="52" t="s">
        <v>94</v>
      </c>
      <c r="G1736" s="52" t="s">
        <v>2</v>
      </c>
    </row>
    <row r="1737" spans="1:7">
      <c r="A1737" s="15" t="s">
        <v>2104</v>
      </c>
      <c r="B1737" s="63" t="s">
        <v>143</v>
      </c>
      <c r="C1737" s="64">
        <v>36</v>
      </c>
      <c r="D1737" s="65">
        <v>2.31</v>
      </c>
      <c r="E1737" s="67" t="s">
        <v>96</v>
      </c>
      <c r="F1737" s="52" t="s">
        <v>85</v>
      </c>
      <c r="G1737" s="52" t="s">
        <v>0</v>
      </c>
    </row>
    <row r="1738" spans="1:7">
      <c r="A1738" s="15" t="s">
        <v>2105</v>
      </c>
      <c r="B1738" s="63" t="s">
        <v>143</v>
      </c>
      <c r="C1738" s="64">
        <v>37</v>
      </c>
      <c r="D1738" s="65">
        <v>6.3</v>
      </c>
      <c r="E1738" s="67" t="s">
        <v>96</v>
      </c>
      <c r="F1738" s="52" t="s">
        <v>103</v>
      </c>
      <c r="G1738" s="52" t="s">
        <v>1</v>
      </c>
    </row>
    <row r="1739" spans="1:7">
      <c r="A1739" s="15" t="s">
        <v>2106</v>
      </c>
      <c r="B1739" s="63" t="s">
        <v>143</v>
      </c>
      <c r="C1739" s="64">
        <v>38</v>
      </c>
      <c r="D1739" s="65">
        <v>2.2000000000000002</v>
      </c>
      <c r="E1739" s="67" t="s">
        <v>76</v>
      </c>
      <c r="F1739" s="52" t="s">
        <v>83</v>
      </c>
      <c r="G1739" s="52" t="s">
        <v>3</v>
      </c>
    </row>
    <row r="1740" spans="1:7">
      <c r="A1740" s="15" t="s">
        <v>2107</v>
      </c>
      <c r="B1740" s="63" t="s">
        <v>143</v>
      </c>
      <c r="C1740" s="64">
        <v>39</v>
      </c>
      <c r="D1740" s="65">
        <v>2.1</v>
      </c>
      <c r="E1740" s="67" t="s">
        <v>100</v>
      </c>
      <c r="F1740" s="52" t="s">
        <v>82</v>
      </c>
      <c r="G1740" s="52" t="s">
        <v>4</v>
      </c>
    </row>
    <row r="1741" spans="1:7">
      <c r="A1741" s="15" t="s">
        <v>2108</v>
      </c>
      <c r="B1741" s="63" t="s">
        <v>143</v>
      </c>
      <c r="C1741" s="64">
        <v>40</v>
      </c>
      <c r="D1741" s="65">
        <v>5.0999999999999996</v>
      </c>
      <c r="E1741" s="67" t="s">
        <v>81</v>
      </c>
      <c r="F1741" s="52" t="s">
        <v>97</v>
      </c>
      <c r="G1741" s="52" t="s">
        <v>0</v>
      </c>
    </row>
    <row r="1742" spans="1:7">
      <c r="A1742" s="15" t="s">
        <v>2109</v>
      </c>
      <c r="B1742" s="63" t="s">
        <v>143</v>
      </c>
      <c r="C1742" s="64">
        <v>41</v>
      </c>
      <c r="D1742" s="65">
        <v>3.2</v>
      </c>
      <c r="E1742" s="67" t="s">
        <v>96</v>
      </c>
      <c r="F1742" s="52" t="s">
        <v>91</v>
      </c>
      <c r="G1742" s="52" t="s">
        <v>0</v>
      </c>
    </row>
    <row r="1743" spans="1:7">
      <c r="A1743" s="15" t="s">
        <v>2110</v>
      </c>
      <c r="B1743" s="63" t="s">
        <v>143</v>
      </c>
      <c r="C1743" s="64">
        <v>42</v>
      </c>
      <c r="D1743" s="65">
        <v>1.1000000000000001</v>
      </c>
      <c r="E1743" s="67" t="s">
        <v>100</v>
      </c>
      <c r="F1743" s="52" t="s">
        <v>77</v>
      </c>
      <c r="G1743" s="52" t="s">
        <v>3</v>
      </c>
    </row>
    <row r="1744" spans="1:7">
      <c r="A1744" s="15" t="s">
        <v>2111</v>
      </c>
      <c r="B1744" s="63" t="s">
        <v>143</v>
      </c>
      <c r="C1744" s="64">
        <v>43</v>
      </c>
      <c r="D1744" s="65">
        <v>3.1</v>
      </c>
      <c r="E1744" s="67" t="s">
        <v>81</v>
      </c>
      <c r="F1744" s="52" t="s">
        <v>90</v>
      </c>
      <c r="G1744" s="52" t="s">
        <v>3</v>
      </c>
    </row>
    <row r="1745" spans="1:7">
      <c r="A1745" s="15" t="s">
        <v>2112</v>
      </c>
      <c r="B1745" s="63" t="s">
        <v>143</v>
      </c>
      <c r="C1745" s="64">
        <v>44</v>
      </c>
      <c r="D1745" s="65">
        <v>2.1</v>
      </c>
      <c r="E1745" s="67" t="s">
        <v>76</v>
      </c>
      <c r="F1745" s="52" t="s">
        <v>82</v>
      </c>
      <c r="G1745" s="52" t="s">
        <v>0</v>
      </c>
    </row>
    <row r="1746" spans="1:7">
      <c r="A1746" s="15" t="s">
        <v>2113</v>
      </c>
      <c r="B1746" s="63" t="s">
        <v>143</v>
      </c>
      <c r="C1746" s="64">
        <v>45</v>
      </c>
      <c r="D1746" s="65">
        <v>4.2</v>
      </c>
      <c r="E1746" s="67" t="s">
        <v>76</v>
      </c>
      <c r="F1746" s="52" t="s">
        <v>95</v>
      </c>
      <c r="G1746" s="52" t="s">
        <v>1</v>
      </c>
    </row>
    <row r="1747" spans="1:7">
      <c r="A1747" s="15" t="s">
        <v>2114</v>
      </c>
      <c r="B1747" s="63" t="s">
        <v>143</v>
      </c>
      <c r="C1747" s="64">
        <v>46</v>
      </c>
      <c r="D1747" s="65">
        <v>2.31</v>
      </c>
      <c r="E1747" s="67" t="s">
        <v>100</v>
      </c>
      <c r="F1747" s="52" t="s">
        <v>85</v>
      </c>
      <c r="G1747" s="52" t="s">
        <v>3</v>
      </c>
    </row>
    <row r="1748" spans="1:7">
      <c r="A1748" s="15" t="s">
        <v>2115</v>
      </c>
      <c r="B1748" s="63" t="s">
        <v>143</v>
      </c>
      <c r="C1748" s="64">
        <v>47</v>
      </c>
      <c r="D1748" s="65">
        <v>1.3</v>
      </c>
      <c r="E1748" s="67" t="s">
        <v>81</v>
      </c>
      <c r="F1748" s="52" t="s">
        <v>79</v>
      </c>
      <c r="G1748" s="52" t="s">
        <v>0</v>
      </c>
    </row>
    <row r="1749" spans="1:7">
      <c r="A1749" s="15" t="s">
        <v>2116</v>
      </c>
      <c r="B1749" s="63" t="s">
        <v>143</v>
      </c>
      <c r="C1749" s="64">
        <v>48</v>
      </c>
      <c r="D1749" s="65">
        <v>2.35</v>
      </c>
      <c r="E1749" s="67" t="s">
        <v>81</v>
      </c>
      <c r="F1749" s="52" t="s">
        <v>89</v>
      </c>
      <c r="G1749" s="52" t="s">
        <v>2</v>
      </c>
    </row>
    <row r="1750" spans="1:7">
      <c r="A1750" s="15" t="s">
        <v>2117</v>
      </c>
      <c r="B1750" s="63" t="s">
        <v>143</v>
      </c>
      <c r="C1750" s="64">
        <v>49</v>
      </c>
      <c r="D1750" s="65">
        <v>1.5</v>
      </c>
      <c r="E1750" s="67" t="s">
        <v>76</v>
      </c>
      <c r="F1750" s="52" t="s">
        <v>80</v>
      </c>
      <c r="G1750" s="52" t="s">
        <v>2</v>
      </c>
    </row>
    <row r="1751" spans="1:7">
      <c r="A1751" s="15" t="s">
        <v>2118</v>
      </c>
      <c r="B1751" s="63" t="s">
        <v>143</v>
      </c>
      <c r="C1751" s="64">
        <v>50</v>
      </c>
      <c r="D1751" s="65">
        <v>5.3</v>
      </c>
      <c r="E1751" s="67" t="s">
        <v>81</v>
      </c>
      <c r="F1751" s="52" t="s">
        <v>99</v>
      </c>
      <c r="G1751" s="52" t="s">
        <v>2</v>
      </c>
    </row>
    <row r="1752" spans="1:7">
      <c r="A1752" s="15" t="s">
        <v>2119</v>
      </c>
      <c r="B1752" s="63" t="s">
        <v>144</v>
      </c>
      <c r="C1752" s="64">
        <v>1</v>
      </c>
      <c r="D1752" s="66">
        <v>2.1</v>
      </c>
      <c r="E1752" s="67" t="s">
        <v>81</v>
      </c>
      <c r="F1752" s="57" t="s">
        <v>82</v>
      </c>
      <c r="G1752" s="52" t="s">
        <v>0</v>
      </c>
    </row>
    <row r="1753" spans="1:7">
      <c r="A1753" s="15" t="s">
        <v>2120</v>
      </c>
      <c r="B1753" s="63" t="s">
        <v>144</v>
      </c>
      <c r="C1753" s="64">
        <v>2</v>
      </c>
      <c r="D1753" s="65">
        <v>1.6</v>
      </c>
      <c r="E1753" s="67" t="s">
        <v>96</v>
      </c>
      <c r="F1753" s="52" t="s">
        <v>27</v>
      </c>
      <c r="G1753" s="52" t="s">
        <v>2</v>
      </c>
    </row>
    <row r="1754" spans="1:7">
      <c r="A1754" s="15" t="s">
        <v>2121</v>
      </c>
      <c r="B1754" s="63" t="s">
        <v>144</v>
      </c>
      <c r="C1754" s="64">
        <v>3</v>
      </c>
      <c r="D1754" s="65">
        <v>2.2000000000000002</v>
      </c>
      <c r="E1754" s="67" t="s">
        <v>81</v>
      </c>
      <c r="F1754" s="52" t="s">
        <v>83</v>
      </c>
      <c r="G1754" s="52" t="s">
        <v>3</v>
      </c>
    </row>
    <row r="1755" spans="1:7">
      <c r="A1755" s="15" t="s">
        <v>2122</v>
      </c>
      <c r="B1755" s="63" t="s">
        <v>144</v>
      </c>
      <c r="C1755" s="64">
        <v>4</v>
      </c>
      <c r="D1755" s="65">
        <v>2.2000000000000002</v>
      </c>
      <c r="E1755" s="67" t="s">
        <v>100</v>
      </c>
      <c r="F1755" s="52" t="s">
        <v>83</v>
      </c>
      <c r="G1755" s="52" t="s">
        <v>4</v>
      </c>
    </row>
    <row r="1756" spans="1:7">
      <c r="A1756" s="15" t="s">
        <v>2123</v>
      </c>
      <c r="B1756" s="63" t="s">
        <v>144</v>
      </c>
      <c r="C1756" s="64">
        <v>5</v>
      </c>
      <c r="D1756" s="65">
        <v>2.1</v>
      </c>
      <c r="E1756" s="67" t="s">
        <v>100</v>
      </c>
      <c r="F1756" s="52" t="s">
        <v>82</v>
      </c>
      <c r="G1756" s="52" t="s">
        <v>0</v>
      </c>
    </row>
    <row r="1757" spans="1:7">
      <c r="A1757" s="15" t="s">
        <v>2124</v>
      </c>
      <c r="B1757" s="63" t="s">
        <v>144</v>
      </c>
      <c r="C1757" s="64">
        <v>6</v>
      </c>
      <c r="D1757" s="65">
        <v>6.4</v>
      </c>
      <c r="E1757" s="67" t="s">
        <v>28</v>
      </c>
      <c r="F1757" s="52" t="s">
        <v>104</v>
      </c>
      <c r="G1757" s="52" t="s">
        <v>2</v>
      </c>
    </row>
    <row r="1758" spans="1:7">
      <c r="A1758" s="15" t="s">
        <v>2125</v>
      </c>
      <c r="B1758" s="63" t="s">
        <v>144</v>
      </c>
      <c r="C1758" s="64">
        <v>7</v>
      </c>
      <c r="D1758" s="65">
        <v>1.5</v>
      </c>
      <c r="E1758" s="67" t="s">
        <v>81</v>
      </c>
      <c r="F1758" s="52" t="s">
        <v>80</v>
      </c>
      <c r="G1758" s="52" t="s">
        <v>2</v>
      </c>
    </row>
    <row r="1759" spans="1:7">
      <c r="A1759" s="15" t="s">
        <v>2126</v>
      </c>
      <c r="B1759" s="63" t="s">
        <v>144</v>
      </c>
      <c r="C1759" s="64">
        <v>8</v>
      </c>
      <c r="D1759" s="65">
        <v>1.6</v>
      </c>
      <c r="E1759" s="67" t="s">
        <v>81</v>
      </c>
      <c r="F1759" s="52" t="s">
        <v>27</v>
      </c>
      <c r="G1759" s="52" t="s">
        <v>1</v>
      </c>
    </row>
    <row r="1760" spans="1:7">
      <c r="A1760" s="15" t="s">
        <v>2127</v>
      </c>
      <c r="B1760" s="63" t="s">
        <v>144</v>
      </c>
      <c r="C1760" s="64">
        <v>9</v>
      </c>
      <c r="D1760" s="65">
        <v>2.2000000000000002</v>
      </c>
      <c r="E1760" s="67" t="s">
        <v>96</v>
      </c>
      <c r="F1760" s="52" t="s">
        <v>83</v>
      </c>
      <c r="G1760" s="52" t="s">
        <v>3</v>
      </c>
    </row>
    <row r="1761" spans="1:7">
      <c r="A1761" s="15" t="s">
        <v>2128</v>
      </c>
      <c r="B1761" s="63" t="s">
        <v>144</v>
      </c>
      <c r="C1761" s="64">
        <v>10</v>
      </c>
      <c r="D1761" s="65">
        <v>2.1</v>
      </c>
      <c r="E1761" s="67" t="s">
        <v>93</v>
      </c>
      <c r="F1761" s="52" t="s">
        <v>82</v>
      </c>
      <c r="G1761" s="52" t="s">
        <v>4</v>
      </c>
    </row>
    <row r="1762" spans="1:7">
      <c r="A1762" s="15" t="s">
        <v>2129</v>
      </c>
      <c r="B1762" s="63" t="s">
        <v>144</v>
      </c>
      <c r="C1762" s="64">
        <v>11</v>
      </c>
      <c r="D1762" s="65">
        <v>2.35</v>
      </c>
      <c r="E1762" s="67" t="s">
        <v>81</v>
      </c>
      <c r="F1762" s="52" t="s">
        <v>89</v>
      </c>
      <c r="G1762" s="52" t="s">
        <v>0</v>
      </c>
    </row>
    <row r="1763" spans="1:7">
      <c r="A1763" s="15" t="s">
        <v>2130</v>
      </c>
      <c r="B1763" s="63" t="s">
        <v>144</v>
      </c>
      <c r="C1763" s="64">
        <v>12</v>
      </c>
      <c r="D1763" s="65">
        <v>3.1</v>
      </c>
      <c r="E1763" s="67" t="s">
        <v>28</v>
      </c>
      <c r="F1763" s="52" t="s">
        <v>90</v>
      </c>
      <c r="G1763" s="52" t="s">
        <v>3</v>
      </c>
    </row>
    <row r="1764" spans="1:7">
      <c r="A1764" s="15" t="s">
        <v>2131</v>
      </c>
      <c r="B1764" s="63" t="s">
        <v>144</v>
      </c>
      <c r="C1764" s="64">
        <v>13</v>
      </c>
      <c r="D1764" s="65">
        <v>4.0999999999999996</v>
      </c>
      <c r="E1764" s="67" t="s">
        <v>100</v>
      </c>
      <c r="F1764" s="52" t="s">
        <v>94</v>
      </c>
      <c r="G1764" s="52" t="s">
        <v>2</v>
      </c>
    </row>
    <row r="1765" spans="1:7">
      <c r="A1765" s="15" t="s">
        <v>2132</v>
      </c>
      <c r="B1765" s="63" t="s">
        <v>144</v>
      </c>
      <c r="C1765" s="64">
        <v>14</v>
      </c>
      <c r="D1765" s="65">
        <v>2.31</v>
      </c>
      <c r="E1765" s="67" t="s">
        <v>28</v>
      </c>
      <c r="F1765" s="52" t="s">
        <v>85</v>
      </c>
      <c r="G1765" s="52" t="s">
        <v>0</v>
      </c>
    </row>
    <row r="1766" spans="1:7">
      <c r="A1766" s="15" t="s">
        <v>2133</v>
      </c>
      <c r="B1766" s="63" t="s">
        <v>144</v>
      </c>
      <c r="C1766" s="64">
        <v>15</v>
      </c>
      <c r="D1766" s="65">
        <v>4.0999999999999996</v>
      </c>
      <c r="E1766" s="67" t="s">
        <v>81</v>
      </c>
      <c r="F1766" s="52" t="s">
        <v>94</v>
      </c>
      <c r="G1766" s="52" t="s">
        <v>3</v>
      </c>
    </row>
    <row r="1767" spans="1:7">
      <c r="A1767" s="15" t="s">
        <v>2134</v>
      </c>
      <c r="B1767" s="63" t="s">
        <v>144</v>
      </c>
      <c r="C1767" s="64">
        <v>16</v>
      </c>
      <c r="D1767" s="65">
        <v>2.31</v>
      </c>
      <c r="E1767" s="67" t="s">
        <v>81</v>
      </c>
      <c r="F1767" s="52" t="s">
        <v>85</v>
      </c>
      <c r="G1767" s="52" t="s">
        <v>3</v>
      </c>
    </row>
    <row r="1768" spans="1:7">
      <c r="A1768" s="15" t="s">
        <v>2135</v>
      </c>
      <c r="B1768" s="63" t="s">
        <v>144</v>
      </c>
      <c r="C1768" s="64">
        <v>17</v>
      </c>
      <c r="D1768" s="65">
        <v>5.3</v>
      </c>
      <c r="E1768" s="67" t="s">
        <v>28</v>
      </c>
      <c r="F1768" s="52" t="s">
        <v>99</v>
      </c>
      <c r="G1768" s="52" t="s">
        <v>2</v>
      </c>
    </row>
    <row r="1769" spans="1:7">
      <c r="A1769" s="15" t="s">
        <v>2136</v>
      </c>
      <c r="B1769" s="63" t="s">
        <v>144</v>
      </c>
      <c r="C1769" s="64">
        <v>18</v>
      </c>
      <c r="D1769" s="65">
        <v>5.3</v>
      </c>
      <c r="E1769" s="67" t="s">
        <v>81</v>
      </c>
      <c r="F1769" s="52" t="s">
        <v>99</v>
      </c>
      <c r="G1769" s="52" t="s">
        <v>0</v>
      </c>
    </row>
    <row r="1770" spans="1:7">
      <c r="A1770" s="15" t="s">
        <v>2137</v>
      </c>
      <c r="B1770" s="63" t="s">
        <v>144</v>
      </c>
      <c r="C1770" s="64">
        <v>19</v>
      </c>
      <c r="D1770" s="65">
        <v>3.1</v>
      </c>
      <c r="E1770" s="67" t="s">
        <v>81</v>
      </c>
      <c r="F1770" s="52" t="s">
        <v>90</v>
      </c>
      <c r="G1770" s="52" t="s">
        <v>2</v>
      </c>
    </row>
    <row r="1771" spans="1:7">
      <c r="A1771" s="15" t="s">
        <v>2138</v>
      </c>
      <c r="B1771" s="63" t="s">
        <v>144</v>
      </c>
      <c r="C1771" s="64">
        <v>20</v>
      </c>
      <c r="D1771" s="65">
        <v>2.34</v>
      </c>
      <c r="E1771" s="67" t="s">
        <v>96</v>
      </c>
      <c r="F1771" s="52" t="s">
        <v>88</v>
      </c>
      <c r="G1771" s="52" t="s">
        <v>4</v>
      </c>
    </row>
    <row r="1772" spans="1:7">
      <c r="A1772" s="15" t="s">
        <v>2139</v>
      </c>
      <c r="B1772" s="63" t="s">
        <v>144</v>
      </c>
      <c r="C1772" s="64">
        <v>21</v>
      </c>
      <c r="D1772" s="65">
        <v>3.1</v>
      </c>
      <c r="E1772" s="67" t="s">
        <v>96</v>
      </c>
      <c r="F1772" s="52" t="s">
        <v>90</v>
      </c>
      <c r="G1772" s="52" t="s">
        <v>1</v>
      </c>
    </row>
    <row r="1773" spans="1:7">
      <c r="A1773" s="15" t="s">
        <v>2140</v>
      </c>
      <c r="B1773" s="63" t="s">
        <v>144</v>
      </c>
      <c r="C1773" s="64">
        <v>22</v>
      </c>
      <c r="D1773" s="65">
        <v>4.2</v>
      </c>
      <c r="E1773" s="67" t="s">
        <v>81</v>
      </c>
      <c r="F1773" s="52" t="s">
        <v>95</v>
      </c>
      <c r="G1773" s="52" t="s">
        <v>3</v>
      </c>
    </row>
    <row r="1774" spans="1:7">
      <c r="A1774" s="15" t="s">
        <v>2141</v>
      </c>
      <c r="B1774" s="63" t="s">
        <v>144</v>
      </c>
      <c r="C1774" s="64">
        <v>23</v>
      </c>
      <c r="D1774" s="65">
        <v>3.2</v>
      </c>
      <c r="E1774" s="67" t="s">
        <v>100</v>
      </c>
      <c r="F1774" s="52" t="s">
        <v>91</v>
      </c>
      <c r="G1774" s="52" t="s">
        <v>0</v>
      </c>
    </row>
    <row r="1775" spans="1:7">
      <c r="A1775" s="15" t="s">
        <v>2142</v>
      </c>
      <c r="B1775" s="63" t="s">
        <v>144</v>
      </c>
      <c r="C1775" s="64">
        <v>24</v>
      </c>
      <c r="D1775" s="65">
        <v>5.0999999999999996</v>
      </c>
      <c r="E1775" s="67" t="s">
        <v>76</v>
      </c>
      <c r="F1775" s="52" t="s">
        <v>97</v>
      </c>
      <c r="G1775" s="52" t="s">
        <v>3</v>
      </c>
    </row>
    <row r="1776" spans="1:7">
      <c r="A1776" s="15" t="s">
        <v>2143</v>
      </c>
      <c r="B1776" s="63" t="s">
        <v>144</v>
      </c>
      <c r="C1776" s="64">
        <v>25</v>
      </c>
      <c r="D1776" s="65">
        <v>2.31</v>
      </c>
      <c r="E1776" s="67" t="s">
        <v>100</v>
      </c>
      <c r="F1776" s="52" t="s">
        <v>85</v>
      </c>
      <c r="G1776" s="52" t="s">
        <v>0</v>
      </c>
    </row>
    <row r="1777" spans="1:7">
      <c r="A1777" s="15" t="s">
        <v>2144</v>
      </c>
      <c r="B1777" s="63" t="s">
        <v>144</v>
      </c>
      <c r="C1777" s="64">
        <v>26</v>
      </c>
      <c r="D1777" s="65">
        <v>3.1</v>
      </c>
      <c r="E1777" s="67" t="s">
        <v>81</v>
      </c>
      <c r="F1777" s="52" t="s">
        <v>90</v>
      </c>
      <c r="G1777" s="52" t="s">
        <v>4</v>
      </c>
    </row>
    <row r="1778" spans="1:7">
      <c r="A1778" s="15" t="s">
        <v>2145</v>
      </c>
      <c r="B1778" s="63" t="s">
        <v>144</v>
      </c>
      <c r="C1778" s="64">
        <v>27</v>
      </c>
      <c r="D1778" s="65">
        <v>5.3</v>
      </c>
      <c r="E1778" s="67" t="s">
        <v>96</v>
      </c>
      <c r="F1778" s="52" t="s">
        <v>99</v>
      </c>
      <c r="G1778" s="52" t="s">
        <v>3</v>
      </c>
    </row>
    <row r="1779" spans="1:7">
      <c r="A1779" s="15" t="s">
        <v>2146</v>
      </c>
      <c r="B1779" s="63" t="s">
        <v>144</v>
      </c>
      <c r="C1779" s="64">
        <v>28</v>
      </c>
      <c r="D1779" s="65">
        <v>4.2</v>
      </c>
      <c r="E1779" s="67" t="s">
        <v>28</v>
      </c>
      <c r="F1779" s="52" t="s">
        <v>95</v>
      </c>
      <c r="G1779" s="52" t="s">
        <v>0</v>
      </c>
    </row>
    <row r="1780" spans="1:7">
      <c r="A1780" s="15" t="s">
        <v>2147</v>
      </c>
      <c r="B1780" s="63" t="s">
        <v>144</v>
      </c>
      <c r="C1780" s="64">
        <v>29</v>
      </c>
      <c r="D1780" s="65">
        <v>3.2</v>
      </c>
      <c r="E1780" s="67" t="s">
        <v>100</v>
      </c>
      <c r="F1780" s="52" t="s">
        <v>91</v>
      </c>
      <c r="G1780" s="52" t="s">
        <v>2</v>
      </c>
    </row>
    <row r="1781" spans="1:7">
      <c r="A1781" s="15" t="s">
        <v>2148</v>
      </c>
      <c r="B1781" s="63" t="s">
        <v>144</v>
      </c>
      <c r="C1781" s="64">
        <v>30</v>
      </c>
      <c r="D1781" s="65">
        <v>5.0999999999999996</v>
      </c>
      <c r="E1781" s="67" t="s">
        <v>81</v>
      </c>
      <c r="F1781" s="52" t="s">
        <v>97</v>
      </c>
      <c r="G1781" s="52" t="s">
        <v>4</v>
      </c>
    </row>
    <row r="1782" spans="1:7">
      <c r="A1782" s="15" t="s">
        <v>2149</v>
      </c>
      <c r="B1782" s="63" t="s">
        <v>144</v>
      </c>
      <c r="C1782" s="64">
        <v>31</v>
      </c>
      <c r="D1782" s="65">
        <v>5.2</v>
      </c>
      <c r="E1782" s="67" t="s">
        <v>28</v>
      </c>
      <c r="F1782" s="52" t="s">
        <v>98</v>
      </c>
      <c r="G1782" s="52" t="s">
        <v>2</v>
      </c>
    </row>
    <row r="1783" spans="1:7">
      <c r="A1783" s="15" t="s">
        <v>2150</v>
      </c>
      <c r="B1783" s="63" t="s">
        <v>144</v>
      </c>
      <c r="C1783" s="64">
        <v>32</v>
      </c>
      <c r="D1783" s="65">
        <v>5.3</v>
      </c>
      <c r="E1783" s="67" t="s">
        <v>28</v>
      </c>
      <c r="F1783" s="52" t="s">
        <v>99</v>
      </c>
      <c r="G1783" s="52" t="s">
        <v>2</v>
      </c>
    </row>
    <row r="1784" spans="1:7">
      <c r="A1784" s="15" t="s">
        <v>2151</v>
      </c>
      <c r="B1784" s="63" t="s">
        <v>144</v>
      </c>
      <c r="C1784" s="64">
        <v>33</v>
      </c>
      <c r="D1784" s="65">
        <v>5.3</v>
      </c>
      <c r="E1784" s="67" t="s">
        <v>81</v>
      </c>
      <c r="F1784" s="52" t="s">
        <v>99</v>
      </c>
      <c r="G1784" s="52" t="s">
        <v>2</v>
      </c>
    </row>
    <row r="1785" spans="1:7">
      <c r="A1785" s="15" t="s">
        <v>2152</v>
      </c>
      <c r="B1785" s="63" t="s">
        <v>144</v>
      </c>
      <c r="C1785" s="64">
        <v>34</v>
      </c>
      <c r="D1785" s="65">
        <v>2.33</v>
      </c>
      <c r="E1785" s="67" t="s">
        <v>76</v>
      </c>
      <c r="F1785" s="52" t="s">
        <v>87</v>
      </c>
      <c r="G1785" s="52" t="s">
        <v>2</v>
      </c>
    </row>
    <row r="1786" spans="1:7">
      <c r="A1786" s="15" t="s">
        <v>2153</v>
      </c>
      <c r="B1786" s="63" t="s">
        <v>144</v>
      </c>
      <c r="C1786" s="64">
        <v>35</v>
      </c>
      <c r="D1786" s="65">
        <v>5.0999999999999996</v>
      </c>
      <c r="E1786" s="67" t="s">
        <v>93</v>
      </c>
      <c r="F1786" s="52" t="s">
        <v>97</v>
      </c>
      <c r="G1786" s="52" t="s">
        <v>1</v>
      </c>
    </row>
    <row r="1787" spans="1:7">
      <c r="A1787" s="15" t="s">
        <v>2154</v>
      </c>
      <c r="B1787" s="63" t="s">
        <v>144</v>
      </c>
      <c r="C1787" s="64">
        <v>36</v>
      </c>
      <c r="D1787" s="65">
        <v>5.0999999999999996</v>
      </c>
      <c r="E1787" s="67" t="s">
        <v>81</v>
      </c>
      <c r="F1787" s="52" t="s">
        <v>97</v>
      </c>
      <c r="G1787" s="52" t="s">
        <v>0</v>
      </c>
    </row>
    <row r="1788" spans="1:7">
      <c r="A1788" s="15" t="s">
        <v>2155</v>
      </c>
      <c r="B1788" s="63" t="s">
        <v>144</v>
      </c>
      <c r="C1788" s="64">
        <v>37</v>
      </c>
      <c r="D1788" s="65">
        <v>5.3</v>
      </c>
      <c r="E1788" s="67" t="s">
        <v>100</v>
      </c>
      <c r="F1788" s="52" t="s">
        <v>99</v>
      </c>
      <c r="G1788" s="52" t="s">
        <v>3</v>
      </c>
    </row>
    <row r="1789" spans="1:7">
      <c r="A1789" s="15" t="s">
        <v>2156</v>
      </c>
      <c r="B1789" s="63" t="s">
        <v>144</v>
      </c>
      <c r="C1789" s="64">
        <v>38</v>
      </c>
      <c r="D1789" s="65">
        <v>1.1000000000000001</v>
      </c>
      <c r="E1789" s="67" t="s">
        <v>81</v>
      </c>
      <c r="F1789" s="52" t="s">
        <v>77</v>
      </c>
      <c r="G1789" s="52" t="s">
        <v>1</v>
      </c>
    </row>
    <row r="1790" spans="1:7">
      <c r="A1790" s="15" t="s">
        <v>2157</v>
      </c>
      <c r="B1790" s="63" t="s">
        <v>144</v>
      </c>
      <c r="C1790" s="64">
        <v>39</v>
      </c>
      <c r="D1790" s="65">
        <v>6.1</v>
      </c>
      <c r="E1790" s="67" t="s">
        <v>76</v>
      </c>
      <c r="F1790" s="52" t="s">
        <v>101</v>
      </c>
      <c r="G1790" s="52" t="s">
        <v>2</v>
      </c>
    </row>
    <row r="1791" spans="1:7">
      <c r="A1791" s="15" t="s">
        <v>2158</v>
      </c>
      <c r="B1791" s="63" t="s">
        <v>144</v>
      </c>
      <c r="C1791" s="64">
        <v>40</v>
      </c>
      <c r="D1791" s="65">
        <v>2.1</v>
      </c>
      <c r="E1791" s="67" t="s">
        <v>81</v>
      </c>
      <c r="F1791" s="52" t="s">
        <v>82</v>
      </c>
      <c r="G1791" s="52" t="s">
        <v>3</v>
      </c>
    </row>
    <row r="1792" spans="1:7">
      <c r="A1792" s="15" t="s">
        <v>2159</v>
      </c>
      <c r="B1792" s="63" t="s">
        <v>144</v>
      </c>
      <c r="C1792" s="64">
        <v>41</v>
      </c>
      <c r="D1792" s="65">
        <v>5.2</v>
      </c>
      <c r="E1792" s="67" t="s">
        <v>28</v>
      </c>
      <c r="F1792" s="52" t="s">
        <v>98</v>
      </c>
      <c r="G1792" s="52" t="s">
        <v>2</v>
      </c>
    </row>
    <row r="1793" spans="1:7">
      <c r="A1793" s="15" t="s">
        <v>2160</v>
      </c>
      <c r="B1793" s="63" t="s">
        <v>144</v>
      </c>
      <c r="C1793" s="64">
        <v>42</v>
      </c>
      <c r="D1793" s="65">
        <v>6.3</v>
      </c>
      <c r="E1793" s="67" t="s">
        <v>76</v>
      </c>
      <c r="F1793" s="52" t="s">
        <v>103</v>
      </c>
      <c r="G1793" s="52" t="s">
        <v>0</v>
      </c>
    </row>
    <row r="1794" spans="1:7">
      <c r="A1794" s="15" t="s">
        <v>2161</v>
      </c>
      <c r="B1794" s="63" t="s">
        <v>144</v>
      </c>
      <c r="C1794" s="64">
        <v>43</v>
      </c>
      <c r="D1794" s="65">
        <v>2.3199999999999998</v>
      </c>
      <c r="E1794" s="67" t="s">
        <v>28</v>
      </c>
      <c r="F1794" s="52" t="s">
        <v>86</v>
      </c>
      <c r="G1794" s="52" t="s">
        <v>0</v>
      </c>
    </row>
    <row r="1795" spans="1:7">
      <c r="A1795" s="15" t="s">
        <v>2162</v>
      </c>
      <c r="B1795" s="63" t="s">
        <v>144</v>
      </c>
      <c r="C1795" s="64">
        <v>44</v>
      </c>
      <c r="D1795" s="65">
        <v>1.1000000000000001</v>
      </c>
      <c r="E1795" s="67" t="s">
        <v>81</v>
      </c>
      <c r="F1795" s="52" t="s">
        <v>77</v>
      </c>
      <c r="G1795" s="52" t="s">
        <v>2</v>
      </c>
    </row>
    <row r="1796" spans="1:7">
      <c r="A1796" s="15" t="s">
        <v>2163</v>
      </c>
      <c r="B1796" s="63" t="s">
        <v>144</v>
      </c>
      <c r="C1796" s="64">
        <v>45</v>
      </c>
      <c r="D1796" s="65">
        <v>1.3</v>
      </c>
      <c r="E1796" s="67" t="s">
        <v>96</v>
      </c>
      <c r="F1796" s="52" t="s">
        <v>79</v>
      </c>
      <c r="G1796" s="52" t="s">
        <v>1</v>
      </c>
    </row>
    <row r="1797" spans="1:7">
      <c r="A1797" s="15" t="s">
        <v>2164</v>
      </c>
      <c r="B1797" s="63" t="s">
        <v>144</v>
      </c>
      <c r="C1797" s="64">
        <v>46</v>
      </c>
      <c r="D1797" s="65">
        <v>6.3</v>
      </c>
      <c r="E1797" s="67" t="s">
        <v>81</v>
      </c>
      <c r="F1797" s="52" t="s">
        <v>103</v>
      </c>
      <c r="G1797" s="52" t="s">
        <v>0</v>
      </c>
    </row>
    <row r="1798" spans="1:7">
      <c r="A1798" s="15" t="s">
        <v>2165</v>
      </c>
      <c r="B1798" s="63" t="s">
        <v>144</v>
      </c>
      <c r="C1798" s="64">
        <v>47</v>
      </c>
      <c r="D1798" s="65">
        <v>1.5</v>
      </c>
      <c r="E1798" s="67" t="s">
        <v>76</v>
      </c>
      <c r="F1798" s="52" t="s">
        <v>80</v>
      </c>
      <c r="G1798" s="52" t="s">
        <v>3</v>
      </c>
    </row>
    <row r="1799" spans="1:7">
      <c r="A1799" s="15" t="s">
        <v>2166</v>
      </c>
      <c r="B1799" s="63" t="s">
        <v>144</v>
      </c>
      <c r="C1799" s="64">
        <v>48</v>
      </c>
      <c r="D1799" s="65">
        <v>2.2000000000000002</v>
      </c>
      <c r="E1799" s="67" t="s">
        <v>81</v>
      </c>
      <c r="F1799" s="52" t="s">
        <v>83</v>
      </c>
      <c r="G1799" s="52" t="s">
        <v>2</v>
      </c>
    </row>
    <row r="1800" spans="1:7">
      <c r="A1800" s="15" t="s">
        <v>2167</v>
      </c>
      <c r="B1800" s="63" t="s">
        <v>144</v>
      </c>
      <c r="C1800" s="64">
        <v>49</v>
      </c>
      <c r="D1800" s="65">
        <v>1.3</v>
      </c>
      <c r="E1800" s="67" t="s">
        <v>76</v>
      </c>
      <c r="F1800" s="52" t="s">
        <v>79</v>
      </c>
      <c r="G1800" s="52" t="s">
        <v>3</v>
      </c>
    </row>
    <row r="1801" spans="1:7">
      <c r="A1801" s="15" t="s">
        <v>2168</v>
      </c>
      <c r="B1801" s="63" t="s">
        <v>144</v>
      </c>
      <c r="C1801" s="64">
        <v>50</v>
      </c>
      <c r="D1801" s="65">
        <v>2.34</v>
      </c>
      <c r="E1801" s="67" t="s">
        <v>96</v>
      </c>
      <c r="F1801" s="52" t="s">
        <v>88</v>
      </c>
      <c r="G1801" s="52" t="s">
        <v>1</v>
      </c>
    </row>
    <row r="1802" spans="1:7">
      <c r="A1802" s="15" t="s">
        <v>2169</v>
      </c>
      <c r="B1802" s="63" t="s">
        <v>145</v>
      </c>
      <c r="C1802" s="64">
        <v>1</v>
      </c>
      <c r="D1802" s="66">
        <v>2.31</v>
      </c>
      <c r="E1802" s="67" t="s">
        <v>81</v>
      </c>
      <c r="F1802" s="57" t="s">
        <v>85</v>
      </c>
      <c r="G1802" s="52" t="s">
        <v>2</v>
      </c>
    </row>
    <row r="1803" spans="1:7">
      <c r="A1803" s="15" t="s">
        <v>2170</v>
      </c>
      <c r="B1803" s="63" t="s">
        <v>145</v>
      </c>
      <c r="C1803" s="64">
        <v>2</v>
      </c>
      <c r="D1803" s="66">
        <v>2.33</v>
      </c>
      <c r="E1803" s="67" t="s">
        <v>76</v>
      </c>
      <c r="F1803" s="57" t="s">
        <v>87</v>
      </c>
      <c r="G1803" s="52" t="s">
        <v>4</v>
      </c>
    </row>
    <row r="1804" spans="1:7">
      <c r="A1804" s="15" t="s">
        <v>2171</v>
      </c>
      <c r="B1804" s="63" t="s">
        <v>145</v>
      </c>
      <c r="C1804" s="64">
        <v>3</v>
      </c>
      <c r="D1804" s="65">
        <v>2.35</v>
      </c>
      <c r="E1804" s="67" t="s">
        <v>81</v>
      </c>
      <c r="F1804" s="52" t="s">
        <v>89</v>
      </c>
      <c r="G1804" s="52" t="s">
        <v>0</v>
      </c>
    </row>
    <row r="1805" spans="1:7">
      <c r="A1805" s="15" t="s">
        <v>2172</v>
      </c>
      <c r="B1805" s="63" t="s">
        <v>145</v>
      </c>
      <c r="C1805" s="64">
        <v>4</v>
      </c>
      <c r="D1805" s="65">
        <v>6.3</v>
      </c>
      <c r="E1805" s="67" t="s">
        <v>81</v>
      </c>
      <c r="F1805" s="52" t="s">
        <v>103</v>
      </c>
      <c r="G1805" s="52" t="s">
        <v>4</v>
      </c>
    </row>
    <row r="1806" spans="1:7">
      <c r="A1806" s="15" t="s">
        <v>2173</v>
      </c>
      <c r="B1806" s="63" t="s">
        <v>145</v>
      </c>
      <c r="C1806" s="64">
        <v>5</v>
      </c>
      <c r="D1806" s="65">
        <v>1.5</v>
      </c>
      <c r="E1806" s="67" t="s">
        <v>96</v>
      </c>
      <c r="F1806" s="52" t="s">
        <v>80</v>
      </c>
      <c r="G1806" s="52" t="s">
        <v>2</v>
      </c>
    </row>
    <row r="1807" spans="1:7">
      <c r="A1807" s="15" t="s">
        <v>2174</v>
      </c>
      <c r="B1807" s="63" t="s">
        <v>145</v>
      </c>
      <c r="C1807" s="64">
        <v>6</v>
      </c>
      <c r="D1807" s="65">
        <v>3.2</v>
      </c>
      <c r="E1807" s="67" t="s">
        <v>81</v>
      </c>
      <c r="F1807" s="52" t="s">
        <v>91</v>
      </c>
      <c r="G1807" s="52" t="s">
        <v>0</v>
      </c>
    </row>
    <row r="1808" spans="1:7">
      <c r="A1808" s="15" t="s">
        <v>2175</v>
      </c>
      <c r="B1808" s="63" t="s">
        <v>145</v>
      </c>
      <c r="C1808" s="64">
        <v>7</v>
      </c>
      <c r="D1808" s="65">
        <v>1.2</v>
      </c>
      <c r="E1808" s="67" t="s">
        <v>81</v>
      </c>
      <c r="F1808" s="52" t="s">
        <v>78</v>
      </c>
      <c r="G1808" s="52" t="s">
        <v>0</v>
      </c>
    </row>
    <row r="1809" spans="1:7">
      <c r="A1809" s="15" t="s">
        <v>2176</v>
      </c>
      <c r="B1809" s="63" t="s">
        <v>145</v>
      </c>
      <c r="C1809" s="64">
        <v>8</v>
      </c>
      <c r="D1809" s="65">
        <v>2.33</v>
      </c>
      <c r="E1809" s="67" t="s">
        <v>100</v>
      </c>
      <c r="F1809" s="52" t="s">
        <v>87</v>
      </c>
      <c r="G1809" s="52" t="s">
        <v>4</v>
      </c>
    </row>
    <row r="1810" spans="1:7">
      <c r="A1810" s="15" t="s">
        <v>2177</v>
      </c>
      <c r="B1810" s="63" t="s">
        <v>145</v>
      </c>
      <c r="C1810" s="64">
        <v>9</v>
      </c>
      <c r="D1810" s="65">
        <v>5.2</v>
      </c>
      <c r="E1810" s="67" t="s">
        <v>81</v>
      </c>
      <c r="F1810" s="52" t="s">
        <v>98</v>
      </c>
      <c r="G1810" s="52" t="s">
        <v>0</v>
      </c>
    </row>
    <row r="1811" spans="1:7">
      <c r="A1811" s="15" t="s">
        <v>2178</v>
      </c>
      <c r="B1811" s="63" t="s">
        <v>145</v>
      </c>
      <c r="C1811" s="64">
        <v>10</v>
      </c>
      <c r="D1811" s="65">
        <v>4.0999999999999996</v>
      </c>
      <c r="E1811" s="67" t="s">
        <v>100</v>
      </c>
      <c r="F1811" s="52" t="s">
        <v>94</v>
      </c>
      <c r="G1811" s="52" t="s">
        <v>1</v>
      </c>
    </row>
    <row r="1812" spans="1:7">
      <c r="A1812" s="15" t="s">
        <v>2179</v>
      </c>
      <c r="B1812" s="63" t="s">
        <v>145</v>
      </c>
      <c r="C1812" s="64">
        <v>11</v>
      </c>
      <c r="D1812" s="65">
        <v>2.1</v>
      </c>
      <c r="E1812" s="67" t="s">
        <v>81</v>
      </c>
      <c r="F1812" s="52" t="s">
        <v>82</v>
      </c>
      <c r="G1812" s="52" t="s">
        <v>4</v>
      </c>
    </row>
    <row r="1813" spans="1:7">
      <c r="A1813" s="15" t="s">
        <v>2180</v>
      </c>
      <c r="B1813" s="63" t="s">
        <v>145</v>
      </c>
      <c r="C1813" s="64">
        <v>12</v>
      </c>
      <c r="D1813" s="65">
        <v>3.2</v>
      </c>
      <c r="E1813" s="67" t="s">
        <v>28</v>
      </c>
      <c r="F1813" s="52" t="s">
        <v>91</v>
      </c>
      <c r="G1813" s="52" t="s">
        <v>4</v>
      </c>
    </row>
    <row r="1814" spans="1:7">
      <c r="A1814" s="15" t="s">
        <v>2181</v>
      </c>
      <c r="B1814" s="63" t="s">
        <v>145</v>
      </c>
      <c r="C1814" s="64">
        <v>13</v>
      </c>
      <c r="D1814" s="65">
        <v>1.1000000000000001</v>
      </c>
      <c r="E1814" s="67" t="s">
        <v>100</v>
      </c>
      <c r="F1814" s="52" t="s">
        <v>77</v>
      </c>
      <c r="G1814" s="52" t="s">
        <v>2</v>
      </c>
    </row>
    <row r="1815" spans="1:7">
      <c r="A1815" s="15" t="s">
        <v>2182</v>
      </c>
      <c r="B1815" s="63" t="s">
        <v>145</v>
      </c>
      <c r="C1815" s="64">
        <v>14</v>
      </c>
      <c r="D1815" s="65">
        <v>3.1</v>
      </c>
      <c r="E1815" s="67" t="s">
        <v>96</v>
      </c>
      <c r="F1815" s="52" t="s">
        <v>90</v>
      </c>
      <c r="G1815" s="52" t="s">
        <v>3</v>
      </c>
    </row>
    <row r="1816" spans="1:7">
      <c r="A1816" s="15" t="s">
        <v>2183</v>
      </c>
      <c r="B1816" s="63" t="s">
        <v>145</v>
      </c>
      <c r="C1816" s="64">
        <v>15</v>
      </c>
      <c r="D1816" s="65">
        <v>2.2000000000000002</v>
      </c>
      <c r="E1816" s="67" t="s">
        <v>81</v>
      </c>
      <c r="F1816" s="52" t="s">
        <v>83</v>
      </c>
      <c r="G1816" s="52" t="s">
        <v>1</v>
      </c>
    </row>
    <row r="1817" spans="1:7">
      <c r="A1817" s="15" t="s">
        <v>2184</v>
      </c>
      <c r="B1817" s="63" t="s">
        <v>145</v>
      </c>
      <c r="C1817" s="64">
        <v>16</v>
      </c>
      <c r="D1817" s="65">
        <v>2.31</v>
      </c>
      <c r="E1817" s="67" t="s">
        <v>81</v>
      </c>
      <c r="F1817" s="52" t="s">
        <v>85</v>
      </c>
      <c r="G1817" s="52" t="s">
        <v>3</v>
      </c>
    </row>
    <row r="1818" spans="1:7">
      <c r="A1818" s="15" t="s">
        <v>2185</v>
      </c>
      <c r="B1818" s="63" t="s">
        <v>145</v>
      </c>
      <c r="C1818" s="64">
        <v>17</v>
      </c>
      <c r="D1818" s="65">
        <v>3.1</v>
      </c>
      <c r="E1818" s="67" t="s">
        <v>81</v>
      </c>
      <c r="F1818" s="52" t="s">
        <v>90</v>
      </c>
      <c r="G1818" s="52" t="s">
        <v>4</v>
      </c>
    </row>
    <row r="1819" spans="1:7">
      <c r="A1819" s="15" t="s">
        <v>2186</v>
      </c>
      <c r="B1819" s="63" t="s">
        <v>145</v>
      </c>
      <c r="C1819" s="64">
        <v>18</v>
      </c>
      <c r="D1819" s="65">
        <v>2.2000000000000002</v>
      </c>
      <c r="E1819" s="67" t="s">
        <v>81</v>
      </c>
      <c r="F1819" s="52" t="s">
        <v>83</v>
      </c>
      <c r="G1819" s="52" t="s">
        <v>4</v>
      </c>
    </row>
    <row r="1820" spans="1:7">
      <c r="A1820" s="15" t="s">
        <v>2187</v>
      </c>
      <c r="B1820" s="63" t="s">
        <v>145</v>
      </c>
      <c r="C1820" s="64">
        <v>19</v>
      </c>
      <c r="D1820" s="65">
        <v>2.1</v>
      </c>
      <c r="E1820" s="67" t="s">
        <v>81</v>
      </c>
      <c r="F1820" s="52" t="s">
        <v>82</v>
      </c>
      <c r="G1820" s="52" t="s">
        <v>4</v>
      </c>
    </row>
    <row r="1821" spans="1:7">
      <c r="A1821" s="15" t="s">
        <v>2188</v>
      </c>
      <c r="B1821" s="63" t="s">
        <v>145</v>
      </c>
      <c r="C1821" s="64">
        <v>20</v>
      </c>
      <c r="D1821" s="65">
        <v>5.2</v>
      </c>
      <c r="E1821" s="67" t="s">
        <v>81</v>
      </c>
      <c r="F1821" s="52" t="s">
        <v>98</v>
      </c>
      <c r="G1821" s="52" t="s">
        <v>1</v>
      </c>
    </row>
    <row r="1822" spans="1:7">
      <c r="A1822" s="15" t="s">
        <v>2189</v>
      </c>
      <c r="B1822" s="63" t="s">
        <v>145</v>
      </c>
      <c r="C1822" s="64">
        <v>21</v>
      </c>
      <c r="D1822" s="65">
        <v>2.33</v>
      </c>
      <c r="E1822" s="67" t="s">
        <v>81</v>
      </c>
      <c r="F1822" s="52" t="s">
        <v>87</v>
      </c>
      <c r="G1822" s="52" t="s">
        <v>3</v>
      </c>
    </row>
    <row r="1823" spans="1:7">
      <c r="A1823" s="15" t="s">
        <v>2190</v>
      </c>
      <c r="B1823" s="63" t="s">
        <v>145</v>
      </c>
      <c r="C1823" s="64">
        <v>22</v>
      </c>
      <c r="D1823" s="65">
        <v>2.3199999999999998</v>
      </c>
      <c r="E1823" s="67" t="s">
        <v>100</v>
      </c>
      <c r="F1823" s="52" t="s">
        <v>86</v>
      </c>
      <c r="G1823" s="52" t="s">
        <v>4</v>
      </c>
    </row>
    <row r="1824" spans="1:7">
      <c r="A1824" s="15" t="s">
        <v>2191</v>
      </c>
      <c r="B1824" s="63" t="s">
        <v>145</v>
      </c>
      <c r="C1824" s="64">
        <v>23</v>
      </c>
      <c r="D1824" s="65">
        <v>6.3</v>
      </c>
      <c r="E1824" s="67" t="s">
        <v>81</v>
      </c>
      <c r="F1824" s="52" t="s">
        <v>103</v>
      </c>
      <c r="G1824" s="52" t="s">
        <v>4</v>
      </c>
    </row>
    <row r="1825" spans="1:7">
      <c r="A1825" s="15" t="s">
        <v>2192</v>
      </c>
      <c r="B1825" s="63" t="s">
        <v>145</v>
      </c>
      <c r="C1825" s="64">
        <v>24</v>
      </c>
      <c r="D1825" s="65">
        <v>1.3</v>
      </c>
      <c r="E1825" s="67" t="s">
        <v>96</v>
      </c>
      <c r="F1825" s="52" t="s">
        <v>79</v>
      </c>
      <c r="G1825" s="52" t="s">
        <v>2</v>
      </c>
    </row>
    <row r="1826" spans="1:7">
      <c r="A1826" s="15" t="s">
        <v>2193</v>
      </c>
      <c r="B1826" s="63" t="s">
        <v>145</v>
      </c>
      <c r="C1826" s="64">
        <v>25</v>
      </c>
      <c r="D1826" s="65">
        <v>6.4</v>
      </c>
      <c r="E1826" s="67" t="s">
        <v>96</v>
      </c>
      <c r="F1826" s="52" t="s">
        <v>104</v>
      </c>
      <c r="G1826" s="52" t="s">
        <v>0</v>
      </c>
    </row>
    <row r="1827" spans="1:7">
      <c r="A1827" s="15" t="s">
        <v>2194</v>
      </c>
      <c r="B1827" s="63" t="s">
        <v>145</v>
      </c>
      <c r="C1827" s="64">
        <v>26</v>
      </c>
      <c r="D1827" s="65">
        <v>2.31</v>
      </c>
      <c r="E1827" s="67" t="s">
        <v>76</v>
      </c>
      <c r="F1827" s="52" t="s">
        <v>85</v>
      </c>
      <c r="G1827" s="52" t="s">
        <v>4</v>
      </c>
    </row>
    <row r="1828" spans="1:7">
      <c r="A1828" s="15" t="s">
        <v>2195</v>
      </c>
      <c r="B1828" s="63" t="s">
        <v>145</v>
      </c>
      <c r="C1828" s="64">
        <v>27</v>
      </c>
      <c r="D1828" s="65">
        <v>5.0999999999999996</v>
      </c>
      <c r="E1828" s="68" t="s">
        <v>96</v>
      </c>
      <c r="F1828" s="52" t="s">
        <v>97</v>
      </c>
      <c r="G1828" s="52" t="s">
        <v>2</v>
      </c>
    </row>
    <row r="1829" spans="1:7">
      <c r="A1829" s="15" t="s">
        <v>2196</v>
      </c>
      <c r="B1829" s="63" t="s">
        <v>145</v>
      </c>
      <c r="C1829" s="64">
        <v>28</v>
      </c>
      <c r="D1829" s="65">
        <v>2.35</v>
      </c>
      <c r="E1829" s="67" t="s">
        <v>81</v>
      </c>
      <c r="F1829" s="52" t="s">
        <v>89</v>
      </c>
      <c r="G1829" s="52" t="s">
        <v>4</v>
      </c>
    </row>
    <row r="1830" spans="1:7">
      <c r="A1830" s="15" t="s">
        <v>2197</v>
      </c>
      <c r="B1830" s="63" t="s">
        <v>145</v>
      </c>
      <c r="C1830" s="64">
        <v>29</v>
      </c>
      <c r="D1830" s="65">
        <v>1.3</v>
      </c>
      <c r="E1830" s="67" t="s">
        <v>93</v>
      </c>
      <c r="F1830" s="52" t="s">
        <v>79</v>
      </c>
      <c r="G1830" s="52" t="s">
        <v>2</v>
      </c>
    </row>
    <row r="1831" spans="1:7">
      <c r="A1831" s="15" t="s">
        <v>2198</v>
      </c>
      <c r="B1831" s="63" t="s">
        <v>145</v>
      </c>
      <c r="C1831" s="64">
        <v>30</v>
      </c>
      <c r="D1831" s="65">
        <v>2.2000000000000002</v>
      </c>
      <c r="E1831" s="67" t="s">
        <v>76</v>
      </c>
      <c r="F1831" s="52" t="s">
        <v>83</v>
      </c>
      <c r="G1831" s="52" t="s">
        <v>2</v>
      </c>
    </row>
    <row r="1832" spans="1:7">
      <c r="A1832" s="15" t="s">
        <v>2199</v>
      </c>
      <c r="B1832" s="63" t="s">
        <v>145</v>
      </c>
      <c r="C1832" s="64">
        <v>31</v>
      </c>
      <c r="D1832" s="65">
        <v>5.0999999999999996</v>
      </c>
      <c r="E1832" s="67" t="s">
        <v>76</v>
      </c>
      <c r="F1832" s="52" t="s">
        <v>97</v>
      </c>
      <c r="G1832" s="52" t="s">
        <v>2</v>
      </c>
    </row>
    <row r="1833" spans="1:7">
      <c r="A1833" s="15" t="s">
        <v>2200</v>
      </c>
      <c r="B1833" s="63" t="s">
        <v>145</v>
      </c>
      <c r="C1833" s="64">
        <v>32</v>
      </c>
      <c r="D1833" s="65">
        <v>3.1</v>
      </c>
      <c r="E1833" s="67" t="s">
        <v>93</v>
      </c>
      <c r="F1833" s="52" t="s">
        <v>90</v>
      </c>
      <c r="G1833" s="52" t="s">
        <v>0</v>
      </c>
    </row>
    <row r="1834" spans="1:7">
      <c r="A1834" s="15" t="s">
        <v>2201</v>
      </c>
      <c r="B1834" s="63" t="s">
        <v>145</v>
      </c>
      <c r="C1834" s="64">
        <v>33</v>
      </c>
      <c r="D1834" s="65">
        <v>2.1</v>
      </c>
      <c r="E1834" s="67" t="s">
        <v>100</v>
      </c>
      <c r="F1834" s="52" t="s">
        <v>82</v>
      </c>
      <c r="G1834" s="52" t="s">
        <v>3</v>
      </c>
    </row>
    <row r="1835" spans="1:7">
      <c r="A1835" s="15" t="s">
        <v>2202</v>
      </c>
      <c r="B1835" s="63" t="s">
        <v>145</v>
      </c>
      <c r="C1835" s="64">
        <v>34</v>
      </c>
      <c r="D1835" s="65">
        <v>1.2</v>
      </c>
      <c r="E1835" s="67" t="s">
        <v>28</v>
      </c>
      <c r="F1835" s="52" t="s">
        <v>78</v>
      </c>
      <c r="G1835" s="52" t="s">
        <v>0</v>
      </c>
    </row>
    <row r="1836" spans="1:7">
      <c r="A1836" s="15" t="s">
        <v>2203</v>
      </c>
      <c r="B1836" s="63" t="s">
        <v>145</v>
      </c>
      <c r="C1836" s="64">
        <v>35</v>
      </c>
      <c r="D1836" s="65">
        <v>4.0999999999999996</v>
      </c>
      <c r="E1836" s="67" t="s">
        <v>81</v>
      </c>
      <c r="F1836" s="52" t="s">
        <v>94</v>
      </c>
      <c r="G1836" s="52" t="s">
        <v>2</v>
      </c>
    </row>
    <row r="1837" spans="1:7">
      <c r="A1837" s="15" t="s">
        <v>2204</v>
      </c>
      <c r="B1837" s="63" t="s">
        <v>145</v>
      </c>
      <c r="C1837" s="64">
        <v>36</v>
      </c>
      <c r="D1837" s="65">
        <v>2.31</v>
      </c>
      <c r="E1837" s="67" t="s">
        <v>96</v>
      </c>
      <c r="F1837" s="52" t="s">
        <v>85</v>
      </c>
      <c r="G1837" s="52" t="s">
        <v>0</v>
      </c>
    </row>
    <row r="1838" spans="1:7">
      <c r="A1838" s="15" t="s">
        <v>2205</v>
      </c>
      <c r="B1838" s="63" t="s">
        <v>145</v>
      </c>
      <c r="C1838" s="64">
        <v>37</v>
      </c>
      <c r="D1838" s="65">
        <v>6.3</v>
      </c>
      <c r="E1838" s="67" t="s">
        <v>76</v>
      </c>
      <c r="F1838" s="52" t="s">
        <v>103</v>
      </c>
      <c r="G1838" s="52" t="s">
        <v>1</v>
      </c>
    </row>
    <row r="1839" spans="1:7">
      <c r="A1839" s="15" t="s">
        <v>2206</v>
      </c>
      <c r="B1839" s="63" t="s">
        <v>145</v>
      </c>
      <c r="C1839" s="64">
        <v>38</v>
      </c>
      <c r="D1839" s="65">
        <v>2.2000000000000002</v>
      </c>
      <c r="E1839" s="67" t="s">
        <v>81</v>
      </c>
      <c r="F1839" s="52" t="s">
        <v>83</v>
      </c>
      <c r="G1839" s="52" t="s">
        <v>3</v>
      </c>
    </row>
    <row r="1840" spans="1:7">
      <c r="A1840" s="15" t="s">
        <v>2207</v>
      </c>
      <c r="B1840" s="63" t="s">
        <v>145</v>
      </c>
      <c r="C1840" s="64">
        <v>39</v>
      </c>
      <c r="D1840" s="65">
        <v>2.1</v>
      </c>
      <c r="E1840" s="67" t="s">
        <v>81</v>
      </c>
      <c r="F1840" s="52" t="s">
        <v>82</v>
      </c>
      <c r="G1840" s="52" t="s">
        <v>4</v>
      </c>
    </row>
    <row r="1841" spans="1:7">
      <c r="A1841" s="15" t="s">
        <v>2208</v>
      </c>
      <c r="B1841" s="63" t="s">
        <v>145</v>
      </c>
      <c r="C1841" s="64">
        <v>40</v>
      </c>
      <c r="D1841" s="65">
        <v>5.0999999999999996</v>
      </c>
      <c r="E1841" s="67" t="s">
        <v>81</v>
      </c>
      <c r="F1841" s="52" t="s">
        <v>97</v>
      </c>
      <c r="G1841" s="52" t="s">
        <v>0</v>
      </c>
    </row>
    <row r="1842" spans="1:7">
      <c r="A1842" s="15" t="s">
        <v>2209</v>
      </c>
      <c r="B1842" s="63" t="s">
        <v>145</v>
      </c>
      <c r="C1842" s="64">
        <v>41</v>
      </c>
      <c r="D1842" s="65">
        <v>3.2</v>
      </c>
      <c r="E1842" s="67" t="s">
        <v>76</v>
      </c>
      <c r="F1842" s="52" t="s">
        <v>91</v>
      </c>
      <c r="G1842" s="52" t="s">
        <v>0</v>
      </c>
    </row>
    <row r="1843" spans="1:7">
      <c r="A1843" s="15" t="s">
        <v>2210</v>
      </c>
      <c r="B1843" s="63" t="s">
        <v>145</v>
      </c>
      <c r="C1843" s="64">
        <v>42</v>
      </c>
      <c r="D1843" s="65">
        <v>1.1000000000000001</v>
      </c>
      <c r="E1843" s="67" t="s">
        <v>93</v>
      </c>
      <c r="F1843" s="52" t="s">
        <v>77</v>
      </c>
      <c r="G1843" s="52" t="s">
        <v>3</v>
      </c>
    </row>
    <row r="1844" spans="1:7">
      <c r="A1844" s="15" t="s">
        <v>2211</v>
      </c>
      <c r="B1844" s="63" t="s">
        <v>145</v>
      </c>
      <c r="C1844" s="64">
        <v>43</v>
      </c>
      <c r="D1844" s="65">
        <v>3.1</v>
      </c>
      <c r="E1844" s="67" t="s">
        <v>81</v>
      </c>
      <c r="F1844" s="52" t="s">
        <v>90</v>
      </c>
      <c r="G1844" s="52" t="s">
        <v>3</v>
      </c>
    </row>
    <row r="1845" spans="1:7">
      <c r="A1845" s="15" t="s">
        <v>2212</v>
      </c>
      <c r="B1845" s="63" t="s">
        <v>145</v>
      </c>
      <c r="C1845" s="64">
        <v>44</v>
      </c>
      <c r="D1845" s="65">
        <v>2.1</v>
      </c>
      <c r="E1845" s="67" t="s">
        <v>93</v>
      </c>
      <c r="F1845" s="52" t="s">
        <v>82</v>
      </c>
      <c r="G1845" s="52" t="s">
        <v>0</v>
      </c>
    </row>
    <row r="1846" spans="1:7">
      <c r="A1846" s="15" t="s">
        <v>2213</v>
      </c>
      <c r="B1846" s="63" t="s">
        <v>145</v>
      </c>
      <c r="C1846" s="64">
        <v>45</v>
      </c>
      <c r="D1846" s="65">
        <v>4.2</v>
      </c>
      <c r="E1846" s="67" t="s">
        <v>81</v>
      </c>
      <c r="F1846" s="52" t="s">
        <v>95</v>
      </c>
      <c r="G1846" s="52" t="s">
        <v>1</v>
      </c>
    </row>
    <row r="1847" spans="1:7">
      <c r="A1847" s="15" t="s">
        <v>2214</v>
      </c>
      <c r="B1847" s="63" t="s">
        <v>145</v>
      </c>
      <c r="C1847" s="64">
        <v>46</v>
      </c>
      <c r="D1847" s="65">
        <v>2.31</v>
      </c>
      <c r="E1847" s="67" t="s">
        <v>81</v>
      </c>
      <c r="F1847" s="52" t="s">
        <v>85</v>
      </c>
      <c r="G1847" s="52" t="s">
        <v>3</v>
      </c>
    </row>
    <row r="1848" spans="1:7">
      <c r="A1848" s="15" t="s">
        <v>2215</v>
      </c>
      <c r="B1848" s="63" t="s">
        <v>145</v>
      </c>
      <c r="C1848" s="64">
        <v>47</v>
      </c>
      <c r="D1848" s="65">
        <v>1.3</v>
      </c>
      <c r="E1848" s="67" t="s">
        <v>81</v>
      </c>
      <c r="F1848" s="52" t="s">
        <v>79</v>
      </c>
      <c r="G1848" s="52" t="s">
        <v>0</v>
      </c>
    </row>
    <row r="1849" spans="1:7">
      <c r="A1849" s="15" t="s">
        <v>2216</v>
      </c>
      <c r="B1849" s="63" t="s">
        <v>145</v>
      </c>
      <c r="C1849" s="64">
        <v>48</v>
      </c>
      <c r="D1849" s="65">
        <v>2.35</v>
      </c>
      <c r="E1849" s="67" t="s">
        <v>96</v>
      </c>
      <c r="F1849" s="52" t="s">
        <v>89</v>
      </c>
      <c r="G1849" s="52" t="s">
        <v>2</v>
      </c>
    </row>
    <row r="1850" spans="1:7">
      <c r="A1850" s="15" t="s">
        <v>2217</v>
      </c>
      <c r="B1850" s="63" t="s">
        <v>145</v>
      </c>
      <c r="C1850" s="64">
        <v>49</v>
      </c>
      <c r="D1850" s="65">
        <v>1.5</v>
      </c>
      <c r="E1850" s="67" t="s">
        <v>93</v>
      </c>
      <c r="F1850" s="52" t="s">
        <v>80</v>
      </c>
      <c r="G1850" s="52" t="s">
        <v>2</v>
      </c>
    </row>
    <row r="1851" spans="1:7">
      <c r="A1851" s="15" t="s">
        <v>2218</v>
      </c>
      <c r="B1851" s="63" t="s">
        <v>145</v>
      </c>
      <c r="C1851" s="64">
        <v>50</v>
      </c>
      <c r="D1851" s="65">
        <v>5.3</v>
      </c>
      <c r="E1851" s="67" t="s">
        <v>28</v>
      </c>
      <c r="F1851" s="52" t="s">
        <v>99</v>
      </c>
      <c r="G1851" s="52" t="s">
        <v>2</v>
      </c>
    </row>
    <row r="1852" spans="1:7">
      <c r="A1852" s="15" t="s">
        <v>2219</v>
      </c>
      <c r="B1852" s="63" t="s">
        <v>146</v>
      </c>
      <c r="C1852" s="64">
        <v>1</v>
      </c>
      <c r="D1852" s="65">
        <v>2.1</v>
      </c>
      <c r="E1852" s="67" t="s">
        <v>81</v>
      </c>
      <c r="F1852" s="52" t="s">
        <v>82</v>
      </c>
      <c r="G1852" s="52" t="s">
        <v>2</v>
      </c>
    </row>
    <row r="1853" spans="1:7">
      <c r="A1853" s="15" t="s">
        <v>2220</v>
      </c>
      <c r="B1853" s="63" t="s">
        <v>146</v>
      </c>
      <c r="C1853" s="64">
        <v>2</v>
      </c>
      <c r="D1853" s="65">
        <v>1.1000000000000001</v>
      </c>
      <c r="E1853" s="67" t="s">
        <v>76</v>
      </c>
      <c r="F1853" s="52" t="s">
        <v>77</v>
      </c>
      <c r="G1853" s="52" t="s">
        <v>1</v>
      </c>
    </row>
    <row r="1854" spans="1:7">
      <c r="A1854" s="15" t="s">
        <v>2221</v>
      </c>
      <c r="B1854" s="63" t="s">
        <v>146</v>
      </c>
      <c r="C1854" s="64">
        <v>3</v>
      </c>
      <c r="D1854" s="65">
        <v>2.35</v>
      </c>
      <c r="E1854" s="67" t="s">
        <v>76</v>
      </c>
      <c r="F1854" s="52" t="s">
        <v>89</v>
      </c>
      <c r="G1854" s="52" t="s">
        <v>0</v>
      </c>
    </row>
    <row r="1855" spans="1:7">
      <c r="A1855" s="15" t="s">
        <v>2222</v>
      </c>
      <c r="B1855" s="63" t="s">
        <v>146</v>
      </c>
      <c r="C1855" s="64">
        <v>4</v>
      </c>
      <c r="D1855" s="65">
        <v>2.1</v>
      </c>
      <c r="E1855" s="67" t="s">
        <v>81</v>
      </c>
      <c r="F1855" s="52" t="s">
        <v>82</v>
      </c>
      <c r="G1855" s="52" t="s">
        <v>2</v>
      </c>
    </row>
    <row r="1856" spans="1:7">
      <c r="A1856" s="15" t="s">
        <v>2223</v>
      </c>
      <c r="B1856" s="63" t="s">
        <v>146</v>
      </c>
      <c r="C1856" s="64">
        <v>5</v>
      </c>
      <c r="D1856" s="65">
        <v>5.3</v>
      </c>
      <c r="E1856" s="67" t="s">
        <v>81</v>
      </c>
      <c r="F1856" s="52" t="s">
        <v>99</v>
      </c>
      <c r="G1856" s="52" t="s">
        <v>4</v>
      </c>
    </row>
    <row r="1857" spans="1:7">
      <c r="A1857" s="15" t="s">
        <v>2224</v>
      </c>
      <c r="B1857" s="63" t="s">
        <v>146</v>
      </c>
      <c r="C1857" s="64">
        <v>6</v>
      </c>
      <c r="D1857" s="65">
        <v>2.31</v>
      </c>
      <c r="E1857" s="67" t="s">
        <v>81</v>
      </c>
      <c r="F1857" s="52" t="s">
        <v>85</v>
      </c>
      <c r="G1857" s="52" t="s">
        <v>0</v>
      </c>
    </row>
    <row r="1858" spans="1:7">
      <c r="A1858" s="15" t="s">
        <v>2225</v>
      </c>
      <c r="B1858" s="63" t="s">
        <v>146</v>
      </c>
      <c r="C1858" s="64">
        <v>7</v>
      </c>
      <c r="D1858" s="65">
        <v>2.2000000000000002</v>
      </c>
      <c r="E1858" s="67" t="s">
        <v>28</v>
      </c>
      <c r="F1858" s="52" t="s">
        <v>83</v>
      </c>
      <c r="G1858" s="52" t="s">
        <v>4</v>
      </c>
    </row>
    <row r="1859" spans="1:7">
      <c r="A1859" s="15" t="s">
        <v>2226</v>
      </c>
      <c r="B1859" s="63" t="s">
        <v>146</v>
      </c>
      <c r="C1859" s="64">
        <v>8</v>
      </c>
      <c r="D1859" s="65">
        <v>6.1</v>
      </c>
      <c r="E1859" s="67" t="s">
        <v>81</v>
      </c>
      <c r="F1859" s="52" t="s">
        <v>101</v>
      </c>
      <c r="G1859" s="52" t="s">
        <v>0</v>
      </c>
    </row>
    <row r="1860" spans="1:7">
      <c r="A1860" s="15" t="s">
        <v>2227</v>
      </c>
      <c r="B1860" s="63" t="s">
        <v>146</v>
      </c>
      <c r="C1860" s="64">
        <v>9</v>
      </c>
      <c r="D1860" s="65">
        <v>2.35</v>
      </c>
      <c r="E1860" s="67" t="s">
        <v>81</v>
      </c>
      <c r="F1860" s="52" t="s">
        <v>89</v>
      </c>
      <c r="G1860" s="52" t="s">
        <v>1</v>
      </c>
    </row>
    <row r="1861" spans="1:7">
      <c r="A1861" s="15" t="s">
        <v>2228</v>
      </c>
      <c r="B1861" s="63" t="s">
        <v>146</v>
      </c>
      <c r="C1861" s="64">
        <v>10</v>
      </c>
      <c r="D1861" s="65">
        <v>6.3</v>
      </c>
      <c r="E1861" s="67" t="s">
        <v>28</v>
      </c>
      <c r="F1861" s="52" t="s">
        <v>103</v>
      </c>
      <c r="G1861" s="52" t="s">
        <v>2</v>
      </c>
    </row>
    <row r="1862" spans="1:7">
      <c r="A1862" s="15" t="s">
        <v>2229</v>
      </c>
      <c r="B1862" s="63" t="s">
        <v>146</v>
      </c>
      <c r="C1862" s="64">
        <v>11</v>
      </c>
      <c r="D1862" s="65">
        <v>2.1</v>
      </c>
      <c r="E1862" s="67" t="s">
        <v>81</v>
      </c>
      <c r="F1862" s="52" t="s">
        <v>82</v>
      </c>
      <c r="G1862" s="52" t="s">
        <v>2</v>
      </c>
    </row>
    <row r="1863" spans="1:7">
      <c r="A1863" s="15" t="s">
        <v>2230</v>
      </c>
      <c r="B1863" s="63" t="s">
        <v>146</v>
      </c>
      <c r="C1863" s="64">
        <v>12</v>
      </c>
      <c r="D1863" s="65">
        <v>3.1</v>
      </c>
      <c r="E1863" s="67" t="s">
        <v>100</v>
      </c>
      <c r="F1863" s="52" t="s">
        <v>90</v>
      </c>
      <c r="G1863" s="52" t="s">
        <v>0</v>
      </c>
    </row>
    <row r="1864" spans="1:7">
      <c r="A1864" s="15" t="s">
        <v>2231</v>
      </c>
      <c r="B1864" s="63" t="s">
        <v>146</v>
      </c>
      <c r="C1864" s="64">
        <v>13</v>
      </c>
      <c r="D1864" s="65">
        <v>6.3</v>
      </c>
      <c r="E1864" s="67" t="s">
        <v>96</v>
      </c>
      <c r="F1864" s="52" t="s">
        <v>103</v>
      </c>
      <c r="G1864" s="52" t="s">
        <v>3</v>
      </c>
    </row>
    <row r="1865" spans="1:7">
      <c r="A1865" s="15" t="s">
        <v>2232</v>
      </c>
      <c r="B1865" s="63" t="s">
        <v>146</v>
      </c>
      <c r="C1865" s="64">
        <v>14</v>
      </c>
      <c r="D1865" s="65">
        <v>5.0999999999999996</v>
      </c>
      <c r="E1865" s="67" t="s">
        <v>81</v>
      </c>
      <c r="F1865" s="52" t="s">
        <v>97</v>
      </c>
      <c r="G1865" s="52" t="s">
        <v>2</v>
      </c>
    </row>
    <row r="1866" spans="1:7">
      <c r="A1866" s="15" t="s">
        <v>2233</v>
      </c>
      <c r="B1866" s="63" t="s">
        <v>146</v>
      </c>
      <c r="C1866" s="64">
        <v>15</v>
      </c>
      <c r="D1866" s="65">
        <v>2.31</v>
      </c>
      <c r="E1866" s="67" t="s">
        <v>100</v>
      </c>
      <c r="F1866" s="52" t="s">
        <v>85</v>
      </c>
      <c r="G1866" s="52" t="s">
        <v>1</v>
      </c>
    </row>
    <row r="1867" spans="1:7">
      <c r="A1867" s="15" t="s">
        <v>2234</v>
      </c>
      <c r="B1867" s="63" t="s">
        <v>146</v>
      </c>
      <c r="C1867" s="64">
        <v>16</v>
      </c>
      <c r="D1867" s="65">
        <v>2.31</v>
      </c>
      <c r="E1867" s="67" t="s">
        <v>81</v>
      </c>
      <c r="F1867" s="52" t="s">
        <v>85</v>
      </c>
      <c r="G1867" s="52" t="s">
        <v>0</v>
      </c>
    </row>
    <row r="1868" spans="1:7">
      <c r="A1868" s="15" t="s">
        <v>2235</v>
      </c>
      <c r="B1868" s="63" t="s">
        <v>146</v>
      </c>
      <c r="C1868" s="64">
        <v>17</v>
      </c>
      <c r="D1868" s="65">
        <v>2.35</v>
      </c>
      <c r="E1868" s="67" t="s">
        <v>81</v>
      </c>
      <c r="F1868" s="52" t="s">
        <v>89</v>
      </c>
      <c r="G1868" s="52" t="s">
        <v>1</v>
      </c>
    </row>
    <row r="1869" spans="1:7">
      <c r="A1869" s="15" t="s">
        <v>2236</v>
      </c>
      <c r="B1869" s="63" t="s">
        <v>146</v>
      </c>
      <c r="C1869" s="64">
        <v>18</v>
      </c>
      <c r="D1869" s="65">
        <v>2.2000000000000002</v>
      </c>
      <c r="E1869" s="67" t="s">
        <v>81</v>
      </c>
      <c r="F1869" s="52" t="s">
        <v>83</v>
      </c>
      <c r="G1869" s="52" t="s">
        <v>1</v>
      </c>
    </row>
    <row r="1870" spans="1:7">
      <c r="A1870" s="15" t="s">
        <v>2237</v>
      </c>
      <c r="B1870" s="63" t="s">
        <v>146</v>
      </c>
      <c r="C1870" s="64">
        <v>19</v>
      </c>
      <c r="D1870" s="65">
        <v>2.35</v>
      </c>
      <c r="E1870" s="67" t="s">
        <v>96</v>
      </c>
      <c r="F1870" s="52" t="s">
        <v>89</v>
      </c>
      <c r="G1870" s="52" t="s">
        <v>4</v>
      </c>
    </row>
    <row r="1871" spans="1:7">
      <c r="A1871" s="15" t="s">
        <v>2238</v>
      </c>
      <c r="B1871" s="63" t="s">
        <v>146</v>
      </c>
      <c r="C1871" s="64">
        <v>20</v>
      </c>
      <c r="D1871" s="65">
        <v>2.3199999999999998</v>
      </c>
      <c r="E1871" s="67" t="s">
        <v>100</v>
      </c>
      <c r="F1871" s="52" t="s">
        <v>86</v>
      </c>
      <c r="G1871" s="52" t="s">
        <v>2</v>
      </c>
    </row>
    <row r="1872" spans="1:7">
      <c r="A1872" s="15" t="s">
        <v>2239</v>
      </c>
      <c r="B1872" s="63" t="s">
        <v>146</v>
      </c>
      <c r="C1872" s="64">
        <v>21</v>
      </c>
      <c r="D1872" s="65">
        <v>2.31</v>
      </c>
      <c r="E1872" s="67" t="s">
        <v>28</v>
      </c>
      <c r="F1872" s="52" t="s">
        <v>85</v>
      </c>
      <c r="G1872" s="52" t="s">
        <v>0</v>
      </c>
    </row>
    <row r="1873" spans="1:7">
      <c r="A1873" s="15" t="s">
        <v>2240</v>
      </c>
      <c r="B1873" s="63" t="s">
        <v>146</v>
      </c>
      <c r="C1873" s="64">
        <v>22</v>
      </c>
      <c r="D1873" s="65">
        <v>6.3</v>
      </c>
      <c r="E1873" s="67" t="s">
        <v>96</v>
      </c>
      <c r="F1873" s="52" t="s">
        <v>103</v>
      </c>
      <c r="G1873" s="52" t="s">
        <v>0</v>
      </c>
    </row>
    <row r="1874" spans="1:7">
      <c r="A1874" s="15" t="s">
        <v>2241</v>
      </c>
      <c r="B1874" s="63" t="s">
        <v>146</v>
      </c>
      <c r="C1874" s="64">
        <v>23</v>
      </c>
      <c r="D1874" s="65">
        <v>2.2000000000000002</v>
      </c>
      <c r="E1874" s="67" t="s">
        <v>81</v>
      </c>
      <c r="F1874" s="52" t="s">
        <v>83</v>
      </c>
      <c r="G1874" s="52" t="s">
        <v>2</v>
      </c>
    </row>
    <row r="1875" spans="1:7">
      <c r="A1875" s="15" t="s">
        <v>2242</v>
      </c>
      <c r="B1875" s="63" t="s">
        <v>146</v>
      </c>
      <c r="C1875" s="64">
        <v>24</v>
      </c>
      <c r="D1875" s="65">
        <v>5.0999999999999996</v>
      </c>
      <c r="E1875" s="67" t="s">
        <v>28</v>
      </c>
      <c r="F1875" s="52" t="s">
        <v>97</v>
      </c>
      <c r="G1875" s="52" t="s">
        <v>0</v>
      </c>
    </row>
    <row r="1876" spans="1:7">
      <c r="A1876" s="15" t="s">
        <v>2243</v>
      </c>
      <c r="B1876" s="63" t="s">
        <v>146</v>
      </c>
      <c r="C1876" s="64">
        <v>25</v>
      </c>
      <c r="D1876" s="65">
        <v>5.2</v>
      </c>
      <c r="E1876" s="67" t="s">
        <v>93</v>
      </c>
      <c r="F1876" s="52" t="s">
        <v>98</v>
      </c>
      <c r="G1876" s="52" t="s">
        <v>2</v>
      </c>
    </row>
    <row r="1877" spans="1:7">
      <c r="A1877" s="15" t="s">
        <v>2244</v>
      </c>
      <c r="B1877" s="63" t="s">
        <v>146</v>
      </c>
      <c r="C1877" s="64">
        <v>26</v>
      </c>
      <c r="D1877" s="65">
        <v>1.6</v>
      </c>
      <c r="E1877" s="67" t="s">
        <v>81</v>
      </c>
      <c r="F1877" s="52" t="s">
        <v>27</v>
      </c>
      <c r="G1877" s="52" t="s">
        <v>0</v>
      </c>
    </row>
    <row r="1878" spans="1:7">
      <c r="A1878" s="15" t="s">
        <v>2245</v>
      </c>
      <c r="B1878" s="63" t="s">
        <v>146</v>
      </c>
      <c r="C1878" s="64">
        <v>27</v>
      </c>
      <c r="D1878" s="65">
        <v>5.3</v>
      </c>
      <c r="E1878" s="67" t="s">
        <v>81</v>
      </c>
      <c r="F1878" s="52" t="s">
        <v>99</v>
      </c>
      <c r="G1878" s="52" t="s">
        <v>1</v>
      </c>
    </row>
    <row r="1879" spans="1:7">
      <c r="A1879" s="15" t="s">
        <v>2246</v>
      </c>
      <c r="B1879" s="63" t="s">
        <v>146</v>
      </c>
      <c r="C1879" s="64">
        <v>28</v>
      </c>
      <c r="D1879" s="65">
        <v>2.34</v>
      </c>
      <c r="E1879" s="67" t="s">
        <v>96</v>
      </c>
      <c r="F1879" s="52" t="s">
        <v>88</v>
      </c>
      <c r="G1879" s="52" t="s">
        <v>2</v>
      </c>
    </row>
    <row r="1880" spans="1:7">
      <c r="A1880" s="15" t="s">
        <v>2247</v>
      </c>
      <c r="B1880" s="63" t="s">
        <v>146</v>
      </c>
      <c r="C1880" s="64">
        <v>29</v>
      </c>
      <c r="D1880" s="65">
        <v>4.2</v>
      </c>
      <c r="E1880" s="67" t="s">
        <v>93</v>
      </c>
      <c r="F1880" s="52" t="s">
        <v>95</v>
      </c>
      <c r="G1880" s="52" t="s">
        <v>3</v>
      </c>
    </row>
    <row r="1881" spans="1:7">
      <c r="A1881" s="15" t="s">
        <v>2248</v>
      </c>
      <c r="B1881" s="63" t="s">
        <v>146</v>
      </c>
      <c r="C1881" s="64">
        <v>30</v>
      </c>
      <c r="D1881" s="65">
        <v>1.4</v>
      </c>
      <c r="E1881" s="67" t="s">
        <v>28</v>
      </c>
      <c r="F1881" s="52" t="s">
        <v>30</v>
      </c>
      <c r="G1881" s="52" t="s">
        <v>2</v>
      </c>
    </row>
    <row r="1882" spans="1:7">
      <c r="A1882" s="15" t="s">
        <v>2249</v>
      </c>
      <c r="B1882" s="63" t="s">
        <v>146</v>
      </c>
      <c r="C1882" s="64">
        <v>31</v>
      </c>
      <c r="D1882" s="65">
        <v>1.4</v>
      </c>
      <c r="E1882" s="67" t="s">
        <v>96</v>
      </c>
      <c r="F1882" s="52" t="s">
        <v>30</v>
      </c>
      <c r="G1882" s="52" t="s">
        <v>3</v>
      </c>
    </row>
    <row r="1883" spans="1:7">
      <c r="A1883" s="15" t="s">
        <v>2250</v>
      </c>
      <c r="B1883" s="63" t="s">
        <v>146</v>
      </c>
      <c r="C1883" s="64">
        <v>32</v>
      </c>
      <c r="D1883" s="65">
        <v>4.0999999999999996</v>
      </c>
      <c r="E1883" s="67" t="s">
        <v>93</v>
      </c>
      <c r="F1883" s="52" t="s">
        <v>94</v>
      </c>
      <c r="G1883" s="52" t="s">
        <v>2</v>
      </c>
    </row>
    <row r="1884" spans="1:7">
      <c r="A1884" s="15" t="s">
        <v>2251</v>
      </c>
      <c r="B1884" s="63" t="s">
        <v>146</v>
      </c>
      <c r="C1884" s="64">
        <v>33</v>
      </c>
      <c r="D1884" s="65">
        <v>6.3</v>
      </c>
      <c r="E1884" s="67" t="s">
        <v>81</v>
      </c>
      <c r="F1884" s="52" t="s">
        <v>103</v>
      </c>
      <c r="G1884" s="52" t="s">
        <v>2</v>
      </c>
    </row>
    <row r="1885" spans="1:7">
      <c r="A1885" s="15" t="s">
        <v>2252</v>
      </c>
      <c r="B1885" s="63" t="s">
        <v>146</v>
      </c>
      <c r="C1885" s="64">
        <v>34</v>
      </c>
      <c r="D1885" s="65">
        <v>3.2</v>
      </c>
      <c r="E1885" s="67" t="s">
        <v>76</v>
      </c>
      <c r="F1885" s="52" t="s">
        <v>91</v>
      </c>
      <c r="G1885" s="52" t="s">
        <v>0</v>
      </c>
    </row>
    <row r="1886" spans="1:7">
      <c r="A1886" s="15" t="s">
        <v>2253</v>
      </c>
      <c r="B1886" s="63" t="s">
        <v>146</v>
      </c>
      <c r="C1886" s="64">
        <v>35</v>
      </c>
      <c r="D1886" s="65">
        <v>2.35</v>
      </c>
      <c r="E1886" s="67" t="s">
        <v>81</v>
      </c>
      <c r="F1886" s="52" t="s">
        <v>89</v>
      </c>
      <c r="G1886" s="52" t="s">
        <v>1</v>
      </c>
    </row>
    <row r="1887" spans="1:7">
      <c r="A1887" s="15" t="s">
        <v>2254</v>
      </c>
      <c r="B1887" s="63" t="s">
        <v>146</v>
      </c>
      <c r="C1887" s="64">
        <v>36</v>
      </c>
      <c r="D1887" s="65">
        <v>5.0999999999999996</v>
      </c>
      <c r="E1887" s="67" t="s">
        <v>96</v>
      </c>
      <c r="F1887" s="52" t="s">
        <v>97</v>
      </c>
      <c r="G1887" s="52" t="s">
        <v>2</v>
      </c>
    </row>
    <row r="1888" spans="1:7">
      <c r="A1888" s="15" t="s">
        <v>2255</v>
      </c>
      <c r="B1888" s="63" t="s">
        <v>146</v>
      </c>
      <c r="C1888" s="64">
        <v>37</v>
      </c>
      <c r="D1888" s="65">
        <v>1.3</v>
      </c>
      <c r="E1888" s="67" t="s">
        <v>81</v>
      </c>
      <c r="F1888" s="52" t="s">
        <v>79</v>
      </c>
      <c r="G1888" s="52" t="s">
        <v>0</v>
      </c>
    </row>
    <row r="1889" spans="1:7">
      <c r="A1889" s="15" t="s">
        <v>2256</v>
      </c>
      <c r="B1889" s="63" t="s">
        <v>146</v>
      </c>
      <c r="C1889" s="64">
        <v>38</v>
      </c>
      <c r="D1889" s="65">
        <v>2.35</v>
      </c>
      <c r="E1889" s="67" t="s">
        <v>76</v>
      </c>
      <c r="F1889" s="52" t="s">
        <v>89</v>
      </c>
      <c r="G1889" s="52" t="s">
        <v>2</v>
      </c>
    </row>
    <row r="1890" spans="1:7">
      <c r="A1890" s="15" t="s">
        <v>2257</v>
      </c>
      <c r="B1890" s="63" t="s">
        <v>146</v>
      </c>
      <c r="C1890" s="64">
        <v>39</v>
      </c>
      <c r="D1890" s="65">
        <v>2.31</v>
      </c>
      <c r="E1890" s="67" t="s">
        <v>28</v>
      </c>
      <c r="F1890" s="52" t="s">
        <v>85</v>
      </c>
      <c r="G1890" s="52" t="s">
        <v>0</v>
      </c>
    </row>
    <row r="1891" spans="1:7">
      <c r="A1891" s="15" t="s">
        <v>2258</v>
      </c>
      <c r="B1891" s="63" t="s">
        <v>146</v>
      </c>
      <c r="C1891" s="64">
        <v>40</v>
      </c>
      <c r="D1891" s="65">
        <v>2.35</v>
      </c>
      <c r="E1891" s="67" t="s">
        <v>81</v>
      </c>
      <c r="F1891" s="52" t="s">
        <v>89</v>
      </c>
      <c r="G1891" s="52" t="s">
        <v>2</v>
      </c>
    </row>
    <row r="1892" spans="1:7">
      <c r="A1892" s="15" t="s">
        <v>2259</v>
      </c>
      <c r="B1892" s="63" t="s">
        <v>146</v>
      </c>
      <c r="C1892" s="64">
        <v>41</v>
      </c>
      <c r="D1892" s="65">
        <v>1.3</v>
      </c>
      <c r="E1892" s="67" t="s">
        <v>81</v>
      </c>
      <c r="F1892" s="52" t="s">
        <v>79</v>
      </c>
      <c r="G1892" s="52" t="s">
        <v>4</v>
      </c>
    </row>
    <row r="1893" spans="1:7">
      <c r="A1893" s="15" t="s">
        <v>2260</v>
      </c>
      <c r="B1893" s="63" t="s">
        <v>146</v>
      </c>
      <c r="C1893" s="64">
        <v>42</v>
      </c>
      <c r="D1893" s="65">
        <v>4.2</v>
      </c>
      <c r="E1893" s="67" t="s">
        <v>81</v>
      </c>
      <c r="F1893" s="52" t="s">
        <v>95</v>
      </c>
      <c r="G1893" s="52" t="s">
        <v>1</v>
      </c>
    </row>
    <row r="1894" spans="1:7">
      <c r="A1894" s="15" t="s">
        <v>2261</v>
      </c>
      <c r="B1894" s="63" t="s">
        <v>146</v>
      </c>
      <c r="C1894" s="64">
        <v>43</v>
      </c>
      <c r="D1894" s="65">
        <v>2.3199999999999998</v>
      </c>
      <c r="E1894" s="67" t="s">
        <v>28</v>
      </c>
      <c r="F1894" s="52" t="s">
        <v>86</v>
      </c>
      <c r="G1894" s="52" t="s">
        <v>4</v>
      </c>
    </row>
    <row r="1895" spans="1:7">
      <c r="A1895" s="15" t="s">
        <v>2262</v>
      </c>
      <c r="B1895" s="63" t="s">
        <v>146</v>
      </c>
      <c r="C1895" s="64">
        <v>44</v>
      </c>
      <c r="D1895" s="65">
        <v>4.0999999999999996</v>
      </c>
      <c r="E1895" s="67" t="s">
        <v>96</v>
      </c>
      <c r="F1895" s="52" t="s">
        <v>94</v>
      </c>
      <c r="G1895" s="52" t="s">
        <v>0</v>
      </c>
    </row>
    <row r="1896" spans="1:7">
      <c r="A1896" s="15" t="s">
        <v>2263</v>
      </c>
      <c r="B1896" s="63" t="s">
        <v>146</v>
      </c>
      <c r="C1896" s="64">
        <v>45</v>
      </c>
      <c r="D1896" s="65">
        <v>2.35</v>
      </c>
      <c r="E1896" s="67" t="s">
        <v>76</v>
      </c>
      <c r="F1896" s="52" t="s">
        <v>89</v>
      </c>
      <c r="G1896" s="52" t="s">
        <v>3</v>
      </c>
    </row>
    <row r="1897" spans="1:7">
      <c r="A1897" s="15" t="s">
        <v>2264</v>
      </c>
      <c r="B1897" s="63" t="s">
        <v>146</v>
      </c>
      <c r="C1897" s="64">
        <v>46</v>
      </c>
      <c r="D1897" s="65">
        <v>2.31</v>
      </c>
      <c r="E1897" s="67" t="s">
        <v>81</v>
      </c>
      <c r="F1897" s="52" t="s">
        <v>85</v>
      </c>
      <c r="G1897" s="52" t="s">
        <v>0</v>
      </c>
    </row>
    <row r="1898" spans="1:7">
      <c r="A1898" s="15" t="s">
        <v>2265</v>
      </c>
      <c r="B1898" s="63" t="s">
        <v>146</v>
      </c>
      <c r="C1898" s="64">
        <v>47</v>
      </c>
      <c r="D1898" s="65">
        <v>3.1</v>
      </c>
      <c r="E1898" s="67" t="s">
        <v>96</v>
      </c>
      <c r="F1898" s="52" t="s">
        <v>90</v>
      </c>
      <c r="G1898" s="52" t="s">
        <v>1</v>
      </c>
    </row>
    <row r="1899" spans="1:7">
      <c r="A1899" s="15" t="s">
        <v>2266</v>
      </c>
      <c r="B1899" s="63" t="s">
        <v>146</v>
      </c>
      <c r="C1899" s="64">
        <v>48</v>
      </c>
      <c r="D1899" s="65">
        <v>5.2</v>
      </c>
      <c r="E1899" s="67" t="s">
        <v>81</v>
      </c>
      <c r="F1899" s="52" t="s">
        <v>98</v>
      </c>
      <c r="G1899" s="52" t="s">
        <v>0</v>
      </c>
    </row>
    <row r="1900" spans="1:7">
      <c r="A1900" s="15" t="s">
        <v>2267</v>
      </c>
      <c r="B1900" s="63" t="s">
        <v>146</v>
      </c>
      <c r="C1900" s="64">
        <v>49</v>
      </c>
      <c r="D1900" s="65">
        <v>4.0999999999999996</v>
      </c>
      <c r="E1900" s="67" t="s">
        <v>93</v>
      </c>
      <c r="F1900" s="52" t="s">
        <v>94</v>
      </c>
      <c r="G1900" s="52" t="s">
        <v>2</v>
      </c>
    </row>
    <row r="1901" spans="1:7">
      <c r="A1901" s="15" t="s">
        <v>2268</v>
      </c>
      <c r="B1901" s="63" t="s">
        <v>146</v>
      </c>
      <c r="C1901" s="64">
        <v>50</v>
      </c>
      <c r="D1901" s="65">
        <v>3.2</v>
      </c>
      <c r="E1901" s="67" t="s">
        <v>93</v>
      </c>
      <c r="F1901" s="52" t="s">
        <v>91</v>
      </c>
      <c r="G1901" s="52" t="s">
        <v>2</v>
      </c>
    </row>
    <row r="1902" spans="1:7">
      <c r="A1902" s="15" t="s">
        <v>2269</v>
      </c>
      <c r="B1902" s="63" t="s">
        <v>147</v>
      </c>
      <c r="C1902" s="64">
        <v>1</v>
      </c>
      <c r="D1902" s="66">
        <v>2.2000000000000002</v>
      </c>
      <c r="E1902" s="67" t="s">
        <v>81</v>
      </c>
      <c r="F1902" s="57" t="s">
        <v>83</v>
      </c>
      <c r="G1902" s="52" t="s">
        <v>1</v>
      </c>
    </row>
    <row r="1903" spans="1:7">
      <c r="A1903" s="15" t="s">
        <v>2270</v>
      </c>
      <c r="B1903" s="63" t="s">
        <v>147</v>
      </c>
      <c r="C1903" s="64">
        <v>2</v>
      </c>
      <c r="D1903" s="65">
        <v>1.1000000000000001</v>
      </c>
      <c r="E1903" s="67" t="s">
        <v>76</v>
      </c>
      <c r="F1903" s="52" t="s">
        <v>77</v>
      </c>
      <c r="G1903" s="52" t="s">
        <v>4</v>
      </c>
    </row>
    <row r="1904" spans="1:7">
      <c r="A1904" s="15" t="s">
        <v>2271</v>
      </c>
      <c r="B1904" s="63" t="s">
        <v>147</v>
      </c>
      <c r="C1904" s="64">
        <v>3</v>
      </c>
      <c r="D1904" s="65">
        <v>1.5</v>
      </c>
      <c r="E1904" s="67" t="s">
        <v>28</v>
      </c>
      <c r="F1904" s="52" t="s">
        <v>80</v>
      </c>
      <c r="G1904" s="52" t="s">
        <v>0</v>
      </c>
    </row>
    <row r="1905" spans="1:7">
      <c r="A1905" s="15" t="s">
        <v>2272</v>
      </c>
      <c r="B1905" s="63" t="s">
        <v>147</v>
      </c>
      <c r="C1905" s="64">
        <v>4</v>
      </c>
      <c r="D1905" s="65">
        <v>3.1</v>
      </c>
      <c r="E1905" s="67" t="s">
        <v>76</v>
      </c>
      <c r="F1905" s="52" t="s">
        <v>90</v>
      </c>
      <c r="G1905" s="52" t="s">
        <v>1</v>
      </c>
    </row>
    <row r="1906" spans="1:7">
      <c r="A1906" s="15" t="s">
        <v>2273</v>
      </c>
      <c r="B1906" s="63" t="s">
        <v>147</v>
      </c>
      <c r="C1906" s="64">
        <v>5</v>
      </c>
      <c r="D1906" s="65">
        <v>2.2000000000000002</v>
      </c>
      <c r="E1906" s="67" t="s">
        <v>93</v>
      </c>
      <c r="F1906" s="52" t="s">
        <v>83</v>
      </c>
      <c r="G1906" s="52" t="s">
        <v>1</v>
      </c>
    </row>
    <row r="1907" spans="1:7">
      <c r="A1907" s="15" t="s">
        <v>2274</v>
      </c>
      <c r="B1907" s="63" t="s">
        <v>147</v>
      </c>
      <c r="C1907" s="64">
        <v>6</v>
      </c>
      <c r="D1907" s="65">
        <v>1.1000000000000001</v>
      </c>
      <c r="E1907" s="67" t="s">
        <v>96</v>
      </c>
      <c r="F1907" s="52" t="s">
        <v>77</v>
      </c>
      <c r="G1907" s="52" t="s">
        <v>4</v>
      </c>
    </row>
    <row r="1908" spans="1:7">
      <c r="A1908" s="15" t="s">
        <v>2275</v>
      </c>
      <c r="B1908" s="63" t="s">
        <v>147</v>
      </c>
      <c r="C1908" s="64">
        <v>7</v>
      </c>
      <c r="D1908" s="65">
        <v>3.1</v>
      </c>
      <c r="E1908" s="67" t="s">
        <v>96</v>
      </c>
      <c r="F1908" s="52" t="s">
        <v>90</v>
      </c>
      <c r="G1908" s="52" t="s">
        <v>2</v>
      </c>
    </row>
    <row r="1909" spans="1:7">
      <c r="A1909" s="15" t="s">
        <v>2276</v>
      </c>
      <c r="B1909" s="63" t="s">
        <v>147</v>
      </c>
      <c r="C1909" s="64">
        <v>8</v>
      </c>
      <c r="D1909" s="65">
        <v>2.1</v>
      </c>
      <c r="E1909" s="67" t="s">
        <v>76</v>
      </c>
      <c r="F1909" s="52" t="s">
        <v>82</v>
      </c>
      <c r="G1909" s="52" t="s">
        <v>3</v>
      </c>
    </row>
    <row r="1910" spans="1:7">
      <c r="A1910" s="15" t="s">
        <v>2277</v>
      </c>
      <c r="B1910" s="63" t="s">
        <v>147</v>
      </c>
      <c r="C1910" s="64">
        <v>9</v>
      </c>
      <c r="D1910" s="65">
        <v>2.1</v>
      </c>
      <c r="E1910" s="67" t="s">
        <v>100</v>
      </c>
      <c r="F1910" s="52" t="s">
        <v>82</v>
      </c>
      <c r="G1910" s="52" t="s">
        <v>1</v>
      </c>
    </row>
    <row r="1911" spans="1:7">
      <c r="A1911" s="15" t="s">
        <v>2278</v>
      </c>
      <c r="B1911" s="63" t="s">
        <v>147</v>
      </c>
      <c r="C1911" s="64">
        <v>10</v>
      </c>
      <c r="D1911" s="65">
        <v>3.1</v>
      </c>
      <c r="E1911" s="67" t="s">
        <v>76</v>
      </c>
      <c r="F1911" s="52" t="s">
        <v>90</v>
      </c>
      <c r="G1911" s="52" t="s">
        <v>1</v>
      </c>
    </row>
    <row r="1912" spans="1:7">
      <c r="A1912" s="15" t="s">
        <v>2279</v>
      </c>
      <c r="B1912" s="63" t="s">
        <v>147</v>
      </c>
      <c r="C1912" s="64">
        <v>11</v>
      </c>
      <c r="D1912" s="65">
        <v>2.1</v>
      </c>
      <c r="E1912" s="67" t="s">
        <v>81</v>
      </c>
      <c r="F1912" s="52" t="s">
        <v>82</v>
      </c>
      <c r="G1912" s="52" t="s">
        <v>3</v>
      </c>
    </row>
    <row r="1913" spans="1:7">
      <c r="A1913" s="15" t="s">
        <v>2280</v>
      </c>
      <c r="B1913" s="63" t="s">
        <v>147</v>
      </c>
      <c r="C1913" s="64">
        <v>12</v>
      </c>
      <c r="D1913" s="65">
        <v>6.3</v>
      </c>
      <c r="E1913" s="67" t="s">
        <v>81</v>
      </c>
      <c r="F1913" s="52" t="s">
        <v>103</v>
      </c>
      <c r="G1913" s="52" t="s">
        <v>2</v>
      </c>
    </row>
    <row r="1914" spans="1:7">
      <c r="A1914" s="15" t="s">
        <v>2281</v>
      </c>
      <c r="B1914" s="63" t="s">
        <v>147</v>
      </c>
      <c r="C1914" s="64">
        <v>13</v>
      </c>
      <c r="D1914" s="65">
        <v>5.3</v>
      </c>
      <c r="E1914" s="67" t="s">
        <v>81</v>
      </c>
      <c r="F1914" s="52" t="s">
        <v>99</v>
      </c>
      <c r="G1914" s="52" t="s">
        <v>3</v>
      </c>
    </row>
    <row r="1915" spans="1:7">
      <c r="A1915" s="15" t="s">
        <v>2282</v>
      </c>
      <c r="B1915" s="63" t="s">
        <v>147</v>
      </c>
      <c r="C1915" s="64">
        <v>14</v>
      </c>
      <c r="D1915" s="65">
        <v>2.2000000000000002</v>
      </c>
      <c r="E1915" s="67" t="s">
        <v>28</v>
      </c>
      <c r="F1915" s="52" t="s">
        <v>83</v>
      </c>
      <c r="G1915" s="52" t="s">
        <v>0</v>
      </c>
    </row>
    <row r="1916" spans="1:7">
      <c r="A1916" s="15" t="s">
        <v>2283</v>
      </c>
      <c r="B1916" s="63" t="s">
        <v>147</v>
      </c>
      <c r="C1916" s="64">
        <v>15</v>
      </c>
      <c r="D1916" s="65">
        <v>6.4</v>
      </c>
      <c r="E1916" s="67" t="s">
        <v>81</v>
      </c>
      <c r="F1916" s="52" t="s">
        <v>104</v>
      </c>
      <c r="G1916" s="52" t="s">
        <v>2</v>
      </c>
    </row>
    <row r="1917" spans="1:7">
      <c r="A1917" s="15" t="s">
        <v>2284</v>
      </c>
      <c r="B1917" s="63" t="s">
        <v>147</v>
      </c>
      <c r="C1917" s="64">
        <v>16</v>
      </c>
      <c r="D1917" s="65">
        <v>2.2000000000000002</v>
      </c>
      <c r="E1917" s="67" t="s">
        <v>96</v>
      </c>
      <c r="F1917" s="52" t="s">
        <v>83</v>
      </c>
      <c r="G1917" s="52" t="s">
        <v>0</v>
      </c>
    </row>
    <row r="1918" spans="1:7">
      <c r="A1918" s="15" t="s">
        <v>2285</v>
      </c>
      <c r="B1918" s="63" t="s">
        <v>147</v>
      </c>
      <c r="C1918" s="64">
        <v>17</v>
      </c>
      <c r="D1918" s="65">
        <v>2.31</v>
      </c>
      <c r="E1918" s="67" t="s">
        <v>81</v>
      </c>
      <c r="F1918" s="52" t="s">
        <v>85</v>
      </c>
      <c r="G1918" s="52" t="s">
        <v>4</v>
      </c>
    </row>
    <row r="1919" spans="1:7">
      <c r="A1919" s="15" t="s">
        <v>2286</v>
      </c>
      <c r="B1919" s="63" t="s">
        <v>147</v>
      </c>
      <c r="C1919" s="64">
        <v>18</v>
      </c>
      <c r="D1919" s="65">
        <v>2.1</v>
      </c>
      <c r="E1919" s="67" t="s">
        <v>81</v>
      </c>
      <c r="F1919" s="52" t="s">
        <v>82</v>
      </c>
      <c r="G1919" s="52" t="s">
        <v>2</v>
      </c>
    </row>
    <row r="1920" spans="1:7">
      <c r="A1920" s="15" t="s">
        <v>2287</v>
      </c>
      <c r="B1920" s="63" t="s">
        <v>147</v>
      </c>
      <c r="C1920" s="64">
        <v>19</v>
      </c>
      <c r="D1920" s="65">
        <v>5.0999999999999996</v>
      </c>
      <c r="E1920" s="67" t="s">
        <v>28</v>
      </c>
      <c r="F1920" s="52" t="s">
        <v>97</v>
      </c>
      <c r="G1920" s="52" t="s">
        <v>1</v>
      </c>
    </row>
    <row r="1921" spans="1:7">
      <c r="A1921" s="15" t="s">
        <v>2288</v>
      </c>
      <c r="B1921" s="63" t="s">
        <v>147</v>
      </c>
      <c r="C1921" s="64">
        <v>20</v>
      </c>
      <c r="D1921" s="65">
        <v>6.3</v>
      </c>
      <c r="E1921" s="67" t="s">
        <v>96</v>
      </c>
      <c r="F1921" s="52" t="s">
        <v>103</v>
      </c>
      <c r="G1921" s="52" t="s">
        <v>4</v>
      </c>
    </row>
    <row r="1922" spans="1:7">
      <c r="A1922" s="15" t="s">
        <v>2289</v>
      </c>
      <c r="B1922" s="63" t="s">
        <v>147</v>
      </c>
      <c r="C1922" s="64">
        <v>21</v>
      </c>
      <c r="D1922" s="65">
        <v>3.3</v>
      </c>
      <c r="E1922" s="67" t="s">
        <v>81</v>
      </c>
      <c r="F1922" s="52" t="s">
        <v>92</v>
      </c>
      <c r="G1922" s="52" t="s">
        <v>3</v>
      </c>
    </row>
    <row r="1923" spans="1:7">
      <c r="A1923" s="15" t="s">
        <v>2290</v>
      </c>
      <c r="B1923" s="63" t="s">
        <v>147</v>
      </c>
      <c r="C1923" s="64">
        <v>22</v>
      </c>
      <c r="D1923" s="65">
        <v>5.2</v>
      </c>
      <c r="E1923" s="67" t="s">
        <v>81</v>
      </c>
      <c r="F1923" s="52" t="s">
        <v>98</v>
      </c>
      <c r="G1923" s="52" t="s">
        <v>4</v>
      </c>
    </row>
    <row r="1924" spans="1:7">
      <c r="A1924" s="15" t="s">
        <v>2291</v>
      </c>
      <c r="B1924" s="63" t="s">
        <v>147</v>
      </c>
      <c r="C1924" s="64">
        <v>23</v>
      </c>
      <c r="D1924" s="65">
        <v>2.31</v>
      </c>
      <c r="E1924" s="67" t="s">
        <v>81</v>
      </c>
      <c r="F1924" s="52" t="s">
        <v>85</v>
      </c>
      <c r="G1924" s="52" t="s">
        <v>4</v>
      </c>
    </row>
    <row r="1925" spans="1:7">
      <c r="A1925" s="15" t="s">
        <v>2292</v>
      </c>
      <c r="B1925" s="63" t="s">
        <v>147</v>
      </c>
      <c r="C1925" s="64">
        <v>24</v>
      </c>
      <c r="D1925" s="65">
        <v>3.1</v>
      </c>
      <c r="E1925" s="67" t="s">
        <v>100</v>
      </c>
      <c r="F1925" s="52" t="s">
        <v>90</v>
      </c>
      <c r="G1925" s="52" t="s">
        <v>3</v>
      </c>
    </row>
    <row r="1926" spans="1:7">
      <c r="A1926" s="15" t="s">
        <v>2293</v>
      </c>
      <c r="B1926" s="63" t="s">
        <v>147</v>
      </c>
      <c r="C1926" s="64">
        <v>25</v>
      </c>
      <c r="D1926" s="65">
        <v>4.0999999999999996</v>
      </c>
      <c r="E1926" s="67" t="s">
        <v>96</v>
      </c>
      <c r="F1926" s="52" t="s">
        <v>94</v>
      </c>
      <c r="G1926" s="52" t="s">
        <v>3</v>
      </c>
    </row>
    <row r="1927" spans="1:7">
      <c r="A1927" s="15" t="s">
        <v>2294</v>
      </c>
      <c r="B1927" s="63" t="s">
        <v>147</v>
      </c>
      <c r="C1927" s="64">
        <v>26</v>
      </c>
      <c r="D1927" s="65">
        <v>2.1</v>
      </c>
      <c r="E1927" s="67" t="s">
        <v>76</v>
      </c>
      <c r="F1927" s="52" t="s">
        <v>82</v>
      </c>
      <c r="G1927" s="52" t="s">
        <v>0</v>
      </c>
    </row>
    <row r="1928" spans="1:7">
      <c r="A1928" s="15" t="s">
        <v>2295</v>
      </c>
      <c r="B1928" s="63" t="s">
        <v>147</v>
      </c>
      <c r="C1928" s="64">
        <v>27</v>
      </c>
      <c r="D1928" s="65">
        <v>2.31</v>
      </c>
      <c r="E1928" s="67" t="s">
        <v>81</v>
      </c>
      <c r="F1928" s="52" t="s">
        <v>85</v>
      </c>
      <c r="G1928" s="52" t="s">
        <v>2</v>
      </c>
    </row>
    <row r="1929" spans="1:7">
      <c r="A1929" s="15" t="s">
        <v>2296</v>
      </c>
      <c r="B1929" s="63" t="s">
        <v>147</v>
      </c>
      <c r="C1929" s="64">
        <v>28</v>
      </c>
      <c r="D1929" s="65">
        <v>5.0999999999999996</v>
      </c>
      <c r="E1929" s="67" t="s">
        <v>76</v>
      </c>
      <c r="F1929" s="52" t="s">
        <v>97</v>
      </c>
      <c r="G1929" s="52" t="s">
        <v>4</v>
      </c>
    </row>
    <row r="1930" spans="1:7">
      <c r="A1930" s="15" t="s">
        <v>2297</v>
      </c>
      <c r="B1930" s="63" t="s">
        <v>147</v>
      </c>
      <c r="C1930" s="64">
        <v>29</v>
      </c>
      <c r="D1930" s="65">
        <v>4.0999999999999996</v>
      </c>
      <c r="E1930" s="67" t="s">
        <v>81</v>
      </c>
      <c r="F1930" s="52" t="s">
        <v>94</v>
      </c>
      <c r="G1930" s="52" t="s">
        <v>4</v>
      </c>
    </row>
    <row r="1931" spans="1:7">
      <c r="A1931" s="15" t="s">
        <v>2298</v>
      </c>
      <c r="B1931" s="63" t="s">
        <v>147</v>
      </c>
      <c r="C1931" s="64">
        <v>30</v>
      </c>
      <c r="D1931" s="65">
        <v>3.2</v>
      </c>
      <c r="E1931" s="67" t="s">
        <v>81</v>
      </c>
      <c r="F1931" s="52" t="s">
        <v>91</v>
      </c>
      <c r="G1931" s="52" t="s">
        <v>2</v>
      </c>
    </row>
    <row r="1932" spans="1:7">
      <c r="A1932" s="15" t="s">
        <v>2299</v>
      </c>
      <c r="B1932" s="63" t="s">
        <v>147</v>
      </c>
      <c r="C1932" s="64">
        <v>31</v>
      </c>
      <c r="D1932" s="65">
        <v>5.0999999999999996</v>
      </c>
      <c r="E1932" s="67" t="s">
        <v>81</v>
      </c>
      <c r="F1932" s="52" t="s">
        <v>97</v>
      </c>
      <c r="G1932" s="52" t="s">
        <v>1</v>
      </c>
    </row>
    <row r="1933" spans="1:7">
      <c r="A1933" s="15" t="s">
        <v>2300</v>
      </c>
      <c r="B1933" s="63" t="s">
        <v>147</v>
      </c>
      <c r="C1933" s="64">
        <v>32</v>
      </c>
      <c r="D1933" s="65">
        <v>4.0999999999999996</v>
      </c>
      <c r="E1933" s="67" t="s">
        <v>81</v>
      </c>
      <c r="F1933" s="52" t="s">
        <v>94</v>
      </c>
      <c r="G1933" s="52" t="s">
        <v>2</v>
      </c>
    </row>
    <row r="1934" spans="1:7">
      <c r="A1934" s="15" t="s">
        <v>2301</v>
      </c>
      <c r="B1934" s="63" t="s">
        <v>147</v>
      </c>
      <c r="C1934" s="64">
        <v>33</v>
      </c>
      <c r="D1934" s="65">
        <v>2.2000000000000002</v>
      </c>
      <c r="E1934" s="67" t="s">
        <v>81</v>
      </c>
      <c r="F1934" s="52" t="s">
        <v>83</v>
      </c>
      <c r="G1934" s="52" t="s">
        <v>4</v>
      </c>
    </row>
    <row r="1935" spans="1:7">
      <c r="A1935" s="15" t="s">
        <v>2302</v>
      </c>
      <c r="B1935" s="63" t="s">
        <v>147</v>
      </c>
      <c r="C1935" s="64">
        <v>34</v>
      </c>
      <c r="D1935" s="65">
        <v>1.1000000000000001</v>
      </c>
      <c r="E1935" s="67" t="s">
        <v>28</v>
      </c>
      <c r="F1935" s="52" t="s">
        <v>77</v>
      </c>
      <c r="G1935" s="52" t="s">
        <v>2</v>
      </c>
    </row>
    <row r="1936" spans="1:7">
      <c r="A1936" s="15" t="s">
        <v>2303</v>
      </c>
      <c r="B1936" s="63" t="s">
        <v>147</v>
      </c>
      <c r="C1936" s="64">
        <v>35</v>
      </c>
      <c r="D1936" s="65">
        <v>2.31</v>
      </c>
      <c r="E1936" s="67" t="s">
        <v>81</v>
      </c>
      <c r="F1936" s="52" t="s">
        <v>85</v>
      </c>
      <c r="G1936" s="52" t="s">
        <v>4</v>
      </c>
    </row>
    <row r="1937" spans="1:7">
      <c r="A1937" s="15" t="s">
        <v>2304</v>
      </c>
      <c r="B1937" s="63" t="s">
        <v>147</v>
      </c>
      <c r="C1937" s="64">
        <v>36</v>
      </c>
      <c r="D1937" s="65">
        <v>5.3</v>
      </c>
      <c r="E1937" s="67" t="s">
        <v>81</v>
      </c>
      <c r="F1937" s="52" t="s">
        <v>99</v>
      </c>
      <c r="G1937" s="52" t="s">
        <v>2</v>
      </c>
    </row>
    <row r="1938" spans="1:7">
      <c r="A1938" s="15" t="s">
        <v>2305</v>
      </c>
      <c r="B1938" s="63" t="s">
        <v>147</v>
      </c>
      <c r="C1938" s="64">
        <v>37</v>
      </c>
      <c r="D1938" s="65">
        <v>2.33</v>
      </c>
      <c r="E1938" s="67" t="s">
        <v>81</v>
      </c>
      <c r="F1938" s="52" t="s">
        <v>87</v>
      </c>
      <c r="G1938" s="52" t="s">
        <v>1</v>
      </c>
    </row>
    <row r="1939" spans="1:7">
      <c r="A1939" s="15" t="s">
        <v>2306</v>
      </c>
      <c r="B1939" s="63" t="s">
        <v>147</v>
      </c>
      <c r="C1939" s="64">
        <v>38</v>
      </c>
      <c r="D1939" s="65">
        <v>1.3</v>
      </c>
      <c r="E1939" s="67" t="s">
        <v>76</v>
      </c>
      <c r="F1939" s="52" t="s">
        <v>79</v>
      </c>
      <c r="G1939" s="52" t="s">
        <v>0</v>
      </c>
    </row>
    <row r="1940" spans="1:7">
      <c r="A1940" s="15" t="s">
        <v>2307</v>
      </c>
      <c r="B1940" s="63" t="s">
        <v>147</v>
      </c>
      <c r="C1940" s="64">
        <v>39</v>
      </c>
      <c r="D1940" s="65">
        <v>3.2</v>
      </c>
      <c r="E1940" s="67" t="s">
        <v>96</v>
      </c>
      <c r="F1940" s="52" t="s">
        <v>91</v>
      </c>
      <c r="G1940" s="52" t="s">
        <v>0</v>
      </c>
    </row>
    <row r="1941" spans="1:7">
      <c r="A1941" s="15" t="s">
        <v>2308</v>
      </c>
      <c r="B1941" s="63" t="s">
        <v>147</v>
      </c>
      <c r="C1941" s="64">
        <v>40</v>
      </c>
      <c r="D1941" s="65">
        <v>2.31</v>
      </c>
      <c r="E1941" s="67" t="s">
        <v>100</v>
      </c>
      <c r="F1941" s="52" t="s">
        <v>85</v>
      </c>
      <c r="G1941" s="52" t="s">
        <v>0</v>
      </c>
    </row>
    <row r="1942" spans="1:7">
      <c r="A1942" s="15" t="s">
        <v>2309</v>
      </c>
      <c r="B1942" s="63" t="s">
        <v>147</v>
      </c>
      <c r="C1942" s="64">
        <v>41</v>
      </c>
      <c r="D1942" s="65">
        <v>2.3199999999999998</v>
      </c>
      <c r="E1942" s="67" t="s">
        <v>81</v>
      </c>
      <c r="F1942" s="52" t="s">
        <v>86</v>
      </c>
      <c r="G1942" s="52" t="s">
        <v>1</v>
      </c>
    </row>
    <row r="1943" spans="1:7">
      <c r="A1943" s="15" t="s">
        <v>2310</v>
      </c>
      <c r="B1943" s="63" t="s">
        <v>147</v>
      </c>
      <c r="C1943" s="64">
        <v>42</v>
      </c>
      <c r="D1943" s="65">
        <v>2.1</v>
      </c>
      <c r="E1943" s="67" t="s">
        <v>96</v>
      </c>
      <c r="F1943" s="52" t="s">
        <v>82</v>
      </c>
      <c r="G1943" s="52" t="s">
        <v>2</v>
      </c>
    </row>
    <row r="1944" spans="1:7">
      <c r="A1944" s="15" t="s">
        <v>2311</v>
      </c>
      <c r="B1944" s="63" t="s">
        <v>147</v>
      </c>
      <c r="C1944" s="64">
        <v>43</v>
      </c>
      <c r="D1944" s="65">
        <v>3.1</v>
      </c>
      <c r="E1944" s="67" t="s">
        <v>76</v>
      </c>
      <c r="F1944" s="52" t="s">
        <v>90</v>
      </c>
      <c r="G1944" s="52" t="s">
        <v>2</v>
      </c>
    </row>
    <row r="1945" spans="1:7">
      <c r="A1945" s="15" t="s">
        <v>2312</v>
      </c>
      <c r="B1945" s="63" t="s">
        <v>147</v>
      </c>
      <c r="C1945" s="64">
        <v>44</v>
      </c>
      <c r="D1945" s="65">
        <v>5.0999999999999996</v>
      </c>
      <c r="E1945" s="67" t="s">
        <v>96</v>
      </c>
      <c r="F1945" s="52" t="s">
        <v>97</v>
      </c>
      <c r="G1945" s="52" t="s">
        <v>0</v>
      </c>
    </row>
    <row r="1946" spans="1:7">
      <c r="A1946" s="15" t="s">
        <v>2313</v>
      </c>
      <c r="B1946" s="63" t="s">
        <v>147</v>
      </c>
      <c r="C1946" s="64">
        <v>45</v>
      </c>
      <c r="D1946" s="65">
        <v>1.6</v>
      </c>
      <c r="E1946" s="67" t="s">
        <v>81</v>
      </c>
      <c r="F1946" s="52" t="s">
        <v>27</v>
      </c>
      <c r="G1946" s="52" t="s">
        <v>3</v>
      </c>
    </row>
    <row r="1947" spans="1:7">
      <c r="A1947" s="15" t="s">
        <v>2314</v>
      </c>
      <c r="B1947" s="63" t="s">
        <v>147</v>
      </c>
      <c r="C1947" s="64">
        <v>46</v>
      </c>
      <c r="D1947" s="65">
        <v>2.31</v>
      </c>
      <c r="E1947" s="67" t="s">
        <v>81</v>
      </c>
      <c r="F1947" s="52" t="s">
        <v>85</v>
      </c>
      <c r="G1947" s="52" t="s">
        <v>1</v>
      </c>
    </row>
    <row r="1948" spans="1:7">
      <c r="A1948" s="15" t="s">
        <v>2315</v>
      </c>
      <c r="B1948" s="63" t="s">
        <v>147</v>
      </c>
      <c r="C1948" s="64">
        <v>47</v>
      </c>
      <c r="D1948" s="65">
        <v>5.2</v>
      </c>
      <c r="E1948" s="67" t="s">
        <v>100</v>
      </c>
      <c r="F1948" s="52" t="s">
        <v>98</v>
      </c>
      <c r="G1948" s="52" t="s">
        <v>4</v>
      </c>
    </row>
    <row r="1949" spans="1:7">
      <c r="A1949" s="15" t="s">
        <v>2316</v>
      </c>
      <c r="B1949" s="63" t="s">
        <v>147</v>
      </c>
      <c r="C1949" s="64">
        <v>48</v>
      </c>
      <c r="D1949" s="65">
        <v>2.35</v>
      </c>
      <c r="E1949" s="67" t="s">
        <v>76</v>
      </c>
      <c r="F1949" s="52" t="s">
        <v>89</v>
      </c>
      <c r="G1949" s="52" t="s">
        <v>4</v>
      </c>
    </row>
    <row r="1950" spans="1:7">
      <c r="A1950" s="15" t="s">
        <v>2317</v>
      </c>
      <c r="B1950" s="63" t="s">
        <v>147</v>
      </c>
      <c r="C1950" s="64">
        <v>49</v>
      </c>
      <c r="D1950" s="65">
        <v>4.0999999999999996</v>
      </c>
      <c r="E1950" s="67" t="s">
        <v>28</v>
      </c>
      <c r="F1950" s="52" t="s">
        <v>94</v>
      </c>
      <c r="G1950" s="52" t="s">
        <v>0</v>
      </c>
    </row>
    <row r="1951" spans="1:7">
      <c r="A1951" s="15" t="s">
        <v>2318</v>
      </c>
      <c r="B1951" s="63" t="s">
        <v>147</v>
      </c>
      <c r="C1951" s="64">
        <v>50</v>
      </c>
      <c r="D1951" s="65">
        <v>4.2</v>
      </c>
      <c r="E1951" s="67" t="s">
        <v>81</v>
      </c>
      <c r="F1951" s="52" t="s">
        <v>95</v>
      </c>
      <c r="G1951" s="52" t="s">
        <v>2</v>
      </c>
    </row>
    <row r="1952" spans="1:7">
      <c r="A1952" s="15" t="s">
        <v>2319</v>
      </c>
      <c r="B1952" s="63" t="s">
        <v>148</v>
      </c>
      <c r="C1952" s="64">
        <v>1</v>
      </c>
      <c r="D1952" s="65">
        <v>1.5</v>
      </c>
      <c r="E1952" s="67" t="s">
        <v>81</v>
      </c>
      <c r="F1952" s="52" t="s">
        <v>80</v>
      </c>
      <c r="G1952" s="52" t="s">
        <v>4</v>
      </c>
    </row>
    <row r="1953" spans="1:7">
      <c r="A1953" s="15" t="s">
        <v>2320</v>
      </c>
      <c r="B1953" s="63" t="s">
        <v>148</v>
      </c>
      <c r="C1953" s="64">
        <v>2</v>
      </c>
      <c r="D1953" s="65">
        <v>1.4</v>
      </c>
      <c r="E1953" s="67" t="s">
        <v>81</v>
      </c>
      <c r="F1953" s="52" t="s">
        <v>30</v>
      </c>
      <c r="G1953" s="52" t="s">
        <v>0</v>
      </c>
    </row>
    <row r="1954" spans="1:7">
      <c r="A1954" s="15" t="s">
        <v>2321</v>
      </c>
      <c r="B1954" s="63" t="s">
        <v>148</v>
      </c>
      <c r="C1954" s="64">
        <v>3</v>
      </c>
      <c r="D1954" s="65">
        <v>3.1</v>
      </c>
      <c r="E1954" s="67" t="s">
        <v>81</v>
      </c>
      <c r="F1954" s="52" t="s">
        <v>90</v>
      </c>
      <c r="G1954" s="52" t="s">
        <v>2</v>
      </c>
    </row>
    <row r="1955" spans="1:7">
      <c r="A1955" s="15" t="s">
        <v>2322</v>
      </c>
      <c r="B1955" s="63" t="s">
        <v>148</v>
      </c>
      <c r="C1955" s="64">
        <v>4</v>
      </c>
      <c r="D1955" s="65">
        <v>1.5</v>
      </c>
      <c r="E1955" s="67" t="s">
        <v>81</v>
      </c>
      <c r="F1955" s="52" t="s">
        <v>80</v>
      </c>
      <c r="G1955" s="52" t="s">
        <v>1</v>
      </c>
    </row>
    <row r="1956" spans="1:7">
      <c r="A1956" s="15" t="s">
        <v>2323</v>
      </c>
      <c r="B1956" s="63" t="s">
        <v>148</v>
      </c>
      <c r="C1956" s="64">
        <v>5</v>
      </c>
      <c r="D1956" s="65">
        <v>4.0999999999999996</v>
      </c>
      <c r="E1956" s="67" t="s">
        <v>28</v>
      </c>
      <c r="F1956" s="52" t="s">
        <v>94</v>
      </c>
      <c r="G1956" s="52" t="s">
        <v>3</v>
      </c>
    </row>
    <row r="1957" spans="1:7">
      <c r="A1957" s="15" t="s">
        <v>2324</v>
      </c>
      <c r="B1957" s="63" t="s">
        <v>148</v>
      </c>
      <c r="C1957" s="64">
        <v>6</v>
      </c>
      <c r="D1957" s="65">
        <v>5.0999999999999996</v>
      </c>
      <c r="E1957" s="67" t="s">
        <v>81</v>
      </c>
      <c r="F1957" s="52" t="s">
        <v>97</v>
      </c>
      <c r="G1957" s="52" t="s">
        <v>1</v>
      </c>
    </row>
    <row r="1958" spans="1:7">
      <c r="A1958" s="15" t="s">
        <v>2325</v>
      </c>
      <c r="B1958" s="63" t="s">
        <v>148</v>
      </c>
      <c r="C1958" s="64">
        <v>7</v>
      </c>
      <c r="D1958" s="65">
        <v>5.3</v>
      </c>
      <c r="E1958" s="67" t="s">
        <v>81</v>
      </c>
      <c r="F1958" s="52" t="s">
        <v>99</v>
      </c>
      <c r="G1958" s="52" t="s">
        <v>4</v>
      </c>
    </row>
    <row r="1959" spans="1:7">
      <c r="A1959" s="15" t="s">
        <v>2326</v>
      </c>
      <c r="B1959" s="63" t="s">
        <v>148</v>
      </c>
      <c r="C1959" s="64">
        <v>8</v>
      </c>
      <c r="D1959" s="65">
        <v>1.3</v>
      </c>
      <c r="E1959" s="67" t="s">
        <v>81</v>
      </c>
      <c r="F1959" s="52" t="s">
        <v>79</v>
      </c>
      <c r="G1959" s="52" t="s">
        <v>1</v>
      </c>
    </row>
    <row r="1960" spans="1:7">
      <c r="A1960" s="15" t="s">
        <v>2327</v>
      </c>
      <c r="B1960" s="63" t="s">
        <v>148</v>
      </c>
      <c r="C1960" s="64">
        <v>9</v>
      </c>
      <c r="D1960" s="65">
        <v>6.3</v>
      </c>
      <c r="E1960" s="67" t="s">
        <v>28</v>
      </c>
      <c r="F1960" s="52" t="s">
        <v>103</v>
      </c>
      <c r="G1960" s="52" t="s">
        <v>2</v>
      </c>
    </row>
    <row r="1961" spans="1:7">
      <c r="A1961" s="15" t="s">
        <v>2328</v>
      </c>
      <c r="B1961" s="63" t="s">
        <v>148</v>
      </c>
      <c r="C1961" s="64">
        <v>10</v>
      </c>
      <c r="D1961" s="65">
        <v>1.3</v>
      </c>
      <c r="E1961" s="67" t="s">
        <v>81</v>
      </c>
      <c r="F1961" s="52" t="s">
        <v>79</v>
      </c>
      <c r="G1961" s="52" t="s">
        <v>4</v>
      </c>
    </row>
    <row r="1962" spans="1:7">
      <c r="A1962" s="15" t="s">
        <v>2329</v>
      </c>
      <c r="B1962" s="63" t="s">
        <v>148</v>
      </c>
      <c r="C1962" s="64">
        <v>11</v>
      </c>
      <c r="D1962" s="65">
        <v>2.1</v>
      </c>
      <c r="E1962" s="67" t="s">
        <v>81</v>
      </c>
      <c r="F1962" s="52" t="s">
        <v>82</v>
      </c>
      <c r="G1962" s="52" t="s">
        <v>0</v>
      </c>
    </row>
    <row r="1963" spans="1:7">
      <c r="A1963" s="15" t="s">
        <v>2330</v>
      </c>
      <c r="B1963" s="63" t="s">
        <v>148</v>
      </c>
      <c r="C1963" s="64">
        <v>12</v>
      </c>
      <c r="D1963" s="65">
        <v>2.2000000000000002</v>
      </c>
      <c r="E1963" s="67" t="s">
        <v>81</v>
      </c>
      <c r="F1963" s="52" t="s">
        <v>83</v>
      </c>
      <c r="G1963" s="52" t="s">
        <v>3</v>
      </c>
    </row>
    <row r="1964" spans="1:7">
      <c r="A1964" s="15" t="s">
        <v>2331</v>
      </c>
      <c r="B1964" s="63" t="s">
        <v>148</v>
      </c>
      <c r="C1964" s="64">
        <v>13</v>
      </c>
      <c r="D1964" s="65">
        <v>2.33</v>
      </c>
      <c r="E1964" s="67" t="s">
        <v>96</v>
      </c>
      <c r="F1964" s="52" t="s">
        <v>87</v>
      </c>
      <c r="G1964" s="52" t="s">
        <v>2</v>
      </c>
    </row>
    <row r="1965" spans="1:7">
      <c r="A1965" s="15" t="s">
        <v>2332</v>
      </c>
      <c r="B1965" s="63" t="s">
        <v>148</v>
      </c>
      <c r="C1965" s="64">
        <v>14</v>
      </c>
      <c r="D1965" s="65">
        <v>3.1</v>
      </c>
      <c r="E1965" s="67" t="s">
        <v>81</v>
      </c>
      <c r="F1965" s="52" t="s">
        <v>90</v>
      </c>
      <c r="G1965" s="52" t="s">
        <v>0</v>
      </c>
    </row>
    <row r="1966" spans="1:7">
      <c r="A1966" s="15" t="s">
        <v>2333</v>
      </c>
      <c r="B1966" s="63" t="s">
        <v>148</v>
      </c>
      <c r="C1966" s="64">
        <v>15</v>
      </c>
      <c r="D1966" s="65">
        <v>2.1</v>
      </c>
      <c r="E1966" s="67" t="s">
        <v>81</v>
      </c>
      <c r="F1966" s="52" t="s">
        <v>82</v>
      </c>
      <c r="G1966" s="52" t="s">
        <v>3</v>
      </c>
    </row>
    <row r="1967" spans="1:7">
      <c r="A1967" s="15" t="s">
        <v>2334</v>
      </c>
      <c r="B1967" s="63" t="s">
        <v>148</v>
      </c>
      <c r="C1967" s="64">
        <v>16</v>
      </c>
      <c r="D1967" s="65">
        <v>5.0999999999999996</v>
      </c>
      <c r="E1967" s="67" t="s">
        <v>81</v>
      </c>
      <c r="F1967" s="52" t="s">
        <v>97</v>
      </c>
      <c r="G1967" s="52" t="s">
        <v>1</v>
      </c>
    </row>
    <row r="1968" spans="1:7">
      <c r="A1968" s="15" t="s">
        <v>2335</v>
      </c>
      <c r="B1968" s="63" t="s">
        <v>148</v>
      </c>
      <c r="C1968" s="64">
        <v>17</v>
      </c>
      <c r="D1968" s="65">
        <v>2.35</v>
      </c>
      <c r="E1968" s="67" t="s">
        <v>81</v>
      </c>
      <c r="F1968" s="52" t="s">
        <v>89</v>
      </c>
      <c r="G1968" s="52" t="s">
        <v>2</v>
      </c>
    </row>
    <row r="1969" spans="1:7">
      <c r="A1969" s="15" t="s">
        <v>2336</v>
      </c>
      <c r="B1969" s="63" t="s">
        <v>148</v>
      </c>
      <c r="C1969" s="64">
        <v>18</v>
      </c>
      <c r="D1969" s="65">
        <v>2.2000000000000002</v>
      </c>
      <c r="E1969" s="67" t="s">
        <v>28</v>
      </c>
      <c r="F1969" s="52" t="s">
        <v>83</v>
      </c>
      <c r="G1969" s="52" t="s">
        <v>3</v>
      </c>
    </row>
    <row r="1970" spans="1:7">
      <c r="A1970" s="15" t="s">
        <v>2337</v>
      </c>
      <c r="B1970" s="63" t="s">
        <v>148</v>
      </c>
      <c r="C1970" s="64">
        <v>19</v>
      </c>
      <c r="D1970" s="65">
        <v>3.1</v>
      </c>
      <c r="E1970" s="67" t="s">
        <v>81</v>
      </c>
      <c r="F1970" s="52" t="s">
        <v>90</v>
      </c>
      <c r="G1970" s="52" t="s">
        <v>0</v>
      </c>
    </row>
    <row r="1971" spans="1:7">
      <c r="A1971" s="15" t="s">
        <v>2338</v>
      </c>
      <c r="B1971" s="63" t="s">
        <v>148</v>
      </c>
      <c r="C1971" s="64">
        <v>20</v>
      </c>
      <c r="D1971" s="65">
        <v>5.0999999999999996</v>
      </c>
      <c r="E1971" s="67" t="s">
        <v>28</v>
      </c>
      <c r="F1971" s="52" t="s">
        <v>97</v>
      </c>
      <c r="G1971" s="52" t="s">
        <v>2</v>
      </c>
    </row>
    <row r="1972" spans="1:7">
      <c r="A1972" s="15" t="s">
        <v>2339</v>
      </c>
      <c r="B1972" s="63" t="s">
        <v>148</v>
      </c>
      <c r="C1972" s="64">
        <v>21</v>
      </c>
      <c r="D1972" s="65">
        <v>2.2000000000000002</v>
      </c>
      <c r="E1972" s="67" t="s">
        <v>81</v>
      </c>
      <c r="F1972" s="52" t="s">
        <v>83</v>
      </c>
      <c r="G1972" s="52" t="s">
        <v>1</v>
      </c>
    </row>
    <row r="1973" spans="1:7">
      <c r="A1973" s="15" t="s">
        <v>2340</v>
      </c>
      <c r="B1973" s="63" t="s">
        <v>148</v>
      </c>
      <c r="C1973" s="64">
        <v>22</v>
      </c>
      <c r="D1973" s="65">
        <v>2.35</v>
      </c>
      <c r="E1973" s="67" t="s">
        <v>81</v>
      </c>
      <c r="F1973" s="52" t="s">
        <v>89</v>
      </c>
      <c r="G1973" s="52" t="s">
        <v>4</v>
      </c>
    </row>
    <row r="1974" spans="1:7">
      <c r="A1974" s="15" t="s">
        <v>2341</v>
      </c>
      <c r="B1974" s="63" t="s">
        <v>148</v>
      </c>
      <c r="C1974" s="64">
        <v>23</v>
      </c>
      <c r="D1974" s="65">
        <v>2.31</v>
      </c>
      <c r="E1974" s="67" t="s">
        <v>81</v>
      </c>
      <c r="F1974" s="52" t="s">
        <v>85</v>
      </c>
      <c r="G1974" s="52" t="s">
        <v>3</v>
      </c>
    </row>
    <row r="1975" spans="1:7">
      <c r="A1975" s="15" t="s">
        <v>2342</v>
      </c>
      <c r="B1975" s="63" t="s">
        <v>148</v>
      </c>
      <c r="C1975" s="64">
        <v>24</v>
      </c>
      <c r="D1975" s="65">
        <v>6.1</v>
      </c>
      <c r="E1975" s="67" t="s">
        <v>28</v>
      </c>
      <c r="F1975" s="52" t="s">
        <v>101</v>
      </c>
      <c r="G1975" s="52" t="s">
        <v>0</v>
      </c>
    </row>
    <row r="1976" spans="1:7">
      <c r="A1976" s="15" t="s">
        <v>2343</v>
      </c>
      <c r="B1976" s="63" t="s">
        <v>148</v>
      </c>
      <c r="C1976" s="64">
        <v>25</v>
      </c>
      <c r="D1976" s="65">
        <v>5.0999999999999996</v>
      </c>
      <c r="E1976" s="67" t="s">
        <v>81</v>
      </c>
      <c r="F1976" s="52" t="s">
        <v>97</v>
      </c>
      <c r="G1976" s="52" t="s">
        <v>3</v>
      </c>
    </row>
    <row r="1977" spans="1:7">
      <c r="A1977" s="15" t="s">
        <v>2344</v>
      </c>
      <c r="B1977" s="63" t="s">
        <v>148</v>
      </c>
      <c r="C1977" s="64">
        <v>26</v>
      </c>
      <c r="D1977" s="65">
        <v>1.5</v>
      </c>
      <c r="E1977" s="67" t="s">
        <v>93</v>
      </c>
      <c r="F1977" s="52" t="s">
        <v>80</v>
      </c>
      <c r="G1977" s="52" t="s">
        <v>4</v>
      </c>
    </row>
    <row r="1978" spans="1:7">
      <c r="A1978" s="15" t="s">
        <v>2345</v>
      </c>
      <c r="B1978" s="63" t="s">
        <v>148</v>
      </c>
      <c r="C1978" s="64">
        <v>27</v>
      </c>
      <c r="D1978" s="65">
        <v>2.34</v>
      </c>
      <c r="E1978" s="67" t="s">
        <v>81</v>
      </c>
      <c r="F1978" s="52" t="s">
        <v>88</v>
      </c>
      <c r="G1978" s="52" t="s">
        <v>4</v>
      </c>
    </row>
    <row r="1979" spans="1:7">
      <c r="A1979" s="15" t="s">
        <v>2346</v>
      </c>
      <c r="B1979" s="63" t="s">
        <v>148</v>
      </c>
      <c r="C1979" s="64">
        <v>28</v>
      </c>
      <c r="D1979" s="65">
        <v>1.3</v>
      </c>
      <c r="E1979" s="67" t="s">
        <v>96</v>
      </c>
      <c r="F1979" s="52" t="s">
        <v>79</v>
      </c>
      <c r="G1979" s="52" t="s">
        <v>0</v>
      </c>
    </row>
    <row r="1980" spans="1:7">
      <c r="A1980" s="15" t="s">
        <v>2347</v>
      </c>
      <c r="B1980" s="63" t="s">
        <v>148</v>
      </c>
      <c r="C1980" s="64">
        <v>29</v>
      </c>
      <c r="D1980" s="65">
        <v>2.1</v>
      </c>
      <c r="E1980" s="67" t="s">
        <v>81</v>
      </c>
      <c r="F1980" s="52" t="s">
        <v>82</v>
      </c>
      <c r="G1980" s="52" t="s">
        <v>2</v>
      </c>
    </row>
    <row r="1981" spans="1:7">
      <c r="A1981" s="15" t="s">
        <v>2348</v>
      </c>
      <c r="B1981" s="63" t="s">
        <v>148</v>
      </c>
      <c r="C1981" s="64">
        <v>30</v>
      </c>
      <c r="D1981" s="65">
        <v>2.31</v>
      </c>
      <c r="E1981" s="67" t="s">
        <v>93</v>
      </c>
      <c r="F1981" s="52" t="s">
        <v>85</v>
      </c>
      <c r="G1981" s="52" t="s">
        <v>1</v>
      </c>
    </row>
    <row r="1982" spans="1:7">
      <c r="A1982" s="15" t="s">
        <v>2349</v>
      </c>
      <c r="B1982" s="63" t="s">
        <v>148</v>
      </c>
      <c r="C1982" s="64">
        <v>31</v>
      </c>
      <c r="D1982" s="65">
        <v>2.31</v>
      </c>
      <c r="E1982" s="67" t="s">
        <v>96</v>
      </c>
      <c r="F1982" s="52" t="s">
        <v>85</v>
      </c>
      <c r="G1982" s="52" t="s">
        <v>2</v>
      </c>
    </row>
    <row r="1983" spans="1:7">
      <c r="A1983" s="15" t="s">
        <v>2350</v>
      </c>
      <c r="B1983" s="63" t="s">
        <v>148</v>
      </c>
      <c r="C1983" s="64">
        <v>32</v>
      </c>
      <c r="D1983" s="65">
        <v>2.31</v>
      </c>
      <c r="E1983" s="67" t="s">
        <v>100</v>
      </c>
      <c r="F1983" s="52" t="s">
        <v>85</v>
      </c>
      <c r="G1983" s="52" t="s">
        <v>4</v>
      </c>
    </row>
    <row r="1984" spans="1:7">
      <c r="A1984" s="15" t="s">
        <v>2351</v>
      </c>
      <c r="B1984" s="63" t="s">
        <v>148</v>
      </c>
      <c r="C1984" s="64">
        <v>33</v>
      </c>
      <c r="D1984" s="65">
        <v>2.35</v>
      </c>
      <c r="E1984" s="67" t="s">
        <v>93</v>
      </c>
      <c r="F1984" s="52" t="s">
        <v>89</v>
      </c>
      <c r="G1984" s="52" t="s">
        <v>1</v>
      </c>
    </row>
    <row r="1985" spans="1:7">
      <c r="A1985" s="15" t="s">
        <v>2352</v>
      </c>
      <c r="B1985" s="63" t="s">
        <v>148</v>
      </c>
      <c r="C1985" s="64">
        <v>34</v>
      </c>
      <c r="D1985" s="65">
        <v>3.2</v>
      </c>
      <c r="E1985" s="67" t="s">
        <v>81</v>
      </c>
      <c r="F1985" s="52" t="s">
        <v>91</v>
      </c>
      <c r="G1985" s="52" t="s">
        <v>0</v>
      </c>
    </row>
    <row r="1986" spans="1:7">
      <c r="A1986" s="15" t="s">
        <v>2353</v>
      </c>
      <c r="B1986" s="63" t="s">
        <v>148</v>
      </c>
      <c r="C1986" s="64">
        <v>35</v>
      </c>
      <c r="D1986" s="65">
        <v>2.34</v>
      </c>
      <c r="E1986" s="67" t="s">
        <v>81</v>
      </c>
      <c r="F1986" s="52" t="s">
        <v>88</v>
      </c>
      <c r="G1986" s="52" t="s">
        <v>2</v>
      </c>
    </row>
    <row r="1987" spans="1:7">
      <c r="A1987" s="15" t="s">
        <v>2354</v>
      </c>
      <c r="B1987" s="63" t="s">
        <v>148</v>
      </c>
      <c r="C1987" s="64">
        <v>36</v>
      </c>
      <c r="D1987" s="65">
        <v>2.1</v>
      </c>
      <c r="E1987" s="67" t="s">
        <v>81</v>
      </c>
      <c r="F1987" s="52" t="s">
        <v>82</v>
      </c>
      <c r="G1987" s="52" t="s">
        <v>4</v>
      </c>
    </row>
    <row r="1988" spans="1:7">
      <c r="A1988" s="15" t="s">
        <v>2355</v>
      </c>
      <c r="B1988" s="63" t="s">
        <v>148</v>
      </c>
      <c r="C1988" s="64">
        <v>37</v>
      </c>
      <c r="D1988" s="65">
        <v>2.3199999999999998</v>
      </c>
      <c r="E1988" s="67" t="s">
        <v>76</v>
      </c>
      <c r="F1988" s="52" t="s">
        <v>86</v>
      </c>
      <c r="G1988" s="52" t="s">
        <v>3</v>
      </c>
    </row>
    <row r="1989" spans="1:7">
      <c r="A1989" s="15" t="s">
        <v>2356</v>
      </c>
      <c r="B1989" s="63" t="s">
        <v>148</v>
      </c>
      <c r="C1989" s="64">
        <v>38</v>
      </c>
      <c r="D1989" s="65">
        <v>1.3</v>
      </c>
      <c r="E1989" s="67" t="s">
        <v>76</v>
      </c>
      <c r="F1989" s="52" t="s">
        <v>79</v>
      </c>
      <c r="G1989" s="52" t="s">
        <v>2</v>
      </c>
    </row>
    <row r="1990" spans="1:7">
      <c r="A1990" s="15" t="s">
        <v>2357</v>
      </c>
      <c r="B1990" s="63" t="s">
        <v>148</v>
      </c>
      <c r="C1990" s="64">
        <v>39</v>
      </c>
      <c r="D1990" s="65">
        <v>5.0999999999999996</v>
      </c>
      <c r="E1990" s="67" t="s">
        <v>96</v>
      </c>
      <c r="F1990" s="52" t="s">
        <v>97</v>
      </c>
      <c r="G1990" s="52" t="s">
        <v>4</v>
      </c>
    </row>
    <row r="1991" spans="1:7">
      <c r="A1991" s="15" t="s">
        <v>2358</v>
      </c>
      <c r="B1991" s="63" t="s">
        <v>148</v>
      </c>
      <c r="C1991" s="64">
        <v>40</v>
      </c>
      <c r="D1991" s="65">
        <v>6.3</v>
      </c>
      <c r="E1991" s="67" t="s">
        <v>81</v>
      </c>
      <c r="F1991" s="52" t="s">
        <v>103</v>
      </c>
      <c r="G1991" s="52" t="s">
        <v>0</v>
      </c>
    </row>
    <row r="1992" spans="1:7">
      <c r="A1992" s="15" t="s">
        <v>2359</v>
      </c>
      <c r="B1992" s="63" t="s">
        <v>148</v>
      </c>
      <c r="C1992" s="64">
        <v>41</v>
      </c>
      <c r="D1992" s="65">
        <v>2.1</v>
      </c>
      <c r="E1992" s="67" t="s">
        <v>96</v>
      </c>
      <c r="F1992" s="52" t="s">
        <v>82</v>
      </c>
      <c r="G1992" s="52" t="s">
        <v>1</v>
      </c>
    </row>
    <row r="1993" spans="1:7">
      <c r="A1993" s="15" t="s">
        <v>2360</v>
      </c>
      <c r="B1993" s="63" t="s">
        <v>148</v>
      </c>
      <c r="C1993" s="64">
        <v>42</v>
      </c>
      <c r="D1993" s="65">
        <v>5.2</v>
      </c>
      <c r="E1993" s="67" t="s">
        <v>100</v>
      </c>
      <c r="F1993" s="52" t="s">
        <v>98</v>
      </c>
      <c r="G1993" s="52" t="s">
        <v>3</v>
      </c>
    </row>
    <row r="1994" spans="1:7">
      <c r="A1994" s="15" t="s">
        <v>2361</v>
      </c>
      <c r="B1994" s="63" t="s">
        <v>148</v>
      </c>
      <c r="C1994" s="64">
        <v>43</v>
      </c>
      <c r="D1994" s="65">
        <v>1.3</v>
      </c>
      <c r="E1994" s="67" t="s">
        <v>81</v>
      </c>
      <c r="F1994" s="52" t="s">
        <v>79</v>
      </c>
      <c r="G1994" s="52" t="s">
        <v>2</v>
      </c>
    </row>
    <row r="1995" spans="1:7">
      <c r="A1995" s="15" t="s">
        <v>2362</v>
      </c>
      <c r="B1995" s="63" t="s">
        <v>148</v>
      </c>
      <c r="C1995" s="64">
        <v>44</v>
      </c>
      <c r="D1995" s="65">
        <v>5.0999999999999996</v>
      </c>
      <c r="E1995" s="67" t="s">
        <v>81</v>
      </c>
      <c r="F1995" s="52" t="s">
        <v>97</v>
      </c>
      <c r="G1995" s="52" t="s">
        <v>0</v>
      </c>
    </row>
    <row r="1996" spans="1:7">
      <c r="A1996" s="15" t="s">
        <v>2363</v>
      </c>
      <c r="B1996" s="63" t="s">
        <v>148</v>
      </c>
      <c r="C1996" s="64">
        <v>45</v>
      </c>
      <c r="D1996" s="65">
        <v>2.2000000000000002</v>
      </c>
      <c r="E1996" s="67" t="s">
        <v>100</v>
      </c>
      <c r="F1996" s="52" t="s">
        <v>83</v>
      </c>
      <c r="G1996" s="52" t="s">
        <v>1</v>
      </c>
    </row>
    <row r="1997" spans="1:7">
      <c r="A1997" s="15" t="s">
        <v>2364</v>
      </c>
      <c r="B1997" s="63" t="s">
        <v>148</v>
      </c>
      <c r="C1997" s="64">
        <v>46</v>
      </c>
      <c r="D1997" s="65">
        <v>2.35</v>
      </c>
      <c r="E1997" s="67" t="s">
        <v>100</v>
      </c>
      <c r="F1997" s="52" t="s">
        <v>89</v>
      </c>
      <c r="G1997" s="52" t="s">
        <v>1</v>
      </c>
    </row>
    <row r="1998" spans="1:7">
      <c r="A1998" s="15" t="s">
        <v>2365</v>
      </c>
      <c r="B1998" s="63" t="s">
        <v>148</v>
      </c>
      <c r="C1998" s="64">
        <v>47</v>
      </c>
      <c r="D1998" s="65">
        <v>6.3</v>
      </c>
      <c r="E1998" s="67" t="s">
        <v>100</v>
      </c>
      <c r="F1998" s="52" t="s">
        <v>103</v>
      </c>
      <c r="G1998" s="52" t="s">
        <v>2</v>
      </c>
    </row>
    <row r="1999" spans="1:7">
      <c r="A1999" s="15" t="s">
        <v>2366</v>
      </c>
      <c r="B1999" s="63" t="s">
        <v>148</v>
      </c>
      <c r="C1999" s="64">
        <v>48</v>
      </c>
      <c r="D1999" s="65">
        <v>1.2</v>
      </c>
      <c r="E1999" s="67" t="s">
        <v>76</v>
      </c>
      <c r="F1999" s="52" t="s">
        <v>78</v>
      </c>
      <c r="G1999" s="52" t="s">
        <v>2</v>
      </c>
    </row>
    <row r="2000" spans="1:7">
      <c r="A2000" s="15" t="s">
        <v>2367</v>
      </c>
      <c r="B2000" s="63" t="s">
        <v>148</v>
      </c>
      <c r="C2000" s="64">
        <v>49</v>
      </c>
      <c r="D2000" s="65">
        <v>3.2</v>
      </c>
      <c r="E2000" s="67" t="s">
        <v>76</v>
      </c>
      <c r="F2000" s="52" t="s">
        <v>91</v>
      </c>
      <c r="G2000" s="52" t="s">
        <v>4</v>
      </c>
    </row>
    <row r="2001" spans="1:7">
      <c r="A2001" s="15" t="s">
        <v>2368</v>
      </c>
      <c r="B2001" s="63" t="s">
        <v>148</v>
      </c>
      <c r="C2001" s="64">
        <v>50</v>
      </c>
      <c r="D2001" s="65">
        <v>2.31</v>
      </c>
      <c r="E2001" s="67" t="s">
        <v>81</v>
      </c>
      <c r="F2001" s="52" t="s">
        <v>85</v>
      </c>
      <c r="G2001" s="52" t="s">
        <v>0</v>
      </c>
    </row>
    <row r="2002" spans="1:7">
      <c r="A2002" s="15" t="s">
        <v>2369</v>
      </c>
      <c r="B2002" s="63" t="s">
        <v>149</v>
      </c>
      <c r="C2002" s="64">
        <v>1</v>
      </c>
      <c r="D2002" s="66">
        <v>2.1</v>
      </c>
      <c r="E2002" s="67" t="s">
        <v>28</v>
      </c>
      <c r="F2002" s="57" t="s">
        <v>82</v>
      </c>
      <c r="G2002" s="52" t="s">
        <v>1</v>
      </c>
    </row>
    <row r="2003" spans="1:7">
      <c r="A2003" s="15" t="s">
        <v>2370</v>
      </c>
      <c r="B2003" s="63" t="s">
        <v>149</v>
      </c>
      <c r="C2003" s="64">
        <v>2</v>
      </c>
      <c r="D2003" s="65">
        <v>2.1</v>
      </c>
      <c r="E2003" s="67" t="s">
        <v>100</v>
      </c>
      <c r="F2003" s="52" t="s">
        <v>82</v>
      </c>
      <c r="G2003" s="52" t="s">
        <v>2</v>
      </c>
    </row>
    <row r="2004" spans="1:7">
      <c r="A2004" s="15" t="s">
        <v>2371</v>
      </c>
      <c r="B2004" s="63" t="s">
        <v>149</v>
      </c>
      <c r="C2004" s="64">
        <v>3</v>
      </c>
      <c r="D2004" s="65">
        <v>2.2000000000000002</v>
      </c>
      <c r="E2004" s="67" t="s">
        <v>28</v>
      </c>
      <c r="F2004" s="52" t="s">
        <v>83</v>
      </c>
      <c r="G2004" s="52" t="s">
        <v>1</v>
      </c>
    </row>
    <row r="2005" spans="1:7">
      <c r="A2005" s="15" t="s">
        <v>2372</v>
      </c>
      <c r="B2005" s="63" t="s">
        <v>149</v>
      </c>
      <c r="C2005" s="64">
        <v>4</v>
      </c>
      <c r="D2005" s="65">
        <v>1.1000000000000001</v>
      </c>
      <c r="E2005" s="67" t="s">
        <v>81</v>
      </c>
      <c r="F2005" s="52" t="s">
        <v>77</v>
      </c>
      <c r="G2005" s="52" t="s">
        <v>3</v>
      </c>
    </row>
    <row r="2006" spans="1:7">
      <c r="A2006" s="15" t="s">
        <v>2373</v>
      </c>
      <c r="B2006" s="63" t="s">
        <v>149</v>
      </c>
      <c r="C2006" s="64">
        <v>5</v>
      </c>
      <c r="D2006" s="65">
        <v>3.2</v>
      </c>
      <c r="E2006" s="67" t="s">
        <v>76</v>
      </c>
      <c r="F2006" s="52" t="s">
        <v>91</v>
      </c>
      <c r="G2006" s="52" t="s">
        <v>0</v>
      </c>
    </row>
    <row r="2007" spans="1:7">
      <c r="A2007" s="15" t="s">
        <v>2374</v>
      </c>
      <c r="B2007" s="63" t="s">
        <v>149</v>
      </c>
      <c r="C2007" s="64">
        <v>6</v>
      </c>
      <c r="D2007" s="65">
        <v>2.2000000000000002</v>
      </c>
      <c r="E2007" s="67" t="s">
        <v>28</v>
      </c>
      <c r="F2007" s="52" t="s">
        <v>83</v>
      </c>
      <c r="G2007" s="52" t="s">
        <v>0</v>
      </c>
    </row>
    <row r="2008" spans="1:7">
      <c r="A2008" s="15" t="s">
        <v>2375</v>
      </c>
      <c r="B2008" s="63" t="s">
        <v>149</v>
      </c>
      <c r="C2008" s="64">
        <v>7</v>
      </c>
      <c r="D2008" s="65">
        <v>2.31</v>
      </c>
      <c r="E2008" s="67" t="s">
        <v>76</v>
      </c>
      <c r="F2008" s="52" t="s">
        <v>85</v>
      </c>
      <c r="G2008" s="52" t="s">
        <v>3</v>
      </c>
    </row>
    <row r="2009" spans="1:7">
      <c r="A2009" s="15" t="s">
        <v>2376</v>
      </c>
      <c r="B2009" s="63" t="s">
        <v>149</v>
      </c>
      <c r="C2009" s="64">
        <v>8</v>
      </c>
      <c r="D2009" s="65">
        <v>2.1</v>
      </c>
      <c r="E2009" s="67" t="s">
        <v>81</v>
      </c>
      <c r="F2009" s="52" t="s">
        <v>82</v>
      </c>
      <c r="G2009" s="52" t="s">
        <v>2</v>
      </c>
    </row>
    <row r="2010" spans="1:7">
      <c r="A2010" s="15" t="s">
        <v>2377</v>
      </c>
      <c r="B2010" s="63" t="s">
        <v>149</v>
      </c>
      <c r="C2010" s="64">
        <v>9</v>
      </c>
      <c r="D2010" s="65">
        <v>3.1</v>
      </c>
      <c r="E2010" s="67" t="s">
        <v>93</v>
      </c>
      <c r="F2010" s="52" t="s">
        <v>90</v>
      </c>
      <c r="G2010" s="52" t="s">
        <v>4</v>
      </c>
    </row>
    <row r="2011" spans="1:7">
      <c r="A2011" s="15" t="s">
        <v>2378</v>
      </c>
      <c r="B2011" s="63" t="s">
        <v>149</v>
      </c>
      <c r="C2011" s="64">
        <v>10</v>
      </c>
      <c r="D2011" s="65">
        <v>2.35</v>
      </c>
      <c r="E2011" s="67" t="s">
        <v>81</v>
      </c>
      <c r="F2011" s="52" t="s">
        <v>89</v>
      </c>
      <c r="G2011" s="52" t="s">
        <v>1</v>
      </c>
    </row>
    <row r="2012" spans="1:7">
      <c r="A2012" s="15" t="s">
        <v>2379</v>
      </c>
      <c r="B2012" s="63" t="s">
        <v>149</v>
      </c>
      <c r="C2012" s="64">
        <v>11</v>
      </c>
      <c r="D2012" s="65">
        <v>2.1</v>
      </c>
      <c r="E2012" s="67" t="s">
        <v>96</v>
      </c>
      <c r="F2012" s="52" t="s">
        <v>82</v>
      </c>
      <c r="G2012" s="52" t="s">
        <v>2</v>
      </c>
    </row>
    <row r="2013" spans="1:7">
      <c r="A2013" s="15" t="s">
        <v>2380</v>
      </c>
      <c r="B2013" s="63" t="s">
        <v>149</v>
      </c>
      <c r="C2013" s="64">
        <v>12</v>
      </c>
      <c r="D2013" s="65">
        <v>3.1</v>
      </c>
      <c r="E2013" s="67" t="s">
        <v>81</v>
      </c>
      <c r="F2013" s="52" t="s">
        <v>90</v>
      </c>
      <c r="G2013" s="52" t="s">
        <v>0</v>
      </c>
    </row>
    <row r="2014" spans="1:7">
      <c r="A2014" s="15" t="s">
        <v>2381</v>
      </c>
      <c r="B2014" s="63" t="s">
        <v>149</v>
      </c>
      <c r="C2014" s="64">
        <v>13</v>
      </c>
      <c r="D2014" s="65">
        <v>5.3</v>
      </c>
      <c r="E2014" s="67" t="s">
        <v>81</v>
      </c>
      <c r="F2014" s="52" t="s">
        <v>99</v>
      </c>
      <c r="G2014" s="52" t="s">
        <v>4</v>
      </c>
    </row>
    <row r="2015" spans="1:7">
      <c r="A2015" s="15" t="s">
        <v>2382</v>
      </c>
      <c r="B2015" s="63" t="s">
        <v>149</v>
      </c>
      <c r="C2015" s="64">
        <v>14</v>
      </c>
      <c r="D2015" s="65">
        <v>2.34</v>
      </c>
      <c r="E2015" s="67" t="s">
        <v>81</v>
      </c>
      <c r="F2015" s="52" t="s">
        <v>88</v>
      </c>
      <c r="G2015" s="52" t="s">
        <v>4</v>
      </c>
    </row>
    <row r="2016" spans="1:7">
      <c r="A2016" s="15" t="s">
        <v>2383</v>
      </c>
      <c r="B2016" s="63" t="s">
        <v>149</v>
      </c>
      <c r="C2016" s="64">
        <v>15</v>
      </c>
      <c r="D2016" s="65">
        <v>2.1</v>
      </c>
      <c r="E2016" s="67" t="s">
        <v>96</v>
      </c>
      <c r="F2016" s="52" t="s">
        <v>82</v>
      </c>
      <c r="G2016" s="52" t="s">
        <v>3</v>
      </c>
    </row>
    <row r="2017" spans="1:7">
      <c r="A2017" s="15" t="s">
        <v>2384</v>
      </c>
      <c r="B2017" s="63" t="s">
        <v>149</v>
      </c>
      <c r="C2017" s="64">
        <v>16</v>
      </c>
      <c r="D2017" s="65">
        <v>2.2000000000000002</v>
      </c>
      <c r="E2017" s="67" t="s">
        <v>96</v>
      </c>
      <c r="F2017" s="52" t="s">
        <v>83</v>
      </c>
      <c r="G2017" s="52" t="s">
        <v>4</v>
      </c>
    </row>
    <row r="2018" spans="1:7">
      <c r="A2018" s="15" t="s">
        <v>2385</v>
      </c>
      <c r="B2018" s="63" t="s">
        <v>149</v>
      </c>
      <c r="C2018" s="64">
        <v>17</v>
      </c>
      <c r="D2018" s="65">
        <v>2.34</v>
      </c>
      <c r="E2018" s="67" t="s">
        <v>100</v>
      </c>
      <c r="F2018" s="52" t="s">
        <v>88</v>
      </c>
      <c r="G2018" s="52" t="s">
        <v>2</v>
      </c>
    </row>
    <row r="2019" spans="1:7">
      <c r="A2019" s="15" t="s">
        <v>2386</v>
      </c>
      <c r="B2019" s="63" t="s">
        <v>149</v>
      </c>
      <c r="C2019" s="64">
        <v>18</v>
      </c>
      <c r="D2019" s="65">
        <v>3.1</v>
      </c>
      <c r="E2019" s="67" t="s">
        <v>81</v>
      </c>
      <c r="F2019" s="52" t="s">
        <v>90</v>
      </c>
      <c r="G2019" s="52" t="s">
        <v>2</v>
      </c>
    </row>
    <row r="2020" spans="1:7">
      <c r="A2020" s="15" t="s">
        <v>2387</v>
      </c>
      <c r="B2020" s="63" t="s">
        <v>149</v>
      </c>
      <c r="C2020" s="64">
        <v>19</v>
      </c>
      <c r="D2020" s="65">
        <v>2.1</v>
      </c>
      <c r="E2020" s="67" t="s">
        <v>100</v>
      </c>
      <c r="F2020" s="52" t="s">
        <v>82</v>
      </c>
      <c r="G2020" s="52" t="s">
        <v>2</v>
      </c>
    </row>
    <row r="2021" spans="1:7">
      <c r="A2021" s="15" t="s">
        <v>2388</v>
      </c>
      <c r="B2021" s="63" t="s">
        <v>149</v>
      </c>
      <c r="C2021" s="64">
        <v>20</v>
      </c>
      <c r="D2021" s="65">
        <v>3.2</v>
      </c>
      <c r="E2021" s="67" t="s">
        <v>28</v>
      </c>
      <c r="F2021" s="52" t="s">
        <v>91</v>
      </c>
      <c r="G2021" s="52" t="s">
        <v>0</v>
      </c>
    </row>
    <row r="2022" spans="1:7">
      <c r="A2022" s="15" t="s">
        <v>2389</v>
      </c>
      <c r="B2022" s="63" t="s">
        <v>149</v>
      </c>
      <c r="C2022" s="64">
        <v>21</v>
      </c>
      <c r="D2022" s="65">
        <v>2.1</v>
      </c>
      <c r="E2022" s="67" t="s">
        <v>76</v>
      </c>
      <c r="F2022" s="52" t="s">
        <v>82</v>
      </c>
      <c r="G2022" s="52" t="s">
        <v>0</v>
      </c>
    </row>
    <row r="2023" spans="1:7">
      <c r="A2023" s="15" t="s">
        <v>2390</v>
      </c>
      <c r="B2023" s="63" t="s">
        <v>149</v>
      </c>
      <c r="C2023" s="64">
        <v>22</v>
      </c>
      <c r="D2023" s="65">
        <v>2.31</v>
      </c>
      <c r="E2023" s="67" t="s">
        <v>76</v>
      </c>
      <c r="F2023" s="52" t="s">
        <v>85</v>
      </c>
      <c r="G2023" s="52" t="s">
        <v>2</v>
      </c>
    </row>
    <row r="2024" spans="1:7">
      <c r="A2024" s="15" t="s">
        <v>2391</v>
      </c>
      <c r="B2024" s="63" t="s">
        <v>149</v>
      </c>
      <c r="C2024" s="64">
        <v>23</v>
      </c>
      <c r="D2024" s="65">
        <v>2.1</v>
      </c>
      <c r="E2024" s="67" t="s">
        <v>100</v>
      </c>
      <c r="F2024" s="52" t="s">
        <v>82</v>
      </c>
      <c r="G2024" s="52" t="s">
        <v>4</v>
      </c>
    </row>
    <row r="2025" spans="1:7">
      <c r="A2025" s="15" t="s">
        <v>2392</v>
      </c>
      <c r="B2025" s="63" t="s">
        <v>149</v>
      </c>
      <c r="C2025" s="64">
        <v>24</v>
      </c>
      <c r="D2025" s="65">
        <v>3.1</v>
      </c>
      <c r="E2025" s="67" t="s">
        <v>76</v>
      </c>
      <c r="F2025" s="52" t="s">
        <v>90</v>
      </c>
      <c r="G2025" s="52" t="s">
        <v>1</v>
      </c>
    </row>
    <row r="2026" spans="1:7">
      <c r="A2026" s="15" t="s">
        <v>2393</v>
      </c>
      <c r="B2026" s="63" t="s">
        <v>149</v>
      </c>
      <c r="C2026" s="64">
        <v>25</v>
      </c>
      <c r="D2026" s="65">
        <v>2.31</v>
      </c>
      <c r="E2026" s="67" t="s">
        <v>76</v>
      </c>
      <c r="F2026" s="52" t="s">
        <v>85</v>
      </c>
      <c r="G2026" s="52" t="s">
        <v>0</v>
      </c>
    </row>
    <row r="2027" spans="1:7">
      <c r="A2027" s="15" t="s">
        <v>2394</v>
      </c>
      <c r="B2027" s="63" t="s">
        <v>149</v>
      </c>
      <c r="C2027" s="64">
        <v>26</v>
      </c>
      <c r="D2027" s="65">
        <v>4.0999999999999996</v>
      </c>
      <c r="E2027" s="67" t="s">
        <v>81</v>
      </c>
      <c r="F2027" s="52" t="s">
        <v>94</v>
      </c>
      <c r="G2027" s="52" t="s">
        <v>0</v>
      </c>
    </row>
    <row r="2028" spans="1:7">
      <c r="A2028" s="15" t="s">
        <v>2395</v>
      </c>
      <c r="B2028" s="63" t="s">
        <v>149</v>
      </c>
      <c r="C2028" s="64">
        <v>27</v>
      </c>
      <c r="D2028" s="65">
        <v>2.35</v>
      </c>
      <c r="E2028" s="67" t="s">
        <v>81</v>
      </c>
      <c r="F2028" s="52" t="s">
        <v>89</v>
      </c>
      <c r="G2028" s="52" t="s">
        <v>3</v>
      </c>
    </row>
    <row r="2029" spans="1:7">
      <c r="A2029" s="15" t="s">
        <v>2396</v>
      </c>
      <c r="B2029" s="63" t="s">
        <v>149</v>
      </c>
      <c r="C2029" s="64">
        <v>28</v>
      </c>
      <c r="D2029" s="65">
        <v>5.0999999999999996</v>
      </c>
      <c r="E2029" s="67" t="s">
        <v>28</v>
      </c>
      <c r="F2029" s="52" t="s">
        <v>97</v>
      </c>
      <c r="G2029" s="52" t="s">
        <v>2</v>
      </c>
    </row>
    <row r="2030" spans="1:7">
      <c r="A2030" s="15" t="s">
        <v>2397</v>
      </c>
      <c r="B2030" s="63" t="s">
        <v>149</v>
      </c>
      <c r="C2030" s="64">
        <v>29</v>
      </c>
      <c r="D2030" s="65">
        <v>2.33</v>
      </c>
      <c r="E2030" s="67" t="s">
        <v>81</v>
      </c>
      <c r="F2030" s="52" t="s">
        <v>87</v>
      </c>
      <c r="G2030" s="52" t="s">
        <v>3</v>
      </c>
    </row>
    <row r="2031" spans="1:7">
      <c r="A2031" s="15" t="s">
        <v>2398</v>
      </c>
      <c r="B2031" s="63" t="s">
        <v>149</v>
      </c>
      <c r="C2031" s="64">
        <v>30</v>
      </c>
      <c r="D2031" s="65">
        <v>4.2</v>
      </c>
      <c r="E2031" s="67" t="s">
        <v>81</v>
      </c>
      <c r="F2031" s="52" t="s">
        <v>95</v>
      </c>
      <c r="G2031" s="52" t="s">
        <v>2</v>
      </c>
    </row>
    <row r="2032" spans="1:7">
      <c r="A2032" s="15" t="s">
        <v>2399</v>
      </c>
      <c r="B2032" s="63" t="s">
        <v>149</v>
      </c>
      <c r="C2032" s="64">
        <v>31</v>
      </c>
      <c r="D2032" s="65">
        <v>5.0999999999999996</v>
      </c>
      <c r="E2032" s="67" t="s">
        <v>81</v>
      </c>
      <c r="F2032" s="52" t="s">
        <v>97</v>
      </c>
      <c r="G2032" s="52" t="s">
        <v>3</v>
      </c>
    </row>
    <row r="2033" spans="1:7">
      <c r="A2033" s="15" t="s">
        <v>2400</v>
      </c>
      <c r="B2033" s="63" t="s">
        <v>149</v>
      </c>
      <c r="C2033" s="64">
        <v>32</v>
      </c>
      <c r="D2033" s="65">
        <v>6.1</v>
      </c>
      <c r="E2033" s="67" t="s">
        <v>81</v>
      </c>
      <c r="F2033" s="52" t="s">
        <v>101</v>
      </c>
      <c r="G2033" s="52" t="s">
        <v>3</v>
      </c>
    </row>
    <row r="2034" spans="1:7">
      <c r="A2034" s="15" t="s">
        <v>2401</v>
      </c>
      <c r="B2034" s="63" t="s">
        <v>149</v>
      </c>
      <c r="C2034" s="64">
        <v>33</v>
      </c>
      <c r="D2034" s="65">
        <v>1.5</v>
      </c>
      <c r="E2034" s="67" t="s">
        <v>28</v>
      </c>
      <c r="F2034" s="52" t="s">
        <v>80</v>
      </c>
      <c r="G2034" s="52" t="s">
        <v>2</v>
      </c>
    </row>
    <row r="2035" spans="1:7">
      <c r="A2035" s="15" t="s">
        <v>2402</v>
      </c>
      <c r="B2035" s="63" t="s">
        <v>149</v>
      </c>
      <c r="C2035" s="64">
        <v>34</v>
      </c>
      <c r="D2035" s="65">
        <v>2.35</v>
      </c>
      <c r="E2035" s="67" t="s">
        <v>96</v>
      </c>
      <c r="F2035" s="52" t="s">
        <v>89</v>
      </c>
      <c r="G2035" s="52" t="s">
        <v>4</v>
      </c>
    </row>
    <row r="2036" spans="1:7">
      <c r="A2036" s="15" t="s">
        <v>2403</v>
      </c>
      <c r="B2036" s="63" t="s">
        <v>149</v>
      </c>
      <c r="C2036" s="64">
        <v>35</v>
      </c>
      <c r="D2036" s="65">
        <v>2.33</v>
      </c>
      <c r="E2036" s="67" t="s">
        <v>81</v>
      </c>
      <c r="F2036" s="52" t="s">
        <v>87</v>
      </c>
      <c r="G2036" s="52" t="s">
        <v>1</v>
      </c>
    </row>
    <row r="2037" spans="1:7">
      <c r="A2037" s="15" t="s">
        <v>2404</v>
      </c>
      <c r="B2037" s="63" t="s">
        <v>149</v>
      </c>
      <c r="C2037" s="64">
        <v>36</v>
      </c>
      <c r="D2037" s="65">
        <v>2.31</v>
      </c>
      <c r="E2037" s="67" t="s">
        <v>81</v>
      </c>
      <c r="F2037" s="52" t="s">
        <v>85</v>
      </c>
      <c r="G2037" s="52" t="s">
        <v>2</v>
      </c>
    </row>
    <row r="2038" spans="1:7">
      <c r="A2038" s="15" t="s">
        <v>2405</v>
      </c>
      <c r="B2038" s="63" t="s">
        <v>149</v>
      </c>
      <c r="C2038" s="64">
        <v>37</v>
      </c>
      <c r="D2038" s="65">
        <v>1.3</v>
      </c>
      <c r="E2038" s="67" t="s">
        <v>96</v>
      </c>
      <c r="F2038" s="52" t="s">
        <v>79</v>
      </c>
      <c r="G2038" s="52" t="s">
        <v>4</v>
      </c>
    </row>
    <row r="2039" spans="1:7">
      <c r="A2039" s="15" t="s">
        <v>2406</v>
      </c>
      <c r="B2039" s="63" t="s">
        <v>149</v>
      </c>
      <c r="C2039" s="64">
        <v>38</v>
      </c>
      <c r="D2039" s="65">
        <v>1.3</v>
      </c>
      <c r="E2039" s="67" t="s">
        <v>100</v>
      </c>
      <c r="F2039" s="52" t="s">
        <v>79</v>
      </c>
      <c r="G2039" s="52" t="s">
        <v>4</v>
      </c>
    </row>
    <row r="2040" spans="1:7">
      <c r="A2040" s="15" t="s">
        <v>2407</v>
      </c>
      <c r="B2040" s="63" t="s">
        <v>149</v>
      </c>
      <c r="C2040" s="64">
        <v>39</v>
      </c>
      <c r="D2040" s="65">
        <v>5.0999999999999996</v>
      </c>
      <c r="E2040" s="67" t="s">
        <v>28</v>
      </c>
      <c r="F2040" s="52" t="s">
        <v>97</v>
      </c>
      <c r="G2040" s="52" t="s">
        <v>0</v>
      </c>
    </row>
    <row r="2041" spans="1:7">
      <c r="A2041" s="15" t="s">
        <v>2408</v>
      </c>
      <c r="B2041" s="63" t="s">
        <v>149</v>
      </c>
      <c r="C2041" s="64">
        <v>40</v>
      </c>
      <c r="D2041" s="65">
        <v>2.35</v>
      </c>
      <c r="E2041" s="67" t="s">
        <v>81</v>
      </c>
      <c r="F2041" s="52" t="s">
        <v>89</v>
      </c>
      <c r="G2041" s="52" t="s">
        <v>0</v>
      </c>
    </row>
    <row r="2042" spans="1:7">
      <c r="A2042" s="15" t="s">
        <v>2409</v>
      </c>
      <c r="B2042" s="63" t="s">
        <v>149</v>
      </c>
      <c r="C2042" s="64">
        <v>41</v>
      </c>
      <c r="D2042" s="65">
        <v>5.3</v>
      </c>
      <c r="E2042" s="67" t="s">
        <v>81</v>
      </c>
      <c r="F2042" s="52" t="s">
        <v>99</v>
      </c>
      <c r="G2042" s="52" t="s">
        <v>2</v>
      </c>
    </row>
    <row r="2043" spans="1:7">
      <c r="A2043" s="15" t="s">
        <v>2410</v>
      </c>
      <c r="B2043" s="63" t="s">
        <v>149</v>
      </c>
      <c r="C2043" s="64">
        <v>42</v>
      </c>
      <c r="D2043" s="65">
        <v>6.1</v>
      </c>
      <c r="E2043" s="67" t="s">
        <v>96</v>
      </c>
      <c r="F2043" s="52" t="s">
        <v>101</v>
      </c>
      <c r="G2043" s="52" t="s">
        <v>3</v>
      </c>
    </row>
    <row r="2044" spans="1:7">
      <c r="A2044" s="15" t="s">
        <v>2411</v>
      </c>
      <c r="B2044" s="63" t="s">
        <v>149</v>
      </c>
      <c r="C2044" s="64">
        <v>43</v>
      </c>
      <c r="D2044" s="65">
        <v>2.35</v>
      </c>
      <c r="E2044" s="67" t="s">
        <v>76</v>
      </c>
      <c r="F2044" s="52" t="s">
        <v>89</v>
      </c>
      <c r="G2044" s="52" t="s">
        <v>4</v>
      </c>
    </row>
    <row r="2045" spans="1:7">
      <c r="A2045" s="15" t="s">
        <v>2412</v>
      </c>
      <c r="B2045" s="63" t="s">
        <v>149</v>
      </c>
      <c r="C2045" s="64">
        <v>44</v>
      </c>
      <c r="D2045" s="65">
        <v>2.33</v>
      </c>
      <c r="E2045" s="67" t="s">
        <v>93</v>
      </c>
      <c r="F2045" s="52" t="s">
        <v>87</v>
      </c>
      <c r="G2045" s="52" t="s">
        <v>0</v>
      </c>
    </row>
    <row r="2046" spans="1:7">
      <c r="A2046" s="15" t="s">
        <v>2413</v>
      </c>
      <c r="B2046" s="63" t="s">
        <v>149</v>
      </c>
      <c r="C2046" s="64">
        <v>45</v>
      </c>
      <c r="D2046" s="65">
        <v>6.3</v>
      </c>
      <c r="E2046" s="67" t="s">
        <v>96</v>
      </c>
      <c r="F2046" s="52" t="s">
        <v>103</v>
      </c>
      <c r="G2046" s="52" t="s">
        <v>4</v>
      </c>
    </row>
    <row r="2047" spans="1:7">
      <c r="A2047" s="15" t="s">
        <v>2414</v>
      </c>
      <c r="B2047" s="63" t="s">
        <v>149</v>
      </c>
      <c r="C2047" s="64">
        <v>46</v>
      </c>
      <c r="D2047" s="65">
        <v>6.1</v>
      </c>
      <c r="E2047" s="67" t="s">
        <v>28</v>
      </c>
      <c r="F2047" s="52" t="s">
        <v>101</v>
      </c>
      <c r="G2047" s="52" t="s">
        <v>3</v>
      </c>
    </row>
    <row r="2048" spans="1:7">
      <c r="A2048" s="15" t="s">
        <v>2415</v>
      </c>
      <c r="B2048" s="63" t="s">
        <v>149</v>
      </c>
      <c r="C2048" s="64">
        <v>47</v>
      </c>
      <c r="D2048" s="65">
        <v>6.3</v>
      </c>
      <c r="E2048" s="67" t="s">
        <v>81</v>
      </c>
      <c r="F2048" s="52" t="s">
        <v>103</v>
      </c>
      <c r="G2048" s="52" t="s">
        <v>4</v>
      </c>
    </row>
    <row r="2049" spans="1:7">
      <c r="A2049" s="15" t="s">
        <v>2416</v>
      </c>
      <c r="B2049" s="63" t="s">
        <v>149</v>
      </c>
      <c r="C2049" s="64">
        <v>48</v>
      </c>
      <c r="D2049" s="65">
        <v>1.5</v>
      </c>
      <c r="E2049" s="67" t="s">
        <v>81</v>
      </c>
      <c r="F2049" s="52" t="s">
        <v>80</v>
      </c>
      <c r="G2049" s="52" t="s">
        <v>0</v>
      </c>
    </row>
    <row r="2050" spans="1:7">
      <c r="A2050" s="15" t="s">
        <v>2417</v>
      </c>
      <c r="B2050" s="63" t="s">
        <v>149</v>
      </c>
      <c r="C2050" s="64">
        <v>49</v>
      </c>
      <c r="D2050" s="65">
        <v>1.3</v>
      </c>
      <c r="E2050" s="67" t="s">
        <v>93</v>
      </c>
      <c r="F2050" s="52" t="s">
        <v>79</v>
      </c>
      <c r="G2050" s="52" t="s">
        <v>0</v>
      </c>
    </row>
    <row r="2051" spans="1:7">
      <c r="A2051" s="15" t="s">
        <v>2418</v>
      </c>
      <c r="B2051" s="63" t="s">
        <v>149</v>
      </c>
      <c r="C2051" s="64">
        <v>50</v>
      </c>
      <c r="D2051" s="65">
        <v>1.5</v>
      </c>
      <c r="E2051" s="67" t="s">
        <v>81</v>
      </c>
      <c r="F2051" s="52" t="s">
        <v>80</v>
      </c>
      <c r="G2051" s="52" t="s">
        <v>0</v>
      </c>
    </row>
    <row r="2052" spans="1:7">
      <c r="A2052" s="15" t="s">
        <v>2419</v>
      </c>
      <c r="B2052" s="63" t="s">
        <v>150</v>
      </c>
      <c r="C2052" s="64">
        <v>1</v>
      </c>
      <c r="D2052" s="65">
        <v>3.1</v>
      </c>
      <c r="E2052" s="67" t="s">
        <v>81</v>
      </c>
      <c r="F2052" s="52" t="s">
        <v>90</v>
      </c>
      <c r="G2052" s="52" t="s">
        <v>2</v>
      </c>
    </row>
    <row r="2053" spans="1:7">
      <c r="A2053" s="15" t="s">
        <v>2420</v>
      </c>
      <c r="B2053" s="63" t="s">
        <v>150</v>
      </c>
      <c r="C2053" s="64">
        <v>2</v>
      </c>
      <c r="D2053" s="65">
        <v>6.1</v>
      </c>
      <c r="E2053" s="67" t="s">
        <v>93</v>
      </c>
      <c r="F2053" s="52" t="s">
        <v>101</v>
      </c>
      <c r="G2053" s="52" t="s">
        <v>1</v>
      </c>
    </row>
    <row r="2054" spans="1:7">
      <c r="A2054" s="15" t="s">
        <v>2421</v>
      </c>
      <c r="B2054" s="63" t="s">
        <v>150</v>
      </c>
      <c r="C2054" s="64">
        <v>3</v>
      </c>
      <c r="D2054" s="65">
        <v>3.2</v>
      </c>
      <c r="E2054" s="67" t="s">
        <v>81</v>
      </c>
      <c r="F2054" s="52" t="s">
        <v>91</v>
      </c>
      <c r="G2054" s="52" t="s">
        <v>3</v>
      </c>
    </row>
    <row r="2055" spans="1:7">
      <c r="A2055" s="15" t="s">
        <v>2422</v>
      </c>
      <c r="B2055" s="63" t="s">
        <v>150</v>
      </c>
      <c r="C2055" s="64">
        <v>4</v>
      </c>
      <c r="D2055" s="65">
        <v>2.35</v>
      </c>
      <c r="E2055" s="67" t="s">
        <v>81</v>
      </c>
      <c r="F2055" s="52" t="s">
        <v>89</v>
      </c>
      <c r="G2055" s="52" t="s">
        <v>0</v>
      </c>
    </row>
    <row r="2056" spans="1:7">
      <c r="A2056" s="15" t="s">
        <v>2423</v>
      </c>
      <c r="B2056" s="63" t="s">
        <v>150</v>
      </c>
      <c r="C2056" s="64">
        <v>5</v>
      </c>
      <c r="D2056" s="65">
        <v>1.1000000000000001</v>
      </c>
      <c r="E2056" s="67" t="s">
        <v>81</v>
      </c>
      <c r="F2056" s="52" t="s">
        <v>77</v>
      </c>
      <c r="G2056" s="52" t="s">
        <v>3</v>
      </c>
    </row>
    <row r="2057" spans="1:7">
      <c r="A2057" s="15" t="s">
        <v>2424</v>
      </c>
      <c r="B2057" s="63" t="s">
        <v>150</v>
      </c>
      <c r="C2057" s="64">
        <v>6</v>
      </c>
      <c r="D2057" s="65">
        <v>3.2</v>
      </c>
      <c r="E2057" s="67" t="s">
        <v>81</v>
      </c>
      <c r="F2057" s="52" t="s">
        <v>91</v>
      </c>
      <c r="G2057" s="52" t="s">
        <v>1</v>
      </c>
    </row>
    <row r="2058" spans="1:7">
      <c r="A2058" s="15" t="s">
        <v>2425</v>
      </c>
      <c r="B2058" s="63" t="s">
        <v>150</v>
      </c>
      <c r="C2058" s="64">
        <v>7</v>
      </c>
      <c r="D2058" s="65">
        <v>1.3</v>
      </c>
      <c r="E2058" s="67" t="s">
        <v>28</v>
      </c>
      <c r="F2058" s="52" t="s">
        <v>79</v>
      </c>
      <c r="G2058" s="52" t="s">
        <v>4</v>
      </c>
    </row>
    <row r="2059" spans="1:7">
      <c r="A2059" s="15" t="s">
        <v>2426</v>
      </c>
      <c r="B2059" s="63" t="s">
        <v>150</v>
      </c>
      <c r="C2059" s="64">
        <v>8</v>
      </c>
      <c r="D2059" s="65">
        <v>2.35</v>
      </c>
      <c r="E2059" s="67" t="s">
        <v>81</v>
      </c>
      <c r="F2059" s="52" t="s">
        <v>89</v>
      </c>
      <c r="G2059" s="52" t="s">
        <v>0</v>
      </c>
    </row>
    <row r="2060" spans="1:7">
      <c r="A2060" s="15" t="s">
        <v>2427</v>
      </c>
      <c r="B2060" s="63" t="s">
        <v>150</v>
      </c>
      <c r="C2060" s="64">
        <v>9</v>
      </c>
      <c r="D2060" s="65">
        <v>4.0999999999999996</v>
      </c>
      <c r="E2060" s="67" t="s">
        <v>76</v>
      </c>
      <c r="F2060" s="52" t="s">
        <v>94</v>
      </c>
      <c r="G2060" s="52" t="s">
        <v>4</v>
      </c>
    </row>
    <row r="2061" spans="1:7">
      <c r="A2061" s="15" t="s">
        <v>2428</v>
      </c>
      <c r="B2061" s="63" t="s">
        <v>150</v>
      </c>
      <c r="C2061" s="64">
        <v>10</v>
      </c>
      <c r="D2061" s="65">
        <v>2.2000000000000002</v>
      </c>
      <c r="E2061" s="67" t="s">
        <v>81</v>
      </c>
      <c r="F2061" s="52" t="s">
        <v>83</v>
      </c>
      <c r="G2061" s="52" t="s">
        <v>0</v>
      </c>
    </row>
    <row r="2062" spans="1:7">
      <c r="A2062" s="15" t="s">
        <v>2429</v>
      </c>
      <c r="B2062" s="63" t="s">
        <v>150</v>
      </c>
      <c r="C2062" s="64">
        <v>11</v>
      </c>
      <c r="D2062" s="65">
        <v>5.3</v>
      </c>
      <c r="E2062" s="67" t="s">
        <v>81</v>
      </c>
      <c r="F2062" s="52" t="s">
        <v>99</v>
      </c>
      <c r="G2062" s="52" t="s">
        <v>2</v>
      </c>
    </row>
    <row r="2063" spans="1:7">
      <c r="A2063" s="15" t="s">
        <v>2430</v>
      </c>
      <c r="B2063" s="63" t="s">
        <v>150</v>
      </c>
      <c r="C2063" s="64">
        <v>12</v>
      </c>
      <c r="D2063" s="65">
        <v>2.1</v>
      </c>
      <c r="E2063" s="67" t="s">
        <v>93</v>
      </c>
      <c r="F2063" s="52" t="s">
        <v>82</v>
      </c>
      <c r="G2063" s="52" t="s">
        <v>4</v>
      </c>
    </row>
    <row r="2064" spans="1:7">
      <c r="A2064" s="15" t="s">
        <v>2431</v>
      </c>
      <c r="B2064" s="63" t="s">
        <v>150</v>
      </c>
      <c r="C2064" s="64">
        <v>13</v>
      </c>
      <c r="D2064" s="65">
        <v>2.34</v>
      </c>
      <c r="E2064" s="67" t="s">
        <v>81</v>
      </c>
      <c r="F2064" s="52" t="s">
        <v>88</v>
      </c>
      <c r="G2064" s="52" t="s">
        <v>1</v>
      </c>
    </row>
    <row r="2065" spans="1:7">
      <c r="A2065" s="15" t="s">
        <v>2432</v>
      </c>
      <c r="B2065" s="63" t="s">
        <v>150</v>
      </c>
      <c r="C2065" s="64">
        <v>14</v>
      </c>
      <c r="D2065" s="65">
        <v>2.2000000000000002</v>
      </c>
      <c r="E2065" s="67" t="s">
        <v>28</v>
      </c>
      <c r="F2065" s="52" t="s">
        <v>83</v>
      </c>
      <c r="G2065" s="52" t="s">
        <v>4</v>
      </c>
    </row>
    <row r="2066" spans="1:7">
      <c r="A2066" s="15" t="s">
        <v>2433</v>
      </c>
      <c r="B2066" s="63" t="s">
        <v>150</v>
      </c>
      <c r="C2066" s="64">
        <v>15</v>
      </c>
      <c r="D2066" s="65">
        <v>5.2</v>
      </c>
      <c r="E2066" s="67" t="s">
        <v>81</v>
      </c>
      <c r="F2066" s="52" t="s">
        <v>98</v>
      </c>
      <c r="G2066" s="52" t="s">
        <v>0</v>
      </c>
    </row>
    <row r="2067" spans="1:7">
      <c r="A2067" s="15" t="s">
        <v>2434</v>
      </c>
      <c r="B2067" s="63" t="s">
        <v>150</v>
      </c>
      <c r="C2067" s="64">
        <v>16</v>
      </c>
      <c r="D2067" s="65">
        <v>5.0999999999999996</v>
      </c>
      <c r="E2067" s="67" t="s">
        <v>96</v>
      </c>
      <c r="F2067" s="52" t="s">
        <v>97</v>
      </c>
      <c r="G2067" s="52" t="s">
        <v>0</v>
      </c>
    </row>
    <row r="2068" spans="1:7">
      <c r="A2068" s="15" t="s">
        <v>2435</v>
      </c>
      <c r="B2068" s="63" t="s">
        <v>150</v>
      </c>
      <c r="C2068" s="64">
        <v>17</v>
      </c>
      <c r="D2068" s="65">
        <v>6.4</v>
      </c>
      <c r="E2068" s="67" t="s">
        <v>81</v>
      </c>
      <c r="F2068" s="52" t="s">
        <v>104</v>
      </c>
      <c r="G2068" s="52" t="s">
        <v>0</v>
      </c>
    </row>
    <row r="2069" spans="1:7">
      <c r="A2069" s="15" t="s">
        <v>2436</v>
      </c>
      <c r="B2069" s="63" t="s">
        <v>150</v>
      </c>
      <c r="C2069" s="64">
        <v>18</v>
      </c>
      <c r="D2069" s="65">
        <v>2.34</v>
      </c>
      <c r="E2069" s="67" t="s">
        <v>93</v>
      </c>
      <c r="F2069" s="52" t="s">
        <v>88</v>
      </c>
      <c r="G2069" s="52" t="s">
        <v>1</v>
      </c>
    </row>
    <row r="2070" spans="1:7">
      <c r="A2070" s="15" t="s">
        <v>2437</v>
      </c>
      <c r="B2070" s="63" t="s">
        <v>150</v>
      </c>
      <c r="C2070" s="64">
        <v>19</v>
      </c>
      <c r="D2070" s="65">
        <v>6.3</v>
      </c>
      <c r="E2070" s="67" t="s">
        <v>81</v>
      </c>
      <c r="F2070" s="52" t="s">
        <v>103</v>
      </c>
      <c r="G2070" s="52" t="s">
        <v>2</v>
      </c>
    </row>
    <row r="2071" spans="1:7">
      <c r="A2071" s="15" t="s">
        <v>2438</v>
      </c>
      <c r="B2071" s="63" t="s">
        <v>150</v>
      </c>
      <c r="C2071" s="64">
        <v>20</v>
      </c>
      <c r="D2071" s="65">
        <v>3.2</v>
      </c>
      <c r="E2071" s="67" t="s">
        <v>81</v>
      </c>
      <c r="F2071" s="52" t="s">
        <v>91</v>
      </c>
      <c r="G2071" s="52" t="s">
        <v>1</v>
      </c>
    </row>
    <row r="2072" spans="1:7">
      <c r="A2072" s="15" t="s">
        <v>2439</v>
      </c>
      <c r="B2072" s="63" t="s">
        <v>150</v>
      </c>
      <c r="C2072" s="64">
        <v>21</v>
      </c>
      <c r="D2072" s="65">
        <v>1.3</v>
      </c>
      <c r="E2072" s="67" t="s">
        <v>28</v>
      </c>
      <c r="F2072" s="52" t="s">
        <v>79</v>
      </c>
      <c r="G2072" s="52" t="s">
        <v>0</v>
      </c>
    </row>
    <row r="2073" spans="1:7">
      <c r="A2073" s="15" t="s">
        <v>2440</v>
      </c>
      <c r="B2073" s="63" t="s">
        <v>150</v>
      </c>
      <c r="C2073" s="64">
        <v>22</v>
      </c>
      <c r="D2073" s="65">
        <v>1.5</v>
      </c>
      <c r="E2073" s="67" t="s">
        <v>81</v>
      </c>
      <c r="F2073" s="52" t="s">
        <v>80</v>
      </c>
      <c r="G2073" s="52" t="s">
        <v>2</v>
      </c>
    </row>
    <row r="2074" spans="1:7">
      <c r="A2074" s="15" t="s">
        <v>2441</v>
      </c>
      <c r="B2074" s="63" t="s">
        <v>150</v>
      </c>
      <c r="C2074" s="64">
        <v>23</v>
      </c>
      <c r="D2074" s="65">
        <v>6.4</v>
      </c>
      <c r="E2074" s="67" t="s">
        <v>81</v>
      </c>
      <c r="F2074" s="52" t="s">
        <v>104</v>
      </c>
      <c r="G2074" s="52" t="s">
        <v>0</v>
      </c>
    </row>
    <row r="2075" spans="1:7">
      <c r="A2075" s="15" t="s">
        <v>2442</v>
      </c>
      <c r="B2075" s="63" t="s">
        <v>150</v>
      </c>
      <c r="C2075" s="64">
        <v>24</v>
      </c>
      <c r="D2075" s="65">
        <v>1.3</v>
      </c>
      <c r="E2075" s="67" t="s">
        <v>100</v>
      </c>
      <c r="F2075" s="52" t="s">
        <v>79</v>
      </c>
      <c r="G2075" s="52" t="s">
        <v>3</v>
      </c>
    </row>
    <row r="2076" spans="1:7">
      <c r="A2076" s="15" t="s">
        <v>2443</v>
      </c>
      <c r="B2076" s="63" t="s">
        <v>150</v>
      </c>
      <c r="C2076" s="64">
        <v>25</v>
      </c>
      <c r="D2076" s="65">
        <v>1.1000000000000001</v>
      </c>
      <c r="E2076" s="67" t="s">
        <v>81</v>
      </c>
      <c r="F2076" s="52" t="s">
        <v>77</v>
      </c>
      <c r="G2076" s="52" t="s">
        <v>2</v>
      </c>
    </row>
    <row r="2077" spans="1:7">
      <c r="A2077" s="15" t="s">
        <v>2444</v>
      </c>
      <c r="B2077" s="63" t="s">
        <v>150</v>
      </c>
      <c r="C2077" s="64">
        <v>26</v>
      </c>
      <c r="D2077" s="65">
        <v>3.1</v>
      </c>
      <c r="E2077" s="67" t="s">
        <v>100</v>
      </c>
      <c r="F2077" s="52" t="s">
        <v>90</v>
      </c>
      <c r="G2077" s="52" t="s">
        <v>0</v>
      </c>
    </row>
    <row r="2078" spans="1:7">
      <c r="A2078" s="15" t="s">
        <v>2445</v>
      </c>
      <c r="B2078" s="63" t="s">
        <v>150</v>
      </c>
      <c r="C2078" s="64">
        <v>27</v>
      </c>
      <c r="D2078" s="65">
        <v>2.33</v>
      </c>
      <c r="E2078" s="67" t="s">
        <v>96</v>
      </c>
      <c r="F2078" s="52" t="s">
        <v>87</v>
      </c>
      <c r="G2078" s="52" t="s">
        <v>2</v>
      </c>
    </row>
    <row r="2079" spans="1:7">
      <c r="A2079" s="15" t="s">
        <v>2446</v>
      </c>
      <c r="B2079" s="63" t="s">
        <v>150</v>
      </c>
      <c r="C2079" s="64">
        <v>28</v>
      </c>
      <c r="D2079" s="65">
        <v>3.2</v>
      </c>
      <c r="E2079" s="67" t="s">
        <v>76</v>
      </c>
      <c r="F2079" s="52" t="s">
        <v>91</v>
      </c>
      <c r="G2079" s="52" t="s">
        <v>0</v>
      </c>
    </row>
    <row r="2080" spans="1:7">
      <c r="A2080" s="15" t="s">
        <v>2447</v>
      </c>
      <c r="B2080" s="63" t="s">
        <v>150</v>
      </c>
      <c r="C2080" s="64">
        <v>29</v>
      </c>
      <c r="D2080" s="65">
        <v>2.1</v>
      </c>
      <c r="E2080" s="67" t="s">
        <v>100</v>
      </c>
      <c r="F2080" s="52" t="s">
        <v>82</v>
      </c>
      <c r="G2080" s="52" t="s">
        <v>4</v>
      </c>
    </row>
    <row r="2081" spans="1:7">
      <c r="A2081" s="15" t="s">
        <v>2448</v>
      </c>
      <c r="B2081" s="63" t="s">
        <v>150</v>
      </c>
      <c r="C2081" s="64">
        <v>30</v>
      </c>
      <c r="D2081" s="65">
        <v>2.2000000000000002</v>
      </c>
      <c r="E2081" s="67" t="s">
        <v>81</v>
      </c>
      <c r="F2081" s="52" t="s">
        <v>83</v>
      </c>
      <c r="G2081" s="52" t="s">
        <v>4</v>
      </c>
    </row>
    <row r="2082" spans="1:7">
      <c r="A2082" s="15" t="s">
        <v>2449</v>
      </c>
      <c r="B2082" s="63" t="s">
        <v>150</v>
      </c>
      <c r="C2082" s="64">
        <v>31</v>
      </c>
      <c r="D2082" s="65">
        <v>2.3199999999999998</v>
      </c>
      <c r="E2082" s="67" t="s">
        <v>96</v>
      </c>
      <c r="F2082" s="52" t="s">
        <v>86</v>
      </c>
      <c r="G2082" s="52" t="s">
        <v>3</v>
      </c>
    </row>
    <row r="2083" spans="1:7">
      <c r="A2083" s="15" t="s">
        <v>2450</v>
      </c>
      <c r="B2083" s="63" t="s">
        <v>150</v>
      </c>
      <c r="C2083" s="64">
        <v>32</v>
      </c>
      <c r="D2083" s="65">
        <v>2.2000000000000002</v>
      </c>
      <c r="E2083" s="67" t="s">
        <v>81</v>
      </c>
      <c r="F2083" s="52" t="s">
        <v>83</v>
      </c>
      <c r="G2083" s="52" t="s">
        <v>3</v>
      </c>
    </row>
    <row r="2084" spans="1:7">
      <c r="A2084" s="15" t="s">
        <v>2451</v>
      </c>
      <c r="B2084" s="63" t="s">
        <v>150</v>
      </c>
      <c r="C2084" s="64">
        <v>33</v>
      </c>
      <c r="D2084" s="65">
        <v>3.2</v>
      </c>
      <c r="E2084" s="67" t="s">
        <v>81</v>
      </c>
      <c r="F2084" s="52" t="s">
        <v>91</v>
      </c>
      <c r="G2084" s="52" t="s">
        <v>2</v>
      </c>
    </row>
    <row r="2085" spans="1:7">
      <c r="A2085" s="15" t="s">
        <v>2452</v>
      </c>
      <c r="B2085" s="63" t="s">
        <v>150</v>
      </c>
      <c r="C2085" s="64">
        <v>34</v>
      </c>
      <c r="D2085" s="65">
        <v>5.2</v>
      </c>
      <c r="E2085" s="67" t="s">
        <v>81</v>
      </c>
      <c r="F2085" s="52" t="s">
        <v>98</v>
      </c>
      <c r="G2085" s="52" t="s">
        <v>4</v>
      </c>
    </row>
    <row r="2086" spans="1:7">
      <c r="A2086" s="15" t="s">
        <v>2453</v>
      </c>
      <c r="B2086" s="63" t="s">
        <v>150</v>
      </c>
      <c r="C2086" s="64">
        <v>35</v>
      </c>
      <c r="D2086" s="65">
        <v>2.31</v>
      </c>
      <c r="E2086" s="67" t="s">
        <v>81</v>
      </c>
      <c r="F2086" s="52" t="s">
        <v>85</v>
      </c>
      <c r="G2086" s="52" t="s">
        <v>1</v>
      </c>
    </row>
    <row r="2087" spans="1:7">
      <c r="A2087" s="15" t="s">
        <v>2454</v>
      </c>
      <c r="B2087" s="63" t="s">
        <v>150</v>
      </c>
      <c r="C2087" s="64">
        <v>36</v>
      </c>
      <c r="D2087" s="65">
        <v>2.34</v>
      </c>
      <c r="E2087" s="67" t="s">
        <v>81</v>
      </c>
      <c r="F2087" s="52" t="s">
        <v>88</v>
      </c>
      <c r="G2087" s="52" t="s">
        <v>1</v>
      </c>
    </row>
    <row r="2088" spans="1:7">
      <c r="A2088" s="15" t="s">
        <v>2455</v>
      </c>
      <c r="B2088" s="63" t="s">
        <v>150</v>
      </c>
      <c r="C2088" s="64">
        <v>37</v>
      </c>
      <c r="D2088" s="65">
        <v>5.2</v>
      </c>
      <c r="E2088" s="67" t="s">
        <v>96</v>
      </c>
      <c r="F2088" s="52" t="s">
        <v>98</v>
      </c>
      <c r="G2088" s="52" t="s">
        <v>2</v>
      </c>
    </row>
    <row r="2089" spans="1:7">
      <c r="A2089" s="15" t="s">
        <v>2456</v>
      </c>
      <c r="B2089" s="63" t="s">
        <v>150</v>
      </c>
      <c r="C2089" s="64">
        <v>38</v>
      </c>
      <c r="D2089" s="65">
        <v>6.3</v>
      </c>
      <c r="E2089" s="67" t="s">
        <v>100</v>
      </c>
      <c r="F2089" s="52" t="s">
        <v>103</v>
      </c>
      <c r="G2089" s="52" t="s">
        <v>2</v>
      </c>
    </row>
    <row r="2090" spans="1:7">
      <c r="A2090" s="15" t="s">
        <v>2457</v>
      </c>
      <c r="B2090" s="63" t="s">
        <v>150</v>
      </c>
      <c r="C2090" s="64">
        <v>39</v>
      </c>
      <c r="D2090" s="65">
        <v>3.3</v>
      </c>
      <c r="E2090" s="67" t="s">
        <v>76</v>
      </c>
      <c r="F2090" s="52" t="s">
        <v>92</v>
      </c>
      <c r="G2090" s="52" t="s">
        <v>0</v>
      </c>
    </row>
    <row r="2091" spans="1:7">
      <c r="A2091" s="15" t="s">
        <v>2458</v>
      </c>
      <c r="B2091" s="63" t="s">
        <v>150</v>
      </c>
      <c r="C2091" s="64">
        <v>40</v>
      </c>
      <c r="D2091" s="65">
        <v>2.33</v>
      </c>
      <c r="E2091" s="67" t="s">
        <v>28</v>
      </c>
      <c r="F2091" s="52" t="s">
        <v>87</v>
      </c>
      <c r="G2091" s="52" t="s">
        <v>4</v>
      </c>
    </row>
    <row r="2092" spans="1:7">
      <c r="A2092" s="15" t="s">
        <v>2459</v>
      </c>
      <c r="B2092" s="63" t="s">
        <v>150</v>
      </c>
      <c r="C2092" s="64">
        <v>41</v>
      </c>
      <c r="D2092" s="65">
        <v>2.31</v>
      </c>
      <c r="E2092" s="67" t="s">
        <v>81</v>
      </c>
      <c r="F2092" s="52" t="s">
        <v>85</v>
      </c>
      <c r="G2092" s="52" t="s">
        <v>4</v>
      </c>
    </row>
    <row r="2093" spans="1:7">
      <c r="A2093" s="15" t="s">
        <v>2460</v>
      </c>
      <c r="B2093" s="63" t="s">
        <v>150</v>
      </c>
      <c r="C2093" s="64">
        <v>42</v>
      </c>
      <c r="D2093" s="65">
        <v>5.0999999999999996</v>
      </c>
      <c r="E2093" s="67" t="s">
        <v>100</v>
      </c>
      <c r="F2093" s="52" t="s">
        <v>97</v>
      </c>
      <c r="G2093" s="52" t="s">
        <v>2</v>
      </c>
    </row>
    <row r="2094" spans="1:7">
      <c r="A2094" s="15" t="s">
        <v>2461</v>
      </c>
      <c r="B2094" s="63" t="s">
        <v>150</v>
      </c>
      <c r="C2094" s="64">
        <v>43</v>
      </c>
      <c r="D2094" s="65">
        <v>1.4</v>
      </c>
      <c r="E2094" s="67" t="s">
        <v>76</v>
      </c>
      <c r="F2094" s="52" t="s">
        <v>30</v>
      </c>
      <c r="G2094" s="52" t="s">
        <v>2</v>
      </c>
    </row>
    <row r="2095" spans="1:7">
      <c r="A2095" s="15" t="s">
        <v>2462</v>
      </c>
      <c r="B2095" s="63" t="s">
        <v>150</v>
      </c>
      <c r="C2095" s="64">
        <v>44</v>
      </c>
      <c r="D2095" s="65">
        <v>4.0999999999999996</v>
      </c>
      <c r="E2095" s="67" t="s">
        <v>81</v>
      </c>
      <c r="F2095" s="52" t="s">
        <v>94</v>
      </c>
      <c r="G2095" s="52" t="s">
        <v>4</v>
      </c>
    </row>
    <row r="2096" spans="1:7">
      <c r="A2096" s="15" t="s">
        <v>2463</v>
      </c>
      <c r="B2096" s="63" t="s">
        <v>150</v>
      </c>
      <c r="C2096" s="64">
        <v>45</v>
      </c>
      <c r="D2096" s="65">
        <v>5.0999999999999996</v>
      </c>
      <c r="E2096" s="67" t="s">
        <v>81</v>
      </c>
      <c r="F2096" s="52" t="s">
        <v>97</v>
      </c>
      <c r="G2096" s="52" t="s">
        <v>3</v>
      </c>
    </row>
    <row r="2097" spans="1:7">
      <c r="A2097" s="15" t="s">
        <v>2464</v>
      </c>
      <c r="B2097" s="63" t="s">
        <v>150</v>
      </c>
      <c r="C2097" s="64">
        <v>46</v>
      </c>
      <c r="D2097" s="65">
        <v>3.1</v>
      </c>
      <c r="E2097" s="67" t="s">
        <v>81</v>
      </c>
      <c r="F2097" s="52" t="s">
        <v>90</v>
      </c>
      <c r="G2097" s="52" t="s">
        <v>1</v>
      </c>
    </row>
    <row r="2098" spans="1:7">
      <c r="A2098" s="15" t="s">
        <v>2465</v>
      </c>
      <c r="B2098" s="63" t="s">
        <v>150</v>
      </c>
      <c r="C2098" s="64">
        <v>47</v>
      </c>
      <c r="D2098" s="65">
        <v>2.31</v>
      </c>
      <c r="E2098" s="67" t="s">
        <v>96</v>
      </c>
      <c r="F2098" s="52" t="s">
        <v>85</v>
      </c>
      <c r="G2098" s="52" t="s">
        <v>3</v>
      </c>
    </row>
    <row r="2099" spans="1:7">
      <c r="A2099" s="15" t="s">
        <v>2466</v>
      </c>
      <c r="B2099" s="63" t="s">
        <v>150</v>
      </c>
      <c r="C2099" s="64">
        <v>48</v>
      </c>
      <c r="D2099" s="65">
        <v>2.35</v>
      </c>
      <c r="E2099" s="67" t="s">
        <v>28</v>
      </c>
      <c r="F2099" s="52" t="s">
        <v>89</v>
      </c>
      <c r="G2099" s="52" t="s">
        <v>2</v>
      </c>
    </row>
    <row r="2100" spans="1:7">
      <c r="A2100" s="15" t="s">
        <v>2467</v>
      </c>
      <c r="B2100" s="63" t="s">
        <v>150</v>
      </c>
      <c r="C2100" s="64">
        <v>49</v>
      </c>
      <c r="D2100" s="65">
        <v>4.0999999999999996</v>
      </c>
      <c r="E2100" s="67" t="s">
        <v>93</v>
      </c>
      <c r="F2100" s="52" t="s">
        <v>94</v>
      </c>
      <c r="G2100" s="52" t="s">
        <v>0</v>
      </c>
    </row>
    <row r="2101" spans="1:7">
      <c r="A2101" s="15" t="s">
        <v>2468</v>
      </c>
      <c r="B2101" s="63" t="s">
        <v>150</v>
      </c>
      <c r="C2101" s="64">
        <v>50</v>
      </c>
      <c r="D2101" s="65">
        <v>2.31</v>
      </c>
      <c r="E2101" s="67" t="s">
        <v>81</v>
      </c>
      <c r="F2101" s="52" t="s">
        <v>85</v>
      </c>
      <c r="G2101" s="52" t="s">
        <v>2</v>
      </c>
    </row>
    <row r="2102" spans="1:7">
      <c r="A2102" s="15" t="s">
        <v>2469</v>
      </c>
      <c r="B2102" s="63" t="s">
        <v>151</v>
      </c>
      <c r="C2102" s="64">
        <v>1</v>
      </c>
      <c r="D2102" s="66">
        <v>2.31</v>
      </c>
      <c r="E2102" s="67" t="s">
        <v>81</v>
      </c>
      <c r="F2102" s="57" t="s">
        <v>85</v>
      </c>
      <c r="G2102" s="52" t="s">
        <v>1</v>
      </c>
    </row>
    <row r="2103" spans="1:7">
      <c r="A2103" s="15" t="s">
        <v>2470</v>
      </c>
      <c r="B2103" s="63" t="s">
        <v>151</v>
      </c>
      <c r="C2103" s="64">
        <v>2</v>
      </c>
      <c r="D2103" s="65">
        <v>4.0999999999999996</v>
      </c>
      <c r="E2103" s="67" t="s">
        <v>28</v>
      </c>
      <c r="F2103" s="52" t="s">
        <v>94</v>
      </c>
      <c r="G2103" s="52" t="s">
        <v>0</v>
      </c>
    </row>
    <row r="2104" spans="1:7">
      <c r="A2104" s="15" t="s">
        <v>2471</v>
      </c>
      <c r="B2104" s="63" t="s">
        <v>151</v>
      </c>
      <c r="C2104" s="64">
        <v>3</v>
      </c>
      <c r="D2104" s="65">
        <v>2.3199999999999998</v>
      </c>
      <c r="E2104" s="67" t="s">
        <v>81</v>
      </c>
      <c r="F2104" s="52" t="s">
        <v>86</v>
      </c>
      <c r="G2104" s="52" t="s">
        <v>1</v>
      </c>
    </row>
    <row r="2105" spans="1:7">
      <c r="A2105" s="15" t="s">
        <v>2472</v>
      </c>
      <c r="B2105" s="63" t="s">
        <v>151</v>
      </c>
      <c r="C2105" s="64">
        <v>4</v>
      </c>
      <c r="D2105" s="65">
        <v>2.1</v>
      </c>
      <c r="E2105" s="67" t="s">
        <v>93</v>
      </c>
      <c r="F2105" s="52" t="s">
        <v>82</v>
      </c>
      <c r="G2105" s="52" t="s">
        <v>3</v>
      </c>
    </row>
    <row r="2106" spans="1:7">
      <c r="A2106" s="15" t="s">
        <v>2473</v>
      </c>
      <c r="B2106" s="63" t="s">
        <v>151</v>
      </c>
      <c r="C2106" s="64">
        <v>5</v>
      </c>
      <c r="D2106" s="65">
        <v>3.1</v>
      </c>
      <c r="E2106" s="67" t="s">
        <v>81</v>
      </c>
      <c r="F2106" s="52" t="s">
        <v>90</v>
      </c>
      <c r="G2106" s="52" t="s">
        <v>4</v>
      </c>
    </row>
    <row r="2107" spans="1:7">
      <c r="A2107" s="15" t="s">
        <v>2474</v>
      </c>
      <c r="B2107" s="63" t="s">
        <v>151</v>
      </c>
      <c r="C2107" s="64">
        <v>6</v>
      </c>
      <c r="D2107" s="65">
        <v>2.33</v>
      </c>
      <c r="E2107" s="67" t="s">
        <v>28</v>
      </c>
      <c r="F2107" s="52" t="s">
        <v>87</v>
      </c>
      <c r="G2107" s="52" t="s">
        <v>2</v>
      </c>
    </row>
    <row r="2108" spans="1:7">
      <c r="A2108" s="15" t="s">
        <v>2475</v>
      </c>
      <c r="B2108" s="63" t="s">
        <v>151</v>
      </c>
      <c r="C2108" s="64">
        <v>7</v>
      </c>
      <c r="D2108" s="65">
        <v>3.4</v>
      </c>
      <c r="E2108" s="67" t="s">
        <v>28</v>
      </c>
      <c r="F2108" s="52" t="s">
        <v>29</v>
      </c>
      <c r="G2108" s="52" t="s">
        <v>0</v>
      </c>
    </row>
    <row r="2109" spans="1:7">
      <c r="A2109" s="15" t="s">
        <v>2476</v>
      </c>
      <c r="B2109" s="63" t="s">
        <v>151</v>
      </c>
      <c r="C2109" s="64">
        <v>8</v>
      </c>
      <c r="D2109" s="65">
        <v>2.31</v>
      </c>
      <c r="E2109" s="67" t="s">
        <v>81</v>
      </c>
      <c r="F2109" s="52" t="s">
        <v>85</v>
      </c>
      <c r="G2109" s="52" t="s">
        <v>2</v>
      </c>
    </row>
    <row r="2110" spans="1:7">
      <c r="A2110" s="15" t="s">
        <v>2477</v>
      </c>
      <c r="B2110" s="63" t="s">
        <v>151</v>
      </c>
      <c r="C2110" s="64">
        <v>9</v>
      </c>
      <c r="D2110" s="65">
        <v>1.6</v>
      </c>
      <c r="E2110" s="67" t="s">
        <v>96</v>
      </c>
      <c r="F2110" s="52" t="s">
        <v>27</v>
      </c>
      <c r="G2110" s="52" t="s">
        <v>4</v>
      </c>
    </row>
    <row r="2111" spans="1:7">
      <c r="A2111" s="15" t="s">
        <v>2478</v>
      </c>
      <c r="B2111" s="63" t="s">
        <v>151</v>
      </c>
      <c r="C2111" s="64">
        <v>10</v>
      </c>
      <c r="D2111" s="65">
        <v>2.33</v>
      </c>
      <c r="E2111" s="67" t="s">
        <v>100</v>
      </c>
      <c r="F2111" s="52" t="s">
        <v>87</v>
      </c>
      <c r="G2111" s="52" t="s">
        <v>4</v>
      </c>
    </row>
    <row r="2112" spans="1:7">
      <c r="A2112" s="15" t="s">
        <v>2479</v>
      </c>
      <c r="B2112" s="63" t="s">
        <v>151</v>
      </c>
      <c r="C2112" s="64">
        <v>11</v>
      </c>
      <c r="D2112" s="65">
        <v>2.2000000000000002</v>
      </c>
      <c r="E2112" s="67" t="s">
        <v>76</v>
      </c>
      <c r="F2112" s="52" t="s">
        <v>83</v>
      </c>
      <c r="G2112" s="52" t="s">
        <v>1</v>
      </c>
    </row>
    <row r="2113" spans="1:7">
      <c r="A2113" s="15" t="s">
        <v>2480</v>
      </c>
      <c r="B2113" s="63" t="s">
        <v>151</v>
      </c>
      <c r="C2113" s="64">
        <v>12</v>
      </c>
      <c r="D2113" s="65">
        <v>4.0999999999999996</v>
      </c>
      <c r="E2113" s="67" t="s">
        <v>93</v>
      </c>
      <c r="F2113" s="52" t="s">
        <v>94</v>
      </c>
      <c r="G2113" s="52" t="s">
        <v>2</v>
      </c>
    </row>
    <row r="2114" spans="1:7">
      <c r="A2114" s="15" t="s">
        <v>2481</v>
      </c>
      <c r="B2114" s="63" t="s">
        <v>151</v>
      </c>
      <c r="C2114" s="64">
        <v>13</v>
      </c>
      <c r="D2114" s="65">
        <v>2.1</v>
      </c>
      <c r="E2114" s="67" t="s">
        <v>81</v>
      </c>
      <c r="F2114" s="52" t="s">
        <v>82</v>
      </c>
      <c r="G2114" s="52" t="s">
        <v>0</v>
      </c>
    </row>
    <row r="2115" spans="1:7">
      <c r="A2115" s="15" t="s">
        <v>2482</v>
      </c>
      <c r="B2115" s="63" t="s">
        <v>151</v>
      </c>
      <c r="C2115" s="64">
        <v>14</v>
      </c>
      <c r="D2115" s="65">
        <v>3.2</v>
      </c>
      <c r="E2115" s="67" t="s">
        <v>96</v>
      </c>
      <c r="F2115" s="52" t="s">
        <v>91</v>
      </c>
      <c r="G2115" s="52" t="s">
        <v>0</v>
      </c>
    </row>
    <row r="2116" spans="1:7">
      <c r="A2116" s="15" t="s">
        <v>2483</v>
      </c>
      <c r="B2116" s="63" t="s">
        <v>151</v>
      </c>
      <c r="C2116" s="64">
        <v>15</v>
      </c>
      <c r="D2116" s="65">
        <v>2.31</v>
      </c>
      <c r="E2116" s="67" t="s">
        <v>28</v>
      </c>
      <c r="F2116" s="52" t="s">
        <v>85</v>
      </c>
      <c r="G2116" s="52" t="s">
        <v>2</v>
      </c>
    </row>
    <row r="2117" spans="1:7">
      <c r="A2117" s="15" t="s">
        <v>2484</v>
      </c>
      <c r="B2117" s="63" t="s">
        <v>151</v>
      </c>
      <c r="C2117" s="64">
        <v>16</v>
      </c>
      <c r="D2117" s="65">
        <v>5.0999999999999996</v>
      </c>
      <c r="E2117" s="67" t="s">
        <v>81</v>
      </c>
      <c r="F2117" s="52" t="s">
        <v>97</v>
      </c>
      <c r="G2117" s="52" t="s">
        <v>2</v>
      </c>
    </row>
    <row r="2118" spans="1:7">
      <c r="A2118" s="15" t="s">
        <v>2485</v>
      </c>
      <c r="B2118" s="63" t="s">
        <v>151</v>
      </c>
      <c r="C2118" s="64">
        <v>17</v>
      </c>
      <c r="D2118" s="65">
        <v>2.31</v>
      </c>
      <c r="E2118" s="67" t="s">
        <v>81</v>
      </c>
      <c r="F2118" s="52" t="s">
        <v>85</v>
      </c>
      <c r="G2118" s="52" t="s">
        <v>0</v>
      </c>
    </row>
    <row r="2119" spans="1:7">
      <c r="A2119" s="15" t="s">
        <v>2486</v>
      </c>
      <c r="B2119" s="63" t="s">
        <v>151</v>
      </c>
      <c r="C2119" s="64">
        <v>18</v>
      </c>
      <c r="D2119" s="65">
        <v>4.0999999999999996</v>
      </c>
      <c r="E2119" s="67" t="s">
        <v>96</v>
      </c>
      <c r="F2119" s="52" t="s">
        <v>94</v>
      </c>
      <c r="G2119" s="52" t="s">
        <v>2</v>
      </c>
    </row>
    <row r="2120" spans="1:7">
      <c r="A2120" s="15" t="s">
        <v>2487</v>
      </c>
      <c r="B2120" s="63" t="s">
        <v>151</v>
      </c>
      <c r="C2120" s="64">
        <v>19</v>
      </c>
      <c r="D2120" s="65">
        <v>2.1</v>
      </c>
      <c r="E2120" s="67" t="s">
        <v>76</v>
      </c>
      <c r="F2120" s="52" t="s">
        <v>82</v>
      </c>
      <c r="G2120" s="52" t="s">
        <v>2</v>
      </c>
    </row>
    <row r="2121" spans="1:7">
      <c r="A2121" s="15" t="s">
        <v>2488</v>
      </c>
      <c r="B2121" s="63" t="s">
        <v>151</v>
      </c>
      <c r="C2121" s="64">
        <v>20</v>
      </c>
      <c r="D2121" s="65">
        <v>2.1</v>
      </c>
      <c r="E2121" s="67" t="s">
        <v>81</v>
      </c>
      <c r="F2121" s="52" t="s">
        <v>82</v>
      </c>
      <c r="G2121" s="52" t="s">
        <v>1</v>
      </c>
    </row>
    <row r="2122" spans="1:7">
      <c r="A2122" s="15" t="s">
        <v>2489</v>
      </c>
      <c r="B2122" s="63" t="s">
        <v>151</v>
      </c>
      <c r="C2122" s="64">
        <v>21</v>
      </c>
      <c r="D2122" s="65">
        <v>3.2</v>
      </c>
      <c r="E2122" s="67" t="s">
        <v>81</v>
      </c>
      <c r="F2122" s="52" t="s">
        <v>91</v>
      </c>
      <c r="G2122" s="52" t="s">
        <v>0</v>
      </c>
    </row>
    <row r="2123" spans="1:7">
      <c r="A2123" s="15" t="s">
        <v>2490</v>
      </c>
      <c r="B2123" s="63" t="s">
        <v>151</v>
      </c>
      <c r="C2123" s="64">
        <v>22</v>
      </c>
      <c r="D2123" s="65">
        <v>2.31</v>
      </c>
      <c r="E2123" s="67" t="s">
        <v>96</v>
      </c>
      <c r="F2123" s="52" t="s">
        <v>85</v>
      </c>
      <c r="G2123" s="52" t="s">
        <v>2</v>
      </c>
    </row>
    <row r="2124" spans="1:7">
      <c r="A2124" s="15" t="s">
        <v>2491</v>
      </c>
      <c r="B2124" s="63" t="s">
        <v>151</v>
      </c>
      <c r="C2124" s="64">
        <v>23</v>
      </c>
      <c r="D2124" s="65">
        <v>2.35</v>
      </c>
      <c r="E2124" s="67" t="s">
        <v>81</v>
      </c>
      <c r="F2124" s="52" t="s">
        <v>89</v>
      </c>
      <c r="G2124" s="52" t="s">
        <v>3</v>
      </c>
    </row>
    <row r="2125" spans="1:7">
      <c r="A2125" s="15" t="s">
        <v>2492</v>
      </c>
      <c r="B2125" s="63" t="s">
        <v>151</v>
      </c>
      <c r="C2125" s="64">
        <v>24</v>
      </c>
      <c r="D2125" s="65">
        <v>6.3</v>
      </c>
      <c r="E2125" s="67" t="s">
        <v>81</v>
      </c>
      <c r="F2125" s="52" t="s">
        <v>103</v>
      </c>
      <c r="G2125" s="52" t="s">
        <v>4</v>
      </c>
    </row>
    <row r="2126" spans="1:7">
      <c r="A2126" s="15" t="s">
        <v>2493</v>
      </c>
      <c r="B2126" s="63" t="s">
        <v>151</v>
      </c>
      <c r="C2126" s="64">
        <v>25</v>
      </c>
      <c r="D2126" s="65">
        <v>2.33</v>
      </c>
      <c r="E2126" s="67" t="s">
        <v>76</v>
      </c>
      <c r="F2126" s="52" t="s">
        <v>87</v>
      </c>
      <c r="G2126" s="52" t="s">
        <v>0</v>
      </c>
    </row>
    <row r="2127" spans="1:7">
      <c r="A2127" s="15" t="s">
        <v>2494</v>
      </c>
      <c r="B2127" s="63" t="s">
        <v>151</v>
      </c>
      <c r="C2127" s="64">
        <v>26</v>
      </c>
      <c r="D2127" s="65">
        <v>6.1</v>
      </c>
      <c r="E2127" s="67" t="s">
        <v>76</v>
      </c>
      <c r="F2127" s="52" t="s">
        <v>101</v>
      </c>
      <c r="G2127" s="52" t="s">
        <v>3</v>
      </c>
    </row>
    <row r="2128" spans="1:7">
      <c r="A2128" s="15" t="s">
        <v>2495</v>
      </c>
      <c r="B2128" s="63" t="s">
        <v>151</v>
      </c>
      <c r="C2128" s="64">
        <v>27</v>
      </c>
      <c r="D2128" s="65">
        <v>5.0999999999999996</v>
      </c>
      <c r="E2128" s="67" t="s">
        <v>81</v>
      </c>
      <c r="F2128" s="52" t="s">
        <v>97</v>
      </c>
      <c r="G2128" s="52" t="s">
        <v>1</v>
      </c>
    </row>
    <row r="2129" spans="1:7">
      <c r="A2129" s="15" t="s">
        <v>2496</v>
      </c>
      <c r="B2129" s="63" t="s">
        <v>151</v>
      </c>
      <c r="C2129" s="64">
        <v>28</v>
      </c>
      <c r="D2129" s="65">
        <v>1.5</v>
      </c>
      <c r="E2129" s="67" t="s">
        <v>96</v>
      </c>
      <c r="F2129" s="52" t="s">
        <v>80</v>
      </c>
      <c r="G2129" s="52" t="s">
        <v>4</v>
      </c>
    </row>
    <row r="2130" spans="1:7">
      <c r="A2130" s="15" t="s">
        <v>2497</v>
      </c>
      <c r="B2130" s="63" t="s">
        <v>151</v>
      </c>
      <c r="C2130" s="64">
        <v>29</v>
      </c>
      <c r="D2130" s="65">
        <v>6.4</v>
      </c>
      <c r="E2130" s="67" t="s">
        <v>100</v>
      </c>
      <c r="F2130" s="52" t="s">
        <v>104</v>
      </c>
      <c r="G2130" s="52" t="s">
        <v>2</v>
      </c>
    </row>
    <row r="2131" spans="1:7">
      <c r="A2131" s="15" t="s">
        <v>2498</v>
      </c>
      <c r="B2131" s="63" t="s">
        <v>151</v>
      </c>
      <c r="C2131" s="64">
        <v>30</v>
      </c>
      <c r="D2131" s="65">
        <v>2.2000000000000002</v>
      </c>
      <c r="E2131" s="67" t="s">
        <v>81</v>
      </c>
      <c r="F2131" s="52" t="s">
        <v>83</v>
      </c>
      <c r="G2131" s="52" t="s">
        <v>4</v>
      </c>
    </row>
    <row r="2132" spans="1:7">
      <c r="A2132" s="15" t="s">
        <v>2499</v>
      </c>
      <c r="B2132" s="63" t="s">
        <v>151</v>
      </c>
      <c r="C2132" s="64">
        <v>31</v>
      </c>
      <c r="D2132" s="65">
        <v>5.0999999999999996</v>
      </c>
      <c r="E2132" s="67" t="s">
        <v>81</v>
      </c>
      <c r="F2132" s="52" t="s">
        <v>97</v>
      </c>
      <c r="G2132" s="52" t="s">
        <v>2</v>
      </c>
    </row>
    <row r="2133" spans="1:7">
      <c r="A2133" s="15" t="s">
        <v>2500</v>
      </c>
      <c r="B2133" s="63" t="s">
        <v>151</v>
      </c>
      <c r="C2133" s="64">
        <v>32</v>
      </c>
      <c r="D2133" s="65">
        <v>3.1</v>
      </c>
      <c r="E2133" s="67" t="s">
        <v>81</v>
      </c>
      <c r="F2133" s="52" t="s">
        <v>90</v>
      </c>
      <c r="G2133" s="52" t="s">
        <v>4</v>
      </c>
    </row>
    <row r="2134" spans="1:7">
      <c r="A2134" s="15" t="s">
        <v>2501</v>
      </c>
      <c r="B2134" s="63" t="s">
        <v>151</v>
      </c>
      <c r="C2134" s="64">
        <v>33</v>
      </c>
      <c r="D2134" s="65">
        <v>2.35</v>
      </c>
      <c r="E2134" s="67" t="s">
        <v>81</v>
      </c>
      <c r="F2134" s="52" t="s">
        <v>89</v>
      </c>
      <c r="G2134" s="52" t="s">
        <v>4</v>
      </c>
    </row>
    <row r="2135" spans="1:7">
      <c r="A2135" s="15" t="s">
        <v>2502</v>
      </c>
      <c r="B2135" s="63" t="s">
        <v>151</v>
      </c>
      <c r="C2135" s="64">
        <v>34</v>
      </c>
      <c r="D2135" s="65">
        <v>3.1</v>
      </c>
      <c r="E2135" s="67" t="s">
        <v>100</v>
      </c>
      <c r="F2135" s="52" t="s">
        <v>90</v>
      </c>
      <c r="G2135" s="52" t="s">
        <v>4</v>
      </c>
    </row>
    <row r="2136" spans="1:7">
      <c r="A2136" s="15" t="s">
        <v>2503</v>
      </c>
      <c r="B2136" s="63" t="s">
        <v>151</v>
      </c>
      <c r="C2136" s="64">
        <v>35</v>
      </c>
      <c r="D2136" s="65">
        <v>2.2000000000000002</v>
      </c>
      <c r="E2136" s="67" t="s">
        <v>81</v>
      </c>
      <c r="F2136" s="52" t="s">
        <v>83</v>
      </c>
      <c r="G2136" s="52" t="s">
        <v>0</v>
      </c>
    </row>
    <row r="2137" spans="1:7">
      <c r="A2137" s="15" t="s">
        <v>2504</v>
      </c>
      <c r="B2137" s="63" t="s">
        <v>151</v>
      </c>
      <c r="C2137" s="64">
        <v>36</v>
      </c>
      <c r="D2137" s="65">
        <v>2.31</v>
      </c>
      <c r="E2137" s="67" t="s">
        <v>81</v>
      </c>
      <c r="F2137" s="52" t="s">
        <v>85</v>
      </c>
      <c r="G2137" s="52" t="s">
        <v>0</v>
      </c>
    </row>
    <row r="2138" spans="1:7">
      <c r="A2138" s="15" t="s">
        <v>2505</v>
      </c>
      <c r="B2138" s="63" t="s">
        <v>151</v>
      </c>
      <c r="C2138" s="64">
        <v>37</v>
      </c>
      <c r="D2138" s="65">
        <v>5.2</v>
      </c>
      <c r="E2138" s="67" t="s">
        <v>100</v>
      </c>
      <c r="F2138" s="52" t="s">
        <v>98</v>
      </c>
      <c r="G2138" s="52" t="s">
        <v>4</v>
      </c>
    </row>
    <row r="2139" spans="1:7">
      <c r="A2139" s="15" t="s">
        <v>2506</v>
      </c>
      <c r="B2139" s="63" t="s">
        <v>151</v>
      </c>
      <c r="C2139" s="64">
        <v>38</v>
      </c>
      <c r="D2139" s="65">
        <v>6.3</v>
      </c>
      <c r="E2139" s="67" t="s">
        <v>96</v>
      </c>
      <c r="F2139" s="52" t="s">
        <v>103</v>
      </c>
      <c r="G2139" s="52" t="s">
        <v>0</v>
      </c>
    </row>
    <row r="2140" spans="1:7">
      <c r="A2140" s="15" t="s">
        <v>2507</v>
      </c>
      <c r="B2140" s="63" t="s">
        <v>151</v>
      </c>
      <c r="C2140" s="64">
        <v>39</v>
      </c>
      <c r="D2140" s="65">
        <v>1.4</v>
      </c>
      <c r="E2140" s="67" t="s">
        <v>81</v>
      </c>
      <c r="F2140" s="52" t="s">
        <v>30</v>
      </c>
      <c r="G2140" s="52" t="s">
        <v>2</v>
      </c>
    </row>
    <row r="2141" spans="1:7">
      <c r="A2141" s="15" t="s">
        <v>2508</v>
      </c>
      <c r="B2141" s="63" t="s">
        <v>151</v>
      </c>
      <c r="C2141" s="64">
        <v>40</v>
      </c>
      <c r="D2141" s="65">
        <v>3.1</v>
      </c>
      <c r="E2141" s="67" t="s">
        <v>100</v>
      </c>
      <c r="F2141" s="52" t="s">
        <v>90</v>
      </c>
      <c r="G2141" s="52" t="s">
        <v>3</v>
      </c>
    </row>
    <row r="2142" spans="1:7">
      <c r="A2142" s="15" t="s">
        <v>2509</v>
      </c>
      <c r="B2142" s="63" t="s">
        <v>151</v>
      </c>
      <c r="C2142" s="64">
        <v>41</v>
      </c>
      <c r="D2142" s="65">
        <v>2.35</v>
      </c>
      <c r="E2142" s="67" t="s">
        <v>28</v>
      </c>
      <c r="F2142" s="52" t="s">
        <v>89</v>
      </c>
      <c r="G2142" s="52" t="s">
        <v>0</v>
      </c>
    </row>
    <row r="2143" spans="1:7">
      <c r="A2143" s="15" t="s">
        <v>2510</v>
      </c>
      <c r="B2143" s="63" t="s">
        <v>151</v>
      </c>
      <c r="C2143" s="64">
        <v>42</v>
      </c>
      <c r="D2143" s="65">
        <v>6.3</v>
      </c>
      <c r="E2143" s="67" t="s">
        <v>28</v>
      </c>
      <c r="F2143" s="52" t="s">
        <v>103</v>
      </c>
      <c r="G2143" s="52" t="s">
        <v>0</v>
      </c>
    </row>
    <row r="2144" spans="1:7">
      <c r="A2144" s="15" t="s">
        <v>2511</v>
      </c>
      <c r="B2144" s="63" t="s">
        <v>151</v>
      </c>
      <c r="C2144" s="64">
        <v>43</v>
      </c>
      <c r="D2144" s="65">
        <v>1.3</v>
      </c>
      <c r="E2144" s="67" t="s">
        <v>96</v>
      </c>
      <c r="F2144" s="52" t="s">
        <v>79</v>
      </c>
      <c r="G2144" s="52" t="s">
        <v>2</v>
      </c>
    </row>
    <row r="2145" spans="1:7">
      <c r="A2145" s="15" t="s">
        <v>2512</v>
      </c>
      <c r="B2145" s="63" t="s">
        <v>151</v>
      </c>
      <c r="C2145" s="64">
        <v>44</v>
      </c>
      <c r="D2145" s="65">
        <v>2.34</v>
      </c>
      <c r="E2145" s="67" t="s">
        <v>93</v>
      </c>
      <c r="F2145" s="52" t="s">
        <v>88</v>
      </c>
      <c r="G2145" s="52" t="s">
        <v>0</v>
      </c>
    </row>
    <row r="2146" spans="1:7">
      <c r="A2146" s="15" t="s">
        <v>2513</v>
      </c>
      <c r="B2146" s="63" t="s">
        <v>151</v>
      </c>
      <c r="C2146" s="64">
        <v>45</v>
      </c>
      <c r="D2146" s="65">
        <v>2.35</v>
      </c>
      <c r="E2146" s="67" t="s">
        <v>81</v>
      </c>
      <c r="F2146" s="52" t="s">
        <v>89</v>
      </c>
      <c r="G2146" s="52" t="s">
        <v>4</v>
      </c>
    </row>
    <row r="2147" spans="1:7">
      <c r="A2147" s="15" t="s">
        <v>2514</v>
      </c>
      <c r="B2147" s="63" t="s">
        <v>151</v>
      </c>
      <c r="C2147" s="64">
        <v>46</v>
      </c>
      <c r="D2147" s="65">
        <v>2.3199999999999998</v>
      </c>
      <c r="E2147" s="67" t="s">
        <v>81</v>
      </c>
      <c r="F2147" s="52" t="s">
        <v>86</v>
      </c>
      <c r="G2147" s="52" t="s">
        <v>3</v>
      </c>
    </row>
    <row r="2148" spans="1:7">
      <c r="A2148" s="15" t="s">
        <v>2515</v>
      </c>
      <c r="B2148" s="63" t="s">
        <v>151</v>
      </c>
      <c r="C2148" s="64">
        <v>47</v>
      </c>
      <c r="D2148" s="65">
        <v>5.0999999999999996</v>
      </c>
      <c r="E2148" s="67" t="s">
        <v>76</v>
      </c>
      <c r="F2148" s="52" t="s">
        <v>97</v>
      </c>
      <c r="G2148" s="52" t="s">
        <v>0</v>
      </c>
    </row>
    <row r="2149" spans="1:7">
      <c r="A2149" s="15" t="s">
        <v>2516</v>
      </c>
      <c r="B2149" s="63" t="s">
        <v>151</v>
      </c>
      <c r="C2149" s="64">
        <v>48</v>
      </c>
      <c r="D2149" s="65">
        <v>3.4</v>
      </c>
      <c r="E2149" s="67" t="s">
        <v>81</v>
      </c>
      <c r="F2149" s="52" t="s">
        <v>29</v>
      </c>
      <c r="G2149" s="52" t="s">
        <v>0</v>
      </c>
    </row>
    <row r="2150" spans="1:7">
      <c r="A2150" s="15" t="s">
        <v>2517</v>
      </c>
      <c r="B2150" s="63" t="s">
        <v>151</v>
      </c>
      <c r="C2150" s="64">
        <v>49</v>
      </c>
      <c r="D2150" s="65">
        <v>4.2</v>
      </c>
      <c r="E2150" s="67" t="s">
        <v>81</v>
      </c>
      <c r="F2150" s="52" t="s">
        <v>95</v>
      </c>
      <c r="G2150" s="52" t="s">
        <v>0</v>
      </c>
    </row>
    <row r="2151" spans="1:7">
      <c r="A2151" s="15" t="s">
        <v>2518</v>
      </c>
      <c r="B2151" s="63" t="s">
        <v>151</v>
      </c>
      <c r="C2151" s="64">
        <v>50</v>
      </c>
      <c r="D2151" s="65">
        <v>2.35</v>
      </c>
      <c r="E2151" s="67" t="s">
        <v>81</v>
      </c>
      <c r="F2151" s="52" t="s">
        <v>89</v>
      </c>
      <c r="G2151" s="52" t="s">
        <v>2</v>
      </c>
    </row>
    <row r="2152" spans="1:7">
      <c r="A2152" s="15" t="s">
        <v>2519</v>
      </c>
      <c r="B2152" s="63" t="s">
        <v>152</v>
      </c>
      <c r="C2152" s="64">
        <v>1</v>
      </c>
      <c r="D2152" s="65">
        <v>2.35</v>
      </c>
      <c r="E2152" s="67" t="s">
        <v>93</v>
      </c>
      <c r="F2152" s="52" t="s">
        <v>89</v>
      </c>
      <c r="G2152" s="52" t="s">
        <v>0</v>
      </c>
    </row>
    <row r="2153" spans="1:7">
      <c r="A2153" s="15" t="s">
        <v>2520</v>
      </c>
      <c r="B2153" s="63" t="s">
        <v>152</v>
      </c>
      <c r="C2153" s="64">
        <v>2</v>
      </c>
      <c r="D2153" s="65">
        <v>3.1</v>
      </c>
      <c r="E2153" s="67" t="s">
        <v>81</v>
      </c>
      <c r="F2153" s="52" t="s">
        <v>90</v>
      </c>
      <c r="G2153" s="52" t="s">
        <v>3</v>
      </c>
    </row>
    <row r="2154" spans="1:7">
      <c r="A2154" s="15" t="s">
        <v>2521</v>
      </c>
      <c r="B2154" s="63" t="s">
        <v>152</v>
      </c>
      <c r="C2154" s="64">
        <v>3</v>
      </c>
      <c r="D2154" s="65">
        <v>2.31</v>
      </c>
      <c r="E2154" s="67" t="s">
        <v>81</v>
      </c>
      <c r="F2154" s="52" t="s">
        <v>85</v>
      </c>
      <c r="G2154" s="52" t="s">
        <v>0</v>
      </c>
    </row>
    <row r="2155" spans="1:7">
      <c r="A2155" s="15" t="s">
        <v>2522</v>
      </c>
      <c r="B2155" s="63" t="s">
        <v>152</v>
      </c>
      <c r="C2155" s="64">
        <v>4</v>
      </c>
      <c r="D2155" s="65">
        <v>4.0999999999999996</v>
      </c>
      <c r="E2155" s="67" t="s">
        <v>81</v>
      </c>
      <c r="F2155" s="52" t="s">
        <v>94</v>
      </c>
      <c r="G2155" s="52" t="s">
        <v>4</v>
      </c>
    </row>
    <row r="2156" spans="1:7">
      <c r="A2156" s="15" t="s">
        <v>2523</v>
      </c>
      <c r="B2156" s="63" t="s">
        <v>152</v>
      </c>
      <c r="C2156" s="64">
        <v>5</v>
      </c>
      <c r="D2156" s="65">
        <v>2.2000000000000002</v>
      </c>
      <c r="E2156" s="67" t="s">
        <v>81</v>
      </c>
      <c r="F2156" s="52" t="s">
        <v>83</v>
      </c>
      <c r="G2156" s="52" t="s">
        <v>3</v>
      </c>
    </row>
    <row r="2157" spans="1:7">
      <c r="A2157" s="15" t="s">
        <v>2524</v>
      </c>
      <c r="B2157" s="63" t="s">
        <v>152</v>
      </c>
      <c r="C2157" s="64">
        <v>6</v>
      </c>
      <c r="D2157" s="65">
        <v>3.2</v>
      </c>
      <c r="E2157" s="67" t="s">
        <v>28</v>
      </c>
      <c r="F2157" s="52" t="s">
        <v>91</v>
      </c>
      <c r="G2157" s="52" t="s">
        <v>4</v>
      </c>
    </row>
    <row r="2158" spans="1:7">
      <c r="A2158" s="15" t="s">
        <v>2525</v>
      </c>
      <c r="B2158" s="63" t="s">
        <v>152</v>
      </c>
      <c r="C2158" s="64">
        <v>7</v>
      </c>
      <c r="D2158" s="65">
        <v>3.1</v>
      </c>
      <c r="E2158" s="67" t="s">
        <v>81</v>
      </c>
      <c r="F2158" s="52" t="s">
        <v>90</v>
      </c>
      <c r="G2158" s="52" t="s">
        <v>1</v>
      </c>
    </row>
    <row r="2159" spans="1:7">
      <c r="A2159" s="15" t="s">
        <v>2526</v>
      </c>
      <c r="B2159" s="63" t="s">
        <v>152</v>
      </c>
      <c r="C2159" s="64">
        <v>8</v>
      </c>
      <c r="D2159" s="65">
        <v>2.35</v>
      </c>
      <c r="E2159" s="67" t="s">
        <v>93</v>
      </c>
      <c r="F2159" s="52" t="s">
        <v>89</v>
      </c>
      <c r="G2159" s="52" t="s">
        <v>0</v>
      </c>
    </row>
    <row r="2160" spans="1:7">
      <c r="A2160" s="15" t="s">
        <v>2527</v>
      </c>
      <c r="B2160" s="63" t="s">
        <v>152</v>
      </c>
      <c r="C2160" s="64">
        <v>9</v>
      </c>
      <c r="D2160" s="65">
        <v>5.0999999999999996</v>
      </c>
      <c r="E2160" s="67" t="s">
        <v>81</v>
      </c>
      <c r="F2160" s="52" t="s">
        <v>97</v>
      </c>
      <c r="G2160" s="52" t="s">
        <v>0</v>
      </c>
    </row>
    <row r="2161" spans="1:7">
      <c r="A2161" s="15" t="s">
        <v>2528</v>
      </c>
      <c r="B2161" s="63" t="s">
        <v>152</v>
      </c>
      <c r="C2161" s="64">
        <v>10</v>
      </c>
      <c r="D2161" s="65">
        <v>6.3</v>
      </c>
      <c r="E2161" s="67" t="s">
        <v>28</v>
      </c>
      <c r="F2161" s="52" t="s">
        <v>103</v>
      </c>
      <c r="G2161" s="52" t="s">
        <v>1</v>
      </c>
    </row>
    <row r="2162" spans="1:7">
      <c r="A2162" s="15" t="s">
        <v>2529</v>
      </c>
      <c r="B2162" s="63" t="s">
        <v>152</v>
      </c>
      <c r="C2162" s="64">
        <v>11</v>
      </c>
      <c r="D2162" s="65">
        <v>1.6</v>
      </c>
      <c r="E2162" s="67" t="s">
        <v>28</v>
      </c>
      <c r="F2162" s="52" t="s">
        <v>27</v>
      </c>
      <c r="G2162" s="52" t="s">
        <v>4</v>
      </c>
    </row>
    <row r="2163" spans="1:7">
      <c r="A2163" s="15" t="s">
        <v>2530</v>
      </c>
      <c r="B2163" s="63" t="s">
        <v>152</v>
      </c>
      <c r="C2163" s="64">
        <v>12</v>
      </c>
      <c r="D2163" s="65">
        <v>4.2</v>
      </c>
      <c r="E2163" s="67" t="s">
        <v>81</v>
      </c>
      <c r="F2163" s="52" t="s">
        <v>95</v>
      </c>
      <c r="G2163" s="52" t="s">
        <v>3</v>
      </c>
    </row>
    <row r="2164" spans="1:7">
      <c r="A2164" s="15" t="s">
        <v>2531</v>
      </c>
      <c r="B2164" s="63" t="s">
        <v>152</v>
      </c>
      <c r="C2164" s="64">
        <v>13</v>
      </c>
      <c r="D2164" s="65">
        <v>2.2000000000000002</v>
      </c>
      <c r="E2164" s="67" t="s">
        <v>76</v>
      </c>
      <c r="F2164" s="52" t="s">
        <v>83</v>
      </c>
      <c r="G2164" s="52" t="s">
        <v>4</v>
      </c>
    </row>
    <row r="2165" spans="1:7">
      <c r="A2165" s="15" t="s">
        <v>2532</v>
      </c>
      <c r="B2165" s="63" t="s">
        <v>152</v>
      </c>
      <c r="C2165" s="64">
        <v>14</v>
      </c>
      <c r="D2165" s="65">
        <v>5.2</v>
      </c>
      <c r="E2165" s="67" t="s">
        <v>81</v>
      </c>
      <c r="F2165" s="52" t="s">
        <v>98</v>
      </c>
      <c r="G2165" s="52" t="s">
        <v>0</v>
      </c>
    </row>
    <row r="2166" spans="1:7">
      <c r="A2166" s="15" t="s">
        <v>2533</v>
      </c>
      <c r="B2166" s="63" t="s">
        <v>152</v>
      </c>
      <c r="C2166" s="64">
        <v>15</v>
      </c>
      <c r="D2166" s="65">
        <v>3.4</v>
      </c>
      <c r="E2166" s="67" t="s">
        <v>81</v>
      </c>
      <c r="F2166" s="52" t="s">
        <v>29</v>
      </c>
      <c r="G2166" s="52" t="s">
        <v>4</v>
      </c>
    </row>
    <row r="2167" spans="1:7">
      <c r="A2167" s="15" t="s">
        <v>2534</v>
      </c>
      <c r="B2167" s="63" t="s">
        <v>152</v>
      </c>
      <c r="C2167" s="64">
        <v>16</v>
      </c>
      <c r="D2167" s="65">
        <v>2.3199999999999998</v>
      </c>
      <c r="E2167" s="67" t="s">
        <v>81</v>
      </c>
      <c r="F2167" s="52" t="s">
        <v>86</v>
      </c>
      <c r="G2167" s="52" t="s">
        <v>4</v>
      </c>
    </row>
    <row r="2168" spans="1:7">
      <c r="A2168" s="15" t="s">
        <v>2535</v>
      </c>
      <c r="B2168" s="63" t="s">
        <v>152</v>
      </c>
      <c r="C2168" s="64">
        <v>17</v>
      </c>
      <c r="D2168" s="65">
        <v>2.1</v>
      </c>
      <c r="E2168" s="67" t="s">
        <v>96</v>
      </c>
      <c r="F2168" s="52" t="s">
        <v>82</v>
      </c>
      <c r="G2168" s="52" t="s">
        <v>2</v>
      </c>
    </row>
    <row r="2169" spans="1:7">
      <c r="A2169" s="15" t="s">
        <v>2536</v>
      </c>
      <c r="B2169" s="63" t="s">
        <v>152</v>
      </c>
      <c r="C2169" s="64">
        <v>18</v>
      </c>
      <c r="D2169" s="65">
        <v>5.0999999999999996</v>
      </c>
      <c r="E2169" s="67" t="s">
        <v>96</v>
      </c>
      <c r="F2169" s="52" t="s">
        <v>97</v>
      </c>
      <c r="G2169" s="52" t="s">
        <v>4</v>
      </c>
    </row>
    <row r="2170" spans="1:7">
      <c r="A2170" s="15" t="s">
        <v>2537</v>
      </c>
      <c r="B2170" s="63" t="s">
        <v>152</v>
      </c>
      <c r="C2170" s="64">
        <v>19</v>
      </c>
      <c r="D2170" s="65">
        <v>1.1000000000000001</v>
      </c>
      <c r="E2170" s="67" t="s">
        <v>100</v>
      </c>
      <c r="F2170" s="52" t="s">
        <v>77</v>
      </c>
      <c r="G2170" s="52" t="s">
        <v>4</v>
      </c>
    </row>
    <row r="2171" spans="1:7">
      <c r="A2171" s="15" t="s">
        <v>2538</v>
      </c>
      <c r="B2171" s="63" t="s">
        <v>152</v>
      </c>
      <c r="C2171" s="64">
        <v>20</v>
      </c>
      <c r="D2171" s="65">
        <v>2.2000000000000002</v>
      </c>
      <c r="E2171" s="67" t="s">
        <v>81</v>
      </c>
      <c r="F2171" s="52" t="s">
        <v>83</v>
      </c>
      <c r="G2171" s="52" t="s">
        <v>0</v>
      </c>
    </row>
    <row r="2172" spans="1:7">
      <c r="A2172" s="15" t="s">
        <v>2539</v>
      </c>
      <c r="B2172" s="63" t="s">
        <v>152</v>
      </c>
      <c r="C2172" s="64">
        <v>21</v>
      </c>
      <c r="D2172" s="65">
        <v>2.35</v>
      </c>
      <c r="E2172" s="67" t="s">
        <v>81</v>
      </c>
      <c r="F2172" s="52" t="s">
        <v>89</v>
      </c>
      <c r="G2172" s="52" t="s">
        <v>4</v>
      </c>
    </row>
    <row r="2173" spans="1:7">
      <c r="A2173" s="15" t="s">
        <v>2540</v>
      </c>
      <c r="B2173" s="63" t="s">
        <v>152</v>
      </c>
      <c r="C2173" s="64">
        <v>22</v>
      </c>
      <c r="D2173" s="65">
        <v>5.0999999999999996</v>
      </c>
      <c r="E2173" s="67" t="s">
        <v>28</v>
      </c>
      <c r="F2173" s="52" t="s">
        <v>97</v>
      </c>
      <c r="G2173" s="52" t="s">
        <v>0</v>
      </c>
    </row>
    <row r="2174" spans="1:7">
      <c r="A2174" s="15" t="s">
        <v>2541</v>
      </c>
      <c r="B2174" s="63" t="s">
        <v>152</v>
      </c>
      <c r="C2174" s="64">
        <v>23</v>
      </c>
      <c r="D2174" s="65">
        <v>3.1</v>
      </c>
      <c r="E2174" s="67" t="s">
        <v>28</v>
      </c>
      <c r="F2174" s="52" t="s">
        <v>90</v>
      </c>
      <c r="G2174" s="52" t="s">
        <v>4</v>
      </c>
    </row>
    <row r="2175" spans="1:7">
      <c r="A2175" s="15" t="s">
        <v>2542</v>
      </c>
      <c r="B2175" s="63" t="s">
        <v>152</v>
      </c>
      <c r="C2175" s="64">
        <v>24</v>
      </c>
      <c r="D2175" s="65">
        <v>2.2000000000000002</v>
      </c>
      <c r="E2175" s="67" t="s">
        <v>28</v>
      </c>
      <c r="F2175" s="52" t="s">
        <v>83</v>
      </c>
      <c r="G2175" s="52" t="s">
        <v>1</v>
      </c>
    </row>
    <row r="2176" spans="1:7">
      <c r="A2176" s="15" t="s">
        <v>2543</v>
      </c>
      <c r="B2176" s="63" t="s">
        <v>152</v>
      </c>
      <c r="C2176" s="64">
        <v>25</v>
      </c>
      <c r="D2176" s="65">
        <v>1.1000000000000001</v>
      </c>
      <c r="E2176" s="67" t="s">
        <v>81</v>
      </c>
      <c r="F2176" s="52" t="s">
        <v>77</v>
      </c>
      <c r="G2176" s="52" t="s">
        <v>2</v>
      </c>
    </row>
    <row r="2177" spans="1:7">
      <c r="A2177" s="15" t="s">
        <v>2544</v>
      </c>
      <c r="B2177" s="63" t="s">
        <v>152</v>
      </c>
      <c r="C2177" s="64">
        <v>26</v>
      </c>
      <c r="D2177" s="65">
        <v>1.5</v>
      </c>
      <c r="E2177" s="67" t="s">
        <v>81</v>
      </c>
      <c r="F2177" s="52" t="s">
        <v>80</v>
      </c>
      <c r="G2177" s="52" t="s">
        <v>2</v>
      </c>
    </row>
    <row r="2178" spans="1:7">
      <c r="A2178" s="15" t="s">
        <v>2545</v>
      </c>
      <c r="B2178" s="63" t="s">
        <v>152</v>
      </c>
      <c r="C2178" s="64">
        <v>27</v>
      </c>
      <c r="D2178" s="65">
        <v>2.34</v>
      </c>
      <c r="E2178" s="67" t="s">
        <v>96</v>
      </c>
      <c r="F2178" s="52" t="s">
        <v>88</v>
      </c>
      <c r="G2178" s="52" t="s">
        <v>1</v>
      </c>
    </row>
    <row r="2179" spans="1:7">
      <c r="A2179" s="15" t="s">
        <v>2546</v>
      </c>
      <c r="B2179" s="63" t="s">
        <v>152</v>
      </c>
      <c r="C2179" s="64">
        <v>28</v>
      </c>
      <c r="D2179" s="65">
        <v>5.2</v>
      </c>
      <c r="E2179" s="67" t="s">
        <v>96</v>
      </c>
      <c r="F2179" s="52" t="s">
        <v>98</v>
      </c>
      <c r="G2179" s="52" t="s">
        <v>2</v>
      </c>
    </row>
    <row r="2180" spans="1:7">
      <c r="A2180" s="15" t="s">
        <v>2547</v>
      </c>
      <c r="B2180" s="63" t="s">
        <v>152</v>
      </c>
      <c r="C2180" s="64">
        <v>29</v>
      </c>
      <c r="D2180" s="65">
        <v>6.1</v>
      </c>
      <c r="E2180" s="67" t="s">
        <v>81</v>
      </c>
      <c r="F2180" s="52" t="s">
        <v>101</v>
      </c>
      <c r="G2180" s="52" t="s">
        <v>1</v>
      </c>
    </row>
    <row r="2181" spans="1:7">
      <c r="A2181" s="15" t="s">
        <v>2548</v>
      </c>
      <c r="B2181" s="63" t="s">
        <v>152</v>
      </c>
      <c r="C2181" s="64">
        <v>30</v>
      </c>
      <c r="D2181" s="65">
        <v>2.31</v>
      </c>
      <c r="E2181" s="67" t="s">
        <v>81</v>
      </c>
      <c r="F2181" s="52" t="s">
        <v>85</v>
      </c>
      <c r="G2181" s="52" t="s">
        <v>1</v>
      </c>
    </row>
    <row r="2182" spans="1:7">
      <c r="A2182" s="15" t="s">
        <v>2549</v>
      </c>
      <c r="B2182" s="63" t="s">
        <v>152</v>
      </c>
      <c r="C2182" s="64">
        <v>31</v>
      </c>
      <c r="D2182" s="65">
        <v>2.2000000000000002</v>
      </c>
      <c r="E2182" s="67" t="s">
        <v>81</v>
      </c>
      <c r="F2182" s="52" t="s">
        <v>83</v>
      </c>
      <c r="G2182" s="52" t="s">
        <v>4</v>
      </c>
    </row>
    <row r="2183" spans="1:7">
      <c r="A2183" s="15" t="s">
        <v>2550</v>
      </c>
      <c r="B2183" s="63" t="s">
        <v>152</v>
      </c>
      <c r="C2183" s="64">
        <v>32</v>
      </c>
      <c r="D2183" s="65">
        <v>2.1</v>
      </c>
      <c r="E2183" s="67" t="s">
        <v>81</v>
      </c>
      <c r="F2183" s="52" t="s">
        <v>82</v>
      </c>
      <c r="G2183" s="52" t="s">
        <v>3</v>
      </c>
    </row>
    <row r="2184" spans="1:7">
      <c r="A2184" s="15" t="s">
        <v>2551</v>
      </c>
      <c r="B2184" s="63" t="s">
        <v>152</v>
      </c>
      <c r="C2184" s="64">
        <v>33</v>
      </c>
      <c r="D2184" s="65">
        <v>2.35</v>
      </c>
      <c r="E2184" s="67" t="s">
        <v>28</v>
      </c>
      <c r="F2184" s="52" t="s">
        <v>89</v>
      </c>
      <c r="G2184" s="52" t="s">
        <v>0</v>
      </c>
    </row>
    <row r="2185" spans="1:7">
      <c r="A2185" s="15" t="s">
        <v>2552</v>
      </c>
      <c r="B2185" s="63" t="s">
        <v>152</v>
      </c>
      <c r="C2185" s="64">
        <v>34</v>
      </c>
      <c r="D2185" s="65">
        <v>6.4</v>
      </c>
      <c r="E2185" s="67" t="s">
        <v>81</v>
      </c>
      <c r="F2185" s="52" t="s">
        <v>104</v>
      </c>
      <c r="G2185" s="52" t="s">
        <v>4</v>
      </c>
    </row>
    <row r="2186" spans="1:7">
      <c r="A2186" s="15" t="s">
        <v>2553</v>
      </c>
      <c r="B2186" s="63" t="s">
        <v>152</v>
      </c>
      <c r="C2186" s="64">
        <v>35</v>
      </c>
      <c r="D2186" s="65">
        <v>1.1000000000000001</v>
      </c>
      <c r="E2186" s="67" t="s">
        <v>96</v>
      </c>
      <c r="F2186" s="52" t="s">
        <v>77</v>
      </c>
      <c r="G2186" s="52" t="s">
        <v>1</v>
      </c>
    </row>
    <row r="2187" spans="1:7">
      <c r="A2187" s="15" t="s">
        <v>2554</v>
      </c>
      <c r="B2187" s="63" t="s">
        <v>152</v>
      </c>
      <c r="C2187" s="64">
        <v>36</v>
      </c>
      <c r="D2187" s="65">
        <v>2.35</v>
      </c>
      <c r="E2187" s="67" t="s">
        <v>93</v>
      </c>
      <c r="F2187" s="52" t="s">
        <v>89</v>
      </c>
      <c r="G2187" s="52" t="s">
        <v>1</v>
      </c>
    </row>
    <row r="2188" spans="1:7">
      <c r="A2188" s="15" t="s">
        <v>2555</v>
      </c>
      <c r="B2188" s="63" t="s">
        <v>152</v>
      </c>
      <c r="C2188" s="64">
        <v>37</v>
      </c>
      <c r="D2188" s="65">
        <v>6.3</v>
      </c>
      <c r="E2188" s="67" t="s">
        <v>81</v>
      </c>
      <c r="F2188" s="52" t="s">
        <v>103</v>
      </c>
      <c r="G2188" s="52" t="s">
        <v>1</v>
      </c>
    </row>
    <row r="2189" spans="1:7">
      <c r="A2189" s="15" t="s">
        <v>2556</v>
      </c>
      <c r="B2189" s="63" t="s">
        <v>152</v>
      </c>
      <c r="C2189" s="64">
        <v>38</v>
      </c>
      <c r="D2189" s="65">
        <v>5.2</v>
      </c>
      <c r="E2189" s="67" t="s">
        <v>81</v>
      </c>
      <c r="F2189" s="52" t="s">
        <v>98</v>
      </c>
      <c r="G2189" s="52" t="s">
        <v>2</v>
      </c>
    </row>
    <row r="2190" spans="1:7">
      <c r="A2190" s="15" t="s">
        <v>2557</v>
      </c>
      <c r="B2190" s="63" t="s">
        <v>152</v>
      </c>
      <c r="C2190" s="64">
        <v>39</v>
      </c>
      <c r="D2190" s="65">
        <v>2.35</v>
      </c>
      <c r="E2190" s="67" t="s">
        <v>81</v>
      </c>
      <c r="F2190" s="52" t="s">
        <v>89</v>
      </c>
      <c r="G2190" s="52" t="s">
        <v>0</v>
      </c>
    </row>
    <row r="2191" spans="1:7">
      <c r="A2191" s="15" t="s">
        <v>2558</v>
      </c>
      <c r="B2191" s="63" t="s">
        <v>152</v>
      </c>
      <c r="C2191" s="64">
        <v>40</v>
      </c>
      <c r="D2191" s="65">
        <v>6.3</v>
      </c>
      <c r="E2191" s="67" t="s">
        <v>93</v>
      </c>
      <c r="F2191" s="52" t="s">
        <v>103</v>
      </c>
      <c r="G2191" s="52" t="s">
        <v>0</v>
      </c>
    </row>
    <row r="2192" spans="1:7">
      <c r="A2192" s="15" t="s">
        <v>2559</v>
      </c>
      <c r="B2192" s="63" t="s">
        <v>152</v>
      </c>
      <c r="C2192" s="64">
        <v>41</v>
      </c>
      <c r="D2192" s="65">
        <v>3.1</v>
      </c>
      <c r="E2192" s="67" t="s">
        <v>81</v>
      </c>
      <c r="F2192" s="52" t="s">
        <v>90</v>
      </c>
      <c r="G2192" s="52" t="s">
        <v>3</v>
      </c>
    </row>
    <row r="2193" spans="1:7">
      <c r="A2193" s="15" t="s">
        <v>2560</v>
      </c>
      <c r="B2193" s="63" t="s">
        <v>152</v>
      </c>
      <c r="C2193" s="64">
        <v>42</v>
      </c>
      <c r="D2193" s="65">
        <v>3.2</v>
      </c>
      <c r="E2193" s="67" t="s">
        <v>76</v>
      </c>
      <c r="F2193" s="52" t="s">
        <v>91</v>
      </c>
      <c r="G2193" s="52" t="s">
        <v>0</v>
      </c>
    </row>
    <row r="2194" spans="1:7">
      <c r="A2194" s="15" t="s">
        <v>2561</v>
      </c>
      <c r="B2194" s="63" t="s">
        <v>152</v>
      </c>
      <c r="C2194" s="64">
        <v>43</v>
      </c>
      <c r="D2194" s="65">
        <v>5.3</v>
      </c>
      <c r="E2194" s="67" t="s">
        <v>96</v>
      </c>
      <c r="F2194" s="52" t="s">
        <v>99</v>
      </c>
      <c r="G2194" s="52" t="s">
        <v>3</v>
      </c>
    </row>
    <row r="2195" spans="1:7">
      <c r="A2195" s="15" t="s">
        <v>2562</v>
      </c>
      <c r="B2195" s="63" t="s">
        <v>152</v>
      </c>
      <c r="C2195" s="64">
        <v>44</v>
      </c>
      <c r="D2195" s="65">
        <v>4.0999999999999996</v>
      </c>
      <c r="E2195" s="67" t="s">
        <v>28</v>
      </c>
      <c r="F2195" s="52" t="s">
        <v>94</v>
      </c>
      <c r="G2195" s="52" t="s">
        <v>4</v>
      </c>
    </row>
    <row r="2196" spans="1:7">
      <c r="A2196" s="15" t="s">
        <v>2563</v>
      </c>
      <c r="B2196" s="63" t="s">
        <v>152</v>
      </c>
      <c r="C2196" s="64">
        <v>45</v>
      </c>
      <c r="D2196" s="65">
        <v>2.34</v>
      </c>
      <c r="E2196" s="67" t="s">
        <v>76</v>
      </c>
      <c r="F2196" s="52" t="s">
        <v>88</v>
      </c>
      <c r="G2196" s="52" t="s">
        <v>3</v>
      </c>
    </row>
    <row r="2197" spans="1:7">
      <c r="A2197" s="15" t="s">
        <v>2564</v>
      </c>
      <c r="B2197" s="63" t="s">
        <v>152</v>
      </c>
      <c r="C2197" s="64">
        <v>46</v>
      </c>
      <c r="D2197" s="65">
        <v>2.31</v>
      </c>
      <c r="E2197" s="67" t="s">
        <v>81</v>
      </c>
      <c r="F2197" s="52" t="s">
        <v>85</v>
      </c>
      <c r="G2197" s="52" t="s">
        <v>3</v>
      </c>
    </row>
    <row r="2198" spans="1:7">
      <c r="A2198" s="15" t="s">
        <v>2565</v>
      </c>
      <c r="B2198" s="63" t="s">
        <v>152</v>
      </c>
      <c r="C2198" s="64">
        <v>47</v>
      </c>
      <c r="D2198" s="65">
        <v>1.3</v>
      </c>
      <c r="E2198" s="67" t="s">
        <v>76</v>
      </c>
      <c r="F2198" s="52" t="s">
        <v>79</v>
      </c>
      <c r="G2198" s="52" t="s">
        <v>0</v>
      </c>
    </row>
    <row r="2199" spans="1:7">
      <c r="A2199" s="15" t="s">
        <v>2566</v>
      </c>
      <c r="B2199" s="63" t="s">
        <v>152</v>
      </c>
      <c r="C2199" s="64">
        <v>48</v>
      </c>
      <c r="D2199" s="65">
        <v>2.3199999999999998</v>
      </c>
      <c r="E2199" s="67" t="s">
        <v>28</v>
      </c>
      <c r="F2199" s="52" t="s">
        <v>86</v>
      </c>
      <c r="G2199" s="52" t="s">
        <v>2</v>
      </c>
    </row>
    <row r="2200" spans="1:7">
      <c r="A2200" s="15" t="s">
        <v>2567</v>
      </c>
      <c r="B2200" s="63" t="s">
        <v>152</v>
      </c>
      <c r="C2200" s="64">
        <v>49</v>
      </c>
      <c r="D2200" s="65">
        <v>2.1</v>
      </c>
      <c r="E2200" s="67" t="s">
        <v>81</v>
      </c>
      <c r="F2200" s="52" t="s">
        <v>82</v>
      </c>
      <c r="G2200" s="52" t="s">
        <v>3</v>
      </c>
    </row>
    <row r="2201" spans="1:7">
      <c r="A2201" s="15" t="s">
        <v>2568</v>
      </c>
      <c r="B2201" s="63" t="s">
        <v>152</v>
      </c>
      <c r="C2201" s="64">
        <v>50</v>
      </c>
      <c r="D2201" s="65">
        <v>2.33</v>
      </c>
      <c r="E2201" s="67" t="s">
        <v>100</v>
      </c>
      <c r="F2201" s="52" t="s">
        <v>87</v>
      </c>
      <c r="G2201" s="52" t="s">
        <v>4</v>
      </c>
    </row>
    <row r="2202" spans="1:7">
      <c r="A2202" s="15" t="s">
        <v>2569</v>
      </c>
      <c r="B2202" s="63" t="s">
        <v>153</v>
      </c>
      <c r="C2202" s="64">
        <v>1</v>
      </c>
      <c r="D2202" s="66">
        <v>4.2</v>
      </c>
      <c r="E2202" s="67" t="s">
        <v>81</v>
      </c>
      <c r="F2202" s="57" t="s">
        <v>95</v>
      </c>
      <c r="G2202" s="52" t="s">
        <v>3</v>
      </c>
    </row>
    <row r="2203" spans="1:7">
      <c r="A2203" s="15" t="s">
        <v>2570</v>
      </c>
      <c r="B2203" s="63" t="s">
        <v>153</v>
      </c>
      <c r="C2203" s="64">
        <v>2</v>
      </c>
      <c r="D2203" s="65">
        <v>2.2000000000000002</v>
      </c>
      <c r="E2203" s="67" t="s">
        <v>81</v>
      </c>
      <c r="F2203" s="52" t="s">
        <v>83</v>
      </c>
      <c r="G2203" s="52" t="s">
        <v>0</v>
      </c>
    </row>
    <row r="2204" spans="1:7">
      <c r="A2204" s="15" t="s">
        <v>2571</v>
      </c>
      <c r="B2204" s="63" t="s">
        <v>153</v>
      </c>
      <c r="C2204" s="64">
        <v>3</v>
      </c>
      <c r="D2204" s="65">
        <v>1.5</v>
      </c>
      <c r="E2204" s="67" t="s">
        <v>81</v>
      </c>
      <c r="F2204" s="52" t="s">
        <v>80</v>
      </c>
      <c r="G2204" s="52" t="s">
        <v>0</v>
      </c>
    </row>
    <row r="2205" spans="1:7">
      <c r="A2205" s="15" t="s">
        <v>2572</v>
      </c>
      <c r="B2205" s="63" t="s">
        <v>153</v>
      </c>
      <c r="C2205" s="64">
        <v>4</v>
      </c>
      <c r="D2205" s="65">
        <v>2.3199999999999998</v>
      </c>
      <c r="E2205" s="67" t="s">
        <v>28</v>
      </c>
      <c r="F2205" s="52" t="s">
        <v>86</v>
      </c>
      <c r="G2205" s="52" t="s">
        <v>2</v>
      </c>
    </row>
    <row r="2206" spans="1:7">
      <c r="A2206" s="15" t="s">
        <v>2573</v>
      </c>
      <c r="B2206" s="63" t="s">
        <v>153</v>
      </c>
      <c r="C2206" s="64">
        <v>5</v>
      </c>
      <c r="D2206" s="65">
        <v>2.35</v>
      </c>
      <c r="E2206" s="67" t="s">
        <v>81</v>
      </c>
      <c r="F2206" s="52" t="s">
        <v>89</v>
      </c>
      <c r="G2206" s="52" t="s">
        <v>0</v>
      </c>
    </row>
    <row r="2207" spans="1:7">
      <c r="A2207" s="15" t="s">
        <v>2574</v>
      </c>
      <c r="B2207" s="63" t="s">
        <v>153</v>
      </c>
      <c r="C2207" s="64">
        <v>6</v>
      </c>
      <c r="D2207" s="65">
        <v>3.4</v>
      </c>
      <c r="E2207" s="67" t="s">
        <v>93</v>
      </c>
      <c r="F2207" s="52" t="s">
        <v>29</v>
      </c>
      <c r="G2207" s="52" t="s">
        <v>0</v>
      </c>
    </row>
    <row r="2208" spans="1:7">
      <c r="A2208" s="15" t="s">
        <v>2575</v>
      </c>
      <c r="B2208" s="63" t="s">
        <v>153</v>
      </c>
      <c r="C2208" s="64">
        <v>7</v>
      </c>
      <c r="D2208" s="65">
        <v>2.33</v>
      </c>
      <c r="E2208" s="67" t="s">
        <v>76</v>
      </c>
      <c r="F2208" s="52" t="s">
        <v>87</v>
      </c>
      <c r="G2208" s="52" t="s">
        <v>0</v>
      </c>
    </row>
    <row r="2209" spans="1:7">
      <c r="A2209" s="15" t="s">
        <v>2576</v>
      </c>
      <c r="B2209" s="63" t="s">
        <v>153</v>
      </c>
      <c r="C2209" s="64">
        <v>8</v>
      </c>
      <c r="D2209" s="65">
        <v>4.2</v>
      </c>
      <c r="E2209" s="67" t="s">
        <v>96</v>
      </c>
      <c r="F2209" s="52" t="s">
        <v>95</v>
      </c>
      <c r="G2209" s="52" t="s">
        <v>0</v>
      </c>
    </row>
    <row r="2210" spans="1:7">
      <c r="A2210" s="15" t="s">
        <v>2577</v>
      </c>
      <c r="B2210" s="63" t="s">
        <v>153</v>
      </c>
      <c r="C2210" s="64">
        <v>9</v>
      </c>
      <c r="D2210" s="65">
        <v>2.34</v>
      </c>
      <c r="E2210" s="67" t="s">
        <v>28</v>
      </c>
      <c r="F2210" s="52" t="s">
        <v>88</v>
      </c>
      <c r="G2210" s="52" t="s">
        <v>0</v>
      </c>
    </row>
    <row r="2211" spans="1:7">
      <c r="A2211" s="15" t="s">
        <v>2578</v>
      </c>
      <c r="B2211" s="63" t="s">
        <v>153</v>
      </c>
      <c r="C2211" s="64">
        <v>10</v>
      </c>
      <c r="D2211" s="65">
        <v>3.3</v>
      </c>
      <c r="E2211" s="67" t="s">
        <v>81</v>
      </c>
      <c r="F2211" s="52" t="s">
        <v>92</v>
      </c>
      <c r="G2211" s="52" t="s">
        <v>0</v>
      </c>
    </row>
    <row r="2212" spans="1:7">
      <c r="A2212" s="15" t="s">
        <v>2579</v>
      </c>
      <c r="B2212" s="63" t="s">
        <v>153</v>
      </c>
      <c r="C2212" s="64">
        <v>11</v>
      </c>
      <c r="D2212" s="65">
        <v>3.1</v>
      </c>
      <c r="E2212" s="67" t="s">
        <v>81</v>
      </c>
      <c r="F2212" s="52" t="s">
        <v>90</v>
      </c>
      <c r="G2212" s="52" t="s">
        <v>3</v>
      </c>
    </row>
    <row r="2213" spans="1:7">
      <c r="A2213" s="15" t="s">
        <v>2580</v>
      </c>
      <c r="B2213" s="63" t="s">
        <v>153</v>
      </c>
      <c r="C2213" s="64">
        <v>12</v>
      </c>
      <c r="D2213" s="65">
        <v>2.35</v>
      </c>
      <c r="E2213" s="67" t="s">
        <v>81</v>
      </c>
      <c r="F2213" s="52" t="s">
        <v>89</v>
      </c>
      <c r="G2213" s="52" t="s">
        <v>2</v>
      </c>
    </row>
    <row r="2214" spans="1:7">
      <c r="A2214" s="15" t="s">
        <v>2581</v>
      </c>
      <c r="B2214" s="63" t="s">
        <v>153</v>
      </c>
      <c r="C2214" s="64">
        <v>13</v>
      </c>
      <c r="D2214" s="65">
        <v>1.6</v>
      </c>
      <c r="E2214" s="67" t="s">
        <v>81</v>
      </c>
      <c r="F2214" s="52" t="s">
        <v>27</v>
      </c>
      <c r="G2214" s="52" t="s">
        <v>2</v>
      </c>
    </row>
    <row r="2215" spans="1:7">
      <c r="A2215" s="15" t="s">
        <v>2582</v>
      </c>
      <c r="B2215" s="63" t="s">
        <v>153</v>
      </c>
      <c r="C2215" s="64">
        <v>14</v>
      </c>
      <c r="D2215" s="65">
        <v>2.33</v>
      </c>
      <c r="E2215" s="67" t="s">
        <v>81</v>
      </c>
      <c r="F2215" s="52" t="s">
        <v>87</v>
      </c>
      <c r="G2215" s="52" t="s">
        <v>3</v>
      </c>
    </row>
    <row r="2216" spans="1:7">
      <c r="A2216" s="15" t="s">
        <v>2583</v>
      </c>
      <c r="B2216" s="63" t="s">
        <v>153</v>
      </c>
      <c r="C2216" s="64">
        <v>15</v>
      </c>
      <c r="D2216" s="65">
        <v>2.31</v>
      </c>
      <c r="E2216" s="67" t="s">
        <v>81</v>
      </c>
      <c r="F2216" s="52" t="s">
        <v>85</v>
      </c>
      <c r="G2216" s="52" t="s">
        <v>3</v>
      </c>
    </row>
    <row r="2217" spans="1:7">
      <c r="A2217" s="15" t="s">
        <v>2584</v>
      </c>
      <c r="B2217" s="63" t="s">
        <v>153</v>
      </c>
      <c r="C2217" s="64">
        <v>16</v>
      </c>
      <c r="D2217" s="65">
        <v>2.31</v>
      </c>
      <c r="E2217" s="67" t="s">
        <v>76</v>
      </c>
      <c r="F2217" s="52" t="s">
        <v>85</v>
      </c>
      <c r="G2217" s="52" t="s">
        <v>1</v>
      </c>
    </row>
    <row r="2218" spans="1:7">
      <c r="A2218" s="15" t="s">
        <v>2585</v>
      </c>
      <c r="B2218" s="63" t="s">
        <v>153</v>
      </c>
      <c r="C2218" s="64">
        <v>17</v>
      </c>
      <c r="D2218" s="65">
        <v>5.0999999999999996</v>
      </c>
      <c r="E2218" s="67" t="s">
        <v>100</v>
      </c>
      <c r="F2218" s="52" t="s">
        <v>97</v>
      </c>
      <c r="G2218" s="52" t="s">
        <v>3</v>
      </c>
    </row>
    <row r="2219" spans="1:7">
      <c r="A2219" s="15" t="s">
        <v>2586</v>
      </c>
      <c r="B2219" s="63" t="s">
        <v>153</v>
      </c>
      <c r="C2219" s="64">
        <v>18</v>
      </c>
      <c r="D2219" s="65">
        <v>5.0999999999999996</v>
      </c>
      <c r="E2219" s="67" t="s">
        <v>100</v>
      </c>
      <c r="F2219" s="52" t="s">
        <v>97</v>
      </c>
      <c r="G2219" s="52" t="s">
        <v>0</v>
      </c>
    </row>
    <row r="2220" spans="1:7">
      <c r="A2220" s="15" t="s">
        <v>2587</v>
      </c>
      <c r="B2220" s="63" t="s">
        <v>153</v>
      </c>
      <c r="C2220" s="64">
        <v>19</v>
      </c>
      <c r="D2220" s="65">
        <v>6.4</v>
      </c>
      <c r="E2220" s="67" t="s">
        <v>81</v>
      </c>
      <c r="F2220" s="52" t="s">
        <v>104</v>
      </c>
      <c r="G2220" s="52" t="s">
        <v>1</v>
      </c>
    </row>
    <row r="2221" spans="1:7">
      <c r="A2221" s="15" t="s">
        <v>2588</v>
      </c>
      <c r="B2221" s="63" t="s">
        <v>153</v>
      </c>
      <c r="C2221" s="64">
        <v>20</v>
      </c>
      <c r="D2221" s="65">
        <v>2.1</v>
      </c>
      <c r="E2221" s="67" t="s">
        <v>81</v>
      </c>
      <c r="F2221" s="52" t="s">
        <v>82</v>
      </c>
      <c r="G2221" s="52" t="s">
        <v>4</v>
      </c>
    </row>
    <row r="2222" spans="1:7">
      <c r="A2222" s="15" t="s">
        <v>2589</v>
      </c>
      <c r="B2222" s="63" t="s">
        <v>153</v>
      </c>
      <c r="C2222" s="64">
        <v>21</v>
      </c>
      <c r="D2222" s="65">
        <v>2.33</v>
      </c>
      <c r="E2222" s="67" t="s">
        <v>81</v>
      </c>
      <c r="F2222" s="52" t="s">
        <v>87</v>
      </c>
      <c r="G2222" s="52" t="s">
        <v>2</v>
      </c>
    </row>
    <row r="2223" spans="1:7">
      <c r="A2223" s="15" t="s">
        <v>2590</v>
      </c>
      <c r="B2223" s="63" t="s">
        <v>153</v>
      </c>
      <c r="C2223" s="64">
        <v>22</v>
      </c>
      <c r="D2223" s="65">
        <v>3.2</v>
      </c>
      <c r="E2223" s="67" t="s">
        <v>96</v>
      </c>
      <c r="F2223" s="52" t="s">
        <v>91</v>
      </c>
      <c r="G2223" s="52" t="s">
        <v>0</v>
      </c>
    </row>
    <row r="2224" spans="1:7">
      <c r="A2224" s="15" t="s">
        <v>2591</v>
      </c>
      <c r="B2224" s="63" t="s">
        <v>153</v>
      </c>
      <c r="C2224" s="64">
        <v>23</v>
      </c>
      <c r="D2224" s="65">
        <v>3.1</v>
      </c>
      <c r="E2224" s="67" t="s">
        <v>96</v>
      </c>
      <c r="F2224" s="52" t="s">
        <v>90</v>
      </c>
      <c r="G2224" s="52" t="s">
        <v>0</v>
      </c>
    </row>
    <row r="2225" spans="1:7">
      <c r="A2225" s="15" t="s">
        <v>2592</v>
      </c>
      <c r="B2225" s="63" t="s">
        <v>153</v>
      </c>
      <c r="C2225" s="64">
        <v>24</v>
      </c>
      <c r="D2225" s="65">
        <v>3.2</v>
      </c>
      <c r="E2225" s="67" t="s">
        <v>81</v>
      </c>
      <c r="F2225" s="52" t="s">
        <v>91</v>
      </c>
      <c r="G2225" s="52" t="s">
        <v>2</v>
      </c>
    </row>
    <row r="2226" spans="1:7">
      <c r="A2226" s="15" t="s">
        <v>2593</v>
      </c>
      <c r="B2226" s="63" t="s">
        <v>153</v>
      </c>
      <c r="C2226" s="64">
        <v>25</v>
      </c>
      <c r="D2226" s="65">
        <v>2.1</v>
      </c>
      <c r="E2226" s="67" t="s">
        <v>76</v>
      </c>
      <c r="F2226" s="52" t="s">
        <v>82</v>
      </c>
      <c r="G2226" s="52" t="s">
        <v>0</v>
      </c>
    </row>
    <row r="2227" spans="1:7">
      <c r="A2227" s="15" t="s">
        <v>2594</v>
      </c>
      <c r="B2227" s="63" t="s">
        <v>153</v>
      </c>
      <c r="C2227" s="64">
        <v>26</v>
      </c>
      <c r="D2227" s="65">
        <v>2.2000000000000002</v>
      </c>
      <c r="E2227" s="67" t="s">
        <v>28</v>
      </c>
      <c r="F2227" s="52" t="s">
        <v>83</v>
      </c>
      <c r="G2227" s="52" t="s">
        <v>0</v>
      </c>
    </row>
    <row r="2228" spans="1:7">
      <c r="A2228" s="15" t="s">
        <v>2595</v>
      </c>
      <c r="B2228" s="63" t="s">
        <v>153</v>
      </c>
      <c r="C2228" s="64">
        <v>27</v>
      </c>
      <c r="D2228" s="65">
        <v>5.0999999999999996</v>
      </c>
      <c r="E2228" s="67" t="s">
        <v>93</v>
      </c>
      <c r="F2228" s="52" t="s">
        <v>97</v>
      </c>
      <c r="G2228" s="52" t="s">
        <v>2</v>
      </c>
    </row>
    <row r="2229" spans="1:7">
      <c r="A2229" s="15" t="s">
        <v>2596</v>
      </c>
      <c r="B2229" s="63" t="s">
        <v>153</v>
      </c>
      <c r="C2229" s="64">
        <v>28</v>
      </c>
      <c r="D2229" s="65">
        <v>5.0999999999999996</v>
      </c>
      <c r="E2229" s="67" t="s">
        <v>100</v>
      </c>
      <c r="F2229" s="52" t="s">
        <v>97</v>
      </c>
      <c r="G2229" s="52" t="s">
        <v>4</v>
      </c>
    </row>
    <row r="2230" spans="1:7">
      <c r="A2230" s="15" t="s">
        <v>2597</v>
      </c>
      <c r="B2230" s="63" t="s">
        <v>153</v>
      </c>
      <c r="C2230" s="64">
        <v>29</v>
      </c>
      <c r="D2230" s="65">
        <v>2.34</v>
      </c>
      <c r="E2230" s="67" t="s">
        <v>81</v>
      </c>
      <c r="F2230" s="52" t="s">
        <v>88</v>
      </c>
      <c r="G2230" s="52" t="s">
        <v>1</v>
      </c>
    </row>
    <row r="2231" spans="1:7">
      <c r="A2231" s="15" t="s">
        <v>2598</v>
      </c>
      <c r="B2231" s="63" t="s">
        <v>153</v>
      </c>
      <c r="C2231" s="64">
        <v>30</v>
      </c>
      <c r="D2231" s="65">
        <v>2.1</v>
      </c>
      <c r="E2231" s="67" t="s">
        <v>76</v>
      </c>
      <c r="F2231" s="52" t="s">
        <v>82</v>
      </c>
      <c r="G2231" s="52" t="s">
        <v>0</v>
      </c>
    </row>
    <row r="2232" spans="1:7">
      <c r="A2232" s="15" t="s">
        <v>2599</v>
      </c>
      <c r="B2232" s="63" t="s">
        <v>153</v>
      </c>
      <c r="C2232" s="64">
        <v>31</v>
      </c>
      <c r="D2232" s="65">
        <v>2.2000000000000002</v>
      </c>
      <c r="E2232" s="67" t="s">
        <v>81</v>
      </c>
      <c r="F2232" s="52" t="s">
        <v>83</v>
      </c>
      <c r="G2232" s="52" t="s">
        <v>1</v>
      </c>
    </row>
    <row r="2233" spans="1:7">
      <c r="A2233" s="15" t="s">
        <v>2600</v>
      </c>
      <c r="B2233" s="63" t="s">
        <v>153</v>
      </c>
      <c r="C2233" s="64">
        <v>32</v>
      </c>
      <c r="D2233" s="65">
        <v>2.1</v>
      </c>
      <c r="E2233" s="67" t="s">
        <v>81</v>
      </c>
      <c r="F2233" s="52" t="s">
        <v>82</v>
      </c>
      <c r="G2233" s="52" t="s">
        <v>3</v>
      </c>
    </row>
    <row r="2234" spans="1:7">
      <c r="A2234" s="15" t="s">
        <v>2601</v>
      </c>
      <c r="B2234" s="63" t="s">
        <v>153</v>
      </c>
      <c r="C2234" s="64">
        <v>33</v>
      </c>
      <c r="D2234" s="65">
        <v>3.4</v>
      </c>
      <c r="E2234" s="67" t="s">
        <v>100</v>
      </c>
      <c r="F2234" s="52" t="s">
        <v>29</v>
      </c>
      <c r="G2234" s="52" t="s">
        <v>4</v>
      </c>
    </row>
    <row r="2235" spans="1:7">
      <c r="A2235" s="15" t="s">
        <v>2602</v>
      </c>
      <c r="B2235" s="63" t="s">
        <v>153</v>
      </c>
      <c r="C2235" s="64">
        <v>34</v>
      </c>
      <c r="D2235" s="65">
        <v>2.1</v>
      </c>
      <c r="E2235" s="67" t="s">
        <v>76</v>
      </c>
      <c r="F2235" s="52" t="s">
        <v>82</v>
      </c>
      <c r="G2235" s="52" t="s">
        <v>4</v>
      </c>
    </row>
    <row r="2236" spans="1:7">
      <c r="A2236" s="15" t="s">
        <v>2603</v>
      </c>
      <c r="B2236" s="63" t="s">
        <v>153</v>
      </c>
      <c r="C2236" s="64">
        <v>35</v>
      </c>
      <c r="D2236" s="65">
        <v>5.2</v>
      </c>
      <c r="E2236" s="67" t="s">
        <v>81</v>
      </c>
      <c r="F2236" s="52" t="s">
        <v>98</v>
      </c>
      <c r="G2236" s="52" t="s">
        <v>2</v>
      </c>
    </row>
    <row r="2237" spans="1:7">
      <c r="A2237" s="15" t="s">
        <v>2604</v>
      </c>
      <c r="B2237" s="63" t="s">
        <v>153</v>
      </c>
      <c r="C2237" s="64">
        <v>36</v>
      </c>
      <c r="D2237" s="65">
        <v>4.0999999999999996</v>
      </c>
      <c r="E2237" s="67" t="s">
        <v>100</v>
      </c>
      <c r="F2237" s="52" t="s">
        <v>94</v>
      </c>
      <c r="G2237" s="52" t="s">
        <v>0</v>
      </c>
    </row>
    <row r="2238" spans="1:7">
      <c r="A2238" s="15" t="s">
        <v>2605</v>
      </c>
      <c r="B2238" s="63" t="s">
        <v>153</v>
      </c>
      <c r="C2238" s="64">
        <v>37</v>
      </c>
      <c r="D2238" s="65">
        <v>2.35</v>
      </c>
      <c r="E2238" s="67" t="s">
        <v>28</v>
      </c>
      <c r="F2238" s="52" t="s">
        <v>89</v>
      </c>
      <c r="G2238" s="52" t="s">
        <v>0</v>
      </c>
    </row>
    <row r="2239" spans="1:7">
      <c r="A2239" s="15" t="s">
        <v>2606</v>
      </c>
      <c r="B2239" s="63" t="s">
        <v>153</v>
      </c>
      <c r="C2239" s="64">
        <v>38</v>
      </c>
      <c r="D2239" s="65">
        <v>3.1</v>
      </c>
      <c r="E2239" s="67" t="s">
        <v>93</v>
      </c>
      <c r="F2239" s="52" t="s">
        <v>90</v>
      </c>
      <c r="G2239" s="52" t="s">
        <v>2</v>
      </c>
    </row>
    <row r="2240" spans="1:7">
      <c r="A2240" s="15" t="s">
        <v>2607</v>
      </c>
      <c r="B2240" s="63" t="s">
        <v>153</v>
      </c>
      <c r="C2240" s="64">
        <v>39</v>
      </c>
      <c r="D2240" s="65">
        <v>2.31</v>
      </c>
      <c r="E2240" s="67" t="s">
        <v>96</v>
      </c>
      <c r="F2240" s="52" t="s">
        <v>85</v>
      </c>
      <c r="G2240" s="52" t="s">
        <v>2</v>
      </c>
    </row>
    <row r="2241" spans="1:7">
      <c r="A2241" s="15" t="s">
        <v>2608</v>
      </c>
      <c r="B2241" s="63" t="s">
        <v>153</v>
      </c>
      <c r="C2241" s="64">
        <v>40</v>
      </c>
      <c r="D2241" s="65">
        <v>4.0999999999999996</v>
      </c>
      <c r="E2241" s="67" t="s">
        <v>100</v>
      </c>
      <c r="F2241" s="52" t="s">
        <v>94</v>
      </c>
      <c r="G2241" s="52" t="s">
        <v>4</v>
      </c>
    </row>
    <row r="2242" spans="1:7">
      <c r="A2242" s="15" t="s">
        <v>2609</v>
      </c>
      <c r="B2242" s="63" t="s">
        <v>153</v>
      </c>
      <c r="C2242" s="64">
        <v>41</v>
      </c>
      <c r="D2242" s="65">
        <v>3.1</v>
      </c>
      <c r="E2242" s="67" t="s">
        <v>81</v>
      </c>
      <c r="F2242" s="52" t="s">
        <v>90</v>
      </c>
      <c r="G2242" s="52" t="s">
        <v>3</v>
      </c>
    </row>
    <row r="2243" spans="1:7">
      <c r="A2243" s="15" t="s">
        <v>2610</v>
      </c>
      <c r="B2243" s="63" t="s">
        <v>153</v>
      </c>
      <c r="C2243" s="64">
        <v>42</v>
      </c>
      <c r="D2243" s="65">
        <v>1.3</v>
      </c>
      <c r="E2243" s="67" t="s">
        <v>81</v>
      </c>
      <c r="F2243" s="52" t="s">
        <v>79</v>
      </c>
      <c r="G2243" s="52" t="s">
        <v>2</v>
      </c>
    </row>
    <row r="2244" spans="1:7">
      <c r="A2244" s="15" t="s">
        <v>2611</v>
      </c>
      <c r="B2244" s="63" t="s">
        <v>153</v>
      </c>
      <c r="C2244" s="64">
        <v>43</v>
      </c>
      <c r="D2244" s="65">
        <v>5.2</v>
      </c>
      <c r="E2244" s="67" t="s">
        <v>96</v>
      </c>
      <c r="F2244" s="52" t="s">
        <v>98</v>
      </c>
      <c r="G2244" s="52" t="s">
        <v>3</v>
      </c>
    </row>
    <row r="2245" spans="1:7">
      <c r="A2245" s="15" t="s">
        <v>2612</v>
      </c>
      <c r="B2245" s="63" t="s">
        <v>153</v>
      </c>
      <c r="C2245" s="64">
        <v>44</v>
      </c>
      <c r="D2245" s="65">
        <v>3.1</v>
      </c>
      <c r="E2245" s="67" t="s">
        <v>81</v>
      </c>
      <c r="F2245" s="52" t="s">
        <v>90</v>
      </c>
      <c r="G2245" s="52" t="s">
        <v>0</v>
      </c>
    </row>
    <row r="2246" spans="1:7">
      <c r="A2246" s="15" t="s">
        <v>2613</v>
      </c>
      <c r="B2246" s="63" t="s">
        <v>153</v>
      </c>
      <c r="C2246" s="64">
        <v>45</v>
      </c>
      <c r="D2246" s="65">
        <v>1.5</v>
      </c>
      <c r="E2246" s="67" t="s">
        <v>81</v>
      </c>
      <c r="F2246" s="52" t="s">
        <v>80</v>
      </c>
      <c r="G2246" s="52" t="s">
        <v>3</v>
      </c>
    </row>
    <row r="2247" spans="1:7">
      <c r="A2247" s="15" t="s">
        <v>2614</v>
      </c>
      <c r="B2247" s="63" t="s">
        <v>153</v>
      </c>
      <c r="C2247" s="64">
        <v>46</v>
      </c>
      <c r="D2247" s="65">
        <v>2.35</v>
      </c>
      <c r="E2247" s="67" t="s">
        <v>93</v>
      </c>
      <c r="F2247" s="52" t="s">
        <v>89</v>
      </c>
      <c r="G2247" s="52" t="s">
        <v>0</v>
      </c>
    </row>
    <row r="2248" spans="1:7">
      <c r="A2248" s="15" t="s">
        <v>2615</v>
      </c>
      <c r="B2248" s="63" t="s">
        <v>153</v>
      </c>
      <c r="C2248" s="64">
        <v>47</v>
      </c>
      <c r="D2248" s="65">
        <v>1.3</v>
      </c>
      <c r="E2248" s="67" t="s">
        <v>76</v>
      </c>
      <c r="F2248" s="52" t="s">
        <v>79</v>
      </c>
      <c r="G2248" s="52" t="s">
        <v>0</v>
      </c>
    </row>
    <row r="2249" spans="1:7">
      <c r="A2249" s="15" t="s">
        <v>2616</v>
      </c>
      <c r="B2249" s="63" t="s">
        <v>153</v>
      </c>
      <c r="C2249" s="64">
        <v>48</v>
      </c>
      <c r="D2249" s="65">
        <v>3.1</v>
      </c>
      <c r="E2249" s="67" t="s">
        <v>28</v>
      </c>
      <c r="F2249" s="52" t="s">
        <v>90</v>
      </c>
      <c r="G2249" s="52" t="s">
        <v>0</v>
      </c>
    </row>
    <row r="2250" spans="1:7">
      <c r="A2250" s="15" t="s">
        <v>2617</v>
      </c>
      <c r="B2250" s="63" t="s">
        <v>153</v>
      </c>
      <c r="C2250" s="64">
        <v>49</v>
      </c>
      <c r="D2250" s="65">
        <v>2.1</v>
      </c>
      <c r="E2250" s="67" t="s">
        <v>28</v>
      </c>
      <c r="F2250" s="52" t="s">
        <v>82</v>
      </c>
      <c r="G2250" s="52" t="s">
        <v>1</v>
      </c>
    </row>
    <row r="2251" spans="1:7">
      <c r="A2251" s="15" t="s">
        <v>2618</v>
      </c>
      <c r="B2251" s="63" t="s">
        <v>153</v>
      </c>
      <c r="C2251" s="64">
        <v>50</v>
      </c>
      <c r="D2251" s="65">
        <v>6.1</v>
      </c>
      <c r="E2251" s="67" t="s">
        <v>81</v>
      </c>
      <c r="F2251" s="52" t="s">
        <v>101</v>
      </c>
      <c r="G2251" s="52" t="s">
        <v>4</v>
      </c>
    </row>
    <row r="2252" spans="1:7">
      <c r="A2252" s="15" t="s">
        <v>2619</v>
      </c>
      <c r="B2252" s="63" t="s">
        <v>154</v>
      </c>
      <c r="C2252" s="64">
        <v>1</v>
      </c>
      <c r="D2252" s="65">
        <v>2.33</v>
      </c>
      <c r="E2252" s="67" t="s">
        <v>81</v>
      </c>
      <c r="F2252" s="52" t="s">
        <v>87</v>
      </c>
      <c r="G2252" s="52" t="s">
        <v>2</v>
      </c>
    </row>
    <row r="2253" spans="1:7">
      <c r="A2253" s="15" t="s">
        <v>2620</v>
      </c>
      <c r="B2253" s="63" t="s">
        <v>154</v>
      </c>
      <c r="C2253" s="64">
        <v>2</v>
      </c>
      <c r="D2253" s="65">
        <v>2.2000000000000002</v>
      </c>
      <c r="E2253" s="67" t="s">
        <v>100</v>
      </c>
      <c r="F2253" s="52" t="s">
        <v>83</v>
      </c>
      <c r="G2253" s="52" t="s">
        <v>0</v>
      </c>
    </row>
    <row r="2254" spans="1:7">
      <c r="A2254" s="15" t="s">
        <v>2621</v>
      </c>
      <c r="B2254" s="63" t="s">
        <v>154</v>
      </c>
      <c r="C2254" s="64">
        <v>3</v>
      </c>
      <c r="D2254" s="65">
        <v>2.1</v>
      </c>
      <c r="E2254" s="67" t="s">
        <v>81</v>
      </c>
      <c r="F2254" s="52" t="s">
        <v>82</v>
      </c>
      <c r="G2254" s="52" t="s">
        <v>1</v>
      </c>
    </row>
    <row r="2255" spans="1:7">
      <c r="A2255" s="15" t="s">
        <v>2622</v>
      </c>
      <c r="B2255" s="63" t="s">
        <v>154</v>
      </c>
      <c r="C2255" s="64">
        <v>4</v>
      </c>
      <c r="D2255" s="65">
        <v>3.1</v>
      </c>
      <c r="E2255" s="67" t="s">
        <v>93</v>
      </c>
      <c r="F2255" s="52" t="s">
        <v>90</v>
      </c>
      <c r="G2255" s="52" t="s">
        <v>4</v>
      </c>
    </row>
    <row r="2256" spans="1:7">
      <c r="A2256" s="15" t="s">
        <v>2623</v>
      </c>
      <c r="B2256" s="63" t="s">
        <v>154</v>
      </c>
      <c r="C2256" s="64">
        <v>5</v>
      </c>
      <c r="D2256" s="65">
        <v>2.3199999999999998</v>
      </c>
      <c r="E2256" s="67" t="s">
        <v>81</v>
      </c>
      <c r="F2256" s="52" t="s">
        <v>86</v>
      </c>
      <c r="G2256" s="52" t="s">
        <v>2</v>
      </c>
    </row>
    <row r="2257" spans="1:7">
      <c r="A2257" s="15" t="s">
        <v>2624</v>
      </c>
      <c r="B2257" s="63" t="s">
        <v>154</v>
      </c>
      <c r="C2257" s="64">
        <v>6</v>
      </c>
      <c r="D2257" s="65">
        <v>4.0999999999999996</v>
      </c>
      <c r="E2257" s="67" t="s">
        <v>81</v>
      </c>
      <c r="F2257" s="52" t="s">
        <v>94</v>
      </c>
      <c r="G2257" s="52" t="s">
        <v>2</v>
      </c>
    </row>
    <row r="2258" spans="1:7">
      <c r="A2258" s="15" t="s">
        <v>2625</v>
      </c>
      <c r="B2258" s="63" t="s">
        <v>154</v>
      </c>
      <c r="C2258" s="64">
        <v>7</v>
      </c>
      <c r="D2258" s="65">
        <v>1.6</v>
      </c>
      <c r="E2258" s="67" t="s">
        <v>81</v>
      </c>
      <c r="F2258" s="52" t="s">
        <v>27</v>
      </c>
      <c r="G2258" s="52" t="s">
        <v>2</v>
      </c>
    </row>
    <row r="2259" spans="1:7">
      <c r="A2259" s="15" t="s">
        <v>2626</v>
      </c>
      <c r="B2259" s="63" t="s">
        <v>154</v>
      </c>
      <c r="C2259" s="64">
        <v>8</v>
      </c>
      <c r="D2259" s="65">
        <v>5.0999999999999996</v>
      </c>
      <c r="E2259" s="67" t="s">
        <v>81</v>
      </c>
      <c r="F2259" s="52" t="s">
        <v>97</v>
      </c>
      <c r="G2259" s="52" t="s">
        <v>0</v>
      </c>
    </row>
    <row r="2260" spans="1:7">
      <c r="A2260" s="15" t="s">
        <v>2627</v>
      </c>
      <c r="B2260" s="63" t="s">
        <v>154</v>
      </c>
      <c r="C2260" s="64">
        <v>9</v>
      </c>
      <c r="D2260" s="65">
        <v>3.3</v>
      </c>
      <c r="E2260" s="67" t="s">
        <v>100</v>
      </c>
      <c r="F2260" s="52" t="s">
        <v>92</v>
      </c>
      <c r="G2260" s="52" t="s">
        <v>4</v>
      </c>
    </row>
    <row r="2261" spans="1:7">
      <c r="A2261" s="15" t="s">
        <v>2628</v>
      </c>
      <c r="B2261" s="63" t="s">
        <v>154</v>
      </c>
      <c r="C2261" s="64">
        <v>10</v>
      </c>
      <c r="D2261" s="65">
        <v>2.31</v>
      </c>
      <c r="E2261" s="67" t="s">
        <v>81</v>
      </c>
      <c r="F2261" s="52" t="s">
        <v>85</v>
      </c>
      <c r="G2261" s="52" t="s">
        <v>1</v>
      </c>
    </row>
    <row r="2262" spans="1:7">
      <c r="A2262" s="15" t="s">
        <v>2629</v>
      </c>
      <c r="B2262" s="63" t="s">
        <v>154</v>
      </c>
      <c r="C2262" s="64">
        <v>11</v>
      </c>
      <c r="D2262" s="65">
        <v>2.33</v>
      </c>
      <c r="E2262" s="67" t="s">
        <v>100</v>
      </c>
      <c r="F2262" s="52" t="s">
        <v>87</v>
      </c>
      <c r="G2262" s="52" t="s">
        <v>2</v>
      </c>
    </row>
    <row r="2263" spans="1:7">
      <c r="A2263" s="15" t="s">
        <v>2630</v>
      </c>
      <c r="B2263" s="63" t="s">
        <v>154</v>
      </c>
      <c r="C2263" s="64">
        <v>12</v>
      </c>
      <c r="D2263" s="65">
        <v>2.33</v>
      </c>
      <c r="E2263" s="67" t="s">
        <v>76</v>
      </c>
      <c r="F2263" s="52" t="s">
        <v>87</v>
      </c>
      <c r="G2263" s="52" t="s">
        <v>3</v>
      </c>
    </row>
    <row r="2264" spans="1:7">
      <c r="A2264" s="15" t="s">
        <v>2631</v>
      </c>
      <c r="B2264" s="63" t="s">
        <v>154</v>
      </c>
      <c r="C2264" s="64">
        <v>13</v>
      </c>
      <c r="D2264" s="65">
        <v>2.34</v>
      </c>
      <c r="E2264" s="67" t="s">
        <v>81</v>
      </c>
      <c r="F2264" s="52" t="s">
        <v>88</v>
      </c>
      <c r="G2264" s="52" t="s">
        <v>4</v>
      </c>
    </row>
    <row r="2265" spans="1:7">
      <c r="A2265" s="15" t="s">
        <v>2632</v>
      </c>
      <c r="B2265" s="63" t="s">
        <v>154</v>
      </c>
      <c r="C2265" s="64">
        <v>14</v>
      </c>
      <c r="D2265" s="65">
        <v>2.34</v>
      </c>
      <c r="E2265" s="67" t="s">
        <v>81</v>
      </c>
      <c r="F2265" s="52" t="s">
        <v>88</v>
      </c>
      <c r="G2265" s="52" t="s">
        <v>4</v>
      </c>
    </row>
    <row r="2266" spans="1:7">
      <c r="A2266" s="15" t="s">
        <v>2633</v>
      </c>
      <c r="B2266" s="63" t="s">
        <v>154</v>
      </c>
      <c r="C2266" s="64">
        <v>15</v>
      </c>
      <c r="D2266" s="65">
        <v>2.1</v>
      </c>
      <c r="E2266" s="67" t="s">
        <v>81</v>
      </c>
      <c r="F2266" s="52" t="s">
        <v>82</v>
      </c>
      <c r="G2266" s="52" t="s">
        <v>2</v>
      </c>
    </row>
    <row r="2267" spans="1:7">
      <c r="A2267" s="15" t="s">
        <v>2634</v>
      </c>
      <c r="B2267" s="63" t="s">
        <v>154</v>
      </c>
      <c r="C2267" s="64">
        <v>16</v>
      </c>
      <c r="D2267" s="65">
        <v>1.4</v>
      </c>
      <c r="E2267" s="67" t="s">
        <v>81</v>
      </c>
      <c r="F2267" s="52" t="s">
        <v>30</v>
      </c>
      <c r="G2267" s="52" t="s">
        <v>4</v>
      </c>
    </row>
    <row r="2268" spans="1:7">
      <c r="A2268" s="15" t="s">
        <v>2635</v>
      </c>
      <c r="B2268" s="63" t="s">
        <v>154</v>
      </c>
      <c r="C2268" s="64">
        <v>17</v>
      </c>
      <c r="D2268" s="65">
        <v>6.3</v>
      </c>
      <c r="E2268" s="67" t="s">
        <v>28</v>
      </c>
      <c r="F2268" s="52" t="s">
        <v>103</v>
      </c>
      <c r="G2268" s="52" t="s">
        <v>4</v>
      </c>
    </row>
    <row r="2269" spans="1:7">
      <c r="A2269" s="15" t="s">
        <v>2636</v>
      </c>
      <c r="B2269" s="63" t="s">
        <v>154</v>
      </c>
      <c r="C2269" s="64">
        <v>18</v>
      </c>
      <c r="D2269" s="65">
        <v>6.4</v>
      </c>
      <c r="E2269" s="67" t="s">
        <v>28</v>
      </c>
      <c r="F2269" s="52" t="s">
        <v>104</v>
      </c>
      <c r="G2269" s="52" t="s">
        <v>2</v>
      </c>
    </row>
    <row r="2270" spans="1:7">
      <c r="A2270" s="15" t="s">
        <v>2637</v>
      </c>
      <c r="B2270" s="63" t="s">
        <v>154</v>
      </c>
      <c r="C2270" s="64">
        <v>19</v>
      </c>
      <c r="D2270" s="65">
        <v>2.34</v>
      </c>
      <c r="E2270" s="67" t="s">
        <v>93</v>
      </c>
      <c r="F2270" s="52" t="s">
        <v>88</v>
      </c>
      <c r="G2270" s="52" t="s">
        <v>1</v>
      </c>
    </row>
    <row r="2271" spans="1:7">
      <c r="A2271" s="15" t="s">
        <v>2638</v>
      </c>
      <c r="B2271" s="63" t="s">
        <v>154</v>
      </c>
      <c r="C2271" s="64">
        <v>20</v>
      </c>
      <c r="D2271" s="65">
        <v>2.31</v>
      </c>
      <c r="E2271" s="67" t="s">
        <v>81</v>
      </c>
      <c r="F2271" s="52" t="s">
        <v>85</v>
      </c>
      <c r="G2271" s="52" t="s">
        <v>0</v>
      </c>
    </row>
    <row r="2272" spans="1:7">
      <c r="A2272" s="15" t="s">
        <v>2639</v>
      </c>
      <c r="B2272" s="63" t="s">
        <v>154</v>
      </c>
      <c r="C2272" s="64">
        <v>21</v>
      </c>
      <c r="D2272" s="65">
        <v>2.2000000000000002</v>
      </c>
      <c r="E2272" s="67" t="s">
        <v>81</v>
      </c>
      <c r="F2272" s="52" t="s">
        <v>83</v>
      </c>
      <c r="G2272" s="52" t="s">
        <v>2</v>
      </c>
    </row>
    <row r="2273" spans="1:7">
      <c r="A2273" s="15" t="s">
        <v>2640</v>
      </c>
      <c r="B2273" s="63" t="s">
        <v>154</v>
      </c>
      <c r="C2273" s="64">
        <v>22</v>
      </c>
      <c r="D2273" s="65">
        <v>5.0999999999999996</v>
      </c>
      <c r="E2273" s="67" t="s">
        <v>76</v>
      </c>
      <c r="F2273" s="52" t="s">
        <v>97</v>
      </c>
      <c r="G2273" s="52" t="s">
        <v>2</v>
      </c>
    </row>
    <row r="2274" spans="1:7">
      <c r="A2274" s="15" t="s">
        <v>2641</v>
      </c>
      <c r="B2274" s="63" t="s">
        <v>154</v>
      </c>
      <c r="C2274" s="64">
        <v>23</v>
      </c>
      <c r="D2274" s="65">
        <v>5.2</v>
      </c>
      <c r="E2274" s="67" t="s">
        <v>81</v>
      </c>
      <c r="F2274" s="52" t="s">
        <v>98</v>
      </c>
      <c r="G2274" s="52" t="s">
        <v>2</v>
      </c>
    </row>
    <row r="2275" spans="1:7">
      <c r="A2275" s="15" t="s">
        <v>2642</v>
      </c>
      <c r="B2275" s="63" t="s">
        <v>154</v>
      </c>
      <c r="C2275" s="64">
        <v>24</v>
      </c>
      <c r="D2275" s="65">
        <v>2.33</v>
      </c>
      <c r="E2275" s="67" t="s">
        <v>81</v>
      </c>
      <c r="F2275" s="52" t="s">
        <v>87</v>
      </c>
      <c r="G2275" s="52" t="s">
        <v>0</v>
      </c>
    </row>
    <row r="2276" spans="1:7">
      <c r="A2276" s="15" t="s">
        <v>2643</v>
      </c>
      <c r="B2276" s="63" t="s">
        <v>154</v>
      </c>
      <c r="C2276" s="64">
        <v>25</v>
      </c>
      <c r="D2276" s="65">
        <v>1.6</v>
      </c>
      <c r="E2276" s="67" t="s">
        <v>81</v>
      </c>
      <c r="F2276" s="52" t="s">
        <v>27</v>
      </c>
      <c r="G2276" s="52" t="s">
        <v>2</v>
      </c>
    </row>
    <row r="2277" spans="1:7">
      <c r="A2277" s="15" t="s">
        <v>2644</v>
      </c>
      <c r="B2277" s="63" t="s">
        <v>154</v>
      </c>
      <c r="C2277" s="64">
        <v>26</v>
      </c>
      <c r="D2277" s="65">
        <v>3.2</v>
      </c>
      <c r="E2277" s="67" t="s">
        <v>93</v>
      </c>
      <c r="F2277" s="52" t="s">
        <v>91</v>
      </c>
      <c r="G2277" s="52" t="s">
        <v>0</v>
      </c>
    </row>
    <row r="2278" spans="1:7">
      <c r="A2278" s="15" t="s">
        <v>2645</v>
      </c>
      <c r="B2278" s="63" t="s">
        <v>154</v>
      </c>
      <c r="C2278" s="64">
        <v>27</v>
      </c>
      <c r="D2278" s="65">
        <v>4.0999999999999996</v>
      </c>
      <c r="E2278" s="67" t="s">
        <v>76</v>
      </c>
      <c r="F2278" s="52" t="s">
        <v>94</v>
      </c>
      <c r="G2278" s="52" t="s">
        <v>0</v>
      </c>
    </row>
    <row r="2279" spans="1:7">
      <c r="A2279" s="15" t="s">
        <v>2646</v>
      </c>
      <c r="B2279" s="63" t="s">
        <v>154</v>
      </c>
      <c r="C2279" s="64">
        <v>28</v>
      </c>
      <c r="D2279" s="65">
        <v>6.3</v>
      </c>
      <c r="E2279" s="67" t="s">
        <v>81</v>
      </c>
      <c r="F2279" s="52" t="s">
        <v>103</v>
      </c>
      <c r="G2279" s="52" t="s">
        <v>0</v>
      </c>
    </row>
    <row r="2280" spans="1:7">
      <c r="A2280" s="15" t="s">
        <v>2647</v>
      </c>
      <c r="B2280" s="63" t="s">
        <v>154</v>
      </c>
      <c r="C2280" s="64">
        <v>29</v>
      </c>
      <c r="D2280" s="65">
        <v>2.33</v>
      </c>
      <c r="E2280" s="67" t="s">
        <v>28</v>
      </c>
      <c r="F2280" s="52" t="s">
        <v>87</v>
      </c>
      <c r="G2280" s="52" t="s">
        <v>2</v>
      </c>
    </row>
    <row r="2281" spans="1:7">
      <c r="A2281" s="15" t="s">
        <v>2648</v>
      </c>
      <c r="B2281" s="63" t="s">
        <v>154</v>
      </c>
      <c r="C2281" s="64">
        <v>30</v>
      </c>
      <c r="D2281" s="65">
        <v>1.5</v>
      </c>
      <c r="E2281" s="67" t="s">
        <v>81</v>
      </c>
      <c r="F2281" s="52" t="s">
        <v>80</v>
      </c>
      <c r="G2281" s="52" t="s">
        <v>0</v>
      </c>
    </row>
    <row r="2282" spans="1:7">
      <c r="A2282" s="15" t="s">
        <v>2649</v>
      </c>
      <c r="B2282" s="63" t="s">
        <v>154</v>
      </c>
      <c r="C2282" s="64">
        <v>31</v>
      </c>
      <c r="D2282" s="65">
        <v>2.31</v>
      </c>
      <c r="E2282" s="67" t="s">
        <v>81</v>
      </c>
      <c r="F2282" s="52" t="s">
        <v>85</v>
      </c>
      <c r="G2282" s="52" t="s">
        <v>0</v>
      </c>
    </row>
    <row r="2283" spans="1:7">
      <c r="A2283" s="15" t="s">
        <v>2650</v>
      </c>
      <c r="B2283" s="63" t="s">
        <v>154</v>
      </c>
      <c r="C2283" s="64">
        <v>32</v>
      </c>
      <c r="D2283" s="65">
        <v>2.2000000000000002</v>
      </c>
      <c r="E2283" s="67" t="s">
        <v>96</v>
      </c>
      <c r="F2283" s="52" t="s">
        <v>83</v>
      </c>
      <c r="G2283" s="52" t="s">
        <v>4</v>
      </c>
    </row>
    <row r="2284" spans="1:7">
      <c r="A2284" s="15" t="s">
        <v>2651</v>
      </c>
      <c r="B2284" s="63" t="s">
        <v>154</v>
      </c>
      <c r="C2284" s="64">
        <v>33</v>
      </c>
      <c r="D2284" s="65">
        <v>6.3</v>
      </c>
      <c r="E2284" s="67" t="s">
        <v>76</v>
      </c>
      <c r="F2284" s="52" t="s">
        <v>103</v>
      </c>
      <c r="G2284" s="52" t="s">
        <v>3</v>
      </c>
    </row>
    <row r="2285" spans="1:7">
      <c r="A2285" s="15" t="s">
        <v>2652</v>
      </c>
      <c r="B2285" s="63" t="s">
        <v>154</v>
      </c>
      <c r="C2285" s="64">
        <v>34</v>
      </c>
      <c r="D2285" s="65">
        <v>1.3</v>
      </c>
      <c r="E2285" s="67" t="s">
        <v>76</v>
      </c>
      <c r="F2285" s="52" t="s">
        <v>79</v>
      </c>
      <c r="G2285" s="52" t="s">
        <v>2</v>
      </c>
    </row>
    <row r="2286" spans="1:7">
      <c r="A2286" s="15" t="s">
        <v>2653</v>
      </c>
      <c r="B2286" s="63" t="s">
        <v>154</v>
      </c>
      <c r="C2286" s="64">
        <v>35</v>
      </c>
      <c r="D2286" s="65">
        <v>2.31</v>
      </c>
      <c r="E2286" s="67" t="s">
        <v>81</v>
      </c>
      <c r="F2286" s="52" t="s">
        <v>85</v>
      </c>
      <c r="G2286" s="52" t="s">
        <v>1</v>
      </c>
    </row>
    <row r="2287" spans="1:7">
      <c r="A2287" s="15" t="s">
        <v>2654</v>
      </c>
      <c r="B2287" s="63" t="s">
        <v>154</v>
      </c>
      <c r="C2287" s="64">
        <v>36</v>
      </c>
      <c r="D2287" s="65">
        <v>6.4</v>
      </c>
      <c r="E2287" s="67" t="s">
        <v>96</v>
      </c>
      <c r="F2287" s="52" t="s">
        <v>104</v>
      </c>
      <c r="G2287" s="52" t="s">
        <v>2</v>
      </c>
    </row>
    <row r="2288" spans="1:7">
      <c r="A2288" s="15" t="s">
        <v>2655</v>
      </c>
      <c r="B2288" s="63" t="s">
        <v>154</v>
      </c>
      <c r="C2288" s="64">
        <v>37</v>
      </c>
      <c r="D2288" s="65">
        <v>3.1</v>
      </c>
      <c r="E2288" s="67" t="s">
        <v>81</v>
      </c>
      <c r="F2288" s="52" t="s">
        <v>90</v>
      </c>
      <c r="G2288" s="52" t="s">
        <v>1</v>
      </c>
    </row>
    <row r="2289" spans="1:7">
      <c r="A2289" s="15" t="s">
        <v>2656</v>
      </c>
      <c r="B2289" s="63" t="s">
        <v>154</v>
      </c>
      <c r="C2289" s="64">
        <v>38</v>
      </c>
      <c r="D2289" s="65">
        <v>4.2</v>
      </c>
      <c r="E2289" s="67" t="s">
        <v>76</v>
      </c>
      <c r="F2289" s="52" t="s">
        <v>95</v>
      </c>
      <c r="G2289" s="52" t="s">
        <v>0</v>
      </c>
    </row>
    <row r="2290" spans="1:7">
      <c r="A2290" s="15" t="s">
        <v>2657</v>
      </c>
      <c r="B2290" s="63" t="s">
        <v>154</v>
      </c>
      <c r="C2290" s="64">
        <v>39</v>
      </c>
      <c r="D2290" s="65">
        <v>5.2</v>
      </c>
      <c r="E2290" s="67" t="s">
        <v>28</v>
      </c>
      <c r="F2290" s="52" t="s">
        <v>98</v>
      </c>
      <c r="G2290" s="52" t="s">
        <v>2</v>
      </c>
    </row>
    <row r="2291" spans="1:7">
      <c r="A2291" s="15" t="s">
        <v>2658</v>
      </c>
      <c r="B2291" s="63" t="s">
        <v>154</v>
      </c>
      <c r="C2291" s="64">
        <v>40</v>
      </c>
      <c r="D2291" s="65">
        <v>6.1</v>
      </c>
      <c r="E2291" s="67" t="s">
        <v>81</v>
      </c>
      <c r="F2291" s="52" t="s">
        <v>101</v>
      </c>
      <c r="G2291" s="52" t="s">
        <v>3</v>
      </c>
    </row>
    <row r="2292" spans="1:7">
      <c r="A2292" s="15" t="s">
        <v>2659</v>
      </c>
      <c r="B2292" s="63" t="s">
        <v>154</v>
      </c>
      <c r="C2292" s="64">
        <v>41</v>
      </c>
      <c r="D2292" s="65">
        <v>2.35</v>
      </c>
      <c r="E2292" s="67" t="s">
        <v>81</v>
      </c>
      <c r="F2292" s="52" t="s">
        <v>89</v>
      </c>
      <c r="G2292" s="52" t="s">
        <v>0</v>
      </c>
    </row>
    <row r="2293" spans="1:7">
      <c r="A2293" s="15" t="s">
        <v>2660</v>
      </c>
      <c r="B2293" s="63" t="s">
        <v>154</v>
      </c>
      <c r="C2293" s="64">
        <v>42</v>
      </c>
      <c r="D2293" s="65">
        <v>2.1</v>
      </c>
      <c r="E2293" s="67" t="s">
        <v>96</v>
      </c>
      <c r="F2293" s="52" t="s">
        <v>82</v>
      </c>
      <c r="G2293" s="52" t="s">
        <v>4</v>
      </c>
    </row>
    <row r="2294" spans="1:7">
      <c r="A2294" s="15" t="s">
        <v>2661</v>
      </c>
      <c r="B2294" s="63" t="s">
        <v>154</v>
      </c>
      <c r="C2294" s="64">
        <v>43</v>
      </c>
      <c r="D2294" s="65">
        <v>5.0999999999999996</v>
      </c>
      <c r="E2294" s="67" t="s">
        <v>81</v>
      </c>
      <c r="F2294" s="52" t="s">
        <v>97</v>
      </c>
      <c r="G2294" s="52" t="s">
        <v>2</v>
      </c>
    </row>
    <row r="2295" spans="1:7">
      <c r="A2295" s="15" t="s">
        <v>2662</v>
      </c>
      <c r="B2295" s="63" t="s">
        <v>154</v>
      </c>
      <c r="C2295" s="64">
        <v>44</v>
      </c>
      <c r="D2295" s="65">
        <v>2.1</v>
      </c>
      <c r="E2295" s="67" t="s">
        <v>76</v>
      </c>
      <c r="F2295" s="52" t="s">
        <v>82</v>
      </c>
      <c r="G2295" s="52" t="s">
        <v>3</v>
      </c>
    </row>
    <row r="2296" spans="1:7">
      <c r="A2296" s="15" t="s">
        <v>2663</v>
      </c>
      <c r="B2296" s="63" t="s">
        <v>154</v>
      </c>
      <c r="C2296" s="64">
        <v>45</v>
      </c>
      <c r="D2296" s="65">
        <v>2.31</v>
      </c>
      <c r="E2296" s="67" t="s">
        <v>28</v>
      </c>
      <c r="F2296" s="52" t="s">
        <v>85</v>
      </c>
      <c r="G2296" s="52" t="s">
        <v>1</v>
      </c>
    </row>
    <row r="2297" spans="1:7">
      <c r="A2297" s="15" t="s">
        <v>2664</v>
      </c>
      <c r="B2297" s="63" t="s">
        <v>154</v>
      </c>
      <c r="C2297" s="64">
        <v>46</v>
      </c>
      <c r="D2297" s="65">
        <v>4.0999999999999996</v>
      </c>
      <c r="E2297" s="67" t="s">
        <v>28</v>
      </c>
      <c r="F2297" s="52" t="s">
        <v>94</v>
      </c>
      <c r="G2297" s="52" t="s">
        <v>3</v>
      </c>
    </row>
    <row r="2298" spans="1:7">
      <c r="A2298" s="15" t="s">
        <v>2665</v>
      </c>
      <c r="B2298" s="63" t="s">
        <v>154</v>
      </c>
      <c r="C2298" s="64">
        <v>47</v>
      </c>
      <c r="D2298" s="65">
        <v>2.2000000000000002</v>
      </c>
      <c r="E2298" s="67" t="s">
        <v>28</v>
      </c>
      <c r="F2298" s="52" t="s">
        <v>83</v>
      </c>
      <c r="G2298" s="52" t="s">
        <v>0</v>
      </c>
    </row>
    <row r="2299" spans="1:7">
      <c r="A2299" s="15" t="s">
        <v>2666</v>
      </c>
      <c r="B2299" s="63" t="s">
        <v>154</v>
      </c>
      <c r="C2299" s="64">
        <v>48</v>
      </c>
      <c r="D2299" s="65">
        <v>3.2</v>
      </c>
      <c r="E2299" s="67" t="s">
        <v>96</v>
      </c>
      <c r="F2299" s="52" t="s">
        <v>91</v>
      </c>
      <c r="G2299" s="52" t="s">
        <v>4</v>
      </c>
    </row>
    <row r="2300" spans="1:7">
      <c r="A2300" s="15" t="s">
        <v>2667</v>
      </c>
      <c r="B2300" s="63" t="s">
        <v>154</v>
      </c>
      <c r="C2300" s="64">
        <v>49</v>
      </c>
      <c r="D2300" s="65">
        <v>3.1</v>
      </c>
      <c r="E2300" s="67" t="s">
        <v>81</v>
      </c>
      <c r="F2300" s="52" t="s">
        <v>90</v>
      </c>
      <c r="G2300" s="52" t="s">
        <v>0</v>
      </c>
    </row>
    <row r="2301" spans="1:7">
      <c r="A2301" s="15" t="s">
        <v>2668</v>
      </c>
      <c r="B2301" s="63" t="s">
        <v>154</v>
      </c>
      <c r="C2301" s="64">
        <v>50</v>
      </c>
      <c r="D2301" s="65">
        <v>2.2000000000000002</v>
      </c>
      <c r="E2301" s="67" t="s">
        <v>76</v>
      </c>
      <c r="F2301" s="52" t="s">
        <v>83</v>
      </c>
      <c r="G2301" s="52" t="s">
        <v>0</v>
      </c>
    </row>
    <row r="2302" spans="1:7">
      <c r="A2302" s="15" t="s">
        <v>2669</v>
      </c>
      <c r="B2302" s="63" t="s">
        <v>155</v>
      </c>
      <c r="C2302" s="64">
        <v>1</v>
      </c>
      <c r="D2302" s="66">
        <v>2.35</v>
      </c>
      <c r="E2302" s="67" t="s">
        <v>76</v>
      </c>
      <c r="F2302" s="57" t="s">
        <v>89</v>
      </c>
      <c r="G2302" s="52" t="s">
        <v>4</v>
      </c>
    </row>
    <row r="2303" spans="1:7">
      <c r="A2303" s="15" t="s">
        <v>2670</v>
      </c>
      <c r="B2303" s="63" t="s">
        <v>155</v>
      </c>
      <c r="C2303" s="64">
        <v>2</v>
      </c>
      <c r="D2303" s="65">
        <v>6.1</v>
      </c>
      <c r="E2303" s="67" t="s">
        <v>93</v>
      </c>
      <c r="F2303" s="52" t="s">
        <v>101</v>
      </c>
      <c r="G2303" s="52" t="s">
        <v>3</v>
      </c>
    </row>
    <row r="2304" spans="1:7">
      <c r="A2304" s="15" t="s">
        <v>2671</v>
      </c>
      <c r="B2304" s="63" t="s">
        <v>155</v>
      </c>
      <c r="C2304" s="64">
        <v>3</v>
      </c>
      <c r="D2304" s="65">
        <v>2.31</v>
      </c>
      <c r="E2304" s="67" t="s">
        <v>81</v>
      </c>
      <c r="F2304" s="52" t="s">
        <v>85</v>
      </c>
      <c r="G2304" s="52" t="s">
        <v>1</v>
      </c>
    </row>
    <row r="2305" spans="1:7">
      <c r="A2305" s="15" t="s">
        <v>2672</v>
      </c>
      <c r="B2305" s="63" t="s">
        <v>155</v>
      </c>
      <c r="C2305" s="64">
        <v>4</v>
      </c>
      <c r="D2305" s="65">
        <v>4.2</v>
      </c>
      <c r="E2305" s="67" t="s">
        <v>81</v>
      </c>
      <c r="F2305" s="52" t="s">
        <v>95</v>
      </c>
      <c r="G2305" s="52" t="s">
        <v>4</v>
      </c>
    </row>
    <row r="2306" spans="1:7">
      <c r="A2306" s="15" t="s">
        <v>2673</v>
      </c>
      <c r="B2306" s="63" t="s">
        <v>155</v>
      </c>
      <c r="C2306" s="64">
        <v>5</v>
      </c>
      <c r="D2306" s="65">
        <v>2.1</v>
      </c>
      <c r="E2306" s="67" t="s">
        <v>96</v>
      </c>
      <c r="F2306" s="52" t="s">
        <v>82</v>
      </c>
      <c r="G2306" s="52" t="s">
        <v>2</v>
      </c>
    </row>
    <row r="2307" spans="1:7">
      <c r="A2307" s="15" t="s">
        <v>2674</v>
      </c>
      <c r="B2307" s="63" t="s">
        <v>155</v>
      </c>
      <c r="C2307" s="64">
        <v>6</v>
      </c>
      <c r="D2307" s="65">
        <v>2.35</v>
      </c>
      <c r="E2307" s="67" t="s">
        <v>81</v>
      </c>
      <c r="F2307" s="52" t="s">
        <v>89</v>
      </c>
      <c r="G2307" s="52" t="s">
        <v>3</v>
      </c>
    </row>
    <row r="2308" spans="1:7">
      <c r="A2308" s="15" t="s">
        <v>2675</v>
      </c>
      <c r="B2308" s="63" t="s">
        <v>155</v>
      </c>
      <c r="C2308" s="64">
        <v>7</v>
      </c>
      <c r="D2308" s="65">
        <v>1.1000000000000001</v>
      </c>
      <c r="E2308" s="67" t="s">
        <v>76</v>
      </c>
      <c r="F2308" s="52" t="s">
        <v>77</v>
      </c>
      <c r="G2308" s="52" t="s">
        <v>3</v>
      </c>
    </row>
    <row r="2309" spans="1:7">
      <c r="A2309" s="15" t="s">
        <v>2676</v>
      </c>
      <c r="B2309" s="63" t="s">
        <v>155</v>
      </c>
      <c r="C2309" s="64">
        <v>8</v>
      </c>
      <c r="D2309" s="65">
        <v>2.1</v>
      </c>
      <c r="E2309" s="67" t="s">
        <v>28</v>
      </c>
      <c r="F2309" s="52" t="s">
        <v>82</v>
      </c>
      <c r="G2309" s="52" t="s">
        <v>3</v>
      </c>
    </row>
    <row r="2310" spans="1:7">
      <c r="A2310" s="15" t="s">
        <v>2677</v>
      </c>
      <c r="B2310" s="63" t="s">
        <v>155</v>
      </c>
      <c r="C2310" s="64">
        <v>9</v>
      </c>
      <c r="D2310" s="65">
        <v>6.3</v>
      </c>
      <c r="E2310" s="67" t="s">
        <v>96</v>
      </c>
      <c r="F2310" s="52" t="s">
        <v>103</v>
      </c>
      <c r="G2310" s="52" t="s">
        <v>0</v>
      </c>
    </row>
    <row r="2311" spans="1:7">
      <c r="A2311" s="15" t="s">
        <v>2678</v>
      </c>
      <c r="B2311" s="63" t="s">
        <v>155</v>
      </c>
      <c r="C2311" s="64">
        <v>10</v>
      </c>
      <c r="D2311" s="65">
        <v>2.2000000000000002</v>
      </c>
      <c r="E2311" s="67" t="s">
        <v>81</v>
      </c>
      <c r="F2311" s="52" t="s">
        <v>83</v>
      </c>
      <c r="G2311" s="52" t="s">
        <v>0</v>
      </c>
    </row>
    <row r="2312" spans="1:7">
      <c r="A2312" s="15" t="s">
        <v>2679</v>
      </c>
      <c r="B2312" s="63" t="s">
        <v>155</v>
      </c>
      <c r="C2312" s="64">
        <v>11</v>
      </c>
      <c r="D2312" s="65">
        <v>6.3</v>
      </c>
      <c r="E2312" s="67" t="s">
        <v>81</v>
      </c>
      <c r="F2312" s="52" t="s">
        <v>103</v>
      </c>
      <c r="G2312" s="52" t="s">
        <v>3</v>
      </c>
    </row>
    <row r="2313" spans="1:7">
      <c r="A2313" s="15" t="s">
        <v>2680</v>
      </c>
      <c r="B2313" s="63" t="s">
        <v>155</v>
      </c>
      <c r="C2313" s="64">
        <v>12</v>
      </c>
      <c r="D2313" s="65">
        <v>1.6</v>
      </c>
      <c r="E2313" s="67" t="s">
        <v>81</v>
      </c>
      <c r="F2313" s="52" t="s">
        <v>27</v>
      </c>
      <c r="G2313" s="52" t="s">
        <v>0</v>
      </c>
    </row>
    <row r="2314" spans="1:7">
      <c r="A2314" s="15" t="s">
        <v>2681</v>
      </c>
      <c r="B2314" s="63" t="s">
        <v>155</v>
      </c>
      <c r="C2314" s="64">
        <v>13</v>
      </c>
      <c r="D2314" s="65">
        <v>2.3199999999999998</v>
      </c>
      <c r="E2314" s="67" t="s">
        <v>28</v>
      </c>
      <c r="F2314" s="52" t="s">
        <v>86</v>
      </c>
      <c r="G2314" s="52" t="s">
        <v>2</v>
      </c>
    </row>
    <row r="2315" spans="1:7">
      <c r="A2315" s="15" t="s">
        <v>2682</v>
      </c>
      <c r="B2315" s="63" t="s">
        <v>155</v>
      </c>
      <c r="C2315" s="64">
        <v>14</v>
      </c>
      <c r="D2315" s="65">
        <v>2.35</v>
      </c>
      <c r="E2315" s="67" t="s">
        <v>81</v>
      </c>
      <c r="F2315" s="52" t="s">
        <v>89</v>
      </c>
      <c r="G2315" s="52" t="s">
        <v>0</v>
      </c>
    </row>
    <row r="2316" spans="1:7">
      <c r="A2316" s="15" t="s">
        <v>2683</v>
      </c>
      <c r="B2316" s="63" t="s">
        <v>155</v>
      </c>
      <c r="C2316" s="64">
        <v>15</v>
      </c>
      <c r="D2316" s="65">
        <v>2.1</v>
      </c>
      <c r="E2316" s="67" t="s">
        <v>100</v>
      </c>
      <c r="F2316" s="52" t="s">
        <v>82</v>
      </c>
      <c r="G2316" s="52" t="s">
        <v>0</v>
      </c>
    </row>
    <row r="2317" spans="1:7">
      <c r="A2317" s="15" t="s">
        <v>2684</v>
      </c>
      <c r="B2317" s="63" t="s">
        <v>155</v>
      </c>
      <c r="C2317" s="64">
        <v>16</v>
      </c>
      <c r="D2317" s="65">
        <v>3.1</v>
      </c>
      <c r="E2317" s="67" t="s">
        <v>76</v>
      </c>
      <c r="F2317" s="52" t="s">
        <v>90</v>
      </c>
      <c r="G2317" s="52" t="s">
        <v>4</v>
      </c>
    </row>
    <row r="2318" spans="1:7">
      <c r="A2318" s="15" t="s">
        <v>2685</v>
      </c>
      <c r="B2318" s="63" t="s">
        <v>155</v>
      </c>
      <c r="C2318" s="64">
        <v>17</v>
      </c>
      <c r="D2318" s="65">
        <v>3.1</v>
      </c>
      <c r="E2318" s="67" t="s">
        <v>96</v>
      </c>
      <c r="F2318" s="52" t="s">
        <v>90</v>
      </c>
      <c r="G2318" s="52" t="s">
        <v>0</v>
      </c>
    </row>
    <row r="2319" spans="1:7">
      <c r="A2319" s="15" t="s">
        <v>2686</v>
      </c>
      <c r="B2319" s="63" t="s">
        <v>155</v>
      </c>
      <c r="C2319" s="64">
        <v>18</v>
      </c>
      <c r="D2319" s="65">
        <v>3.1</v>
      </c>
      <c r="E2319" s="67" t="s">
        <v>81</v>
      </c>
      <c r="F2319" s="52" t="s">
        <v>90</v>
      </c>
      <c r="G2319" s="52" t="s">
        <v>1</v>
      </c>
    </row>
    <row r="2320" spans="1:7">
      <c r="A2320" s="15" t="s">
        <v>2687</v>
      </c>
      <c r="B2320" s="63" t="s">
        <v>155</v>
      </c>
      <c r="C2320" s="64">
        <v>19</v>
      </c>
      <c r="D2320" s="65">
        <v>4.0999999999999996</v>
      </c>
      <c r="E2320" s="67" t="s">
        <v>93</v>
      </c>
      <c r="F2320" s="52" t="s">
        <v>94</v>
      </c>
      <c r="G2320" s="52" t="s">
        <v>0</v>
      </c>
    </row>
    <row r="2321" spans="1:7">
      <c r="A2321" s="15" t="s">
        <v>2688</v>
      </c>
      <c r="B2321" s="63" t="s">
        <v>155</v>
      </c>
      <c r="C2321" s="64">
        <v>20</v>
      </c>
      <c r="D2321" s="65">
        <v>2.34</v>
      </c>
      <c r="E2321" s="67" t="s">
        <v>96</v>
      </c>
      <c r="F2321" s="52" t="s">
        <v>88</v>
      </c>
      <c r="G2321" s="52" t="s">
        <v>2</v>
      </c>
    </row>
    <row r="2322" spans="1:7">
      <c r="A2322" s="15" t="s">
        <v>2689</v>
      </c>
      <c r="B2322" s="63" t="s">
        <v>155</v>
      </c>
      <c r="C2322" s="64">
        <v>21</v>
      </c>
      <c r="D2322" s="65">
        <v>2.31</v>
      </c>
      <c r="E2322" s="67" t="s">
        <v>81</v>
      </c>
      <c r="F2322" s="52" t="s">
        <v>85</v>
      </c>
      <c r="G2322" s="52" t="s">
        <v>0</v>
      </c>
    </row>
    <row r="2323" spans="1:7">
      <c r="A2323" s="15" t="s">
        <v>2690</v>
      </c>
      <c r="B2323" s="63" t="s">
        <v>155</v>
      </c>
      <c r="C2323" s="64">
        <v>22</v>
      </c>
      <c r="D2323" s="65">
        <v>1.6</v>
      </c>
      <c r="E2323" s="67" t="s">
        <v>96</v>
      </c>
      <c r="F2323" s="52" t="s">
        <v>27</v>
      </c>
      <c r="G2323" s="52" t="s">
        <v>2</v>
      </c>
    </row>
    <row r="2324" spans="1:7">
      <c r="A2324" s="15" t="s">
        <v>2691</v>
      </c>
      <c r="B2324" s="63" t="s">
        <v>155</v>
      </c>
      <c r="C2324" s="64">
        <v>23</v>
      </c>
      <c r="D2324" s="65">
        <v>2.1</v>
      </c>
      <c r="E2324" s="67" t="s">
        <v>28</v>
      </c>
      <c r="F2324" s="52" t="s">
        <v>82</v>
      </c>
      <c r="G2324" s="52" t="s">
        <v>4</v>
      </c>
    </row>
    <row r="2325" spans="1:7">
      <c r="A2325" s="15" t="s">
        <v>2692</v>
      </c>
      <c r="B2325" s="63" t="s">
        <v>155</v>
      </c>
      <c r="C2325" s="64">
        <v>24</v>
      </c>
      <c r="D2325" s="65">
        <v>2.34</v>
      </c>
      <c r="E2325" s="67" t="s">
        <v>100</v>
      </c>
      <c r="F2325" s="52" t="s">
        <v>88</v>
      </c>
      <c r="G2325" s="52" t="s">
        <v>4</v>
      </c>
    </row>
    <row r="2326" spans="1:7">
      <c r="A2326" s="15" t="s">
        <v>2693</v>
      </c>
      <c r="B2326" s="63" t="s">
        <v>155</v>
      </c>
      <c r="C2326" s="64">
        <v>25</v>
      </c>
      <c r="D2326" s="65">
        <v>2.31</v>
      </c>
      <c r="E2326" s="67" t="s">
        <v>76</v>
      </c>
      <c r="F2326" s="52" t="s">
        <v>85</v>
      </c>
      <c r="G2326" s="52" t="s">
        <v>2</v>
      </c>
    </row>
    <row r="2327" spans="1:7">
      <c r="A2327" s="15" t="s">
        <v>2694</v>
      </c>
      <c r="B2327" s="63" t="s">
        <v>155</v>
      </c>
      <c r="C2327" s="64">
        <v>26</v>
      </c>
      <c r="D2327" s="65">
        <v>4.0999999999999996</v>
      </c>
      <c r="E2327" s="67" t="s">
        <v>81</v>
      </c>
      <c r="F2327" s="52" t="s">
        <v>94</v>
      </c>
      <c r="G2327" s="52" t="s">
        <v>1</v>
      </c>
    </row>
    <row r="2328" spans="1:7">
      <c r="A2328" s="15" t="s">
        <v>2695</v>
      </c>
      <c r="B2328" s="63" t="s">
        <v>155</v>
      </c>
      <c r="C2328" s="64">
        <v>27</v>
      </c>
      <c r="D2328" s="65">
        <v>1.3</v>
      </c>
      <c r="E2328" s="67" t="s">
        <v>81</v>
      </c>
      <c r="F2328" s="52" t="s">
        <v>79</v>
      </c>
      <c r="G2328" s="52" t="s">
        <v>1</v>
      </c>
    </row>
    <row r="2329" spans="1:7">
      <c r="A2329" s="15" t="s">
        <v>2696</v>
      </c>
      <c r="B2329" s="63" t="s">
        <v>155</v>
      </c>
      <c r="C2329" s="64">
        <v>28</v>
      </c>
      <c r="D2329" s="65">
        <v>2.33</v>
      </c>
      <c r="E2329" s="67" t="s">
        <v>76</v>
      </c>
      <c r="F2329" s="52" t="s">
        <v>87</v>
      </c>
      <c r="G2329" s="52" t="s">
        <v>0</v>
      </c>
    </row>
    <row r="2330" spans="1:7">
      <c r="A2330" s="15" t="s">
        <v>2697</v>
      </c>
      <c r="B2330" s="63" t="s">
        <v>155</v>
      </c>
      <c r="C2330" s="64">
        <v>29</v>
      </c>
      <c r="D2330" s="65">
        <v>3.2</v>
      </c>
      <c r="E2330" s="67" t="s">
        <v>81</v>
      </c>
      <c r="F2330" s="52" t="s">
        <v>91</v>
      </c>
      <c r="G2330" s="52" t="s">
        <v>2</v>
      </c>
    </row>
    <row r="2331" spans="1:7">
      <c r="A2331" s="15" t="s">
        <v>2698</v>
      </c>
      <c r="B2331" s="63" t="s">
        <v>155</v>
      </c>
      <c r="C2331" s="64">
        <v>30</v>
      </c>
      <c r="D2331" s="65">
        <v>2.1</v>
      </c>
      <c r="E2331" s="67" t="s">
        <v>28</v>
      </c>
      <c r="F2331" s="52" t="s">
        <v>82</v>
      </c>
      <c r="G2331" s="52" t="s">
        <v>1</v>
      </c>
    </row>
    <row r="2332" spans="1:7">
      <c r="A2332" s="15" t="s">
        <v>2699</v>
      </c>
      <c r="B2332" s="63" t="s">
        <v>155</v>
      </c>
      <c r="C2332" s="64">
        <v>31</v>
      </c>
      <c r="D2332" s="65">
        <v>1.6</v>
      </c>
      <c r="E2332" s="67" t="s">
        <v>81</v>
      </c>
      <c r="F2332" s="52" t="s">
        <v>27</v>
      </c>
      <c r="G2332" s="52" t="s">
        <v>1</v>
      </c>
    </row>
    <row r="2333" spans="1:7">
      <c r="A2333" s="15" t="s">
        <v>2700</v>
      </c>
      <c r="B2333" s="63" t="s">
        <v>155</v>
      </c>
      <c r="C2333" s="64">
        <v>32</v>
      </c>
      <c r="D2333" s="65">
        <v>5.0999999999999996</v>
      </c>
      <c r="E2333" s="67" t="s">
        <v>81</v>
      </c>
      <c r="F2333" s="52" t="s">
        <v>97</v>
      </c>
      <c r="G2333" s="52" t="s">
        <v>4</v>
      </c>
    </row>
    <row r="2334" spans="1:7">
      <c r="A2334" s="15" t="s">
        <v>2701</v>
      </c>
      <c r="B2334" s="63" t="s">
        <v>155</v>
      </c>
      <c r="C2334" s="64">
        <v>33</v>
      </c>
      <c r="D2334" s="65">
        <v>1.5</v>
      </c>
      <c r="E2334" s="67" t="s">
        <v>81</v>
      </c>
      <c r="F2334" s="52" t="s">
        <v>80</v>
      </c>
      <c r="G2334" s="52" t="s">
        <v>0</v>
      </c>
    </row>
    <row r="2335" spans="1:7">
      <c r="A2335" s="15" t="s">
        <v>2702</v>
      </c>
      <c r="B2335" s="63" t="s">
        <v>155</v>
      </c>
      <c r="C2335" s="64">
        <v>34</v>
      </c>
      <c r="D2335" s="65">
        <v>5.2</v>
      </c>
      <c r="E2335" s="67" t="s">
        <v>81</v>
      </c>
      <c r="F2335" s="52" t="s">
        <v>98</v>
      </c>
      <c r="G2335" s="52" t="s">
        <v>0</v>
      </c>
    </row>
    <row r="2336" spans="1:7">
      <c r="A2336" s="15" t="s">
        <v>2703</v>
      </c>
      <c r="B2336" s="63" t="s">
        <v>155</v>
      </c>
      <c r="C2336" s="64">
        <v>35</v>
      </c>
      <c r="D2336" s="65">
        <v>2.34</v>
      </c>
      <c r="E2336" s="67" t="s">
        <v>28</v>
      </c>
      <c r="F2336" s="52" t="s">
        <v>88</v>
      </c>
      <c r="G2336" s="52" t="s">
        <v>0</v>
      </c>
    </row>
    <row r="2337" spans="1:7">
      <c r="A2337" s="15" t="s">
        <v>2704</v>
      </c>
      <c r="B2337" s="63" t="s">
        <v>155</v>
      </c>
      <c r="C2337" s="64">
        <v>36</v>
      </c>
      <c r="D2337" s="65">
        <v>5.2</v>
      </c>
      <c r="E2337" s="67" t="s">
        <v>96</v>
      </c>
      <c r="F2337" s="52" t="s">
        <v>98</v>
      </c>
      <c r="G2337" s="52" t="s">
        <v>1</v>
      </c>
    </row>
    <row r="2338" spans="1:7">
      <c r="A2338" s="15" t="s">
        <v>2705</v>
      </c>
      <c r="B2338" s="63" t="s">
        <v>155</v>
      </c>
      <c r="C2338" s="64">
        <v>37</v>
      </c>
      <c r="D2338" s="65">
        <v>2.33</v>
      </c>
      <c r="E2338" s="67" t="s">
        <v>81</v>
      </c>
      <c r="F2338" s="52" t="s">
        <v>87</v>
      </c>
      <c r="G2338" s="52" t="s">
        <v>1</v>
      </c>
    </row>
    <row r="2339" spans="1:7">
      <c r="A2339" s="15" t="s">
        <v>2706</v>
      </c>
      <c r="B2339" s="63" t="s">
        <v>155</v>
      </c>
      <c r="C2339" s="64">
        <v>38</v>
      </c>
      <c r="D2339" s="65">
        <v>1.3</v>
      </c>
      <c r="E2339" s="67" t="s">
        <v>81</v>
      </c>
      <c r="F2339" s="52" t="s">
        <v>79</v>
      </c>
      <c r="G2339" s="52" t="s">
        <v>0</v>
      </c>
    </row>
    <row r="2340" spans="1:7">
      <c r="A2340" s="15" t="s">
        <v>2707</v>
      </c>
      <c r="B2340" s="63" t="s">
        <v>155</v>
      </c>
      <c r="C2340" s="64">
        <v>39</v>
      </c>
      <c r="D2340" s="65">
        <v>3.2</v>
      </c>
      <c r="E2340" s="67" t="s">
        <v>81</v>
      </c>
      <c r="F2340" s="52" t="s">
        <v>91</v>
      </c>
      <c r="G2340" s="52" t="s">
        <v>2</v>
      </c>
    </row>
    <row r="2341" spans="1:7">
      <c r="A2341" s="15" t="s">
        <v>2708</v>
      </c>
      <c r="B2341" s="63" t="s">
        <v>155</v>
      </c>
      <c r="C2341" s="64">
        <v>40</v>
      </c>
      <c r="D2341" s="65">
        <v>2.3199999999999998</v>
      </c>
      <c r="E2341" s="67" t="s">
        <v>28</v>
      </c>
      <c r="F2341" s="52" t="s">
        <v>86</v>
      </c>
      <c r="G2341" s="52" t="s">
        <v>4</v>
      </c>
    </row>
    <row r="2342" spans="1:7">
      <c r="A2342" s="15" t="s">
        <v>2709</v>
      </c>
      <c r="B2342" s="63" t="s">
        <v>155</v>
      </c>
      <c r="C2342" s="64">
        <v>41</v>
      </c>
      <c r="D2342" s="65">
        <v>2.2000000000000002</v>
      </c>
      <c r="E2342" s="67" t="s">
        <v>76</v>
      </c>
      <c r="F2342" s="52" t="s">
        <v>83</v>
      </c>
      <c r="G2342" s="52" t="s">
        <v>0</v>
      </c>
    </row>
    <row r="2343" spans="1:7">
      <c r="A2343" s="15" t="s">
        <v>2710</v>
      </c>
      <c r="B2343" s="63" t="s">
        <v>155</v>
      </c>
      <c r="C2343" s="64">
        <v>42</v>
      </c>
      <c r="D2343" s="65">
        <v>5.2</v>
      </c>
      <c r="E2343" s="67" t="s">
        <v>100</v>
      </c>
      <c r="F2343" s="52" t="s">
        <v>98</v>
      </c>
      <c r="G2343" s="52" t="s">
        <v>2</v>
      </c>
    </row>
    <row r="2344" spans="1:7">
      <c r="A2344" s="15" t="s">
        <v>2711</v>
      </c>
      <c r="B2344" s="63" t="s">
        <v>155</v>
      </c>
      <c r="C2344" s="64">
        <v>43</v>
      </c>
      <c r="D2344" s="65">
        <v>2.35</v>
      </c>
      <c r="E2344" s="67" t="s">
        <v>76</v>
      </c>
      <c r="F2344" s="52" t="s">
        <v>89</v>
      </c>
      <c r="G2344" s="52" t="s">
        <v>2</v>
      </c>
    </row>
    <row r="2345" spans="1:7">
      <c r="A2345" s="15" t="s">
        <v>2712</v>
      </c>
      <c r="B2345" s="63" t="s">
        <v>155</v>
      </c>
      <c r="C2345" s="64">
        <v>44</v>
      </c>
      <c r="D2345" s="65">
        <v>1.3</v>
      </c>
      <c r="E2345" s="67" t="s">
        <v>81</v>
      </c>
      <c r="F2345" s="52" t="s">
        <v>79</v>
      </c>
      <c r="G2345" s="52" t="s">
        <v>1</v>
      </c>
    </row>
    <row r="2346" spans="1:7">
      <c r="A2346" s="15" t="s">
        <v>2713</v>
      </c>
      <c r="B2346" s="63" t="s">
        <v>155</v>
      </c>
      <c r="C2346" s="64">
        <v>45</v>
      </c>
      <c r="D2346" s="65">
        <v>3.2</v>
      </c>
      <c r="E2346" s="67" t="s">
        <v>76</v>
      </c>
      <c r="F2346" s="52" t="s">
        <v>91</v>
      </c>
      <c r="G2346" s="52" t="s">
        <v>4</v>
      </c>
    </row>
    <row r="2347" spans="1:7">
      <c r="A2347" s="15" t="s">
        <v>2714</v>
      </c>
      <c r="B2347" s="63" t="s">
        <v>155</v>
      </c>
      <c r="C2347" s="64">
        <v>46</v>
      </c>
      <c r="D2347" s="65">
        <v>3.2</v>
      </c>
      <c r="E2347" s="67" t="s">
        <v>76</v>
      </c>
      <c r="F2347" s="52" t="s">
        <v>91</v>
      </c>
      <c r="G2347" s="52" t="s">
        <v>2</v>
      </c>
    </row>
    <row r="2348" spans="1:7">
      <c r="A2348" s="15" t="s">
        <v>2715</v>
      </c>
      <c r="B2348" s="63" t="s">
        <v>155</v>
      </c>
      <c r="C2348" s="64">
        <v>47</v>
      </c>
      <c r="D2348" s="65">
        <v>3.1</v>
      </c>
      <c r="E2348" s="67" t="s">
        <v>81</v>
      </c>
      <c r="F2348" s="52" t="s">
        <v>90</v>
      </c>
      <c r="G2348" s="52" t="s">
        <v>0</v>
      </c>
    </row>
    <row r="2349" spans="1:7">
      <c r="A2349" s="15" t="s">
        <v>2716</v>
      </c>
      <c r="B2349" s="63" t="s">
        <v>155</v>
      </c>
      <c r="C2349" s="64">
        <v>48</v>
      </c>
      <c r="D2349" s="65">
        <v>5.2</v>
      </c>
      <c r="E2349" s="67" t="s">
        <v>100</v>
      </c>
      <c r="F2349" s="52" t="s">
        <v>98</v>
      </c>
      <c r="G2349" s="52" t="s">
        <v>4</v>
      </c>
    </row>
    <row r="2350" spans="1:7">
      <c r="A2350" s="15" t="s">
        <v>2717</v>
      </c>
      <c r="B2350" s="63" t="s">
        <v>155</v>
      </c>
      <c r="C2350" s="64">
        <v>49</v>
      </c>
      <c r="D2350" s="65">
        <v>2.2000000000000002</v>
      </c>
      <c r="E2350" s="67" t="s">
        <v>81</v>
      </c>
      <c r="F2350" s="52" t="s">
        <v>83</v>
      </c>
      <c r="G2350" s="52" t="s">
        <v>3</v>
      </c>
    </row>
    <row r="2351" spans="1:7">
      <c r="A2351" s="15" t="s">
        <v>2718</v>
      </c>
      <c r="B2351" s="63" t="s">
        <v>155</v>
      </c>
      <c r="C2351" s="64">
        <v>50</v>
      </c>
      <c r="D2351" s="65">
        <v>1.1000000000000001</v>
      </c>
      <c r="E2351" s="67" t="s">
        <v>96</v>
      </c>
      <c r="F2351" s="52" t="s">
        <v>77</v>
      </c>
      <c r="G2351" s="52" t="s">
        <v>1</v>
      </c>
    </row>
    <row r="2352" spans="1:7">
      <c r="A2352" s="15" t="s">
        <v>2719</v>
      </c>
      <c r="B2352" s="63" t="s">
        <v>156</v>
      </c>
      <c r="C2352" s="64">
        <v>1</v>
      </c>
      <c r="D2352" s="65">
        <v>1.1000000000000001</v>
      </c>
      <c r="E2352" s="67" t="s">
        <v>76</v>
      </c>
      <c r="F2352" s="52" t="s">
        <v>77</v>
      </c>
      <c r="G2352" s="52" t="s">
        <v>1</v>
      </c>
    </row>
    <row r="2353" spans="1:7">
      <c r="A2353" s="15" t="s">
        <v>2720</v>
      </c>
      <c r="B2353" s="63" t="s">
        <v>156</v>
      </c>
      <c r="C2353" s="64">
        <v>2</v>
      </c>
      <c r="D2353" s="65">
        <v>4.2</v>
      </c>
      <c r="E2353" s="67" t="s">
        <v>81</v>
      </c>
      <c r="F2353" s="52" t="s">
        <v>95</v>
      </c>
      <c r="G2353" s="52" t="s">
        <v>2</v>
      </c>
    </row>
    <row r="2354" spans="1:7">
      <c r="A2354" s="15" t="s">
        <v>2721</v>
      </c>
      <c r="B2354" s="63" t="s">
        <v>156</v>
      </c>
      <c r="C2354" s="64">
        <v>3</v>
      </c>
      <c r="D2354" s="65">
        <v>2.2000000000000002</v>
      </c>
      <c r="E2354" s="67" t="s">
        <v>81</v>
      </c>
      <c r="F2354" s="52" t="s">
        <v>83</v>
      </c>
      <c r="G2354" s="52" t="s">
        <v>4</v>
      </c>
    </row>
    <row r="2355" spans="1:7">
      <c r="A2355" s="15" t="s">
        <v>2722</v>
      </c>
      <c r="B2355" s="63" t="s">
        <v>156</v>
      </c>
      <c r="C2355" s="64">
        <v>4</v>
      </c>
      <c r="D2355" s="65">
        <v>2.35</v>
      </c>
      <c r="E2355" s="67" t="s">
        <v>81</v>
      </c>
      <c r="F2355" s="52" t="s">
        <v>89</v>
      </c>
      <c r="G2355" s="52" t="s">
        <v>0</v>
      </c>
    </row>
    <row r="2356" spans="1:7">
      <c r="A2356" s="15" t="s">
        <v>2723</v>
      </c>
      <c r="B2356" s="63" t="s">
        <v>156</v>
      </c>
      <c r="C2356" s="64">
        <v>5</v>
      </c>
      <c r="D2356" s="65">
        <v>5.2</v>
      </c>
      <c r="E2356" s="67" t="s">
        <v>93</v>
      </c>
      <c r="F2356" s="52" t="s">
        <v>98</v>
      </c>
      <c r="G2356" s="52" t="s">
        <v>3</v>
      </c>
    </row>
    <row r="2357" spans="1:7">
      <c r="A2357" s="15" t="s">
        <v>2724</v>
      </c>
      <c r="B2357" s="63" t="s">
        <v>156</v>
      </c>
      <c r="C2357" s="64">
        <v>6</v>
      </c>
      <c r="D2357" s="65">
        <v>2.1</v>
      </c>
      <c r="E2357" s="67" t="s">
        <v>96</v>
      </c>
      <c r="F2357" s="52" t="s">
        <v>82</v>
      </c>
      <c r="G2357" s="52" t="s">
        <v>1</v>
      </c>
    </row>
    <row r="2358" spans="1:7">
      <c r="A2358" s="15" t="s">
        <v>2725</v>
      </c>
      <c r="B2358" s="63" t="s">
        <v>156</v>
      </c>
      <c r="C2358" s="64">
        <v>7</v>
      </c>
      <c r="D2358" s="65">
        <v>1.5</v>
      </c>
      <c r="E2358" s="67" t="s">
        <v>81</v>
      </c>
      <c r="F2358" s="52" t="s">
        <v>80</v>
      </c>
      <c r="G2358" s="52" t="s">
        <v>0</v>
      </c>
    </row>
    <row r="2359" spans="1:7">
      <c r="A2359" s="15" t="s">
        <v>2726</v>
      </c>
      <c r="B2359" s="63" t="s">
        <v>156</v>
      </c>
      <c r="C2359" s="64">
        <v>8</v>
      </c>
      <c r="D2359" s="65">
        <v>3.1</v>
      </c>
      <c r="E2359" s="67" t="s">
        <v>81</v>
      </c>
      <c r="F2359" s="52" t="s">
        <v>90</v>
      </c>
      <c r="G2359" s="52" t="s">
        <v>4</v>
      </c>
    </row>
    <row r="2360" spans="1:7">
      <c r="A2360" s="15" t="s">
        <v>2727</v>
      </c>
      <c r="B2360" s="63" t="s">
        <v>156</v>
      </c>
      <c r="C2360" s="64">
        <v>9</v>
      </c>
      <c r="D2360" s="65">
        <v>4.2</v>
      </c>
      <c r="E2360" s="67" t="s">
        <v>76</v>
      </c>
      <c r="F2360" s="52" t="s">
        <v>95</v>
      </c>
      <c r="G2360" s="52" t="s">
        <v>1</v>
      </c>
    </row>
    <row r="2361" spans="1:7">
      <c r="A2361" s="15" t="s">
        <v>2728</v>
      </c>
      <c r="B2361" s="63" t="s">
        <v>156</v>
      </c>
      <c r="C2361" s="64">
        <v>10</v>
      </c>
      <c r="D2361" s="65">
        <v>2.1</v>
      </c>
      <c r="E2361" s="67" t="s">
        <v>93</v>
      </c>
      <c r="F2361" s="52" t="s">
        <v>82</v>
      </c>
      <c r="G2361" s="52" t="s">
        <v>0</v>
      </c>
    </row>
    <row r="2362" spans="1:7">
      <c r="A2362" s="15" t="s">
        <v>2729</v>
      </c>
      <c r="B2362" s="63" t="s">
        <v>156</v>
      </c>
      <c r="C2362" s="64">
        <v>11</v>
      </c>
      <c r="D2362" s="65">
        <v>2.2000000000000002</v>
      </c>
      <c r="E2362" s="67" t="s">
        <v>81</v>
      </c>
      <c r="F2362" s="52" t="s">
        <v>83</v>
      </c>
      <c r="G2362" s="52" t="s">
        <v>2</v>
      </c>
    </row>
    <row r="2363" spans="1:7">
      <c r="A2363" s="15" t="s">
        <v>2730</v>
      </c>
      <c r="B2363" s="63" t="s">
        <v>156</v>
      </c>
      <c r="C2363" s="64">
        <v>12</v>
      </c>
      <c r="D2363" s="65">
        <v>3.1</v>
      </c>
      <c r="E2363" s="67" t="s">
        <v>81</v>
      </c>
      <c r="F2363" s="52" t="s">
        <v>90</v>
      </c>
      <c r="G2363" s="52" t="s">
        <v>3</v>
      </c>
    </row>
    <row r="2364" spans="1:7">
      <c r="A2364" s="15" t="s">
        <v>2731</v>
      </c>
      <c r="B2364" s="63" t="s">
        <v>156</v>
      </c>
      <c r="C2364" s="64">
        <v>13</v>
      </c>
      <c r="D2364" s="65">
        <v>3.2</v>
      </c>
      <c r="E2364" s="67" t="s">
        <v>81</v>
      </c>
      <c r="F2364" s="52" t="s">
        <v>91</v>
      </c>
      <c r="G2364" s="52" t="s">
        <v>1</v>
      </c>
    </row>
    <row r="2365" spans="1:7">
      <c r="A2365" s="15" t="s">
        <v>2732</v>
      </c>
      <c r="B2365" s="63" t="s">
        <v>156</v>
      </c>
      <c r="C2365" s="64">
        <v>14</v>
      </c>
      <c r="D2365" s="65">
        <v>2.3199999999999998</v>
      </c>
      <c r="E2365" s="67" t="s">
        <v>96</v>
      </c>
      <c r="F2365" s="52" t="s">
        <v>86</v>
      </c>
      <c r="G2365" s="52" t="s">
        <v>1</v>
      </c>
    </row>
    <row r="2366" spans="1:7">
      <c r="A2366" s="15" t="s">
        <v>2733</v>
      </c>
      <c r="B2366" s="63" t="s">
        <v>156</v>
      </c>
      <c r="C2366" s="64">
        <v>15</v>
      </c>
      <c r="D2366" s="65">
        <v>6.4</v>
      </c>
      <c r="E2366" s="67" t="s">
        <v>81</v>
      </c>
      <c r="F2366" s="52" t="s">
        <v>104</v>
      </c>
      <c r="G2366" s="52" t="s">
        <v>2</v>
      </c>
    </row>
    <row r="2367" spans="1:7">
      <c r="A2367" s="15" t="s">
        <v>2734</v>
      </c>
      <c r="B2367" s="63" t="s">
        <v>156</v>
      </c>
      <c r="C2367" s="64">
        <v>16</v>
      </c>
      <c r="D2367" s="65">
        <v>1.3</v>
      </c>
      <c r="E2367" s="67" t="s">
        <v>81</v>
      </c>
      <c r="F2367" s="52" t="s">
        <v>79</v>
      </c>
      <c r="G2367" s="52" t="s">
        <v>2</v>
      </c>
    </row>
    <row r="2368" spans="1:7">
      <c r="A2368" s="15" t="s">
        <v>2735</v>
      </c>
      <c r="B2368" s="63" t="s">
        <v>156</v>
      </c>
      <c r="C2368" s="64">
        <v>17</v>
      </c>
      <c r="D2368" s="65">
        <v>5.2</v>
      </c>
      <c r="E2368" s="67" t="s">
        <v>96</v>
      </c>
      <c r="F2368" s="52" t="s">
        <v>98</v>
      </c>
      <c r="G2368" s="52" t="s">
        <v>2</v>
      </c>
    </row>
    <row r="2369" spans="1:7">
      <c r="A2369" s="15" t="s">
        <v>2736</v>
      </c>
      <c r="B2369" s="63" t="s">
        <v>156</v>
      </c>
      <c r="C2369" s="64">
        <v>18</v>
      </c>
      <c r="D2369" s="65">
        <v>2.1</v>
      </c>
      <c r="E2369" s="67" t="s">
        <v>93</v>
      </c>
      <c r="F2369" s="52" t="s">
        <v>82</v>
      </c>
      <c r="G2369" s="52" t="s">
        <v>4</v>
      </c>
    </row>
    <row r="2370" spans="1:7">
      <c r="A2370" s="15" t="s">
        <v>2737</v>
      </c>
      <c r="B2370" s="63" t="s">
        <v>156</v>
      </c>
      <c r="C2370" s="64">
        <v>19</v>
      </c>
      <c r="D2370" s="65">
        <v>4.0999999999999996</v>
      </c>
      <c r="E2370" s="67" t="s">
        <v>100</v>
      </c>
      <c r="F2370" s="52" t="s">
        <v>94</v>
      </c>
      <c r="G2370" s="52" t="s">
        <v>2</v>
      </c>
    </row>
    <row r="2371" spans="1:7">
      <c r="A2371" s="15" t="s">
        <v>2738</v>
      </c>
      <c r="B2371" s="63" t="s">
        <v>156</v>
      </c>
      <c r="C2371" s="64">
        <v>20</v>
      </c>
      <c r="D2371" s="65">
        <v>5.2</v>
      </c>
      <c r="E2371" s="67" t="s">
        <v>96</v>
      </c>
      <c r="F2371" s="52" t="s">
        <v>98</v>
      </c>
      <c r="G2371" s="52" t="s">
        <v>2</v>
      </c>
    </row>
    <row r="2372" spans="1:7">
      <c r="A2372" s="15" t="s">
        <v>2739</v>
      </c>
      <c r="B2372" s="63" t="s">
        <v>156</v>
      </c>
      <c r="C2372" s="64">
        <v>21</v>
      </c>
      <c r="D2372" s="65">
        <v>2.31</v>
      </c>
      <c r="E2372" s="67" t="s">
        <v>100</v>
      </c>
      <c r="F2372" s="52" t="s">
        <v>85</v>
      </c>
      <c r="G2372" s="52" t="s">
        <v>2</v>
      </c>
    </row>
    <row r="2373" spans="1:7">
      <c r="A2373" s="15" t="s">
        <v>2740</v>
      </c>
      <c r="B2373" s="63" t="s">
        <v>156</v>
      </c>
      <c r="C2373" s="64">
        <v>22</v>
      </c>
      <c r="D2373" s="65">
        <v>5.0999999999999996</v>
      </c>
      <c r="E2373" s="67" t="s">
        <v>81</v>
      </c>
      <c r="F2373" s="52" t="s">
        <v>97</v>
      </c>
      <c r="G2373" s="52" t="s">
        <v>3</v>
      </c>
    </row>
    <row r="2374" spans="1:7">
      <c r="A2374" s="15" t="s">
        <v>2741</v>
      </c>
      <c r="B2374" s="63" t="s">
        <v>156</v>
      </c>
      <c r="C2374" s="64">
        <v>23</v>
      </c>
      <c r="D2374" s="65">
        <v>3.2</v>
      </c>
      <c r="E2374" s="67" t="s">
        <v>81</v>
      </c>
      <c r="F2374" s="52" t="s">
        <v>91</v>
      </c>
      <c r="G2374" s="52" t="s">
        <v>0</v>
      </c>
    </row>
    <row r="2375" spans="1:7">
      <c r="A2375" s="15" t="s">
        <v>2742</v>
      </c>
      <c r="B2375" s="63" t="s">
        <v>156</v>
      </c>
      <c r="C2375" s="64">
        <v>24</v>
      </c>
      <c r="D2375" s="65">
        <v>6.3</v>
      </c>
      <c r="E2375" s="67" t="s">
        <v>28</v>
      </c>
      <c r="F2375" s="52" t="s">
        <v>103</v>
      </c>
      <c r="G2375" s="52" t="s">
        <v>2</v>
      </c>
    </row>
    <row r="2376" spans="1:7">
      <c r="A2376" s="15" t="s">
        <v>2743</v>
      </c>
      <c r="B2376" s="63" t="s">
        <v>156</v>
      </c>
      <c r="C2376" s="64">
        <v>25</v>
      </c>
      <c r="D2376" s="65">
        <v>1.1000000000000001</v>
      </c>
      <c r="E2376" s="67" t="s">
        <v>81</v>
      </c>
      <c r="F2376" s="52" t="s">
        <v>77</v>
      </c>
      <c r="G2376" s="52" t="s">
        <v>2</v>
      </c>
    </row>
    <row r="2377" spans="1:7">
      <c r="A2377" s="15" t="s">
        <v>2744</v>
      </c>
      <c r="B2377" s="63" t="s">
        <v>156</v>
      </c>
      <c r="C2377" s="64">
        <v>26</v>
      </c>
      <c r="D2377" s="65">
        <v>2.3199999999999998</v>
      </c>
      <c r="E2377" s="67" t="s">
        <v>81</v>
      </c>
      <c r="F2377" s="52" t="s">
        <v>86</v>
      </c>
      <c r="G2377" s="52" t="s">
        <v>2</v>
      </c>
    </row>
    <row r="2378" spans="1:7">
      <c r="A2378" s="15" t="s">
        <v>2745</v>
      </c>
      <c r="B2378" s="63" t="s">
        <v>156</v>
      </c>
      <c r="C2378" s="64">
        <v>27</v>
      </c>
      <c r="D2378" s="65">
        <v>2.1</v>
      </c>
      <c r="E2378" s="67" t="s">
        <v>81</v>
      </c>
      <c r="F2378" s="52" t="s">
        <v>82</v>
      </c>
      <c r="G2378" s="52" t="s">
        <v>4</v>
      </c>
    </row>
    <row r="2379" spans="1:7">
      <c r="A2379" s="15" t="s">
        <v>2746</v>
      </c>
      <c r="B2379" s="63" t="s">
        <v>156</v>
      </c>
      <c r="C2379" s="64">
        <v>28</v>
      </c>
      <c r="D2379" s="65">
        <v>1.3</v>
      </c>
      <c r="E2379" s="67" t="s">
        <v>100</v>
      </c>
      <c r="F2379" s="52" t="s">
        <v>79</v>
      </c>
      <c r="G2379" s="52" t="s">
        <v>0</v>
      </c>
    </row>
    <row r="2380" spans="1:7">
      <c r="A2380" s="15" t="s">
        <v>2747</v>
      </c>
      <c r="B2380" s="63" t="s">
        <v>156</v>
      </c>
      <c r="C2380" s="64">
        <v>29</v>
      </c>
      <c r="D2380" s="65">
        <v>2.33</v>
      </c>
      <c r="E2380" s="67" t="s">
        <v>81</v>
      </c>
      <c r="F2380" s="52" t="s">
        <v>87</v>
      </c>
      <c r="G2380" s="52" t="s">
        <v>4</v>
      </c>
    </row>
    <row r="2381" spans="1:7">
      <c r="A2381" s="15" t="s">
        <v>2748</v>
      </c>
      <c r="B2381" s="63" t="s">
        <v>156</v>
      </c>
      <c r="C2381" s="64">
        <v>30</v>
      </c>
      <c r="D2381" s="65">
        <v>3.4</v>
      </c>
      <c r="E2381" s="67" t="s">
        <v>81</v>
      </c>
      <c r="F2381" s="52" t="s">
        <v>29</v>
      </c>
      <c r="G2381" s="52" t="s">
        <v>4</v>
      </c>
    </row>
    <row r="2382" spans="1:7">
      <c r="A2382" s="15" t="s">
        <v>2749</v>
      </c>
      <c r="B2382" s="63" t="s">
        <v>156</v>
      </c>
      <c r="C2382" s="64">
        <v>31</v>
      </c>
      <c r="D2382" s="65">
        <v>2.1</v>
      </c>
      <c r="E2382" s="67" t="s">
        <v>96</v>
      </c>
      <c r="F2382" s="52" t="s">
        <v>82</v>
      </c>
      <c r="G2382" s="52" t="s">
        <v>4</v>
      </c>
    </row>
    <row r="2383" spans="1:7">
      <c r="A2383" s="15" t="s">
        <v>2750</v>
      </c>
      <c r="B2383" s="63" t="s">
        <v>156</v>
      </c>
      <c r="C2383" s="64">
        <v>32</v>
      </c>
      <c r="D2383" s="65">
        <v>2.35</v>
      </c>
      <c r="E2383" s="67" t="s">
        <v>28</v>
      </c>
      <c r="F2383" s="52" t="s">
        <v>89</v>
      </c>
      <c r="G2383" s="52" t="s">
        <v>2</v>
      </c>
    </row>
    <row r="2384" spans="1:7">
      <c r="A2384" s="15" t="s">
        <v>2751</v>
      </c>
      <c r="B2384" s="63" t="s">
        <v>156</v>
      </c>
      <c r="C2384" s="64">
        <v>33</v>
      </c>
      <c r="D2384" s="65">
        <v>1.1000000000000001</v>
      </c>
      <c r="E2384" s="67" t="s">
        <v>81</v>
      </c>
      <c r="F2384" s="52" t="s">
        <v>77</v>
      </c>
      <c r="G2384" s="52" t="s">
        <v>2</v>
      </c>
    </row>
    <row r="2385" spans="1:7">
      <c r="A2385" s="15" t="s">
        <v>2752</v>
      </c>
      <c r="B2385" s="63" t="s">
        <v>156</v>
      </c>
      <c r="C2385" s="64">
        <v>34</v>
      </c>
      <c r="D2385" s="65">
        <v>2.3199999999999998</v>
      </c>
      <c r="E2385" s="67" t="s">
        <v>76</v>
      </c>
      <c r="F2385" s="52" t="s">
        <v>86</v>
      </c>
      <c r="G2385" s="52" t="s">
        <v>4</v>
      </c>
    </row>
    <row r="2386" spans="1:7">
      <c r="A2386" s="15" t="s">
        <v>2753</v>
      </c>
      <c r="B2386" s="63" t="s">
        <v>156</v>
      </c>
      <c r="C2386" s="64">
        <v>35</v>
      </c>
      <c r="D2386" s="65">
        <v>3.2</v>
      </c>
      <c r="E2386" s="67" t="s">
        <v>100</v>
      </c>
      <c r="F2386" s="52" t="s">
        <v>91</v>
      </c>
      <c r="G2386" s="52" t="s">
        <v>4</v>
      </c>
    </row>
    <row r="2387" spans="1:7">
      <c r="A2387" s="15" t="s">
        <v>2754</v>
      </c>
      <c r="B2387" s="63" t="s">
        <v>156</v>
      </c>
      <c r="C2387" s="64">
        <v>36</v>
      </c>
      <c r="D2387" s="65">
        <v>5.0999999999999996</v>
      </c>
      <c r="E2387" s="67" t="s">
        <v>28</v>
      </c>
      <c r="F2387" s="52" t="s">
        <v>97</v>
      </c>
      <c r="G2387" s="52" t="s">
        <v>1</v>
      </c>
    </row>
    <row r="2388" spans="1:7">
      <c r="A2388" s="15" t="s">
        <v>2755</v>
      </c>
      <c r="B2388" s="63" t="s">
        <v>156</v>
      </c>
      <c r="C2388" s="64">
        <v>37</v>
      </c>
      <c r="D2388" s="65">
        <v>2.2000000000000002</v>
      </c>
      <c r="E2388" s="67" t="s">
        <v>81</v>
      </c>
      <c r="F2388" s="52" t="s">
        <v>83</v>
      </c>
      <c r="G2388" s="52" t="s">
        <v>2</v>
      </c>
    </row>
    <row r="2389" spans="1:7">
      <c r="A2389" s="15" t="s">
        <v>2756</v>
      </c>
      <c r="B2389" s="63" t="s">
        <v>156</v>
      </c>
      <c r="C2389" s="64">
        <v>38</v>
      </c>
      <c r="D2389" s="65">
        <v>2.2000000000000002</v>
      </c>
      <c r="E2389" s="67" t="s">
        <v>76</v>
      </c>
      <c r="F2389" s="52" t="s">
        <v>83</v>
      </c>
      <c r="G2389" s="52" t="s">
        <v>3</v>
      </c>
    </row>
    <row r="2390" spans="1:7">
      <c r="A2390" s="15" t="s">
        <v>2757</v>
      </c>
      <c r="B2390" s="63" t="s">
        <v>156</v>
      </c>
      <c r="C2390" s="64">
        <v>39</v>
      </c>
      <c r="D2390" s="65">
        <v>2.31</v>
      </c>
      <c r="E2390" s="67" t="s">
        <v>100</v>
      </c>
      <c r="F2390" s="52" t="s">
        <v>85</v>
      </c>
      <c r="G2390" s="52" t="s">
        <v>1</v>
      </c>
    </row>
    <row r="2391" spans="1:7">
      <c r="A2391" s="15" t="s">
        <v>2758</v>
      </c>
      <c r="B2391" s="63" t="s">
        <v>156</v>
      </c>
      <c r="C2391" s="64">
        <v>40</v>
      </c>
      <c r="D2391" s="65">
        <v>3.2</v>
      </c>
      <c r="E2391" s="67" t="s">
        <v>81</v>
      </c>
      <c r="F2391" s="52" t="s">
        <v>91</v>
      </c>
      <c r="G2391" s="52" t="s">
        <v>1</v>
      </c>
    </row>
    <row r="2392" spans="1:7">
      <c r="A2392" s="15" t="s">
        <v>2759</v>
      </c>
      <c r="B2392" s="63" t="s">
        <v>156</v>
      </c>
      <c r="C2392" s="64">
        <v>41</v>
      </c>
      <c r="D2392" s="65">
        <v>1.3</v>
      </c>
      <c r="E2392" s="67" t="s">
        <v>96</v>
      </c>
      <c r="F2392" s="52" t="s">
        <v>79</v>
      </c>
      <c r="G2392" s="52" t="s">
        <v>4</v>
      </c>
    </row>
    <row r="2393" spans="1:7">
      <c r="A2393" s="15" t="s">
        <v>2760</v>
      </c>
      <c r="B2393" s="63" t="s">
        <v>156</v>
      </c>
      <c r="C2393" s="64">
        <v>42</v>
      </c>
      <c r="D2393" s="65">
        <v>6.3</v>
      </c>
      <c r="E2393" s="67" t="s">
        <v>76</v>
      </c>
      <c r="F2393" s="52" t="s">
        <v>103</v>
      </c>
      <c r="G2393" s="52" t="s">
        <v>3</v>
      </c>
    </row>
    <row r="2394" spans="1:7">
      <c r="A2394" s="15" t="s">
        <v>2761</v>
      </c>
      <c r="B2394" s="63" t="s">
        <v>156</v>
      </c>
      <c r="C2394" s="64">
        <v>43</v>
      </c>
      <c r="D2394" s="65">
        <v>1.5</v>
      </c>
      <c r="E2394" s="67" t="s">
        <v>28</v>
      </c>
      <c r="F2394" s="52" t="s">
        <v>80</v>
      </c>
      <c r="G2394" s="52" t="s">
        <v>4</v>
      </c>
    </row>
    <row r="2395" spans="1:7">
      <c r="A2395" s="15" t="s">
        <v>2762</v>
      </c>
      <c r="B2395" s="63" t="s">
        <v>156</v>
      </c>
      <c r="C2395" s="64">
        <v>44</v>
      </c>
      <c r="D2395" s="65">
        <v>2.1</v>
      </c>
      <c r="E2395" s="67" t="s">
        <v>76</v>
      </c>
      <c r="F2395" s="52" t="s">
        <v>82</v>
      </c>
      <c r="G2395" s="52" t="s">
        <v>3</v>
      </c>
    </row>
    <row r="2396" spans="1:7">
      <c r="A2396" s="15" t="s">
        <v>2763</v>
      </c>
      <c r="B2396" s="63" t="s">
        <v>156</v>
      </c>
      <c r="C2396" s="64">
        <v>45</v>
      </c>
      <c r="D2396" s="65">
        <v>1.5</v>
      </c>
      <c r="E2396" s="67" t="s">
        <v>93</v>
      </c>
      <c r="F2396" s="52" t="s">
        <v>80</v>
      </c>
      <c r="G2396" s="52" t="s">
        <v>2</v>
      </c>
    </row>
    <row r="2397" spans="1:7">
      <c r="A2397" s="15" t="s">
        <v>2764</v>
      </c>
      <c r="B2397" s="63" t="s">
        <v>156</v>
      </c>
      <c r="C2397" s="64">
        <v>46</v>
      </c>
      <c r="D2397" s="65">
        <v>1.3</v>
      </c>
      <c r="E2397" s="67" t="s">
        <v>76</v>
      </c>
      <c r="F2397" s="52" t="s">
        <v>79</v>
      </c>
      <c r="G2397" s="52" t="s">
        <v>1</v>
      </c>
    </row>
    <row r="2398" spans="1:7">
      <c r="A2398" s="15" t="s">
        <v>2765</v>
      </c>
      <c r="B2398" s="63" t="s">
        <v>156</v>
      </c>
      <c r="C2398" s="64">
        <v>47</v>
      </c>
      <c r="D2398" s="65">
        <v>2.1</v>
      </c>
      <c r="E2398" s="67" t="s">
        <v>81</v>
      </c>
      <c r="F2398" s="52" t="s">
        <v>82</v>
      </c>
      <c r="G2398" s="52" t="s">
        <v>0</v>
      </c>
    </row>
    <row r="2399" spans="1:7">
      <c r="A2399" s="15" t="s">
        <v>2766</v>
      </c>
      <c r="B2399" s="63" t="s">
        <v>156</v>
      </c>
      <c r="C2399" s="64">
        <v>48</v>
      </c>
      <c r="D2399" s="65">
        <v>6.4</v>
      </c>
      <c r="E2399" s="67" t="s">
        <v>28</v>
      </c>
      <c r="F2399" s="52" t="s">
        <v>104</v>
      </c>
      <c r="G2399" s="52" t="s">
        <v>4</v>
      </c>
    </row>
    <row r="2400" spans="1:7">
      <c r="A2400" s="15" t="s">
        <v>2767</v>
      </c>
      <c r="B2400" s="63" t="s">
        <v>156</v>
      </c>
      <c r="C2400" s="64">
        <v>49</v>
      </c>
      <c r="D2400" s="65">
        <v>2.1</v>
      </c>
      <c r="E2400" s="67" t="s">
        <v>76</v>
      </c>
      <c r="F2400" s="52" t="s">
        <v>82</v>
      </c>
      <c r="G2400" s="52" t="s">
        <v>3</v>
      </c>
    </row>
    <row r="2401" spans="1:7">
      <c r="A2401" s="15" t="s">
        <v>2768</v>
      </c>
      <c r="B2401" s="63" t="s">
        <v>156</v>
      </c>
      <c r="C2401" s="64">
        <v>50</v>
      </c>
      <c r="D2401" s="65">
        <v>5.2</v>
      </c>
      <c r="E2401" s="67" t="s">
        <v>96</v>
      </c>
      <c r="F2401" s="52" t="s">
        <v>98</v>
      </c>
      <c r="G2401" s="52" t="s">
        <v>1</v>
      </c>
    </row>
    <row r="2402" spans="1:7">
      <c r="A2402" s="15" t="s">
        <v>2769</v>
      </c>
      <c r="B2402" s="63" t="s">
        <v>157</v>
      </c>
      <c r="C2402" s="64">
        <v>1</v>
      </c>
      <c r="D2402" s="66">
        <v>1.6</v>
      </c>
      <c r="E2402" s="67" t="s">
        <v>28</v>
      </c>
      <c r="F2402" s="57" t="s">
        <v>27</v>
      </c>
      <c r="G2402" s="52" t="s">
        <v>0</v>
      </c>
    </row>
    <row r="2403" spans="1:7">
      <c r="A2403" s="15" t="s">
        <v>2770</v>
      </c>
      <c r="B2403" s="63" t="s">
        <v>157</v>
      </c>
      <c r="C2403" s="64">
        <v>2</v>
      </c>
      <c r="D2403" s="65">
        <v>2.1</v>
      </c>
      <c r="E2403" s="67" t="s">
        <v>76</v>
      </c>
      <c r="F2403" s="52" t="s">
        <v>82</v>
      </c>
      <c r="G2403" s="52" t="s">
        <v>1</v>
      </c>
    </row>
    <row r="2404" spans="1:7">
      <c r="A2404" s="15" t="s">
        <v>2771</v>
      </c>
      <c r="B2404" s="63" t="s">
        <v>157</v>
      </c>
      <c r="C2404" s="64">
        <v>3</v>
      </c>
      <c r="D2404" s="65">
        <v>2.1</v>
      </c>
      <c r="E2404" s="67" t="s">
        <v>96</v>
      </c>
      <c r="F2404" s="52" t="s">
        <v>82</v>
      </c>
      <c r="G2404" s="52" t="s">
        <v>0</v>
      </c>
    </row>
    <row r="2405" spans="1:7">
      <c r="A2405" s="15" t="s">
        <v>2772</v>
      </c>
      <c r="B2405" s="63" t="s">
        <v>157</v>
      </c>
      <c r="C2405" s="64">
        <v>4</v>
      </c>
      <c r="D2405" s="65">
        <v>2.35</v>
      </c>
      <c r="E2405" s="67" t="s">
        <v>100</v>
      </c>
      <c r="F2405" s="52" t="s">
        <v>89</v>
      </c>
      <c r="G2405" s="52" t="s">
        <v>3</v>
      </c>
    </row>
    <row r="2406" spans="1:7">
      <c r="A2406" s="15" t="s">
        <v>2773</v>
      </c>
      <c r="B2406" s="63" t="s">
        <v>157</v>
      </c>
      <c r="C2406" s="64">
        <v>5</v>
      </c>
      <c r="D2406" s="65">
        <v>4.0999999999999996</v>
      </c>
      <c r="E2406" s="67" t="s">
        <v>81</v>
      </c>
      <c r="F2406" s="52" t="s">
        <v>94</v>
      </c>
      <c r="G2406" s="52" t="s">
        <v>0</v>
      </c>
    </row>
    <row r="2407" spans="1:7">
      <c r="A2407" s="15" t="s">
        <v>2774</v>
      </c>
      <c r="B2407" s="63" t="s">
        <v>157</v>
      </c>
      <c r="C2407" s="64">
        <v>6</v>
      </c>
      <c r="D2407" s="65">
        <v>5.2</v>
      </c>
      <c r="E2407" s="67" t="s">
        <v>28</v>
      </c>
      <c r="F2407" s="52" t="s">
        <v>98</v>
      </c>
      <c r="G2407" s="52" t="s">
        <v>4</v>
      </c>
    </row>
    <row r="2408" spans="1:7">
      <c r="A2408" s="15" t="s">
        <v>2775</v>
      </c>
      <c r="B2408" s="63" t="s">
        <v>157</v>
      </c>
      <c r="C2408" s="64">
        <v>7</v>
      </c>
      <c r="D2408" s="65">
        <v>2.31</v>
      </c>
      <c r="E2408" s="67" t="s">
        <v>76</v>
      </c>
      <c r="F2408" s="52" t="s">
        <v>85</v>
      </c>
      <c r="G2408" s="52" t="s">
        <v>4</v>
      </c>
    </row>
    <row r="2409" spans="1:7">
      <c r="A2409" s="15" t="s">
        <v>2776</v>
      </c>
      <c r="B2409" s="63" t="s">
        <v>157</v>
      </c>
      <c r="C2409" s="64">
        <v>8</v>
      </c>
      <c r="D2409" s="65">
        <v>2.2000000000000002</v>
      </c>
      <c r="E2409" s="67" t="s">
        <v>81</v>
      </c>
      <c r="F2409" s="52" t="s">
        <v>83</v>
      </c>
      <c r="G2409" s="52" t="s">
        <v>0</v>
      </c>
    </row>
    <row r="2410" spans="1:7">
      <c r="A2410" s="15" t="s">
        <v>2777</v>
      </c>
      <c r="B2410" s="63" t="s">
        <v>157</v>
      </c>
      <c r="C2410" s="64">
        <v>9</v>
      </c>
      <c r="D2410" s="65">
        <v>1.3</v>
      </c>
      <c r="E2410" s="67" t="s">
        <v>93</v>
      </c>
      <c r="F2410" s="52" t="s">
        <v>79</v>
      </c>
      <c r="G2410" s="52" t="s">
        <v>4</v>
      </c>
    </row>
    <row r="2411" spans="1:7">
      <c r="A2411" s="15" t="s">
        <v>2778</v>
      </c>
      <c r="B2411" s="63" t="s">
        <v>157</v>
      </c>
      <c r="C2411" s="64">
        <v>10</v>
      </c>
      <c r="D2411" s="65">
        <v>4.2</v>
      </c>
      <c r="E2411" s="67" t="s">
        <v>28</v>
      </c>
      <c r="F2411" s="52" t="s">
        <v>95</v>
      </c>
      <c r="G2411" s="52" t="s">
        <v>2</v>
      </c>
    </row>
    <row r="2412" spans="1:7">
      <c r="A2412" s="15" t="s">
        <v>2779</v>
      </c>
      <c r="B2412" s="63" t="s">
        <v>157</v>
      </c>
      <c r="C2412" s="64">
        <v>11</v>
      </c>
      <c r="D2412" s="65">
        <v>2.1</v>
      </c>
      <c r="E2412" s="67" t="s">
        <v>81</v>
      </c>
      <c r="F2412" s="52" t="s">
        <v>82</v>
      </c>
      <c r="G2412" s="52" t="s">
        <v>0</v>
      </c>
    </row>
    <row r="2413" spans="1:7">
      <c r="A2413" s="15" t="s">
        <v>2780</v>
      </c>
      <c r="B2413" s="63" t="s">
        <v>157</v>
      </c>
      <c r="C2413" s="64">
        <v>12</v>
      </c>
      <c r="D2413" s="65">
        <v>2.35</v>
      </c>
      <c r="E2413" s="67" t="s">
        <v>81</v>
      </c>
      <c r="F2413" s="52" t="s">
        <v>89</v>
      </c>
      <c r="G2413" s="52" t="s">
        <v>0</v>
      </c>
    </row>
    <row r="2414" spans="1:7">
      <c r="A2414" s="15" t="s">
        <v>2781</v>
      </c>
      <c r="B2414" s="63" t="s">
        <v>157</v>
      </c>
      <c r="C2414" s="64">
        <v>13</v>
      </c>
      <c r="D2414" s="65">
        <v>2.35</v>
      </c>
      <c r="E2414" s="67" t="s">
        <v>81</v>
      </c>
      <c r="F2414" s="52" t="s">
        <v>89</v>
      </c>
      <c r="G2414" s="52" t="s">
        <v>2</v>
      </c>
    </row>
    <row r="2415" spans="1:7">
      <c r="A2415" s="15" t="s">
        <v>2782</v>
      </c>
      <c r="B2415" s="63" t="s">
        <v>157</v>
      </c>
      <c r="C2415" s="64">
        <v>14</v>
      </c>
      <c r="D2415" s="65">
        <v>5.0999999999999996</v>
      </c>
      <c r="E2415" s="67" t="s">
        <v>81</v>
      </c>
      <c r="F2415" s="52" t="s">
        <v>97</v>
      </c>
      <c r="G2415" s="52" t="s">
        <v>2</v>
      </c>
    </row>
    <row r="2416" spans="1:7">
      <c r="A2416" s="15" t="s">
        <v>2783</v>
      </c>
      <c r="B2416" s="63" t="s">
        <v>157</v>
      </c>
      <c r="C2416" s="64">
        <v>15</v>
      </c>
      <c r="D2416" s="65">
        <v>2.33</v>
      </c>
      <c r="E2416" s="67" t="s">
        <v>100</v>
      </c>
      <c r="F2416" s="52" t="s">
        <v>87</v>
      </c>
      <c r="G2416" s="52" t="s">
        <v>1</v>
      </c>
    </row>
    <row r="2417" spans="1:7">
      <c r="A2417" s="15" t="s">
        <v>2784</v>
      </c>
      <c r="B2417" s="63" t="s">
        <v>157</v>
      </c>
      <c r="C2417" s="64">
        <v>16</v>
      </c>
      <c r="D2417" s="65">
        <v>2.31</v>
      </c>
      <c r="E2417" s="67" t="s">
        <v>96</v>
      </c>
      <c r="F2417" s="52" t="s">
        <v>85</v>
      </c>
      <c r="G2417" s="52" t="s">
        <v>2</v>
      </c>
    </row>
    <row r="2418" spans="1:7">
      <c r="A2418" s="15" t="s">
        <v>2785</v>
      </c>
      <c r="B2418" s="63" t="s">
        <v>157</v>
      </c>
      <c r="C2418" s="64">
        <v>17</v>
      </c>
      <c r="D2418" s="65">
        <v>5.3</v>
      </c>
      <c r="E2418" s="67" t="s">
        <v>28</v>
      </c>
      <c r="F2418" s="52" t="s">
        <v>99</v>
      </c>
      <c r="G2418" s="52" t="s">
        <v>2</v>
      </c>
    </row>
    <row r="2419" spans="1:7">
      <c r="A2419" s="15" t="s">
        <v>2786</v>
      </c>
      <c r="B2419" s="63" t="s">
        <v>157</v>
      </c>
      <c r="C2419" s="64">
        <v>18</v>
      </c>
      <c r="D2419" s="65">
        <v>4.0999999999999996</v>
      </c>
      <c r="E2419" s="67" t="s">
        <v>28</v>
      </c>
      <c r="F2419" s="52" t="s">
        <v>94</v>
      </c>
      <c r="G2419" s="52" t="s">
        <v>3</v>
      </c>
    </row>
    <row r="2420" spans="1:7">
      <c r="A2420" s="15" t="s">
        <v>2787</v>
      </c>
      <c r="B2420" s="63" t="s">
        <v>157</v>
      </c>
      <c r="C2420" s="64">
        <v>19</v>
      </c>
      <c r="D2420" s="65">
        <v>6.3</v>
      </c>
      <c r="E2420" s="67" t="s">
        <v>76</v>
      </c>
      <c r="F2420" s="52" t="s">
        <v>103</v>
      </c>
      <c r="G2420" s="52" t="s">
        <v>3</v>
      </c>
    </row>
    <row r="2421" spans="1:7">
      <c r="A2421" s="15" t="s">
        <v>2788</v>
      </c>
      <c r="B2421" s="63" t="s">
        <v>157</v>
      </c>
      <c r="C2421" s="64">
        <v>20</v>
      </c>
      <c r="D2421" s="65">
        <v>5.0999999999999996</v>
      </c>
      <c r="E2421" s="67" t="s">
        <v>76</v>
      </c>
      <c r="F2421" s="52" t="s">
        <v>97</v>
      </c>
      <c r="G2421" s="52" t="s">
        <v>0</v>
      </c>
    </row>
    <row r="2422" spans="1:7">
      <c r="A2422" s="15" t="s">
        <v>2789</v>
      </c>
      <c r="B2422" s="63" t="s">
        <v>157</v>
      </c>
      <c r="C2422" s="64">
        <v>21</v>
      </c>
      <c r="D2422" s="65">
        <v>6.4</v>
      </c>
      <c r="E2422" s="67" t="s">
        <v>81</v>
      </c>
      <c r="F2422" s="52" t="s">
        <v>104</v>
      </c>
      <c r="G2422" s="52" t="s">
        <v>2</v>
      </c>
    </row>
    <row r="2423" spans="1:7">
      <c r="A2423" s="15" t="s">
        <v>2790</v>
      </c>
      <c r="B2423" s="63" t="s">
        <v>157</v>
      </c>
      <c r="C2423" s="64">
        <v>22</v>
      </c>
      <c r="D2423" s="65">
        <v>2.33</v>
      </c>
      <c r="E2423" s="67" t="s">
        <v>100</v>
      </c>
      <c r="F2423" s="52" t="s">
        <v>87</v>
      </c>
      <c r="G2423" s="52" t="s">
        <v>3</v>
      </c>
    </row>
    <row r="2424" spans="1:7">
      <c r="A2424" s="15" t="s">
        <v>2791</v>
      </c>
      <c r="B2424" s="63" t="s">
        <v>157</v>
      </c>
      <c r="C2424" s="64">
        <v>23</v>
      </c>
      <c r="D2424" s="65">
        <v>2.1</v>
      </c>
      <c r="E2424" s="67" t="s">
        <v>100</v>
      </c>
      <c r="F2424" s="52" t="s">
        <v>82</v>
      </c>
      <c r="G2424" s="52" t="s">
        <v>1</v>
      </c>
    </row>
    <row r="2425" spans="1:7">
      <c r="A2425" s="15" t="s">
        <v>2792</v>
      </c>
      <c r="B2425" s="63" t="s">
        <v>157</v>
      </c>
      <c r="C2425" s="64">
        <v>24</v>
      </c>
      <c r="D2425" s="65">
        <v>3.2</v>
      </c>
      <c r="E2425" s="67" t="s">
        <v>96</v>
      </c>
      <c r="F2425" s="52" t="s">
        <v>91</v>
      </c>
      <c r="G2425" s="52" t="s">
        <v>0</v>
      </c>
    </row>
    <row r="2426" spans="1:7">
      <c r="A2426" s="15" t="s">
        <v>2793</v>
      </c>
      <c r="B2426" s="63" t="s">
        <v>157</v>
      </c>
      <c r="C2426" s="64">
        <v>25</v>
      </c>
      <c r="D2426" s="65">
        <v>2.31</v>
      </c>
      <c r="E2426" s="67" t="s">
        <v>81</v>
      </c>
      <c r="F2426" s="52" t="s">
        <v>85</v>
      </c>
      <c r="G2426" s="52" t="s">
        <v>0</v>
      </c>
    </row>
    <row r="2427" spans="1:7">
      <c r="A2427" s="15" t="s">
        <v>2794</v>
      </c>
      <c r="B2427" s="63" t="s">
        <v>157</v>
      </c>
      <c r="C2427" s="64">
        <v>26</v>
      </c>
      <c r="D2427" s="65">
        <v>2.1</v>
      </c>
      <c r="E2427" s="67" t="s">
        <v>81</v>
      </c>
      <c r="F2427" s="52" t="s">
        <v>82</v>
      </c>
      <c r="G2427" s="52" t="s">
        <v>4</v>
      </c>
    </row>
    <row r="2428" spans="1:7">
      <c r="A2428" s="15" t="s">
        <v>2795</v>
      </c>
      <c r="B2428" s="63" t="s">
        <v>157</v>
      </c>
      <c r="C2428" s="64">
        <v>27</v>
      </c>
      <c r="D2428" s="65">
        <v>2.1</v>
      </c>
      <c r="E2428" s="67" t="s">
        <v>28</v>
      </c>
      <c r="F2428" s="52" t="s">
        <v>82</v>
      </c>
      <c r="G2428" s="52" t="s">
        <v>4</v>
      </c>
    </row>
    <row r="2429" spans="1:7">
      <c r="A2429" s="15" t="s">
        <v>2796</v>
      </c>
      <c r="B2429" s="63" t="s">
        <v>157</v>
      </c>
      <c r="C2429" s="64">
        <v>28</v>
      </c>
      <c r="D2429" s="65">
        <v>6.3</v>
      </c>
      <c r="E2429" s="67" t="s">
        <v>93</v>
      </c>
      <c r="F2429" s="52" t="s">
        <v>103</v>
      </c>
      <c r="G2429" s="52" t="s">
        <v>0</v>
      </c>
    </row>
    <row r="2430" spans="1:7">
      <c r="A2430" s="15" t="s">
        <v>2797</v>
      </c>
      <c r="B2430" s="63" t="s">
        <v>157</v>
      </c>
      <c r="C2430" s="64">
        <v>29</v>
      </c>
      <c r="D2430" s="65">
        <v>2.3199999999999998</v>
      </c>
      <c r="E2430" s="67" t="s">
        <v>81</v>
      </c>
      <c r="F2430" s="52" t="s">
        <v>86</v>
      </c>
      <c r="G2430" s="52" t="s">
        <v>2</v>
      </c>
    </row>
    <row r="2431" spans="1:7">
      <c r="A2431" s="15" t="s">
        <v>2798</v>
      </c>
      <c r="B2431" s="63" t="s">
        <v>157</v>
      </c>
      <c r="C2431" s="64">
        <v>30</v>
      </c>
      <c r="D2431" s="65">
        <v>2.35</v>
      </c>
      <c r="E2431" s="67" t="s">
        <v>81</v>
      </c>
      <c r="F2431" s="52" t="s">
        <v>89</v>
      </c>
      <c r="G2431" s="52" t="s">
        <v>3</v>
      </c>
    </row>
    <row r="2432" spans="1:7">
      <c r="A2432" s="15" t="s">
        <v>2799</v>
      </c>
      <c r="B2432" s="63" t="s">
        <v>157</v>
      </c>
      <c r="C2432" s="64">
        <v>31</v>
      </c>
      <c r="D2432" s="65">
        <v>5.0999999999999996</v>
      </c>
      <c r="E2432" s="67" t="s">
        <v>100</v>
      </c>
      <c r="F2432" s="52" t="s">
        <v>97</v>
      </c>
      <c r="G2432" s="52" t="s">
        <v>4</v>
      </c>
    </row>
    <row r="2433" spans="1:7">
      <c r="A2433" s="15" t="s">
        <v>2800</v>
      </c>
      <c r="B2433" s="63" t="s">
        <v>157</v>
      </c>
      <c r="C2433" s="64">
        <v>32</v>
      </c>
      <c r="D2433" s="65">
        <v>3.2</v>
      </c>
      <c r="E2433" s="67" t="s">
        <v>96</v>
      </c>
      <c r="F2433" s="52" t="s">
        <v>91</v>
      </c>
      <c r="G2433" s="52" t="s">
        <v>2</v>
      </c>
    </row>
    <row r="2434" spans="1:7">
      <c r="A2434" s="15" t="s">
        <v>2801</v>
      </c>
      <c r="B2434" s="63" t="s">
        <v>157</v>
      </c>
      <c r="C2434" s="64">
        <v>33</v>
      </c>
      <c r="D2434" s="65">
        <v>2.35</v>
      </c>
      <c r="E2434" s="67" t="s">
        <v>81</v>
      </c>
      <c r="F2434" s="52" t="s">
        <v>89</v>
      </c>
      <c r="G2434" s="52" t="s">
        <v>0</v>
      </c>
    </row>
    <row r="2435" spans="1:7">
      <c r="A2435" s="15" t="s">
        <v>2802</v>
      </c>
      <c r="B2435" s="63" t="s">
        <v>157</v>
      </c>
      <c r="C2435" s="64">
        <v>34</v>
      </c>
      <c r="D2435" s="65">
        <v>1.6</v>
      </c>
      <c r="E2435" s="67" t="s">
        <v>93</v>
      </c>
      <c r="F2435" s="52" t="s">
        <v>27</v>
      </c>
      <c r="G2435" s="52" t="s">
        <v>4</v>
      </c>
    </row>
    <row r="2436" spans="1:7">
      <c r="A2436" s="15" t="s">
        <v>2803</v>
      </c>
      <c r="B2436" s="63" t="s">
        <v>157</v>
      </c>
      <c r="C2436" s="64">
        <v>35</v>
      </c>
      <c r="D2436" s="65">
        <v>2.1</v>
      </c>
      <c r="E2436" s="67" t="s">
        <v>81</v>
      </c>
      <c r="F2436" s="52" t="s">
        <v>82</v>
      </c>
      <c r="G2436" s="52" t="s">
        <v>4</v>
      </c>
    </row>
    <row r="2437" spans="1:7">
      <c r="A2437" s="15" t="s">
        <v>2804</v>
      </c>
      <c r="B2437" s="63" t="s">
        <v>157</v>
      </c>
      <c r="C2437" s="64">
        <v>36</v>
      </c>
      <c r="D2437" s="65">
        <v>3.1</v>
      </c>
      <c r="E2437" s="67" t="s">
        <v>81</v>
      </c>
      <c r="F2437" s="52" t="s">
        <v>90</v>
      </c>
      <c r="G2437" s="52" t="s">
        <v>4</v>
      </c>
    </row>
    <row r="2438" spans="1:7">
      <c r="A2438" s="15" t="s">
        <v>2805</v>
      </c>
      <c r="B2438" s="63" t="s">
        <v>157</v>
      </c>
      <c r="C2438" s="64">
        <v>37</v>
      </c>
      <c r="D2438" s="65">
        <v>2.1</v>
      </c>
      <c r="E2438" s="67" t="s">
        <v>81</v>
      </c>
      <c r="F2438" s="52" t="s">
        <v>82</v>
      </c>
      <c r="G2438" s="52" t="s">
        <v>2</v>
      </c>
    </row>
    <row r="2439" spans="1:7">
      <c r="A2439" s="15" t="s">
        <v>2806</v>
      </c>
      <c r="B2439" s="63" t="s">
        <v>157</v>
      </c>
      <c r="C2439" s="64">
        <v>38</v>
      </c>
      <c r="D2439" s="65">
        <v>1.2</v>
      </c>
      <c r="E2439" s="67" t="s">
        <v>81</v>
      </c>
      <c r="F2439" s="52" t="s">
        <v>78</v>
      </c>
      <c r="G2439" s="52" t="s">
        <v>0</v>
      </c>
    </row>
    <row r="2440" spans="1:7">
      <c r="A2440" s="15" t="s">
        <v>2807</v>
      </c>
      <c r="B2440" s="63" t="s">
        <v>157</v>
      </c>
      <c r="C2440" s="64">
        <v>39</v>
      </c>
      <c r="D2440" s="65">
        <v>6.4</v>
      </c>
      <c r="E2440" s="67" t="s">
        <v>76</v>
      </c>
      <c r="F2440" s="52" t="s">
        <v>104</v>
      </c>
      <c r="G2440" s="52" t="s">
        <v>0</v>
      </c>
    </row>
    <row r="2441" spans="1:7">
      <c r="A2441" s="15" t="s">
        <v>2808</v>
      </c>
      <c r="B2441" s="63" t="s">
        <v>157</v>
      </c>
      <c r="C2441" s="64">
        <v>40</v>
      </c>
      <c r="D2441" s="65">
        <v>2.1</v>
      </c>
      <c r="E2441" s="67" t="s">
        <v>76</v>
      </c>
      <c r="F2441" s="52" t="s">
        <v>82</v>
      </c>
      <c r="G2441" s="52" t="s">
        <v>0</v>
      </c>
    </row>
    <row r="2442" spans="1:7">
      <c r="A2442" s="15" t="s">
        <v>2809</v>
      </c>
      <c r="B2442" s="63" t="s">
        <v>157</v>
      </c>
      <c r="C2442" s="64">
        <v>41</v>
      </c>
      <c r="D2442" s="65">
        <v>5.2</v>
      </c>
      <c r="E2442" s="67" t="s">
        <v>81</v>
      </c>
      <c r="F2442" s="52" t="s">
        <v>98</v>
      </c>
      <c r="G2442" s="52" t="s">
        <v>0</v>
      </c>
    </row>
    <row r="2443" spans="1:7">
      <c r="A2443" s="15" t="s">
        <v>2810</v>
      </c>
      <c r="B2443" s="63" t="s">
        <v>157</v>
      </c>
      <c r="C2443" s="64">
        <v>42</v>
      </c>
      <c r="D2443" s="65">
        <v>1.3</v>
      </c>
      <c r="E2443" s="67" t="s">
        <v>81</v>
      </c>
      <c r="F2443" s="52" t="s">
        <v>79</v>
      </c>
      <c r="G2443" s="52" t="s">
        <v>3</v>
      </c>
    </row>
    <row r="2444" spans="1:7">
      <c r="A2444" s="15" t="s">
        <v>2811</v>
      </c>
      <c r="B2444" s="63" t="s">
        <v>157</v>
      </c>
      <c r="C2444" s="64">
        <v>43</v>
      </c>
      <c r="D2444" s="65">
        <v>3.2</v>
      </c>
      <c r="E2444" s="67" t="s">
        <v>93</v>
      </c>
      <c r="F2444" s="52" t="s">
        <v>91</v>
      </c>
      <c r="G2444" s="52" t="s">
        <v>0</v>
      </c>
    </row>
    <row r="2445" spans="1:7">
      <c r="A2445" s="15" t="s">
        <v>2812</v>
      </c>
      <c r="B2445" s="63" t="s">
        <v>157</v>
      </c>
      <c r="C2445" s="64">
        <v>44</v>
      </c>
      <c r="D2445" s="65">
        <v>1.3</v>
      </c>
      <c r="E2445" s="67" t="s">
        <v>81</v>
      </c>
      <c r="F2445" s="52" t="s">
        <v>79</v>
      </c>
      <c r="G2445" s="52" t="s">
        <v>0</v>
      </c>
    </row>
    <row r="2446" spans="1:7">
      <c r="A2446" s="15" t="s">
        <v>2813</v>
      </c>
      <c r="B2446" s="63" t="s">
        <v>157</v>
      </c>
      <c r="C2446" s="64">
        <v>45</v>
      </c>
      <c r="D2446" s="65">
        <v>4.2</v>
      </c>
      <c r="E2446" s="67" t="s">
        <v>96</v>
      </c>
      <c r="F2446" s="52" t="s">
        <v>95</v>
      </c>
      <c r="G2446" s="52" t="s">
        <v>4</v>
      </c>
    </row>
    <row r="2447" spans="1:7">
      <c r="A2447" s="15" t="s">
        <v>2814</v>
      </c>
      <c r="B2447" s="63" t="s">
        <v>157</v>
      </c>
      <c r="C2447" s="64">
        <v>46</v>
      </c>
      <c r="D2447" s="65">
        <v>1.3</v>
      </c>
      <c r="E2447" s="67" t="s">
        <v>81</v>
      </c>
      <c r="F2447" s="52" t="s">
        <v>79</v>
      </c>
      <c r="G2447" s="52" t="s">
        <v>1</v>
      </c>
    </row>
    <row r="2448" spans="1:7">
      <c r="A2448" s="15" t="s">
        <v>2815</v>
      </c>
      <c r="B2448" s="63" t="s">
        <v>157</v>
      </c>
      <c r="C2448" s="64">
        <v>47</v>
      </c>
      <c r="D2448" s="65">
        <v>2.1</v>
      </c>
      <c r="E2448" s="67" t="s">
        <v>96</v>
      </c>
      <c r="F2448" s="52" t="s">
        <v>82</v>
      </c>
      <c r="G2448" s="52" t="s">
        <v>1</v>
      </c>
    </row>
    <row r="2449" spans="1:7">
      <c r="A2449" s="15" t="s">
        <v>2816</v>
      </c>
      <c r="B2449" s="63" t="s">
        <v>157</v>
      </c>
      <c r="C2449" s="64">
        <v>48</v>
      </c>
      <c r="D2449" s="65">
        <v>3.2</v>
      </c>
      <c r="E2449" s="67" t="s">
        <v>96</v>
      </c>
      <c r="F2449" s="52" t="s">
        <v>91</v>
      </c>
      <c r="G2449" s="52" t="s">
        <v>3</v>
      </c>
    </row>
    <row r="2450" spans="1:7">
      <c r="A2450" s="15" t="s">
        <v>2817</v>
      </c>
      <c r="B2450" s="63" t="s">
        <v>157</v>
      </c>
      <c r="C2450" s="64">
        <v>49</v>
      </c>
      <c r="D2450" s="65">
        <v>1.5</v>
      </c>
      <c r="E2450" s="67" t="s">
        <v>81</v>
      </c>
      <c r="F2450" s="52" t="s">
        <v>80</v>
      </c>
      <c r="G2450" s="52" t="s">
        <v>0</v>
      </c>
    </row>
    <row r="2451" spans="1:7">
      <c r="A2451" s="15" t="s">
        <v>2818</v>
      </c>
      <c r="B2451" s="63" t="s">
        <v>157</v>
      </c>
      <c r="C2451" s="64">
        <v>50</v>
      </c>
      <c r="D2451" s="65">
        <v>5.3</v>
      </c>
      <c r="E2451" s="67" t="s">
        <v>81</v>
      </c>
      <c r="F2451" s="52" t="s">
        <v>99</v>
      </c>
      <c r="G2451" s="52" t="s">
        <v>0</v>
      </c>
    </row>
    <row r="2452" spans="1:7">
      <c r="A2452" s="15" t="s">
        <v>2819</v>
      </c>
      <c r="B2452" s="63" t="s">
        <v>158</v>
      </c>
      <c r="C2452" s="64">
        <v>1</v>
      </c>
      <c r="D2452" s="66">
        <v>6.4</v>
      </c>
      <c r="E2452" s="67" t="s">
        <v>81</v>
      </c>
      <c r="F2452" s="51" t="s">
        <v>104</v>
      </c>
      <c r="G2452" s="62" t="s">
        <v>0</v>
      </c>
    </row>
    <row r="2453" spans="1:7">
      <c r="A2453" s="15" t="s">
        <v>2820</v>
      </c>
      <c r="B2453" s="63" t="s">
        <v>158</v>
      </c>
      <c r="C2453" s="64">
        <v>2</v>
      </c>
      <c r="D2453" s="65">
        <v>2.34</v>
      </c>
      <c r="E2453" s="67" t="s">
        <v>81</v>
      </c>
      <c r="F2453" s="62" t="s">
        <v>88</v>
      </c>
      <c r="G2453" s="62" t="s">
        <v>2</v>
      </c>
    </row>
    <row r="2454" spans="1:7">
      <c r="A2454" s="15" t="s">
        <v>2821</v>
      </c>
      <c r="B2454" s="63" t="s">
        <v>158</v>
      </c>
      <c r="C2454" s="64">
        <v>3</v>
      </c>
      <c r="D2454" s="65">
        <v>1.1000000000000001</v>
      </c>
      <c r="E2454" s="67" t="s">
        <v>81</v>
      </c>
      <c r="F2454" s="62" t="s">
        <v>77</v>
      </c>
      <c r="G2454" s="62" t="s">
        <v>4</v>
      </c>
    </row>
    <row r="2455" spans="1:7">
      <c r="A2455" s="15" t="s">
        <v>2822</v>
      </c>
      <c r="B2455" s="63" t="s">
        <v>158</v>
      </c>
      <c r="C2455" s="64">
        <v>4</v>
      </c>
      <c r="D2455" s="65">
        <v>5.3</v>
      </c>
      <c r="E2455" s="67" t="s">
        <v>81</v>
      </c>
      <c r="F2455" s="62" t="s">
        <v>99</v>
      </c>
      <c r="G2455" s="62" t="s">
        <v>3</v>
      </c>
    </row>
    <row r="2456" spans="1:7">
      <c r="A2456" s="15" t="s">
        <v>2823</v>
      </c>
      <c r="B2456" s="63" t="s">
        <v>158</v>
      </c>
      <c r="C2456" s="64">
        <v>5</v>
      </c>
      <c r="D2456" s="65">
        <v>2.1</v>
      </c>
      <c r="E2456" s="67" t="s">
        <v>76</v>
      </c>
      <c r="F2456" s="62" t="s">
        <v>82</v>
      </c>
      <c r="G2456" s="62" t="s">
        <v>4</v>
      </c>
    </row>
    <row r="2457" spans="1:7">
      <c r="A2457" s="15" t="s">
        <v>2824</v>
      </c>
      <c r="B2457" s="63" t="s">
        <v>158</v>
      </c>
      <c r="C2457" s="64">
        <v>6</v>
      </c>
      <c r="D2457" s="65">
        <v>2.2000000000000002</v>
      </c>
      <c r="E2457" s="67" t="s">
        <v>81</v>
      </c>
      <c r="F2457" s="62" t="s">
        <v>83</v>
      </c>
      <c r="G2457" s="62" t="s">
        <v>1</v>
      </c>
    </row>
    <row r="2458" spans="1:7">
      <c r="A2458" s="15" t="s">
        <v>2825</v>
      </c>
      <c r="B2458" s="63" t="s">
        <v>158</v>
      </c>
      <c r="C2458" s="64">
        <v>7</v>
      </c>
      <c r="D2458" s="65">
        <v>4.0999999999999996</v>
      </c>
      <c r="E2458" s="67" t="s">
        <v>81</v>
      </c>
      <c r="F2458" s="62" t="s">
        <v>94</v>
      </c>
      <c r="G2458" s="62" t="s">
        <v>1</v>
      </c>
    </row>
    <row r="2459" spans="1:7">
      <c r="A2459" s="15" t="s">
        <v>2826</v>
      </c>
      <c r="B2459" s="63" t="s">
        <v>158</v>
      </c>
      <c r="C2459" s="64">
        <v>8</v>
      </c>
      <c r="D2459" s="65">
        <v>2.35</v>
      </c>
      <c r="E2459" s="67" t="s">
        <v>96</v>
      </c>
      <c r="F2459" s="62" t="s">
        <v>89</v>
      </c>
      <c r="G2459" s="62" t="s">
        <v>0</v>
      </c>
    </row>
    <row r="2460" spans="1:7">
      <c r="A2460" s="15" t="s">
        <v>2827</v>
      </c>
      <c r="B2460" s="63" t="s">
        <v>158</v>
      </c>
      <c r="C2460" s="64">
        <v>9</v>
      </c>
      <c r="D2460" s="65">
        <v>2.2000000000000002</v>
      </c>
      <c r="E2460" s="67" t="s">
        <v>81</v>
      </c>
      <c r="F2460" s="62" t="s">
        <v>83</v>
      </c>
      <c r="G2460" s="62" t="s">
        <v>4</v>
      </c>
    </row>
    <row r="2461" spans="1:7">
      <c r="A2461" s="15" t="s">
        <v>2828</v>
      </c>
      <c r="B2461" s="63" t="s">
        <v>158</v>
      </c>
      <c r="C2461" s="64">
        <v>10</v>
      </c>
      <c r="D2461" s="65">
        <v>5.0999999999999996</v>
      </c>
      <c r="E2461" s="67" t="s">
        <v>81</v>
      </c>
      <c r="F2461" s="62" t="s">
        <v>97</v>
      </c>
      <c r="G2461" s="62" t="s">
        <v>4</v>
      </c>
    </row>
    <row r="2462" spans="1:7">
      <c r="A2462" s="15" t="s">
        <v>2829</v>
      </c>
      <c r="B2462" s="63" t="s">
        <v>158</v>
      </c>
      <c r="C2462" s="64">
        <v>11</v>
      </c>
      <c r="D2462" s="65">
        <v>2.34</v>
      </c>
      <c r="E2462" s="67" t="s">
        <v>96</v>
      </c>
      <c r="F2462" s="62" t="s">
        <v>88</v>
      </c>
      <c r="G2462" s="62" t="s">
        <v>0</v>
      </c>
    </row>
    <row r="2463" spans="1:7">
      <c r="A2463" s="15" t="s">
        <v>2830</v>
      </c>
      <c r="B2463" s="63" t="s">
        <v>158</v>
      </c>
      <c r="C2463" s="64">
        <v>12</v>
      </c>
      <c r="D2463" s="65">
        <v>2.1</v>
      </c>
      <c r="E2463" s="67" t="s">
        <v>100</v>
      </c>
      <c r="F2463" s="62" t="s">
        <v>82</v>
      </c>
      <c r="G2463" s="62" t="s">
        <v>4</v>
      </c>
    </row>
    <row r="2464" spans="1:7">
      <c r="A2464" s="15" t="s">
        <v>2831</v>
      </c>
      <c r="B2464" s="63" t="s">
        <v>158</v>
      </c>
      <c r="C2464" s="64">
        <v>13</v>
      </c>
      <c r="D2464" s="65">
        <v>5.0999999999999996</v>
      </c>
      <c r="E2464" s="67" t="s">
        <v>96</v>
      </c>
      <c r="F2464" s="62" t="s">
        <v>97</v>
      </c>
      <c r="G2464" s="62" t="s">
        <v>3</v>
      </c>
    </row>
    <row r="2465" spans="1:7">
      <c r="A2465" s="15" t="s">
        <v>2832</v>
      </c>
      <c r="B2465" s="63" t="s">
        <v>158</v>
      </c>
      <c r="C2465" s="64">
        <v>14</v>
      </c>
      <c r="D2465" s="65">
        <v>3.1</v>
      </c>
      <c r="E2465" s="67" t="s">
        <v>81</v>
      </c>
      <c r="F2465" s="62" t="s">
        <v>90</v>
      </c>
      <c r="G2465" s="62" t="s">
        <v>4</v>
      </c>
    </row>
    <row r="2466" spans="1:7">
      <c r="A2466" s="15" t="s">
        <v>2833</v>
      </c>
      <c r="B2466" s="63" t="s">
        <v>158</v>
      </c>
      <c r="C2466" s="64">
        <v>15</v>
      </c>
      <c r="D2466" s="65">
        <v>5.3</v>
      </c>
      <c r="E2466" s="67" t="s">
        <v>81</v>
      </c>
      <c r="F2466" s="62" t="s">
        <v>99</v>
      </c>
      <c r="G2466" s="62" t="s">
        <v>4</v>
      </c>
    </row>
    <row r="2467" spans="1:7">
      <c r="A2467" s="15" t="s">
        <v>2834</v>
      </c>
      <c r="B2467" s="63" t="s">
        <v>158</v>
      </c>
      <c r="C2467" s="64">
        <v>16</v>
      </c>
      <c r="D2467" s="65">
        <v>2.1</v>
      </c>
      <c r="E2467" s="67" t="s">
        <v>76</v>
      </c>
      <c r="F2467" s="62" t="s">
        <v>82</v>
      </c>
      <c r="G2467" s="62" t="s">
        <v>0</v>
      </c>
    </row>
    <row r="2468" spans="1:7">
      <c r="A2468" s="15" t="s">
        <v>2835</v>
      </c>
      <c r="B2468" s="63" t="s">
        <v>158</v>
      </c>
      <c r="C2468" s="64">
        <v>17</v>
      </c>
      <c r="D2468" s="65">
        <v>5.0999999999999996</v>
      </c>
      <c r="E2468" s="67" t="s">
        <v>81</v>
      </c>
      <c r="F2468" s="62" t="s">
        <v>97</v>
      </c>
      <c r="G2468" s="62" t="s">
        <v>0</v>
      </c>
    </row>
    <row r="2469" spans="1:7">
      <c r="A2469" s="15" t="s">
        <v>2836</v>
      </c>
      <c r="B2469" s="63" t="s">
        <v>158</v>
      </c>
      <c r="C2469" s="64">
        <v>18</v>
      </c>
      <c r="D2469" s="65">
        <v>2.3199999999999998</v>
      </c>
      <c r="E2469" s="67" t="s">
        <v>76</v>
      </c>
      <c r="F2469" s="62" t="s">
        <v>86</v>
      </c>
      <c r="G2469" s="62" t="s">
        <v>2</v>
      </c>
    </row>
    <row r="2470" spans="1:7">
      <c r="A2470" s="15" t="s">
        <v>2837</v>
      </c>
      <c r="B2470" s="63" t="s">
        <v>158</v>
      </c>
      <c r="C2470" s="64">
        <v>19</v>
      </c>
      <c r="D2470" s="65">
        <v>5.0999999999999996</v>
      </c>
      <c r="E2470" s="67" t="s">
        <v>81</v>
      </c>
      <c r="F2470" s="62" t="s">
        <v>97</v>
      </c>
      <c r="G2470" s="62" t="s">
        <v>4</v>
      </c>
    </row>
    <row r="2471" spans="1:7">
      <c r="A2471" s="15" t="s">
        <v>2838</v>
      </c>
      <c r="B2471" s="63" t="s">
        <v>158</v>
      </c>
      <c r="C2471" s="64">
        <v>20</v>
      </c>
      <c r="D2471" s="65">
        <v>2.35</v>
      </c>
      <c r="E2471" s="67" t="s">
        <v>93</v>
      </c>
      <c r="F2471" s="62" t="s">
        <v>89</v>
      </c>
      <c r="G2471" s="62" t="s">
        <v>3</v>
      </c>
    </row>
    <row r="2472" spans="1:7">
      <c r="A2472" s="15" t="s">
        <v>2839</v>
      </c>
      <c r="B2472" s="63" t="s">
        <v>158</v>
      </c>
      <c r="C2472" s="64">
        <v>21</v>
      </c>
      <c r="D2472" s="65">
        <v>2.2000000000000002</v>
      </c>
      <c r="E2472" s="67" t="s">
        <v>76</v>
      </c>
      <c r="F2472" s="62" t="s">
        <v>83</v>
      </c>
      <c r="G2472" s="62" t="s">
        <v>3</v>
      </c>
    </row>
    <row r="2473" spans="1:7">
      <c r="A2473" s="15" t="s">
        <v>2840</v>
      </c>
      <c r="B2473" s="63" t="s">
        <v>158</v>
      </c>
      <c r="C2473" s="64">
        <v>22</v>
      </c>
      <c r="D2473" s="65">
        <v>3.2</v>
      </c>
      <c r="E2473" s="67" t="s">
        <v>96</v>
      </c>
      <c r="F2473" s="62" t="s">
        <v>91</v>
      </c>
      <c r="G2473" s="62" t="s">
        <v>2</v>
      </c>
    </row>
    <row r="2474" spans="1:7">
      <c r="A2474" s="15" t="s">
        <v>2841</v>
      </c>
      <c r="B2474" s="63" t="s">
        <v>158</v>
      </c>
      <c r="C2474" s="64">
        <v>23</v>
      </c>
      <c r="D2474" s="65">
        <v>3.3</v>
      </c>
      <c r="E2474" s="67" t="s">
        <v>81</v>
      </c>
      <c r="F2474" s="62" t="s">
        <v>92</v>
      </c>
      <c r="G2474" s="62" t="s">
        <v>0</v>
      </c>
    </row>
    <row r="2475" spans="1:7">
      <c r="A2475" s="15" t="s">
        <v>2842</v>
      </c>
      <c r="B2475" s="63" t="s">
        <v>158</v>
      </c>
      <c r="C2475" s="64">
        <v>24</v>
      </c>
      <c r="D2475" s="65">
        <v>5.2</v>
      </c>
      <c r="E2475" s="67" t="s">
        <v>81</v>
      </c>
      <c r="F2475" s="62" t="s">
        <v>98</v>
      </c>
      <c r="G2475" s="62" t="s">
        <v>4</v>
      </c>
    </row>
    <row r="2476" spans="1:7">
      <c r="A2476" s="15" t="s">
        <v>2843</v>
      </c>
      <c r="B2476" s="63" t="s">
        <v>158</v>
      </c>
      <c r="C2476" s="64">
        <v>25</v>
      </c>
      <c r="D2476" s="65">
        <v>2.31</v>
      </c>
      <c r="E2476" s="67" t="s">
        <v>81</v>
      </c>
      <c r="F2476" s="62" t="s">
        <v>85</v>
      </c>
      <c r="G2476" s="62" t="s">
        <v>0</v>
      </c>
    </row>
    <row r="2477" spans="1:7">
      <c r="A2477" s="15" t="s">
        <v>2844</v>
      </c>
      <c r="B2477" s="63" t="s">
        <v>158</v>
      </c>
      <c r="C2477" s="64">
        <v>26</v>
      </c>
      <c r="D2477" s="65">
        <v>1.3</v>
      </c>
      <c r="E2477" s="67" t="s">
        <v>93</v>
      </c>
      <c r="F2477" s="62" t="s">
        <v>79</v>
      </c>
      <c r="G2477" s="62" t="s">
        <v>0</v>
      </c>
    </row>
    <row r="2478" spans="1:7">
      <c r="A2478" s="15" t="s">
        <v>2845</v>
      </c>
      <c r="B2478" s="63" t="s">
        <v>158</v>
      </c>
      <c r="C2478" s="64">
        <v>27</v>
      </c>
      <c r="D2478" s="65">
        <v>3.4</v>
      </c>
      <c r="E2478" s="67" t="s">
        <v>81</v>
      </c>
      <c r="F2478" s="62" t="s">
        <v>29</v>
      </c>
      <c r="G2478" s="62" t="s">
        <v>3</v>
      </c>
    </row>
    <row r="2479" spans="1:7">
      <c r="A2479" s="15" t="s">
        <v>2846</v>
      </c>
      <c r="B2479" s="63" t="s">
        <v>158</v>
      </c>
      <c r="C2479" s="64">
        <v>28</v>
      </c>
      <c r="D2479" s="65">
        <v>2.35</v>
      </c>
      <c r="E2479" s="67" t="s">
        <v>100</v>
      </c>
      <c r="F2479" s="62" t="s">
        <v>89</v>
      </c>
      <c r="G2479" s="62" t="s">
        <v>0</v>
      </c>
    </row>
    <row r="2480" spans="1:7">
      <c r="A2480" s="15" t="s">
        <v>2847</v>
      </c>
      <c r="B2480" s="63" t="s">
        <v>158</v>
      </c>
      <c r="C2480" s="64">
        <v>29</v>
      </c>
      <c r="D2480" s="65">
        <v>2.31</v>
      </c>
      <c r="E2480" s="67" t="s">
        <v>28</v>
      </c>
      <c r="F2480" s="62" t="s">
        <v>85</v>
      </c>
      <c r="G2480" s="62" t="s">
        <v>4</v>
      </c>
    </row>
    <row r="2481" spans="1:7">
      <c r="A2481" s="15" t="s">
        <v>2848</v>
      </c>
      <c r="B2481" s="63" t="s">
        <v>158</v>
      </c>
      <c r="C2481" s="64">
        <v>30</v>
      </c>
      <c r="D2481" s="65">
        <v>2.35</v>
      </c>
      <c r="E2481" s="67" t="s">
        <v>81</v>
      </c>
      <c r="F2481" s="62" t="s">
        <v>89</v>
      </c>
      <c r="G2481" s="62" t="s">
        <v>3</v>
      </c>
    </row>
    <row r="2482" spans="1:7">
      <c r="A2482" s="15" t="s">
        <v>2849</v>
      </c>
      <c r="B2482" s="63" t="s">
        <v>158</v>
      </c>
      <c r="C2482" s="64">
        <v>31</v>
      </c>
      <c r="D2482" s="65">
        <v>4.0999999999999996</v>
      </c>
      <c r="E2482" s="67" t="s">
        <v>81</v>
      </c>
      <c r="F2482" s="62" t="s">
        <v>94</v>
      </c>
      <c r="G2482" s="62" t="s">
        <v>4</v>
      </c>
    </row>
    <row r="2483" spans="1:7">
      <c r="A2483" s="15" t="s">
        <v>2850</v>
      </c>
      <c r="B2483" s="63" t="s">
        <v>158</v>
      </c>
      <c r="C2483" s="64">
        <v>32</v>
      </c>
      <c r="D2483" s="65">
        <v>4.0999999999999996</v>
      </c>
      <c r="E2483" s="67" t="s">
        <v>81</v>
      </c>
      <c r="F2483" s="62" t="s">
        <v>94</v>
      </c>
      <c r="G2483" s="62" t="s">
        <v>1</v>
      </c>
    </row>
    <row r="2484" spans="1:7">
      <c r="A2484" s="15" t="s">
        <v>2851</v>
      </c>
      <c r="B2484" s="63" t="s">
        <v>158</v>
      </c>
      <c r="C2484" s="64">
        <v>33</v>
      </c>
      <c r="D2484" s="65">
        <v>2.1</v>
      </c>
      <c r="E2484" s="67" t="s">
        <v>96</v>
      </c>
      <c r="F2484" s="62" t="s">
        <v>82</v>
      </c>
      <c r="G2484" s="62" t="s">
        <v>0</v>
      </c>
    </row>
    <row r="2485" spans="1:7">
      <c r="A2485" s="15" t="s">
        <v>2852</v>
      </c>
      <c r="B2485" s="63" t="s">
        <v>158</v>
      </c>
      <c r="C2485" s="64">
        <v>34</v>
      </c>
      <c r="D2485" s="65">
        <v>2.31</v>
      </c>
      <c r="E2485" s="67" t="s">
        <v>96</v>
      </c>
      <c r="F2485" s="62" t="s">
        <v>85</v>
      </c>
      <c r="G2485" s="62" t="s">
        <v>4</v>
      </c>
    </row>
    <row r="2486" spans="1:7">
      <c r="A2486" s="15" t="s">
        <v>2853</v>
      </c>
      <c r="B2486" s="63" t="s">
        <v>158</v>
      </c>
      <c r="C2486" s="64">
        <v>35</v>
      </c>
      <c r="D2486" s="65">
        <v>1.6</v>
      </c>
      <c r="E2486" s="67" t="s">
        <v>28</v>
      </c>
      <c r="F2486" s="62" t="s">
        <v>27</v>
      </c>
      <c r="G2486" s="62" t="s">
        <v>2</v>
      </c>
    </row>
    <row r="2487" spans="1:7">
      <c r="A2487" s="15" t="s">
        <v>2854</v>
      </c>
      <c r="B2487" s="63" t="s">
        <v>158</v>
      </c>
      <c r="C2487" s="64">
        <v>36</v>
      </c>
      <c r="D2487" s="65">
        <v>2.31</v>
      </c>
      <c r="E2487" s="67" t="s">
        <v>96</v>
      </c>
      <c r="F2487" s="62" t="s">
        <v>85</v>
      </c>
      <c r="G2487" s="62" t="s">
        <v>1</v>
      </c>
    </row>
    <row r="2488" spans="1:7">
      <c r="A2488" s="15" t="s">
        <v>2855</v>
      </c>
      <c r="B2488" s="63" t="s">
        <v>158</v>
      </c>
      <c r="C2488" s="64">
        <v>37</v>
      </c>
      <c r="D2488" s="65">
        <v>6.3</v>
      </c>
      <c r="E2488" s="67" t="s">
        <v>81</v>
      </c>
      <c r="F2488" s="62" t="s">
        <v>103</v>
      </c>
      <c r="G2488" s="62" t="s">
        <v>2</v>
      </c>
    </row>
    <row r="2489" spans="1:7">
      <c r="A2489" s="15" t="s">
        <v>2856</v>
      </c>
      <c r="B2489" s="63" t="s">
        <v>158</v>
      </c>
      <c r="C2489" s="64">
        <v>38</v>
      </c>
      <c r="D2489" s="65">
        <v>2.35</v>
      </c>
      <c r="E2489" s="67" t="s">
        <v>81</v>
      </c>
      <c r="F2489" s="62" t="s">
        <v>89</v>
      </c>
      <c r="G2489" s="62" t="s">
        <v>2</v>
      </c>
    </row>
    <row r="2490" spans="1:7">
      <c r="A2490" s="15" t="s">
        <v>2857</v>
      </c>
      <c r="B2490" s="63" t="s">
        <v>158</v>
      </c>
      <c r="C2490" s="64">
        <v>39</v>
      </c>
      <c r="D2490" s="65">
        <v>3.2</v>
      </c>
      <c r="E2490" s="67" t="s">
        <v>96</v>
      </c>
      <c r="F2490" s="62" t="s">
        <v>91</v>
      </c>
      <c r="G2490" s="62" t="s">
        <v>4</v>
      </c>
    </row>
    <row r="2491" spans="1:7">
      <c r="A2491" s="15" t="s">
        <v>2858</v>
      </c>
      <c r="B2491" s="63" t="s">
        <v>158</v>
      </c>
      <c r="C2491" s="64">
        <v>40</v>
      </c>
      <c r="D2491" s="65">
        <v>2.33</v>
      </c>
      <c r="E2491" s="67" t="s">
        <v>76</v>
      </c>
      <c r="F2491" s="62" t="s">
        <v>87</v>
      </c>
      <c r="G2491" s="62" t="s">
        <v>4</v>
      </c>
    </row>
    <row r="2492" spans="1:7">
      <c r="A2492" s="15" t="s">
        <v>2859</v>
      </c>
      <c r="B2492" s="63" t="s">
        <v>158</v>
      </c>
      <c r="C2492" s="64">
        <v>41</v>
      </c>
      <c r="D2492" s="65">
        <v>1.4</v>
      </c>
      <c r="E2492" s="67" t="s">
        <v>81</v>
      </c>
      <c r="F2492" s="62" t="s">
        <v>30</v>
      </c>
      <c r="G2492" s="62" t="s">
        <v>3</v>
      </c>
    </row>
    <row r="2493" spans="1:7">
      <c r="A2493" s="15" t="s">
        <v>2860</v>
      </c>
      <c r="B2493" s="63" t="s">
        <v>158</v>
      </c>
      <c r="C2493" s="64">
        <v>42</v>
      </c>
      <c r="D2493" s="65">
        <v>2.1</v>
      </c>
      <c r="E2493" s="67" t="s">
        <v>100</v>
      </c>
      <c r="F2493" s="62" t="s">
        <v>82</v>
      </c>
      <c r="G2493" s="62" t="s">
        <v>3</v>
      </c>
    </row>
    <row r="2494" spans="1:7">
      <c r="A2494" s="15" t="s">
        <v>2861</v>
      </c>
      <c r="B2494" s="63" t="s">
        <v>158</v>
      </c>
      <c r="C2494" s="64">
        <v>43</v>
      </c>
      <c r="D2494" s="65">
        <v>2.1</v>
      </c>
      <c r="E2494" s="67" t="s">
        <v>76</v>
      </c>
      <c r="F2494" s="62" t="s">
        <v>82</v>
      </c>
      <c r="G2494" s="62" t="s">
        <v>1</v>
      </c>
    </row>
    <row r="2495" spans="1:7">
      <c r="A2495" s="15" t="s">
        <v>2862</v>
      </c>
      <c r="B2495" s="63" t="s">
        <v>158</v>
      </c>
      <c r="C2495" s="64">
        <v>44</v>
      </c>
      <c r="D2495" s="65">
        <v>2.1</v>
      </c>
      <c r="E2495" s="67" t="s">
        <v>96</v>
      </c>
      <c r="F2495" s="62" t="s">
        <v>82</v>
      </c>
      <c r="G2495" s="62" t="s">
        <v>2</v>
      </c>
    </row>
    <row r="2496" spans="1:7">
      <c r="A2496" s="15" t="s">
        <v>2863</v>
      </c>
      <c r="B2496" s="63" t="s">
        <v>158</v>
      </c>
      <c r="C2496" s="64">
        <v>45</v>
      </c>
      <c r="D2496" s="65">
        <v>2.3199999999999998</v>
      </c>
      <c r="E2496" s="67" t="s">
        <v>93</v>
      </c>
      <c r="F2496" s="62" t="s">
        <v>86</v>
      </c>
      <c r="G2496" s="62" t="s">
        <v>0</v>
      </c>
    </row>
    <row r="2497" spans="1:7">
      <c r="A2497" s="15" t="s">
        <v>2864</v>
      </c>
      <c r="B2497" s="63" t="s">
        <v>158</v>
      </c>
      <c r="C2497" s="64">
        <v>46</v>
      </c>
      <c r="D2497" s="65">
        <v>4.0999999999999996</v>
      </c>
      <c r="E2497" s="67" t="s">
        <v>96</v>
      </c>
      <c r="F2497" s="62" t="s">
        <v>94</v>
      </c>
      <c r="G2497" s="62" t="s">
        <v>3</v>
      </c>
    </row>
    <row r="2498" spans="1:7">
      <c r="A2498" s="15" t="s">
        <v>2865</v>
      </c>
      <c r="B2498" s="63" t="s">
        <v>158</v>
      </c>
      <c r="C2498" s="64">
        <v>47</v>
      </c>
      <c r="D2498" s="65">
        <v>1.6</v>
      </c>
      <c r="E2498" s="67" t="s">
        <v>81</v>
      </c>
      <c r="F2498" s="62" t="s">
        <v>27</v>
      </c>
      <c r="G2498" s="62" t="s">
        <v>2</v>
      </c>
    </row>
    <row r="2499" spans="1:7">
      <c r="A2499" s="15" t="s">
        <v>2866</v>
      </c>
      <c r="B2499" s="63" t="s">
        <v>158</v>
      </c>
      <c r="C2499" s="64">
        <v>48</v>
      </c>
      <c r="D2499" s="65">
        <v>6.3</v>
      </c>
      <c r="E2499" s="67" t="s">
        <v>96</v>
      </c>
      <c r="F2499" s="62" t="s">
        <v>103</v>
      </c>
      <c r="G2499" s="62" t="s">
        <v>4</v>
      </c>
    </row>
    <row r="2500" spans="1:7">
      <c r="A2500" s="15" t="s">
        <v>2867</v>
      </c>
      <c r="B2500" s="63" t="s">
        <v>158</v>
      </c>
      <c r="C2500" s="64">
        <v>49</v>
      </c>
      <c r="D2500" s="65">
        <v>1.5</v>
      </c>
      <c r="E2500" s="67" t="s">
        <v>81</v>
      </c>
      <c r="F2500" s="62" t="s">
        <v>80</v>
      </c>
      <c r="G2500" s="62" t="s">
        <v>3</v>
      </c>
    </row>
    <row r="2501" spans="1:7">
      <c r="A2501" s="15" t="s">
        <v>2868</v>
      </c>
      <c r="B2501" s="63" t="s">
        <v>158</v>
      </c>
      <c r="C2501" s="64">
        <v>50</v>
      </c>
      <c r="D2501" s="65">
        <v>6.3</v>
      </c>
      <c r="E2501" s="67" t="s">
        <v>93</v>
      </c>
      <c r="F2501" s="62" t="s">
        <v>103</v>
      </c>
      <c r="G2501" s="62" t="s">
        <v>4</v>
      </c>
    </row>
    <row r="2502" spans="1:7">
      <c r="A2502" s="15" t="s">
        <v>2869</v>
      </c>
      <c r="B2502" s="63" t="s">
        <v>159</v>
      </c>
      <c r="C2502" s="64">
        <v>1</v>
      </c>
      <c r="D2502" s="66">
        <v>2.1</v>
      </c>
      <c r="E2502" s="67" t="s">
        <v>81</v>
      </c>
      <c r="F2502" s="51" t="s">
        <v>82</v>
      </c>
      <c r="G2502" s="62" t="s">
        <v>1</v>
      </c>
    </row>
    <row r="2503" spans="1:7">
      <c r="A2503" s="15" t="s">
        <v>2870</v>
      </c>
      <c r="B2503" s="63" t="s">
        <v>159</v>
      </c>
      <c r="C2503" s="64">
        <v>2</v>
      </c>
      <c r="D2503" s="65">
        <v>2.31</v>
      </c>
      <c r="E2503" s="67" t="s">
        <v>76</v>
      </c>
      <c r="F2503" s="62" t="s">
        <v>85</v>
      </c>
      <c r="G2503" s="62" t="s">
        <v>0</v>
      </c>
    </row>
    <row r="2504" spans="1:7">
      <c r="A2504" s="15" t="s">
        <v>2871</v>
      </c>
      <c r="B2504" s="63" t="s">
        <v>159</v>
      </c>
      <c r="C2504" s="64">
        <v>3</v>
      </c>
      <c r="D2504" s="65">
        <v>3.1</v>
      </c>
      <c r="E2504" s="67" t="s">
        <v>81</v>
      </c>
      <c r="F2504" s="62" t="s">
        <v>90</v>
      </c>
      <c r="G2504" s="62" t="s">
        <v>3</v>
      </c>
    </row>
    <row r="2505" spans="1:7">
      <c r="A2505" s="15" t="s">
        <v>2872</v>
      </c>
      <c r="B2505" s="63" t="s">
        <v>159</v>
      </c>
      <c r="C2505" s="64">
        <v>4</v>
      </c>
      <c r="D2505" s="65">
        <v>2.1</v>
      </c>
      <c r="E2505" s="67" t="s">
        <v>96</v>
      </c>
      <c r="F2505" s="62" t="s">
        <v>82</v>
      </c>
      <c r="G2505" s="62" t="s">
        <v>3</v>
      </c>
    </row>
    <row r="2506" spans="1:7">
      <c r="A2506" s="15" t="s">
        <v>2873</v>
      </c>
      <c r="B2506" s="63" t="s">
        <v>159</v>
      </c>
      <c r="C2506" s="64">
        <v>5</v>
      </c>
      <c r="D2506" s="65">
        <v>1.3</v>
      </c>
      <c r="E2506" s="67" t="s">
        <v>81</v>
      </c>
      <c r="F2506" s="62" t="s">
        <v>79</v>
      </c>
      <c r="G2506" s="62" t="s">
        <v>4</v>
      </c>
    </row>
    <row r="2507" spans="1:7">
      <c r="A2507" s="15" t="s">
        <v>2874</v>
      </c>
      <c r="B2507" s="63" t="s">
        <v>159</v>
      </c>
      <c r="C2507" s="64">
        <v>6</v>
      </c>
      <c r="D2507" s="65">
        <v>1.1000000000000001</v>
      </c>
      <c r="E2507" s="67" t="s">
        <v>76</v>
      </c>
      <c r="F2507" s="62" t="s">
        <v>77</v>
      </c>
      <c r="G2507" s="62" t="s">
        <v>2</v>
      </c>
    </row>
    <row r="2508" spans="1:7">
      <c r="A2508" s="15" t="s">
        <v>2875</v>
      </c>
      <c r="B2508" s="63" t="s">
        <v>159</v>
      </c>
      <c r="C2508" s="64">
        <v>7</v>
      </c>
      <c r="D2508" s="65">
        <v>2.35</v>
      </c>
      <c r="E2508" s="67" t="s">
        <v>81</v>
      </c>
      <c r="F2508" s="62" t="s">
        <v>89</v>
      </c>
      <c r="G2508" s="62" t="s">
        <v>4</v>
      </c>
    </row>
    <row r="2509" spans="1:7">
      <c r="A2509" s="15" t="s">
        <v>2876</v>
      </c>
      <c r="B2509" s="63" t="s">
        <v>159</v>
      </c>
      <c r="C2509" s="64">
        <v>8</v>
      </c>
      <c r="D2509" s="65">
        <v>5.2</v>
      </c>
      <c r="E2509" s="67" t="s">
        <v>28</v>
      </c>
      <c r="F2509" s="62" t="s">
        <v>98</v>
      </c>
      <c r="G2509" s="62" t="s">
        <v>0</v>
      </c>
    </row>
    <row r="2510" spans="1:7">
      <c r="A2510" s="15" t="s">
        <v>2877</v>
      </c>
      <c r="B2510" s="63" t="s">
        <v>159</v>
      </c>
      <c r="C2510" s="64">
        <v>9</v>
      </c>
      <c r="D2510" s="65">
        <v>2.31</v>
      </c>
      <c r="E2510" s="67" t="s">
        <v>81</v>
      </c>
      <c r="F2510" s="62" t="s">
        <v>85</v>
      </c>
      <c r="G2510" s="62" t="s">
        <v>0</v>
      </c>
    </row>
    <row r="2511" spans="1:7">
      <c r="A2511" s="15" t="s">
        <v>2878</v>
      </c>
      <c r="B2511" s="63" t="s">
        <v>159</v>
      </c>
      <c r="C2511" s="64">
        <v>10</v>
      </c>
      <c r="D2511" s="65">
        <v>2.2000000000000002</v>
      </c>
      <c r="E2511" s="67" t="s">
        <v>96</v>
      </c>
      <c r="F2511" s="62" t="s">
        <v>83</v>
      </c>
      <c r="G2511" s="62" t="s">
        <v>4</v>
      </c>
    </row>
    <row r="2512" spans="1:7">
      <c r="A2512" s="15" t="s">
        <v>2879</v>
      </c>
      <c r="B2512" s="63" t="s">
        <v>159</v>
      </c>
      <c r="C2512" s="64">
        <v>11</v>
      </c>
      <c r="D2512" s="65">
        <v>5.2</v>
      </c>
      <c r="E2512" s="67" t="s">
        <v>81</v>
      </c>
      <c r="F2512" s="62" t="s">
        <v>98</v>
      </c>
      <c r="G2512" s="62" t="s">
        <v>4</v>
      </c>
    </row>
    <row r="2513" spans="1:7">
      <c r="A2513" s="15" t="s">
        <v>2880</v>
      </c>
      <c r="B2513" s="63" t="s">
        <v>159</v>
      </c>
      <c r="C2513" s="64">
        <v>12</v>
      </c>
      <c r="D2513" s="65">
        <v>6.2</v>
      </c>
      <c r="E2513" s="67" t="s">
        <v>100</v>
      </c>
      <c r="F2513" s="62" t="s">
        <v>102</v>
      </c>
      <c r="G2513" s="62" t="s">
        <v>2</v>
      </c>
    </row>
    <row r="2514" spans="1:7">
      <c r="A2514" s="15" t="s">
        <v>2881</v>
      </c>
      <c r="B2514" s="63" t="s">
        <v>159</v>
      </c>
      <c r="C2514" s="64">
        <v>13</v>
      </c>
      <c r="D2514" s="65">
        <v>5.3</v>
      </c>
      <c r="E2514" s="67" t="s">
        <v>81</v>
      </c>
      <c r="F2514" s="62" t="s">
        <v>99</v>
      </c>
      <c r="G2514" s="62" t="s">
        <v>2</v>
      </c>
    </row>
    <row r="2515" spans="1:7">
      <c r="A2515" s="15" t="s">
        <v>2882</v>
      </c>
      <c r="B2515" s="63" t="s">
        <v>159</v>
      </c>
      <c r="C2515" s="64">
        <v>14</v>
      </c>
      <c r="D2515" s="65">
        <v>2.31</v>
      </c>
      <c r="E2515" s="67" t="s">
        <v>96</v>
      </c>
      <c r="F2515" s="62" t="s">
        <v>85</v>
      </c>
      <c r="G2515" s="62" t="s">
        <v>3</v>
      </c>
    </row>
    <row r="2516" spans="1:7">
      <c r="A2516" s="15" t="s">
        <v>2883</v>
      </c>
      <c r="B2516" s="63" t="s">
        <v>159</v>
      </c>
      <c r="C2516" s="64">
        <v>15</v>
      </c>
      <c r="D2516" s="65">
        <v>2.31</v>
      </c>
      <c r="E2516" s="67" t="s">
        <v>81</v>
      </c>
      <c r="F2516" s="62" t="s">
        <v>85</v>
      </c>
      <c r="G2516" s="62" t="s">
        <v>3</v>
      </c>
    </row>
    <row r="2517" spans="1:7">
      <c r="A2517" s="15" t="s">
        <v>2884</v>
      </c>
      <c r="B2517" s="63" t="s">
        <v>159</v>
      </c>
      <c r="C2517" s="64">
        <v>16</v>
      </c>
      <c r="D2517" s="65">
        <v>1.4</v>
      </c>
      <c r="E2517" s="67" t="s">
        <v>81</v>
      </c>
      <c r="F2517" s="62" t="s">
        <v>30</v>
      </c>
      <c r="G2517" s="62" t="s">
        <v>0</v>
      </c>
    </row>
    <row r="2518" spans="1:7">
      <c r="A2518" s="15" t="s">
        <v>2885</v>
      </c>
      <c r="B2518" s="63" t="s">
        <v>159</v>
      </c>
      <c r="C2518" s="64">
        <v>17</v>
      </c>
      <c r="D2518" s="65">
        <v>2.1</v>
      </c>
      <c r="E2518" s="67" t="s">
        <v>100</v>
      </c>
      <c r="F2518" s="62" t="s">
        <v>82</v>
      </c>
      <c r="G2518" s="62" t="s">
        <v>0</v>
      </c>
    </row>
    <row r="2519" spans="1:7">
      <c r="A2519" s="15" t="s">
        <v>2886</v>
      </c>
      <c r="B2519" s="63" t="s">
        <v>159</v>
      </c>
      <c r="C2519" s="64">
        <v>18</v>
      </c>
      <c r="D2519" s="65">
        <v>1.3</v>
      </c>
      <c r="E2519" s="67" t="s">
        <v>81</v>
      </c>
      <c r="F2519" s="62" t="s">
        <v>79</v>
      </c>
      <c r="G2519" s="62" t="s">
        <v>2</v>
      </c>
    </row>
    <row r="2520" spans="1:7">
      <c r="A2520" s="15" t="s">
        <v>2887</v>
      </c>
      <c r="B2520" s="63" t="s">
        <v>159</v>
      </c>
      <c r="C2520" s="64">
        <v>19</v>
      </c>
      <c r="D2520" s="65">
        <v>2.1</v>
      </c>
      <c r="E2520" s="67" t="s">
        <v>28</v>
      </c>
      <c r="F2520" s="62" t="s">
        <v>82</v>
      </c>
      <c r="G2520" s="62" t="s">
        <v>0</v>
      </c>
    </row>
    <row r="2521" spans="1:7">
      <c r="A2521" s="15" t="s">
        <v>2888</v>
      </c>
      <c r="B2521" s="63" t="s">
        <v>159</v>
      </c>
      <c r="C2521" s="64">
        <v>20</v>
      </c>
      <c r="D2521" s="65">
        <v>4.2</v>
      </c>
      <c r="E2521" s="67" t="s">
        <v>81</v>
      </c>
      <c r="F2521" s="62" t="s">
        <v>95</v>
      </c>
      <c r="G2521" s="62" t="s">
        <v>1</v>
      </c>
    </row>
    <row r="2522" spans="1:7">
      <c r="A2522" s="15" t="s">
        <v>2889</v>
      </c>
      <c r="B2522" s="63" t="s">
        <v>159</v>
      </c>
      <c r="C2522" s="64">
        <v>21</v>
      </c>
      <c r="D2522" s="65">
        <v>2.2000000000000002</v>
      </c>
      <c r="E2522" s="67" t="s">
        <v>28</v>
      </c>
      <c r="F2522" s="62" t="s">
        <v>83</v>
      </c>
      <c r="G2522" s="62" t="s">
        <v>1</v>
      </c>
    </row>
    <row r="2523" spans="1:7">
      <c r="A2523" s="15" t="s">
        <v>2890</v>
      </c>
      <c r="B2523" s="63" t="s">
        <v>159</v>
      </c>
      <c r="C2523" s="64">
        <v>22</v>
      </c>
      <c r="D2523" s="65">
        <v>5.0999999999999996</v>
      </c>
      <c r="E2523" s="67" t="s">
        <v>76</v>
      </c>
      <c r="F2523" s="62" t="s">
        <v>97</v>
      </c>
      <c r="G2523" s="62" t="s">
        <v>0</v>
      </c>
    </row>
    <row r="2524" spans="1:7">
      <c r="A2524" s="15" t="s">
        <v>2891</v>
      </c>
      <c r="B2524" s="63" t="s">
        <v>159</v>
      </c>
      <c r="C2524" s="64">
        <v>23</v>
      </c>
      <c r="D2524" s="65">
        <v>2.35</v>
      </c>
      <c r="E2524" s="67" t="s">
        <v>96</v>
      </c>
      <c r="F2524" s="62" t="s">
        <v>89</v>
      </c>
      <c r="G2524" s="62" t="s">
        <v>0</v>
      </c>
    </row>
    <row r="2525" spans="1:7">
      <c r="A2525" s="15" t="s">
        <v>2892</v>
      </c>
      <c r="B2525" s="63" t="s">
        <v>159</v>
      </c>
      <c r="C2525" s="64">
        <v>24</v>
      </c>
      <c r="D2525" s="65">
        <v>2.31</v>
      </c>
      <c r="E2525" s="67" t="s">
        <v>93</v>
      </c>
      <c r="F2525" s="62" t="s">
        <v>85</v>
      </c>
      <c r="G2525" s="62" t="s">
        <v>4</v>
      </c>
    </row>
    <row r="2526" spans="1:7">
      <c r="A2526" s="15" t="s">
        <v>2893</v>
      </c>
      <c r="B2526" s="63" t="s">
        <v>159</v>
      </c>
      <c r="C2526" s="64">
        <v>25</v>
      </c>
      <c r="D2526" s="65">
        <v>2.2000000000000002</v>
      </c>
      <c r="E2526" s="67" t="s">
        <v>28</v>
      </c>
      <c r="F2526" s="62" t="s">
        <v>83</v>
      </c>
      <c r="G2526" s="62" t="s">
        <v>4</v>
      </c>
    </row>
    <row r="2527" spans="1:7">
      <c r="A2527" s="15" t="s">
        <v>2894</v>
      </c>
      <c r="B2527" s="63" t="s">
        <v>159</v>
      </c>
      <c r="C2527" s="64">
        <v>26</v>
      </c>
      <c r="D2527" s="65">
        <v>4.0999999999999996</v>
      </c>
      <c r="E2527" s="67" t="s">
        <v>81</v>
      </c>
      <c r="F2527" s="62" t="s">
        <v>94</v>
      </c>
      <c r="G2527" s="62" t="s">
        <v>4</v>
      </c>
    </row>
    <row r="2528" spans="1:7">
      <c r="A2528" s="15" t="s">
        <v>2895</v>
      </c>
      <c r="B2528" s="63" t="s">
        <v>159</v>
      </c>
      <c r="C2528" s="64">
        <v>27</v>
      </c>
      <c r="D2528" s="65">
        <v>2.2000000000000002</v>
      </c>
      <c r="E2528" s="67" t="s">
        <v>76</v>
      </c>
      <c r="F2528" s="62" t="s">
        <v>83</v>
      </c>
      <c r="G2528" s="62" t="s">
        <v>1</v>
      </c>
    </row>
    <row r="2529" spans="1:7">
      <c r="A2529" s="15" t="s">
        <v>2896</v>
      </c>
      <c r="B2529" s="63" t="s">
        <v>159</v>
      </c>
      <c r="C2529" s="64">
        <v>28</v>
      </c>
      <c r="D2529" s="65">
        <v>6.4</v>
      </c>
      <c r="E2529" s="67" t="s">
        <v>81</v>
      </c>
      <c r="F2529" s="62" t="s">
        <v>104</v>
      </c>
      <c r="G2529" s="62" t="s">
        <v>4</v>
      </c>
    </row>
    <row r="2530" spans="1:7">
      <c r="A2530" s="15" t="s">
        <v>2897</v>
      </c>
      <c r="B2530" s="63" t="s">
        <v>159</v>
      </c>
      <c r="C2530" s="64">
        <v>29</v>
      </c>
      <c r="D2530" s="65">
        <v>3.1</v>
      </c>
      <c r="E2530" s="67" t="s">
        <v>76</v>
      </c>
      <c r="F2530" s="62" t="s">
        <v>90</v>
      </c>
      <c r="G2530" s="62" t="s">
        <v>1</v>
      </c>
    </row>
    <row r="2531" spans="1:7">
      <c r="A2531" s="15" t="s">
        <v>2898</v>
      </c>
      <c r="B2531" s="63" t="s">
        <v>159</v>
      </c>
      <c r="C2531" s="64">
        <v>30</v>
      </c>
      <c r="D2531" s="65">
        <v>2.31</v>
      </c>
      <c r="E2531" s="67" t="s">
        <v>96</v>
      </c>
      <c r="F2531" s="62" t="s">
        <v>85</v>
      </c>
      <c r="G2531" s="62" t="s">
        <v>3</v>
      </c>
    </row>
    <row r="2532" spans="1:7">
      <c r="A2532" s="15" t="s">
        <v>2899</v>
      </c>
      <c r="B2532" s="63" t="s">
        <v>159</v>
      </c>
      <c r="C2532" s="64">
        <v>31</v>
      </c>
      <c r="D2532" s="65">
        <v>2.33</v>
      </c>
      <c r="E2532" s="67" t="s">
        <v>28</v>
      </c>
      <c r="F2532" s="62" t="s">
        <v>87</v>
      </c>
      <c r="G2532" s="62" t="s">
        <v>2</v>
      </c>
    </row>
    <row r="2533" spans="1:7">
      <c r="A2533" s="15" t="s">
        <v>2900</v>
      </c>
      <c r="B2533" s="63" t="s">
        <v>159</v>
      </c>
      <c r="C2533" s="64">
        <v>32</v>
      </c>
      <c r="D2533" s="65">
        <v>2.35</v>
      </c>
      <c r="E2533" s="67" t="s">
        <v>96</v>
      </c>
      <c r="F2533" s="62" t="s">
        <v>89</v>
      </c>
      <c r="G2533" s="62" t="s">
        <v>3</v>
      </c>
    </row>
    <row r="2534" spans="1:7">
      <c r="A2534" s="15" t="s">
        <v>2901</v>
      </c>
      <c r="B2534" s="63" t="s">
        <v>159</v>
      </c>
      <c r="C2534" s="64">
        <v>33</v>
      </c>
      <c r="D2534" s="65">
        <v>5.3</v>
      </c>
      <c r="E2534" s="67" t="s">
        <v>93</v>
      </c>
      <c r="F2534" s="62" t="s">
        <v>99</v>
      </c>
      <c r="G2534" s="62" t="s">
        <v>4</v>
      </c>
    </row>
    <row r="2535" spans="1:7">
      <c r="A2535" s="15" t="s">
        <v>2902</v>
      </c>
      <c r="B2535" s="63" t="s">
        <v>159</v>
      </c>
      <c r="C2535" s="64">
        <v>34</v>
      </c>
      <c r="D2535" s="65">
        <v>5.0999999999999996</v>
      </c>
      <c r="E2535" s="67" t="s">
        <v>96</v>
      </c>
      <c r="F2535" s="62" t="s">
        <v>97</v>
      </c>
      <c r="G2535" s="62" t="s">
        <v>0</v>
      </c>
    </row>
    <row r="2536" spans="1:7">
      <c r="A2536" s="15" t="s">
        <v>2903</v>
      </c>
      <c r="B2536" s="63" t="s">
        <v>159</v>
      </c>
      <c r="C2536" s="64">
        <v>35</v>
      </c>
      <c r="D2536" s="65">
        <v>3.2</v>
      </c>
      <c r="E2536" s="67" t="s">
        <v>81</v>
      </c>
      <c r="F2536" s="62" t="s">
        <v>91</v>
      </c>
      <c r="G2536" s="62" t="s">
        <v>2</v>
      </c>
    </row>
    <row r="2537" spans="1:7">
      <c r="A2537" s="15" t="s">
        <v>2904</v>
      </c>
      <c r="B2537" s="63" t="s">
        <v>159</v>
      </c>
      <c r="C2537" s="64">
        <v>36</v>
      </c>
      <c r="D2537" s="65">
        <v>5.0999999999999996</v>
      </c>
      <c r="E2537" s="67" t="s">
        <v>28</v>
      </c>
      <c r="F2537" s="62" t="s">
        <v>97</v>
      </c>
      <c r="G2537" s="62" t="s">
        <v>2</v>
      </c>
    </row>
    <row r="2538" spans="1:7">
      <c r="A2538" s="15" t="s">
        <v>2905</v>
      </c>
      <c r="B2538" s="63" t="s">
        <v>159</v>
      </c>
      <c r="C2538" s="64">
        <v>37</v>
      </c>
      <c r="D2538" s="65">
        <v>2.31</v>
      </c>
      <c r="E2538" s="67" t="s">
        <v>81</v>
      </c>
      <c r="F2538" s="62" t="s">
        <v>85</v>
      </c>
      <c r="G2538" s="62" t="s">
        <v>1</v>
      </c>
    </row>
    <row r="2539" spans="1:7">
      <c r="A2539" s="15" t="s">
        <v>2906</v>
      </c>
      <c r="B2539" s="63" t="s">
        <v>159</v>
      </c>
      <c r="C2539" s="64">
        <v>38</v>
      </c>
      <c r="D2539" s="65">
        <v>2.1</v>
      </c>
      <c r="E2539" s="67" t="s">
        <v>76</v>
      </c>
      <c r="F2539" s="62" t="s">
        <v>82</v>
      </c>
      <c r="G2539" s="62" t="s">
        <v>3</v>
      </c>
    </row>
    <row r="2540" spans="1:7">
      <c r="A2540" s="15" t="s">
        <v>2907</v>
      </c>
      <c r="B2540" s="63" t="s">
        <v>159</v>
      </c>
      <c r="C2540" s="64">
        <v>39</v>
      </c>
      <c r="D2540" s="65">
        <v>5.0999999999999996</v>
      </c>
      <c r="E2540" s="67" t="s">
        <v>81</v>
      </c>
      <c r="F2540" s="62" t="s">
        <v>97</v>
      </c>
      <c r="G2540" s="62" t="s">
        <v>4</v>
      </c>
    </row>
    <row r="2541" spans="1:7">
      <c r="A2541" s="15" t="s">
        <v>2908</v>
      </c>
      <c r="B2541" s="63" t="s">
        <v>159</v>
      </c>
      <c r="C2541" s="64">
        <v>40</v>
      </c>
      <c r="D2541" s="65">
        <v>1.2</v>
      </c>
      <c r="E2541" s="67" t="s">
        <v>81</v>
      </c>
      <c r="F2541" s="62" t="s">
        <v>78</v>
      </c>
      <c r="G2541" s="62" t="s">
        <v>4</v>
      </c>
    </row>
    <row r="2542" spans="1:7">
      <c r="A2542" s="15" t="s">
        <v>2909</v>
      </c>
      <c r="B2542" s="63" t="s">
        <v>159</v>
      </c>
      <c r="C2542" s="64">
        <v>41</v>
      </c>
      <c r="D2542" s="65">
        <v>2.33</v>
      </c>
      <c r="E2542" s="67" t="s">
        <v>96</v>
      </c>
      <c r="F2542" s="62" t="s">
        <v>87</v>
      </c>
      <c r="G2542" s="62" t="s">
        <v>3</v>
      </c>
    </row>
    <row r="2543" spans="1:7">
      <c r="A2543" s="15" t="s">
        <v>2910</v>
      </c>
      <c r="B2543" s="63" t="s">
        <v>159</v>
      </c>
      <c r="C2543" s="64">
        <v>42</v>
      </c>
      <c r="D2543" s="65">
        <v>6.1</v>
      </c>
      <c r="E2543" s="67" t="s">
        <v>28</v>
      </c>
      <c r="F2543" s="62" t="s">
        <v>101</v>
      </c>
      <c r="G2543" s="62" t="s">
        <v>3</v>
      </c>
    </row>
    <row r="2544" spans="1:7">
      <c r="A2544" s="15" t="s">
        <v>2911</v>
      </c>
      <c r="B2544" s="63" t="s">
        <v>159</v>
      </c>
      <c r="C2544" s="64">
        <v>43</v>
      </c>
      <c r="D2544" s="65">
        <v>1.3</v>
      </c>
      <c r="E2544" s="67" t="s">
        <v>81</v>
      </c>
      <c r="F2544" s="62" t="s">
        <v>79</v>
      </c>
      <c r="G2544" s="62" t="s">
        <v>4</v>
      </c>
    </row>
    <row r="2545" spans="1:7">
      <c r="A2545" s="15" t="s">
        <v>2912</v>
      </c>
      <c r="B2545" s="63" t="s">
        <v>159</v>
      </c>
      <c r="C2545" s="64">
        <v>44</v>
      </c>
      <c r="D2545" s="65">
        <v>5.2</v>
      </c>
      <c r="E2545" s="67" t="s">
        <v>81</v>
      </c>
      <c r="F2545" s="62" t="s">
        <v>98</v>
      </c>
      <c r="G2545" s="62" t="s">
        <v>4</v>
      </c>
    </row>
    <row r="2546" spans="1:7">
      <c r="A2546" s="15" t="s">
        <v>2913</v>
      </c>
      <c r="B2546" s="63" t="s">
        <v>159</v>
      </c>
      <c r="C2546" s="64">
        <v>45</v>
      </c>
      <c r="D2546" s="65">
        <v>4.0999999999999996</v>
      </c>
      <c r="E2546" s="67" t="s">
        <v>96</v>
      </c>
      <c r="F2546" s="62" t="s">
        <v>94</v>
      </c>
      <c r="G2546" s="62" t="s">
        <v>2</v>
      </c>
    </row>
    <row r="2547" spans="1:7">
      <c r="A2547" s="15" t="s">
        <v>2914</v>
      </c>
      <c r="B2547" s="63" t="s">
        <v>159</v>
      </c>
      <c r="C2547" s="64">
        <v>46</v>
      </c>
      <c r="D2547" s="65">
        <v>5.2</v>
      </c>
      <c r="E2547" s="67" t="s">
        <v>76</v>
      </c>
      <c r="F2547" s="62" t="s">
        <v>98</v>
      </c>
      <c r="G2547" s="62" t="s">
        <v>3</v>
      </c>
    </row>
    <row r="2548" spans="1:7">
      <c r="A2548" s="15" t="s">
        <v>2915</v>
      </c>
      <c r="B2548" s="63" t="s">
        <v>159</v>
      </c>
      <c r="C2548" s="64">
        <v>47</v>
      </c>
      <c r="D2548" s="65">
        <v>2.31</v>
      </c>
      <c r="E2548" s="67" t="s">
        <v>28</v>
      </c>
      <c r="F2548" s="62" t="s">
        <v>85</v>
      </c>
      <c r="G2548" s="62" t="s">
        <v>3</v>
      </c>
    </row>
    <row r="2549" spans="1:7">
      <c r="A2549" s="15" t="s">
        <v>2916</v>
      </c>
      <c r="B2549" s="63" t="s">
        <v>159</v>
      </c>
      <c r="C2549" s="64">
        <v>48</v>
      </c>
      <c r="D2549" s="65">
        <v>5.0999999999999996</v>
      </c>
      <c r="E2549" s="67" t="s">
        <v>81</v>
      </c>
      <c r="F2549" s="62" t="s">
        <v>97</v>
      </c>
      <c r="G2549" s="62" t="s">
        <v>2</v>
      </c>
    </row>
    <row r="2550" spans="1:7">
      <c r="A2550" s="15" t="s">
        <v>2917</v>
      </c>
      <c r="B2550" s="63" t="s">
        <v>159</v>
      </c>
      <c r="C2550" s="64">
        <v>49</v>
      </c>
      <c r="D2550" s="65">
        <v>2.2000000000000002</v>
      </c>
      <c r="E2550" s="67" t="s">
        <v>93</v>
      </c>
      <c r="F2550" s="62" t="s">
        <v>83</v>
      </c>
      <c r="G2550" s="62" t="s">
        <v>2</v>
      </c>
    </row>
    <row r="2551" spans="1:7">
      <c r="A2551" s="15" t="s">
        <v>2918</v>
      </c>
      <c r="B2551" s="63" t="s">
        <v>159</v>
      </c>
      <c r="C2551" s="64">
        <v>50</v>
      </c>
      <c r="D2551" s="65">
        <v>4.0999999999999996</v>
      </c>
      <c r="E2551" s="67" t="s">
        <v>100</v>
      </c>
      <c r="F2551" s="62" t="s">
        <v>94</v>
      </c>
      <c r="G2551" s="62" t="s">
        <v>0</v>
      </c>
    </row>
    <row r="2552" spans="1:7">
      <c r="A2552" s="15" t="s">
        <v>2919</v>
      </c>
      <c r="B2552" s="63" t="s">
        <v>160</v>
      </c>
      <c r="C2552" s="64">
        <v>1</v>
      </c>
      <c r="D2552" s="66">
        <v>2.1</v>
      </c>
      <c r="E2552" s="67" t="s">
        <v>81</v>
      </c>
      <c r="F2552" s="51" t="s">
        <v>82</v>
      </c>
      <c r="G2552" s="62" t="s">
        <v>3</v>
      </c>
    </row>
    <row r="2553" spans="1:7">
      <c r="A2553" s="15" t="s">
        <v>2920</v>
      </c>
      <c r="B2553" s="63" t="s">
        <v>160</v>
      </c>
      <c r="C2553" s="64">
        <v>2</v>
      </c>
      <c r="D2553" s="66">
        <v>1.1000000000000001</v>
      </c>
      <c r="E2553" s="67" t="s">
        <v>81</v>
      </c>
      <c r="F2553" s="51" t="s">
        <v>77</v>
      </c>
      <c r="G2553" s="62" t="s">
        <v>0</v>
      </c>
    </row>
    <row r="2554" spans="1:7">
      <c r="A2554" s="15" t="s">
        <v>2921</v>
      </c>
      <c r="B2554" s="63" t="s">
        <v>160</v>
      </c>
      <c r="C2554" s="64">
        <v>3</v>
      </c>
      <c r="D2554" s="65">
        <v>2.1</v>
      </c>
      <c r="E2554" s="67" t="s">
        <v>96</v>
      </c>
      <c r="F2554" s="62" t="s">
        <v>82</v>
      </c>
      <c r="G2554" s="62" t="s">
        <v>4</v>
      </c>
    </row>
    <row r="2555" spans="1:7">
      <c r="A2555" s="15" t="s">
        <v>2922</v>
      </c>
      <c r="B2555" s="63" t="s">
        <v>160</v>
      </c>
      <c r="C2555" s="64">
        <v>4</v>
      </c>
      <c r="D2555" s="65">
        <v>5.3</v>
      </c>
      <c r="E2555" s="67" t="s">
        <v>81</v>
      </c>
      <c r="F2555" s="62" t="s">
        <v>99</v>
      </c>
      <c r="G2555" s="62" t="s">
        <v>2</v>
      </c>
    </row>
    <row r="2556" spans="1:7">
      <c r="A2556" s="15" t="s">
        <v>2923</v>
      </c>
      <c r="B2556" s="63" t="s">
        <v>160</v>
      </c>
      <c r="C2556" s="64">
        <v>5</v>
      </c>
      <c r="D2556" s="65">
        <v>2.35</v>
      </c>
      <c r="E2556" s="67" t="s">
        <v>81</v>
      </c>
      <c r="F2556" s="62" t="s">
        <v>89</v>
      </c>
      <c r="G2556" s="62" t="s">
        <v>2</v>
      </c>
    </row>
    <row r="2557" spans="1:7">
      <c r="A2557" s="15" t="s">
        <v>2924</v>
      </c>
      <c r="B2557" s="63" t="s">
        <v>160</v>
      </c>
      <c r="C2557" s="64">
        <v>6</v>
      </c>
      <c r="D2557" s="65">
        <v>1.6</v>
      </c>
      <c r="E2557" s="67" t="s">
        <v>28</v>
      </c>
      <c r="F2557" s="62" t="s">
        <v>27</v>
      </c>
      <c r="G2557" s="62" t="s">
        <v>0</v>
      </c>
    </row>
    <row r="2558" spans="1:7">
      <c r="A2558" s="15" t="s">
        <v>2925</v>
      </c>
      <c r="B2558" s="63" t="s">
        <v>160</v>
      </c>
      <c r="C2558" s="64">
        <v>7</v>
      </c>
      <c r="D2558" s="65">
        <v>3.1</v>
      </c>
      <c r="E2558" s="67" t="s">
        <v>81</v>
      </c>
      <c r="F2558" s="62" t="s">
        <v>90</v>
      </c>
      <c r="G2558" s="62" t="s">
        <v>0</v>
      </c>
    </row>
    <row r="2559" spans="1:7">
      <c r="A2559" s="15" t="s">
        <v>2926</v>
      </c>
      <c r="B2559" s="63" t="s">
        <v>160</v>
      </c>
      <c r="C2559" s="64">
        <v>8</v>
      </c>
      <c r="D2559" s="65">
        <v>2.2000000000000002</v>
      </c>
      <c r="E2559" s="67" t="s">
        <v>96</v>
      </c>
      <c r="F2559" s="62" t="s">
        <v>83</v>
      </c>
      <c r="G2559" s="62" t="s">
        <v>3</v>
      </c>
    </row>
    <row r="2560" spans="1:7">
      <c r="A2560" s="15" t="s">
        <v>2927</v>
      </c>
      <c r="B2560" s="63" t="s">
        <v>160</v>
      </c>
      <c r="C2560" s="64">
        <v>9</v>
      </c>
      <c r="D2560" s="65">
        <v>2.31</v>
      </c>
      <c r="E2560" s="67" t="s">
        <v>81</v>
      </c>
      <c r="F2560" s="62" t="s">
        <v>85</v>
      </c>
      <c r="G2560" s="62" t="s">
        <v>1</v>
      </c>
    </row>
    <row r="2561" spans="1:7">
      <c r="A2561" s="15" t="s">
        <v>2928</v>
      </c>
      <c r="B2561" s="63" t="s">
        <v>160</v>
      </c>
      <c r="C2561" s="64">
        <v>10</v>
      </c>
      <c r="D2561" s="65">
        <v>5.0999999999999996</v>
      </c>
      <c r="E2561" s="67" t="s">
        <v>81</v>
      </c>
      <c r="F2561" s="62" t="s">
        <v>97</v>
      </c>
      <c r="G2561" s="62" t="s">
        <v>3</v>
      </c>
    </row>
    <row r="2562" spans="1:7">
      <c r="A2562" s="15" t="s">
        <v>2929</v>
      </c>
      <c r="B2562" s="63" t="s">
        <v>160</v>
      </c>
      <c r="C2562" s="64">
        <v>11</v>
      </c>
      <c r="D2562" s="65">
        <v>2.2000000000000002</v>
      </c>
      <c r="E2562" s="67" t="s">
        <v>96</v>
      </c>
      <c r="F2562" s="62" t="s">
        <v>83</v>
      </c>
      <c r="G2562" s="62" t="s">
        <v>4</v>
      </c>
    </row>
    <row r="2563" spans="1:7">
      <c r="A2563" s="15" t="s">
        <v>2930</v>
      </c>
      <c r="B2563" s="63" t="s">
        <v>160</v>
      </c>
      <c r="C2563" s="64">
        <v>12</v>
      </c>
      <c r="D2563" s="65">
        <v>6.3</v>
      </c>
      <c r="E2563" s="67" t="s">
        <v>81</v>
      </c>
      <c r="F2563" s="62" t="s">
        <v>103</v>
      </c>
      <c r="G2563" s="62" t="s">
        <v>3</v>
      </c>
    </row>
    <row r="2564" spans="1:7">
      <c r="A2564" s="15" t="s">
        <v>2931</v>
      </c>
      <c r="B2564" s="63" t="s">
        <v>160</v>
      </c>
      <c r="C2564" s="64">
        <v>13</v>
      </c>
      <c r="D2564" s="65">
        <v>2.1</v>
      </c>
      <c r="E2564" s="67" t="s">
        <v>96</v>
      </c>
      <c r="F2564" s="62" t="s">
        <v>82</v>
      </c>
      <c r="G2564" s="62" t="s">
        <v>2</v>
      </c>
    </row>
    <row r="2565" spans="1:7">
      <c r="A2565" s="15" t="s">
        <v>2932</v>
      </c>
      <c r="B2565" s="63" t="s">
        <v>160</v>
      </c>
      <c r="C2565" s="64">
        <v>14</v>
      </c>
      <c r="D2565" s="65">
        <v>5.3</v>
      </c>
      <c r="E2565" s="67" t="s">
        <v>81</v>
      </c>
      <c r="F2565" s="62" t="s">
        <v>99</v>
      </c>
      <c r="G2565" s="62" t="s">
        <v>3</v>
      </c>
    </row>
    <row r="2566" spans="1:7">
      <c r="A2566" s="15" t="s">
        <v>2933</v>
      </c>
      <c r="B2566" s="63" t="s">
        <v>160</v>
      </c>
      <c r="C2566" s="64">
        <v>15</v>
      </c>
      <c r="D2566" s="65">
        <v>2.1</v>
      </c>
      <c r="E2566" s="67" t="s">
        <v>81</v>
      </c>
      <c r="F2566" s="62" t="s">
        <v>82</v>
      </c>
      <c r="G2566" s="62" t="s">
        <v>4</v>
      </c>
    </row>
    <row r="2567" spans="1:7">
      <c r="A2567" s="15" t="s">
        <v>2934</v>
      </c>
      <c r="B2567" s="63" t="s">
        <v>160</v>
      </c>
      <c r="C2567" s="64">
        <v>16</v>
      </c>
      <c r="D2567" s="65">
        <v>2.1</v>
      </c>
      <c r="E2567" s="67" t="s">
        <v>28</v>
      </c>
      <c r="F2567" s="62" t="s">
        <v>82</v>
      </c>
      <c r="G2567" s="62" t="s">
        <v>0</v>
      </c>
    </row>
    <row r="2568" spans="1:7">
      <c r="A2568" s="15" t="s">
        <v>2935</v>
      </c>
      <c r="B2568" s="63" t="s">
        <v>160</v>
      </c>
      <c r="C2568" s="64">
        <v>17</v>
      </c>
      <c r="D2568" s="65">
        <v>6.3</v>
      </c>
      <c r="E2568" s="67" t="s">
        <v>100</v>
      </c>
      <c r="F2568" s="62" t="s">
        <v>103</v>
      </c>
      <c r="G2568" s="62" t="s">
        <v>3</v>
      </c>
    </row>
    <row r="2569" spans="1:7">
      <c r="A2569" s="15" t="s">
        <v>2936</v>
      </c>
      <c r="B2569" s="63" t="s">
        <v>160</v>
      </c>
      <c r="C2569" s="64">
        <v>18</v>
      </c>
      <c r="D2569" s="65">
        <v>2.31</v>
      </c>
      <c r="E2569" s="67" t="s">
        <v>81</v>
      </c>
      <c r="F2569" s="62" t="s">
        <v>85</v>
      </c>
      <c r="G2569" s="62" t="s">
        <v>0</v>
      </c>
    </row>
    <row r="2570" spans="1:7">
      <c r="A2570" s="15" t="s">
        <v>2937</v>
      </c>
      <c r="B2570" s="63" t="s">
        <v>160</v>
      </c>
      <c r="C2570" s="64">
        <v>19</v>
      </c>
      <c r="D2570" s="65">
        <v>3.1</v>
      </c>
      <c r="E2570" s="67" t="s">
        <v>81</v>
      </c>
      <c r="F2570" s="62" t="s">
        <v>90</v>
      </c>
      <c r="G2570" s="62" t="s">
        <v>4</v>
      </c>
    </row>
    <row r="2571" spans="1:7">
      <c r="A2571" s="15" t="s">
        <v>2938</v>
      </c>
      <c r="B2571" s="63" t="s">
        <v>160</v>
      </c>
      <c r="C2571" s="64">
        <v>20</v>
      </c>
      <c r="D2571" s="65">
        <v>2.3199999999999998</v>
      </c>
      <c r="E2571" s="67" t="s">
        <v>100</v>
      </c>
      <c r="F2571" s="62" t="s">
        <v>86</v>
      </c>
      <c r="G2571" s="62" t="s">
        <v>3</v>
      </c>
    </row>
    <row r="2572" spans="1:7">
      <c r="A2572" s="15" t="s">
        <v>2939</v>
      </c>
      <c r="B2572" s="63" t="s">
        <v>160</v>
      </c>
      <c r="C2572" s="64">
        <v>21</v>
      </c>
      <c r="D2572" s="65">
        <v>3.2</v>
      </c>
      <c r="E2572" s="67" t="s">
        <v>100</v>
      </c>
      <c r="F2572" s="62" t="s">
        <v>91</v>
      </c>
      <c r="G2572" s="62" t="s">
        <v>0</v>
      </c>
    </row>
    <row r="2573" spans="1:7">
      <c r="A2573" s="15" t="s">
        <v>2940</v>
      </c>
      <c r="B2573" s="63" t="s">
        <v>160</v>
      </c>
      <c r="C2573" s="64">
        <v>22</v>
      </c>
      <c r="D2573" s="65">
        <v>1.1000000000000001</v>
      </c>
      <c r="E2573" s="67" t="s">
        <v>76</v>
      </c>
      <c r="F2573" s="62" t="s">
        <v>77</v>
      </c>
      <c r="G2573" s="62" t="s">
        <v>0</v>
      </c>
    </row>
    <row r="2574" spans="1:7">
      <c r="A2574" s="15" t="s">
        <v>2941</v>
      </c>
      <c r="B2574" s="63" t="s">
        <v>160</v>
      </c>
      <c r="C2574" s="64">
        <v>23</v>
      </c>
      <c r="D2574" s="65">
        <v>5.0999999999999996</v>
      </c>
      <c r="E2574" s="67" t="s">
        <v>81</v>
      </c>
      <c r="F2574" s="62" t="s">
        <v>97</v>
      </c>
      <c r="G2574" s="62" t="s">
        <v>2</v>
      </c>
    </row>
    <row r="2575" spans="1:7">
      <c r="A2575" s="15" t="s">
        <v>2942</v>
      </c>
      <c r="B2575" s="63" t="s">
        <v>160</v>
      </c>
      <c r="C2575" s="64">
        <v>24</v>
      </c>
      <c r="D2575" s="65">
        <v>4.2</v>
      </c>
      <c r="E2575" s="67" t="s">
        <v>76</v>
      </c>
      <c r="F2575" s="62" t="s">
        <v>95</v>
      </c>
      <c r="G2575" s="62" t="s">
        <v>4</v>
      </c>
    </row>
    <row r="2576" spans="1:7">
      <c r="A2576" s="15" t="s">
        <v>2943</v>
      </c>
      <c r="B2576" s="63" t="s">
        <v>160</v>
      </c>
      <c r="C2576" s="64">
        <v>25</v>
      </c>
      <c r="D2576" s="65">
        <v>3.1</v>
      </c>
      <c r="E2576" s="67" t="s">
        <v>81</v>
      </c>
      <c r="F2576" s="62" t="s">
        <v>90</v>
      </c>
      <c r="G2576" s="62" t="s">
        <v>0</v>
      </c>
    </row>
    <row r="2577" spans="1:7">
      <c r="A2577" s="15" t="s">
        <v>2944</v>
      </c>
      <c r="B2577" s="63" t="s">
        <v>160</v>
      </c>
      <c r="C2577" s="64">
        <v>26</v>
      </c>
      <c r="D2577" s="65">
        <v>2.31</v>
      </c>
      <c r="E2577" s="67" t="s">
        <v>28</v>
      </c>
      <c r="F2577" s="62" t="s">
        <v>85</v>
      </c>
      <c r="G2577" s="62" t="s">
        <v>3</v>
      </c>
    </row>
    <row r="2578" spans="1:7">
      <c r="A2578" s="15" t="s">
        <v>2945</v>
      </c>
      <c r="B2578" s="63" t="s">
        <v>160</v>
      </c>
      <c r="C2578" s="64">
        <v>27</v>
      </c>
      <c r="D2578" s="65">
        <v>1.1000000000000001</v>
      </c>
      <c r="E2578" s="67" t="s">
        <v>81</v>
      </c>
      <c r="F2578" s="62" t="s">
        <v>77</v>
      </c>
      <c r="G2578" s="62" t="s">
        <v>4</v>
      </c>
    </row>
    <row r="2579" spans="1:7">
      <c r="A2579" s="15" t="s">
        <v>2946</v>
      </c>
      <c r="B2579" s="63" t="s">
        <v>160</v>
      </c>
      <c r="C2579" s="64">
        <v>28</v>
      </c>
      <c r="D2579" s="65">
        <v>2.2000000000000002</v>
      </c>
      <c r="E2579" s="67" t="s">
        <v>93</v>
      </c>
      <c r="F2579" s="62" t="s">
        <v>83</v>
      </c>
      <c r="G2579" s="62" t="s">
        <v>3</v>
      </c>
    </row>
    <row r="2580" spans="1:7">
      <c r="A2580" s="15" t="s">
        <v>2947</v>
      </c>
      <c r="B2580" s="63" t="s">
        <v>160</v>
      </c>
      <c r="C2580" s="64">
        <v>29</v>
      </c>
      <c r="D2580" s="65">
        <v>1.3</v>
      </c>
      <c r="E2580" s="67" t="s">
        <v>81</v>
      </c>
      <c r="F2580" s="62" t="s">
        <v>79</v>
      </c>
      <c r="G2580" s="62" t="s">
        <v>2</v>
      </c>
    </row>
    <row r="2581" spans="1:7">
      <c r="A2581" s="15" t="s">
        <v>2948</v>
      </c>
      <c r="B2581" s="63" t="s">
        <v>160</v>
      </c>
      <c r="C2581" s="64">
        <v>30</v>
      </c>
      <c r="D2581" s="65">
        <v>5.2</v>
      </c>
      <c r="E2581" s="67" t="s">
        <v>81</v>
      </c>
      <c r="F2581" s="62" t="s">
        <v>98</v>
      </c>
      <c r="G2581" s="62" t="s">
        <v>2</v>
      </c>
    </row>
    <row r="2582" spans="1:7">
      <c r="A2582" s="15" t="s">
        <v>2949</v>
      </c>
      <c r="B2582" s="63" t="s">
        <v>160</v>
      </c>
      <c r="C2582" s="64">
        <v>31</v>
      </c>
      <c r="D2582" s="65">
        <v>3.2</v>
      </c>
      <c r="E2582" s="67" t="s">
        <v>76</v>
      </c>
      <c r="F2582" s="62" t="s">
        <v>91</v>
      </c>
      <c r="G2582" s="62" t="s">
        <v>4</v>
      </c>
    </row>
    <row r="2583" spans="1:7">
      <c r="A2583" s="15" t="s">
        <v>2950</v>
      </c>
      <c r="B2583" s="63" t="s">
        <v>160</v>
      </c>
      <c r="C2583" s="64">
        <v>32</v>
      </c>
      <c r="D2583" s="65">
        <v>5.2</v>
      </c>
      <c r="E2583" s="67" t="s">
        <v>81</v>
      </c>
      <c r="F2583" s="62" t="s">
        <v>98</v>
      </c>
      <c r="G2583" s="62" t="s">
        <v>1</v>
      </c>
    </row>
    <row r="2584" spans="1:7">
      <c r="A2584" s="15" t="s">
        <v>2951</v>
      </c>
      <c r="B2584" s="63" t="s">
        <v>160</v>
      </c>
      <c r="C2584" s="64">
        <v>33</v>
      </c>
      <c r="D2584" s="65">
        <v>4.0999999999999996</v>
      </c>
      <c r="E2584" s="67" t="s">
        <v>28</v>
      </c>
      <c r="F2584" s="62" t="s">
        <v>94</v>
      </c>
      <c r="G2584" s="62" t="s">
        <v>3</v>
      </c>
    </row>
    <row r="2585" spans="1:7">
      <c r="A2585" s="15" t="s">
        <v>2952</v>
      </c>
      <c r="B2585" s="63" t="s">
        <v>160</v>
      </c>
      <c r="C2585" s="64">
        <v>34</v>
      </c>
      <c r="D2585" s="65">
        <v>5.2</v>
      </c>
      <c r="E2585" s="67" t="s">
        <v>81</v>
      </c>
      <c r="F2585" s="62" t="s">
        <v>98</v>
      </c>
      <c r="G2585" s="62" t="s">
        <v>2</v>
      </c>
    </row>
    <row r="2586" spans="1:7">
      <c r="A2586" s="15" t="s">
        <v>2953</v>
      </c>
      <c r="B2586" s="63" t="s">
        <v>160</v>
      </c>
      <c r="C2586" s="64">
        <v>35</v>
      </c>
      <c r="D2586" s="65">
        <v>2.31</v>
      </c>
      <c r="E2586" s="67" t="s">
        <v>96</v>
      </c>
      <c r="F2586" s="62" t="s">
        <v>85</v>
      </c>
      <c r="G2586" s="62" t="s">
        <v>2</v>
      </c>
    </row>
    <row r="2587" spans="1:7">
      <c r="A2587" s="15" t="s">
        <v>2954</v>
      </c>
      <c r="B2587" s="63" t="s">
        <v>160</v>
      </c>
      <c r="C2587" s="64">
        <v>36</v>
      </c>
      <c r="D2587" s="65">
        <v>3.2</v>
      </c>
      <c r="E2587" s="67" t="s">
        <v>76</v>
      </c>
      <c r="F2587" s="62" t="s">
        <v>91</v>
      </c>
      <c r="G2587" s="62" t="s">
        <v>3</v>
      </c>
    </row>
    <row r="2588" spans="1:7">
      <c r="A2588" s="15" t="s">
        <v>2955</v>
      </c>
      <c r="B2588" s="63" t="s">
        <v>160</v>
      </c>
      <c r="C2588" s="64">
        <v>37</v>
      </c>
      <c r="D2588" s="65">
        <v>2.3199999999999998</v>
      </c>
      <c r="E2588" s="67" t="s">
        <v>76</v>
      </c>
      <c r="F2588" s="62" t="s">
        <v>86</v>
      </c>
      <c r="G2588" s="62" t="s">
        <v>0</v>
      </c>
    </row>
    <row r="2589" spans="1:7">
      <c r="A2589" s="15" t="s">
        <v>2956</v>
      </c>
      <c r="B2589" s="63" t="s">
        <v>160</v>
      </c>
      <c r="C2589" s="64">
        <v>38</v>
      </c>
      <c r="D2589" s="65">
        <v>1.1000000000000001</v>
      </c>
      <c r="E2589" s="67" t="s">
        <v>100</v>
      </c>
      <c r="F2589" s="62" t="s">
        <v>77</v>
      </c>
      <c r="G2589" s="62" t="s">
        <v>1</v>
      </c>
    </row>
    <row r="2590" spans="1:7">
      <c r="A2590" s="15" t="s">
        <v>2957</v>
      </c>
      <c r="B2590" s="63" t="s">
        <v>160</v>
      </c>
      <c r="C2590" s="64">
        <v>39</v>
      </c>
      <c r="D2590" s="65">
        <v>2.33</v>
      </c>
      <c r="E2590" s="67" t="s">
        <v>81</v>
      </c>
      <c r="F2590" s="62" t="s">
        <v>87</v>
      </c>
      <c r="G2590" s="62" t="s">
        <v>2</v>
      </c>
    </row>
    <row r="2591" spans="1:7">
      <c r="A2591" s="15" t="s">
        <v>2958</v>
      </c>
      <c r="B2591" s="63" t="s">
        <v>160</v>
      </c>
      <c r="C2591" s="64">
        <v>40</v>
      </c>
      <c r="D2591" s="65">
        <v>2.31</v>
      </c>
      <c r="E2591" s="67" t="s">
        <v>76</v>
      </c>
      <c r="F2591" s="62" t="s">
        <v>85</v>
      </c>
      <c r="G2591" s="62" t="s">
        <v>0</v>
      </c>
    </row>
    <row r="2592" spans="1:7">
      <c r="A2592" s="15" t="s">
        <v>2959</v>
      </c>
      <c r="B2592" s="63" t="s">
        <v>160</v>
      </c>
      <c r="C2592" s="64">
        <v>41</v>
      </c>
      <c r="D2592" s="66">
        <v>5.0999999999999996</v>
      </c>
      <c r="E2592" s="67" t="s">
        <v>96</v>
      </c>
      <c r="F2592" s="51" t="s">
        <v>97</v>
      </c>
      <c r="G2592" s="62" t="s">
        <v>0</v>
      </c>
    </row>
    <row r="2593" spans="1:7">
      <c r="A2593" s="15" t="s">
        <v>2960</v>
      </c>
      <c r="B2593" s="63" t="s">
        <v>160</v>
      </c>
      <c r="C2593" s="64">
        <v>42</v>
      </c>
      <c r="D2593" s="65">
        <v>3.2</v>
      </c>
      <c r="E2593" s="67" t="s">
        <v>76</v>
      </c>
      <c r="F2593" s="62" t="s">
        <v>91</v>
      </c>
      <c r="G2593" s="62" t="s">
        <v>4</v>
      </c>
    </row>
    <row r="2594" spans="1:7">
      <c r="A2594" s="15" t="s">
        <v>2961</v>
      </c>
      <c r="B2594" s="63" t="s">
        <v>160</v>
      </c>
      <c r="C2594" s="64">
        <v>43</v>
      </c>
      <c r="D2594" s="65">
        <v>2.34</v>
      </c>
      <c r="E2594" s="67" t="s">
        <v>93</v>
      </c>
      <c r="F2594" s="62" t="s">
        <v>88</v>
      </c>
      <c r="G2594" s="62" t="s">
        <v>4</v>
      </c>
    </row>
    <row r="2595" spans="1:7">
      <c r="A2595" s="15" t="s">
        <v>2962</v>
      </c>
      <c r="B2595" s="63" t="s">
        <v>160</v>
      </c>
      <c r="C2595" s="64">
        <v>44</v>
      </c>
      <c r="D2595" s="65">
        <v>2.35</v>
      </c>
      <c r="E2595" s="67" t="s">
        <v>81</v>
      </c>
      <c r="F2595" s="62" t="s">
        <v>89</v>
      </c>
      <c r="G2595" s="62" t="s">
        <v>4</v>
      </c>
    </row>
    <row r="2596" spans="1:7">
      <c r="A2596" s="15" t="s">
        <v>2963</v>
      </c>
      <c r="B2596" s="63" t="s">
        <v>160</v>
      </c>
      <c r="C2596" s="64">
        <v>45</v>
      </c>
      <c r="D2596" s="65">
        <v>5.0999999999999996</v>
      </c>
      <c r="E2596" s="67" t="s">
        <v>96</v>
      </c>
      <c r="F2596" s="62" t="s">
        <v>97</v>
      </c>
      <c r="G2596" s="62" t="s">
        <v>0</v>
      </c>
    </row>
    <row r="2597" spans="1:7">
      <c r="A2597" s="15" t="s">
        <v>2964</v>
      </c>
      <c r="B2597" s="63" t="s">
        <v>160</v>
      </c>
      <c r="C2597" s="64">
        <v>46</v>
      </c>
      <c r="D2597" s="65">
        <v>1.1000000000000001</v>
      </c>
      <c r="E2597" s="67" t="s">
        <v>100</v>
      </c>
      <c r="F2597" s="62" t="s">
        <v>77</v>
      </c>
      <c r="G2597" s="62" t="s">
        <v>2</v>
      </c>
    </row>
    <row r="2598" spans="1:7">
      <c r="A2598" s="15" t="s">
        <v>2965</v>
      </c>
      <c r="B2598" s="63" t="s">
        <v>160</v>
      </c>
      <c r="C2598" s="64">
        <v>47</v>
      </c>
      <c r="D2598" s="65">
        <v>3.2</v>
      </c>
      <c r="E2598" s="67" t="s">
        <v>100</v>
      </c>
      <c r="F2598" s="62" t="s">
        <v>91</v>
      </c>
      <c r="G2598" s="62" t="s">
        <v>1</v>
      </c>
    </row>
    <row r="2599" spans="1:7">
      <c r="A2599" s="15" t="s">
        <v>2966</v>
      </c>
      <c r="B2599" s="63" t="s">
        <v>160</v>
      </c>
      <c r="C2599" s="64">
        <v>48</v>
      </c>
      <c r="D2599" s="65">
        <v>2.35</v>
      </c>
      <c r="E2599" s="67" t="s">
        <v>81</v>
      </c>
      <c r="F2599" s="62" t="s">
        <v>89</v>
      </c>
      <c r="G2599" s="62" t="s">
        <v>0</v>
      </c>
    </row>
    <row r="2600" spans="1:7">
      <c r="A2600" s="15" t="s">
        <v>2967</v>
      </c>
      <c r="B2600" s="63" t="s">
        <v>160</v>
      </c>
      <c r="C2600" s="64">
        <v>49</v>
      </c>
      <c r="D2600" s="65">
        <v>4.0999999999999996</v>
      </c>
      <c r="E2600" s="67" t="s">
        <v>81</v>
      </c>
      <c r="F2600" s="62" t="s">
        <v>94</v>
      </c>
      <c r="G2600" s="62" t="s">
        <v>4</v>
      </c>
    </row>
    <row r="2601" spans="1:7">
      <c r="A2601" s="15" t="s">
        <v>2968</v>
      </c>
      <c r="B2601" s="63" t="s">
        <v>160</v>
      </c>
      <c r="C2601" s="64">
        <v>50</v>
      </c>
      <c r="D2601" s="65">
        <v>6.3</v>
      </c>
      <c r="E2601" s="67" t="s">
        <v>28</v>
      </c>
      <c r="F2601" s="62" t="s">
        <v>103</v>
      </c>
      <c r="G2601" s="62" t="s">
        <v>0</v>
      </c>
    </row>
    <row r="2602" spans="1:7">
      <c r="A2602" s="15" t="s">
        <v>2969</v>
      </c>
      <c r="B2602" s="63" t="s">
        <v>161</v>
      </c>
      <c r="C2602" s="64">
        <v>1</v>
      </c>
      <c r="D2602" s="66">
        <v>1.1000000000000001</v>
      </c>
      <c r="E2602" s="67" t="s">
        <v>81</v>
      </c>
      <c r="F2602" s="51" t="s">
        <v>77</v>
      </c>
      <c r="G2602" s="62" t="s">
        <v>2</v>
      </c>
    </row>
    <row r="2603" spans="1:7">
      <c r="A2603" s="15" t="s">
        <v>2970</v>
      </c>
      <c r="B2603" s="63" t="s">
        <v>161</v>
      </c>
      <c r="C2603" s="64">
        <v>2</v>
      </c>
      <c r="D2603" s="66">
        <v>2.2000000000000002</v>
      </c>
      <c r="E2603" s="67" t="s">
        <v>76</v>
      </c>
      <c r="F2603" s="51" t="s">
        <v>83</v>
      </c>
      <c r="G2603" s="62" t="s">
        <v>3</v>
      </c>
    </row>
    <row r="2604" spans="1:7">
      <c r="A2604" s="15" t="s">
        <v>2971</v>
      </c>
      <c r="B2604" s="63" t="s">
        <v>161</v>
      </c>
      <c r="C2604" s="64">
        <v>3</v>
      </c>
      <c r="D2604" s="65">
        <v>5.3</v>
      </c>
      <c r="E2604" s="72" t="s">
        <v>76</v>
      </c>
      <c r="F2604" s="62" t="s">
        <v>99</v>
      </c>
      <c r="G2604" s="62" t="s">
        <v>4</v>
      </c>
    </row>
    <row r="2605" spans="1:7">
      <c r="A2605" s="15" t="s">
        <v>2972</v>
      </c>
      <c r="B2605" s="63" t="s">
        <v>161</v>
      </c>
      <c r="C2605" s="64">
        <v>4</v>
      </c>
      <c r="D2605" s="65">
        <v>2.1</v>
      </c>
      <c r="E2605" s="72" t="s">
        <v>81</v>
      </c>
      <c r="F2605" s="62" t="s">
        <v>82</v>
      </c>
      <c r="G2605" s="62" t="s">
        <v>1</v>
      </c>
    </row>
    <row r="2606" spans="1:7">
      <c r="A2606" s="15" t="s">
        <v>2973</v>
      </c>
      <c r="B2606" s="63" t="s">
        <v>161</v>
      </c>
      <c r="C2606" s="64">
        <v>5</v>
      </c>
      <c r="D2606" s="65">
        <v>2.34</v>
      </c>
      <c r="E2606" s="72" t="s">
        <v>81</v>
      </c>
      <c r="F2606" s="62" t="s">
        <v>88</v>
      </c>
      <c r="G2606" s="62" t="s">
        <v>3</v>
      </c>
    </row>
    <row r="2607" spans="1:7">
      <c r="A2607" s="15" t="s">
        <v>2974</v>
      </c>
      <c r="B2607" s="63" t="s">
        <v>161</v>
      </c>
      <c r="C2607" s="64">
        <v>6</v>
      </c>
      <c r="D2607" s="65">
        <v>3.2</v>
      </c>
      <c r="E2607" s="72" t="s">
        <v>76</v>
      </c>
      <c r="F2607" s="62" t="s">
        <v>91</v>
      </c>
      <c r="G2607" s="62" t="s">
        <v>0</v>
      </c>
    </row>
    <row r="2608" spans="1:7">
      <c r="A2608" s="15" t="s">
        <v>2975</v>
      </c>
      <c r="B2608" s="63" t="s">
        <v>161</v>
      </c>
      <c r="C2608" s="64">
        <v>7</v>
      </c>
      <c r="D2608" s="65">
        <v>2.2000000000000002</v>
      </c>
      <c r="E2608" s="72" t="s">
        <v>96</v>
      </c>
      <c r="F2608" s="62" t="s">
        <v>83</v>
      </c>
      <c r="G2608" s="62" t="s">
        <v>4</v>
      </c>
    </row>
    <row r="2609" spans="1:7">
      <c r="A2609" s="15" t="s">
        <v>2976</v>
      </c>
      <c r="B2609" s="63" t="s">
        <v>161</v>
      </c>
      <c r="C2609" s="64">
        <v>8</v>
      </c>
      <c r="D2609" s="65">
        <v>5.3</v>
      </c>
      <c r="E2609" s="72" t="s">
        <v>81</v>
      </c>
      <c r="F2609" s="62" t="s">
        <v>99</v>
      </c>
      <c r="G2609" s="62" t="s">
        <v>1</v>
      </c>
    </row>
    <row r="2610" spans="1:7">
      <c r="A2610" s="15" t="s">
        <v>2977</v>
      </c>
      <c r="B2610" s="63" t="s">
        <v>161</v>
      </c>
      <c r="C2610" s="64">
        <v>9</v>
      </c>
      <c r="D2610" s="65">
        <v>2.1</v>
      </c>
      <c r="E2610" s="72" t="s">
        <v>96</v>
      </c>
      <c r="F2610" s="62" t="s">
        <v>82</v>
      </c>
      <c r="G2610" s="62" t="s">
        <v>2</v>
      </c>
    </row>
    <row r="2611" spans="1:7">
      <c r="A2611" s="15" t="s">
        <v>2978</v>
      </c>
      <c r="B2611" s="63" t="s">
        <v>161</v>
      </c>
      <c r="C2611" s="64">
        <v>10</v>
      </c>
      <c r="D2611" s="65">
        <v>2.31</v>
      </c>
      <c r="E2611" s="72" t="s">
        <v>81</v>
      </c>
      <c r="F2611" s="62" t="s">
        <v>85</v>
      </c>
      <c r="G2611" s="62" t="s">
        <v>2</v>
      </c>
    </row>
    <row r="2612" spans="1:7">
      <c r="A2612" s="15" t="s">
        <v>2979</v>
      </c>
      <c r="B2612" s="63" t="s">
        <v>161</v>
      </c>
      <c r="C2612" s="64">
        <v>11</v>
      </c>
      <c r="D2612" s="65">
        <v>5.0999999999999996</v>
      </c>
      <c r="E2612" s="72" t="s">
        <v>81</v>
      </c>
      <c r="F2612" s="62" t="s">
        <v>97</v>
      </c>
      <c r="G2612" s="62" t="s">
        <v>4</v>
      </c>
    </row>
    <row r="2613" spans="1:7">
      <c r="A2613" s="15" t="s">
        <v>2980</v>
      </c>
      <c r="B2613" s="63" t="s">
        <v>161</v>
      </c>
      <c r="C2613" s="64">
        <v>12</v>
      </c>
      <c r="D2613" s="65">
        <v>2.35</v>
      </c>
      <c r="E2613" s="72" t="s">
        <v>96</v>
      </c>
      <c r="F2613" s="62" t="s">
        <v>89</v>
      </c>
      <c r="G2613" s="62" t="s">
        <v>0</v>
      </c>
    </row>
    <row r="2614" spans="1:7">
      <c r="A2614" s="15" t="s">
        <v>2981</v>
      </c>
      <c r="B2614" s="63" t="s">
        <v>161</v>
      </c>
      <c r="C2614" s="64">
        <v>13</v>
      </c>
      <c r="D2614" s="65">
        <v>5.3</v>
      </c>
      <c r="E2614" s="72" t="s">
        <v>28</v>
      </c>
      <c r="F2614" s="62" t="s">
        <v>99</v>
      </c>
      <c r="G2614" s="62" t="s">
        <v>1</v>
      </c>
    </row>
    <row r="2615" spans="1:7">
      <c r="A2615" s="15" t="s">
        <v>2982</v>
      </c>
      <c r="B2615" s="63" t="s">
        <v>161</v>
      </c>
      <c r="C2615" s="64">
        <v>14</v>
      </c>
      <c r="D2615" s="65">
        <v>2.35</v>
      </c>
      <c r="E2615" s="72" t="s">
        <v>81</v>
      </c>
      <c r="F2615" s="62" t="s">
        <v>89</v>
      </c>
      <c r="G2615" s="62" t="s">
        <v>2</v>
      </c>
    </row>
    <row r="2616" spans="1:7">
      <c r="A2616" s="15" t="s">
        <v>2983</v>
      </c>
      <c r="B2616" s="63" t="s">
        <v>161</v>
      </c>
      <c r="C2616" s="64">
        <v>15</v>
      </c>
      <c r="D2616" s="65">
        <v>3.1</v>
      </c>
      <c r="E2616" s="72" t="s">
        <v>81</v>
      </c>
      <c r="F2616" s="62" t="s">
        <v>90</v>
      </c>
      <c r="G2616" s="62" t="s">
        <v>1</v>
      </c>
    </row>
    <row r="2617" spans="1:7">
      <c r="A2617" s="15" t="s">
        <v>2984</v>
      </c>
      <c r="B2617" s="63" t="s">
        <v>161</v>
      </c>
      <c r="C2617" s="64">
        <v>16</v>
      </c>
      <c r="D2617" s="65">
        <v>3.1</v>
      </c>
      <c r="E2617" s="72" t="s">
        <v>96</v>
      </c>
      <c r="F2617" s="62" t="s">
        <v>90</v>
      </c>
      <c r="G2617" s="62" t="s">
        <v>0</v>
      </c>
    </row>
    <row r="2618" spans="1:7">
      <c r="A2618" s="15" t="s">
        <v>2985</v>
      </c>
      <c r="B2618" s="63" t="s">
        <v>161</v>
      </c>
      <c r="C2618" s="64">
        <v>17</v>
      </c>
      <c r="D2618" s="65">
        <v>6.1</v>
      </c>
      <c r="E2618" s="72" t="s">
        <v>81</v>
      </c>
      <c r="F2618" s="62" t="s">
        <v>101</v>
      </c>
      <c r="G2618" s="62" t="s">
        <v>0</v>
      </c>
    </row>
    <row r="2619" spans="1:7">
      <c r="A2619" s="15" t="s">
        <v>2986</v>
      </c>
      <c r="B2619" s="63" t="s">
        <v>161</v>
      </c>
      <c r="C2619" s="64">
        <v>18</v>
      </c>
      <c r="D2619" s="65">
        <v>2.33</v>
      </c>
      <c r="E2619" s="72" t="s">
        <v>100</v>
      </c>
      <c r="F2619" s="62" t="s">
        <v>87</v>
      </c>
      <c r="G2619" s="62" t="s">
        <v>4</v>
      </c>
    </row>
    <row r="2620" spans="1:7">
      <c r="A2620" s="15" t="s">
        <v>2987</v>
      </c>
      <c r="B2620" s="63" t="s">
        <v>161</v>
      </c>
      <c r="C2620" s="64">
        <v>19</v>
      </c>
      <c r="D2620" s="65">
        <v>2.1</v>
      </c>
      <c r="E2620" s="72" t="s">
        <v>28</v>
      </c>
      <c r="F2620" s="62" t="s">
        <v>82</v>
      </c>
      <c r="G2620" s="62" t="s">
        <v>3</v>
      </c>
    </row>
    <row r="2621" spans="1:7">
      <c r="A2621" s="15" t="s">
        <v>2988</v>
      </c>
      <c r="B2621" s="63" t="s">
        <v>161</v>
      </c>
      <c r="C2621" s="64">
        <v>20</v>
      </c>
      <c r="D2621" s="65">
        <v>6.3</v>
      </c>
      <c r="E2621" s="72" t="s">
        <v>81</v>
      </c>
      <c r="F2621" s="62" t="s">
        <v>103</v>
      </c>
      <c r="G2621" s="62" t="s">
        <v>2</v>
      </c>
    </row>
    <row r="2622" spans="1:7">
      <c r="A2622" s="15" t="s">
        <v>2989</v>
      </c>
      <c r="B2622" s="63" t="s">
        <v>161</v>
      </c>
      <c r="C2622" s="64">
        <v>21</v>
      </c>
      <c r="D2622" s="65">
        <v>6.3</v>
      </c>
      <c r="E2622" s="72" t="s">
        <v>76</v>
      </c>
      <c r="F2622" s="62" t="s">
        <v>103</v>
      </c>
      <c r="G2622" s="62" t="s">
        <v>0</v>
      </c>
    </row>
    <row r="2623" spans="1:7">
      <c r="A2623" s="15" t="s">
        <v>2990</v>
      </c>
      <c r="B2623" s="63" t="s">
        <v>161</v>
      </c>
      <c r="C2623" s="64">
        <v>22</v>
      </c>
      <c r="D2623" s="65">
        <v>1.3</v>
      </c>
      <c r="E2623" s="72" t="s">
        <v>81</v>
      </c>
      <c r="F2623" s="62" t="s">
        <v>79</v>
      </c>
      <c r="G2623" s="62" t="s">
        <v>2</v>
      </c>
    </row>
    <row r="2624" spans="1:7">
      <c r="A2624" s="15" t="s">
        <v>2991</v>
      </c>
      <c r="B2624" s="63" t="s">
        <v>161</v>
      </c>
      <c r="C2624" s="64">
        <v>23</v>
      </c>
      <c r="D2624" s="65">
        <v>2.31</v>
      </c>
      <c r="E2624" s="72" t="s">
        <v>81</v>
      </c>
      <c r="F2624" s="62" t="s">
        <v>85</v>
      </c>
      <c r="G2624" s="62" t="s">
        <v>3</v>
      </c>
    </row>
    <row r="2625" spans="1:7">
      <c r="A2625" s="15" t="s">
        <v>2992</v>
      </c>
      <c r="B2625" s="63" t="s">
        <v>161</v>
      </c>
      <c r="C2625" s="64">
        <v>24</v>
      </c>
      <c r="D2625" s="65">
        <v>1.5</v>
      </c>
      <c r="E2625" s="72" t="s">
        <v>28</v>
      </c>
      <c r="F2625" s="62" t="s">
        <v>80</v>
      </c>
      <c r="G2625" s="62" t="s">
        <v>1</v>
      </c>
    </row>
    <row r="2626" spans="1:7">
      <c r="A2626" s="15" t="s">
        <v>2993</v>
      </c>
      <c r="B2626" s="63" t="s">
        <v>161</v>
      </c>
      <c r="C2626" s="64">
        <v>25</v>
      </c>
      <c r="D2626" s="65">
        <v>2.31</v>
      </c>
      <c r="E2626" s="72" t="s">
        <v>96</v>
      </c>
      <c r="F2626" s="62" t="s">
        <v>85</v>
      </c>
      <c r="G2626" s="62" t="s">
        <v>4</v>
      </c>
    </row>
    <row r="2627" spans="1:7">
      <c r="A2627" s="15" t="s">
        <v>2994</v>
      </c>
      <c r="B2627" s="63" t="s">
        <v>161</v>
      </c>
      <c r="C2627" s="64">
        <v>26</v>
      </c>
      <c r="D2627" s="65">
        <v>3.1</v>
      </c>
      <c r="E2627" s="72" t="s">
        <v>81</v>
      </c>
      <c r="F2627" s="62" t="s">
        <v>90</v>
      </c>
      <c r="G2627" s="62" t="s">
        <v>0</v>
      </c>
    </row>
    <row r="2628" spans="1:7">
      <c r="A2628" s="15" t="s">
        <v>2995</v>
      </c>
      <c r="B2628" s="63" t="s">
        <v>161</v>
      </c>
      <c r="C2628" s="64">
        <v>27</v>
      </c>
      <c r="D2628" s="65">
        <v>2.31</v>
      </c>
      <c r="E2628" s="72" t="s">
        <v>28</v>
      </c>
      <c r="F2628" s="62" t="s">
        <v>85</v>
      </c>
      <c r="G2628" s="62" t="s">
        <v>0</v>
      </c>
    </row>
    <row r="2629" spans="1:7">
      <c r="A2629" s="15" t="s">
        <v>2996</v>
      </c>
      <c r="B2629" s="63" t="s">
        <v>161</v>
      </c>
      <c r="C2629" s="64">
        <v>28</v>
      </c>
      <c r="D2629" s="65">
        <v>4.0999999999999996</v>
      </c>
      <c r="E2629" s="72" t="s">
        <v>81</v>
      </c>
      <c r="F2629" s="62" t="s">
        <v>94</v>
      </c>
      <c r="G2629" s="62" t="s">
        <v>2</v>
      </c>
    </row>
    <row r="2630" spans="1:7">
      <c r="A2630" s="15" t="s">
        <v>2997</v>
      </c>
      <c r="B2630" s="63" t="s">
        <v>161</v>
      </c>
      <c r="C2630" s="64">
        <v>29</v>
      </c>
      <c r="D2630" s="65">
        <v>2.35</v>
      </c>
      <c r="E2630" s="72" t="s">
        <v>76</v>
      </c>
      <c r="F2630" s="62" t="s">
        <v>89</v>
      </c>
      <c r="G2630" s="62" t="s">
        <v>2</v>
      </c>
    </row>
    <row r="2631" spans="1:7">
      <c r="A2631" s="15" t="s">
        <v>2998</v>
      </c>
      <c r="B2631" s="63" t="s">
        <v>161</v>
      </c>
      <c r="C2631" s="64">
        <v>30</v>
      </c>
      <c r="D2631" s="65">
        <v>2.34</v>
      </c>
      <c r="E2631" s="72" t="s">
        <v>28</v>
      </c>
      <c r="F2631" s="62" t="s">
        <v>88</v>
      </c>
      <c r="G2631" s="62" t="s">
        <v>0</v>
      </c>
    </row>
    <row r="2632" spans="1:7">
      <c r="A2632" s="15" t="s">
        <v>2999</v>
      </c>
      <c r="B2632" s="63" t="s">
        <v>161</v>
      </c>
      <c r="C2632" s="64">
        <v>31</v>
      </c>
      <c r="D2632" s="65">
        <v>1.1000000000000001</v>
      </c>
      <c r="E2632" s="72" t="s">
        <v>76</v>
      </c>
      <c r="F2632" s="62" t="s">
        <v>77</v>
      </c>
      <c r="G2632" s="62" t="s">
        <v>1</v>
      </c>
    </row>
    <row r="2633" spans="1:7">
      <c r="A2633" s="15" t="s">
        <v>3000</v>
      </c>
      <c r="B2633" s="63" t="s">
        <v>161</v>
      </c>
      <c r="C2633" s="64">
        <v>32</v>
      </c>
      <c r="D2633" s="65">
        <v>2.1</v>
      </c>
      <c r="E2633" s="72" t="s">
        <v>81</v>
      </c>
      <c r="F2633" s="62" t="s">
        <v>82</v>
      </c>
      <c r="G2633" s="62" t="s">
        <v>1</v>
      </c>
    </row>
    <row r="2634" spans="1:7">
      <c r="A2634" s="15" t="s">
        <v>3001</v>
      </c>
      <c r="B2634" s="63" t="s">
        <v>161</v>
      </c>
      <c r="C2634" s="64">
        <v>33</v>
      </c>
      <c r="D2634" s="65">
        <v>3.2</v>
      </c>
      <c r="E2634" s="72" t="s">
        <v>81</v>
      </c>
      <c r="F2634" s="62" t="s">
        <v>91</v>
      </c>
      <c r="G2634" s="62" t="s">
        <v>3</v>
      </c>
    </row>
    <row r="2635" spans="1:7">
      <c r="A2635" s="15" t="s">
        <v>3002</v>
      </c>
      <c r="B2635" s="63" t="s">
        <v>161</v>
      </c>
      <c r="C2635" s="64">
        <v>34</v>
      </c>
      <c r="D2635" s="65">
        <v>2.35</v>
      </c>
      <c r="E2635" s="72" t="s">
        <v>81</v>
      </c>
      <c r="F2635" s="62" t="s">
        <v>89</v>
      </c>
      <c r="G2635" s="62" t="s">
        <v>4</v>
      </c>
    </row>
    <row r="2636" spans="1:7">
      <c r="A2636" s="15" t="s">
        <v>3003</v>
      </c>
      <c r="B2636" s="63" t="s">
        <v>161</v>
      </c>
      <c r="C2636" s="64">
        <v>35</v>
      </c>
      <c r="D2636" s="65">
        <v>5.0999999999999996</v>
      </c>
      <c r="E2636" s="72" t="s">
        <v>96</v>
      </c>
      <c r="F2636" s="62" t="s">
        <v>97</v>
      </c>
      <c r="G2636" s="62" t="s">
        <v>2</v>
      </c>
    </row>
    <row r="2637" spans="1:7">
      <c r="A2637" s="15" t="s">
        <v>3004</v>
      </c>
      <c r="B2637" s="63" t="s">
        <v>161</v>
      </c>
      <c r="C2637" s="64">
        <v>36</v>
      </c>
      <c r="D2637" s="65">
        <v>1.3</v>
      </c>
      <c r="E2637" s="72" t="s">
        <v>100</v>
      </c>
      <c r="F2637" s="62" t="s">
        <v>79</v>
      </c>
      <c r="G2637" s="62" t="s">
        <v>4</v>
      </c>
    </row>
    <row r="2638" spans="1:7">
      <c r="A2638" s="15" t="s">
        <v>3005</v>
      </c>
      <c r="B2638" s="63" t="s">
        <v>161</v>
      </c>
      <c r="C2638" s="64">
        <v>37</v>
      </c>
      <c r="D2638" s="65">
        <v>1.6</v>
      </c>
      <c r="E2638" s="72" t="s">
        <v>81</v>
      </c>
      <c r="F2638" s="62" t="s">
        <v>27</v>
      </c>
      <c r="G2638" s="62" t="s">
        <v>2</v>
      </c>
    </row>
    <row r="2639" spans="1:7">
      <c r="A2639" s="15" t="s">
        <v>3006</v>
      </c>
      <c r="B2639" s="63" t="s">
        <v>161</v>
      </c>
      <c r="C2639" s="64">
        <v>38</v>
      </c>
      <c r="D2639" s="65">
        <v>6.3</v>
      </c>
      <c r="E2639" s="72" t="s">
        <v>76</v>
      </c>
      <c r="F2639" s="62" t="s">
        <v>103</v>
      </c>
      <c r="G2639" s="62" t="s">
        <v>0</v>
      </c>
    </row>
    <row r="2640" spans="1:7">
      <c r="A2640" s="15" t="s">
        <v>3007</v>
      </c>
      <c r="B2640" s="63" t="s">
        <v>161</v>
      </c>
      <c r="C2640" s="64">
        <v>39</v>
      </c>
      <c r="D2640" s="65">
        <v>2.1</v>
      </c>
      <c r="E2640" s="72" t="s">
        <v>76</v>
      </c>
      <c r="F2640" s="62" t="s">
        <v>82</v>
      </c>
      <c r="G2640" s="62" t="s">
        <v>1</v>
      </c>
    </row>
    <row r="2641" spans="1:7">
      <c r="A2641" s="15" t="s">
        <v>3008</v>
      </c>
      <c r="B2641" s="63" t="s">
        <v>161</v>
      </c>
      <c r="C2641" s="64">
        <v>40</v>
      </c>
      <c r="D2641" s="65">
        <v>1.4</v>
      </c>
      <c r="E2641" s="72" t="s">
        <v>96</v>
      </c>
      <c r="F2641" s="62" t="s">
        <v>30</v>
      </c>
      <c r="G2641" s="62" t="s">
        <v>4</v>
      </c>
    </row>
    <row r="2642" spans="1:7">
      <c r="A2642" s="15" t="s">
        <v>3009</v>
      </c>
      <c r="B2642" s="63" t="s">
        <v>161</v>
      </c>
      <c r="C2642" s="64">
        <v>41</v>
      </c>
      <c r="D2642" s="65">
        <v>5.2</v>
      </c>
      <c r="E2642" s="72" t="s">
        <v>81</v>
      </c>
      <c r="F2642" s="62" t="s">
        <v>98</v>
      </c>
      <c r="G2642" s="62" t="s">
        <v>3</v>
      </c>
    </row>
    <row r="2643" spans="1:7">
      <c r="A2643" s="15" t="s">
        <v>3010</v>
      </c>
      <c r="B2643" s="63" t="s">
        <v>161</v>
      </c>
      <c r="C2643" s="64">
        <v>42</v>
      </c>
      <c r="D2643" s="65">
        <v>1.3</v>
      </c>
      <c r="E2643" s="72" t="s">
        <v>93</v>
      </c>
      <c r="F2643" s="62" t="s">
        <v>79</v>
      </c>
      <c r="G2643" s="62" t="s">
        <v>0</v>
      </c>
    </row>
    <row r="2644" spans="1:7">
      <c r="A2644" s="15" t="s">
        <v>3011</v>
      </c>
      <c r="B2644" s="63" t="s">
        <v>161</v>
      </c>
      <c r="C2644" s="64">
        <v>43</v>
      </c>
      <c r="D2644" s="65">
        <v>4.0999999999999996</v>
      </c>
      <c r="E2644" s="72" t="s">
        <v>100</v>
      </c>
      <c r="F2644" s="62" t="s">
        <v>94</v>
      </c>
      <c r="G2644" s="62" t="s">
        <v>1</v>
      </c>
    </row>
    <row r="2645" spans="1:7">
      <c r="A2645" s="15" t="s">
        <v>3012</v>
      </c>
      <c r="B2645" s="63" t="s">
        <v>161</v>
      </c>
      <c r="C2645" s="64">
        <v>44</v>
      </c>
      <c r="D2645" s="65">
        <v>2.31</v>
      </c>
      <c r="E2645" s="72" t="s">
        <v>28</v>
      </c>
      <c r="F2645" s="62" t="s">
        <v>85</v>
      </c>
      <c r="G2645" s="62" t="s">
        <v>4</v>
      </c>
    </row>
    <row r="2646" spans="1:7">
      <c r="A2646" s="15" t="s">
        <v>3013</v>
      </c>
      <c r="B2646" s="63" t="s">
        <v>161</v>
      </c>
      <c r="C2646" s="64">
        <v>45</v>
      </c>
      <c r="D2646" s="65">
        <v>5.2</v>
      </c>
      <c r="E2646" s="72" t="s">
        <v>93</v>
      </c>
      <c r="F2646" s="62" t="s">
        <v>98</v>
      </c>
      <c r="G2646" s="62" t="s">
        <v>0</v>
      </c>
    </row>
    <row r="2647" spans="1:7">
      <c r="A2647" s="15" t="s">
        <v>3014</v>
      </c>
      <c r="B2647" s="63" t="s">
        <v>161</v>
      </c>
      <c r="C2647" s="64">
        <v>46</v>
      </c>
      <c r="D2647" s="65">
        <v>6.3</v>
      </c>
      <c r="E2647" s="72" t="s">
        <v>100</v>
      </c>
      <c r="F2647" s="62" t="s">
        <v>103</v>
      </c>
      <c r="G2647" s="62" t="s">
        <v>4</v>
      </c>
    </row>
    <row r="2648" spans="1:7">
      <c r="A2648" s="15" t="s">
        <v>3015</v>
      </c>
      <c r="B2648" s="63" t="s">
        <v>161</v>
      </c>
      <c r="C2648" s="64">
        <v>47</v>
      </c>
      <c r="D2648" s="65">
        <v>6.4</v>
      </c>
      <c r="E2648" s="72" t="s">
        <v>28</v>
      </c>
      <c r="F2648" s="62" t="s">
        <v>104</v>
      </c>
      <c r="G2648" s="62" t="s">
        <v>0</v>
      </c>
    </row>
    <row r="2649" spans="1:7">
      <c r="A2649" s="15" t="s">
        <v>3016</v>
      </c>
      <c r="B2649" s="63" t="s">
        <v>161</v>
      </c>
      <c r="C2649" s="64">
        <v>48</v>
      </c>
      <c r="D2649" s="65">
        <v>2.35</v>
      </c>
      <c r="E2649" s="72" t="s">
        <v>81</v>
      </c>
      <c r="F2649" s="62" t="s">
        <v>89</v>
      </c>
      <c r="G2649" s="62" t="s">
        <v>2</v>
      </c>
    </row>
    <row r="2650" spans="1:7">
      <c r="A2650" s="15" t="s">
        <v>3017</v>
      </c>
      <c r="B2650" s="63" t="s">
        <v>161</v>
      </c>
      <c r="C2650" s="64">
        <v>49</v>
      </c>
      <c r="D2650" s="65">
        <v>2.1</v>
      </c>
      <c r="E2650" s="72" t="s">
        <v>28</v>
      </c>
      <c r="F2650" s="62" t="s">
        <v>82</v>
      </c>
      <c r="G2650" s="62" t="s">
        <v>2</v>
      </c>
    </row>
    <row r="2651" spans="1:7">
      <c r="A2651" s="15" t="s">
        <v>3018</v>
      </c>
      <c r="B2651" s="63" t="s">
        <v>161</v>
      </c>
      <c r="C2651" s="64">
        <v>50</v>
      </c>
      <c r="D2651" s="65">
        <v>3.2</v>
      </c>
      <c r="E2651" s="72" t="s">
        <v>76</v>
      </c>
      <c r="F2651" s="62" t="s">
        <v>91</v>
      </c>
      <c r="G2651" s="62" t="s">
        <v>3</v>
      </c>
    </row>
    <row r="2652" spans="1:7">
      <c r="A2652" s="15" t="s">
        <v>3019</v>
      </c>
      <c r="B2652" s="63" t="s">
        <v>162</v>
      </c>
      <c r="C2652" s="71">
        <v>1</v>
      </c>
      <c r="D2652" s="65">
        <v>2.2000000000000002</v>
      </c>
      <c r="E2652" s="72" t="s">
        <v>81</v>
      </c>
      <c r="F2652" s="62" t="s">
        <v>83</v>
      </c>
      <c r="G2652" s="62" t="s">
        <v>4</v>
      </c>
    </row>
    <row r="2653" spans="1:7">
      <c r="A2653" s="15" t="s">
        <v>3020</v>
      </c>
      <c r="B2653" s="63" t="s">
        <v>162</v>
      </c>
      <c r="C2653" s="71">
        <v>2</v>
      </c>
      <c r="D2653" s="66">
        <v>1.5</v>
      </c>
      <c r="E2653" s="67" t="s">
        <v>81</v>
      </c>
      <c r="F2653" s="51" t="s">
        <v>80</v>
      </c>
      <c r="G2653" s="62" t="s">
        <v>2</v>
      </c>
    </row>
    <row r="2654" spans="1:7">
      <c r="A2654" s="15" t="s">
        <v>3021</v>
      </c>
      <c r="B2654" s="69" t="s">
        <v>162</v>
      </c>
      <c r="C2654" s="71">
        <v>3</v>
      </c>
      <c r="D2654" s="65">
        <v>1.1000000000000001</v>
      </c>
      <c r="E2654" s="72" t="s">
        <v>81</v>
      </c>
      <c r="F2654" s="62" t="s">
        <v>77</v>
      </c>
      <c r="G2654" s="62" t="s">
        <v>0</v>
      </c>
    </row>
    <row r="2655" spans="1:7">
      <c r="A2655" s="15" t="s">
        <v>3022</v>
      </c>
      <c r="B2655" s="69" t="s">
        <v>162</v>
      </c>
      <c r="C2655" s="71">
        <v>4</v>
      </c>
      <c r="D2655" s="65">
        <v>2.31</v>
      </c>
      <c r="E2655" s="72" t="s">
        <v>76</v>
      </c>
      <c r="F2655" s="62" t="s">
        <v>85</v>
      </c>
      <c r="G2655" s="62" t="s">
        <v>4</v>
      </c>
    </row>
    <row r="2656" spans="1:7">
      <c r="A2656" s="15" t="s">
        <v>3023</v>
      </c>
      <c r="B2656" s="69" t="s">
        <v>162</v>
      </c>
      <c r="C2656" s="71">
        <v>5</v>
      </c>
      <c r="D2656" s="65">
        <v>2.35</v>
      </c>
      <c r="E2656" s="72" t="s">
        <v>81</v>
      </c>
      <c r="F2656" s="62" t="s">
        <v>89</v>
      </c>
      <c r="G2656" s="62" t="s">
        <v>1</v>
      </c>
    </row>
    <row r="2657" spans="1:7">
      <c r="A2657" s="15" t="s">
        <v>3024</v>
      </c>
      <c r="B2657" s="69" t="s">
        <v>162</v>
      </c>
      <c r="C2657" s="71">
        <v>6</v>
      </c>
      <c r="D2657" s="65">
        <v>1.1000000000000001</v>
      </c>
      <c r="E2657" s="72" t="s">
        <v>81</v>
      </c>
      <c r="F2657" s="62" t="s">
        <v>77</v>
      </c>
      <c r="G2657" s="62" t="s">
        <v>2</v>
      </c>
    </row>
    <row r="2658" spans="1:7">
      <c r="A2658" s="15" t="s">
        <v>3025</v>
      </c>
      <c r="B2658" s="69" t="s">
        <v>162</v>
      </c>
      <c r="C2658" s="71">
        <v>7</v>
      </c>
      <c r="D2658" s="65">
        <v>5.3</v>
      </c>
      <c r="E2658" s="72" t="s">
        <v>81</v>
      </c>
      <c r="F2658" s="62" t="s">
        <v>99</v>
      </c>
      <c r="G2658" s="62" t="s">
        <v>0</v>
      </c>
    </row>
    <row r="2659" spans="1:7">
      <c r="A2659" s="15" t="s">
        <v>3026</v>
      </c>
      <c r="B2659" s="69" t="s">
        <v>162</v>
      </c>
      <c r="C2659" s="71">
        <v>8</v>
      </c>
      <c r="D2659" s="65">
        <v>2.2000000000000002</v>
      </c>
      <c r="E2659" s="72" t="s">
        <v>96</v>
      </c>
      <c r="F2659" s="62" t="s">
        <v>83</v>
      </c>
      <c r="G2659" s="62" t="s">
        <v>3</v>
      </c>
    </row>
    <row r="2660" spans="1:7">
      <c r="A2660" s="15" t="s">
        <v>3027</v>
      </c>
      <c r="B2660" s="69" t="s">
        <v>162</v>
      </c>
      <c r="C2660" s="71">
        <v>9</v>
      </c>
      <c r="D2660" s="65">
        <v>5.0999999999999996</v>
      </c>
      <c r="E2660" s="72" t="s">
        <v>96</v>
      </c>
      <c r="F2660" s="62" t="s">
        <v>97</v>
      </c>
      <c r="G2660" s="62" t="s">
        <v>1</v>
      </c>
    </row>
    <row r="2661" spans="1:7">
      <c r="A2661" s="15" t="s">
        <v>3028</v>
      </c>
      <c r="B2661" s="69" t="s">
        <v>162</v>
      </c>
      <c r="C2661" s="71">
        <v>10</v>
      </c>
      <c r="D2661" s="65">
        <v>2.1</v>
      </c>
      <c r="E2661" s="72" t="s">
        <v>81</v>
      </c>
      <c r="F2661" s="62" t="s">
        <v>82</v>
      </c>
      <c r="G2661" s="62" t="s">
        <v>0</v>
      </c>
    </row>
    <row r="2662" spans="1:7">
      <c r="A2662" s="15" t="s">
        <v>3029</v>
      </c>
      <c r="B2662" s="69" t="s">
        <v>162</v>
      </c>
      <c r="C2662" s="71">
        <v>11</v>
      </c>
      <c r="D2662" s="65">
        <v>3.3</v>
      </c>
      <c r="E2662" s="72" t="s">
        <v>28</v>
      </c>
      <c r="F2662" s="62" t="s">
        <v>92</v>
      </c>
      <c r="G2662" s="62" t="s">
        <v>2</v>
      </c>
    </row>
    <row r="2663" spans="1:7">
      <c r="A2663" s="15" t="s">
        <v>3030</v>
      </c>
      <c r="B2663" s="69" t="s">
        <v>162</v>
      </c>
      <c r="C2663" s="71">
        <v>12</v>
      </c>
      <c r="D2663" s="65">
        <v>5.0999999999999996</v>
      </c>
      <c r="E2663" s="72" t="s">
        <v>100</v>
      </c>
      <c r="F2663" s="62" t="s">
        <v>97</v>
      </c>
      <c r="G2663" s="62" t="s">
        <v>0</v>
      </c>
    </row>
    <row r="2664" spans="1:7">
      <c r="A2664" s="15" t="s">
        <v>3031</v>
      </c>
      <c r="B2664" s="69" t="s">
        <v>162</v>
      </c>
      <c r="C2664" s="71">
        <v>13</v>
      </c>
      <c r="D2664" s="65">
        <v>3.1</v>
      </c>
      <c r="E2664" s="72" t="s">
        <v>93</v>
      </c>
      <c r="F2664" s="62" t="s">
        <v>90</v>
      </c>
      <c r="G2664" s="62" t="s">
        <v>1</v>
      </c>
    </row>
    <row r="2665" spans="1:7">
      <c r="A2665" s="15" t="s">
        <v>3032</v>
      </c>
      <c r="B2665" s="69" t="s">
        <v>162</v>
      </c>
      <c r="C2665" s="71">
        <v>14</v>
      </c>
      <c r="D2665" s="65">
        <v>2.31</v>
      </c>
      <c r="E2665" s="72" t="s">
        <v>81</v>
      </c>
      <c r="F2665" s="62" t="s">
        <v>85</v>
      </c>
      <c r="G2665" s="62" t="s">
        <v>3</v>
      </c>
    </row>
    <row r="2666" spans="1:7">
      <c r="A2666" s="15" t="s">
        <v>3033</v>
      </c>
      <c r="B2666" s="69" t="s">
        <v>162</v>
      </c>
      <c r="C2666" s="71">
        <v>15</v>
      </c>
      <c r="D2666" s="65">
        <v>2.35</v>
      </c>
      <c r="E2666" s="72" t="s">
        <v>81</v>
      </c>
      <c r="F2666" s="62" t="s">
        <v>89</v>
      </c>
      <c r="G2666" s="62" t="s">
        <v>3</v>
      </c>
    </row>
    <row r="2667" spans="1:7">
      <c r="A2667" s="15" t="s">
        <v>3034</v>
      </c>
      <c r="B2667" s="69" t="s">
        <v>162</v>
      </c>
      <c r="C2667" s="71">
        <v>16</v>
      </c>
      <c r="D2667" s="65">
        <v>5.3</v>
      </c>
      <c r="E2667" s="72" t="s">
        <v>81</v>
      </c>
      <c r="F2667" s="62" t="s">
        <v>99</v>
      </c>
      <c r="G2667" s="62" t="s">
        <v>4</v>
      </c>
    </row>
    <row r="2668" spans="1:7">
      <c r="A2668" s="15" t="s">
        <v>3035</v>
      </c>
      <c r="B2668" s="69" t="s">
        <v>162</v>
      </c>
      <c r="C2668" s="71">
        <v>17</v>
      </c>
      <c r="D2668" s="65">
        <v>3.1</v>
      </c>
      <c r="E2668" s="72" t="s">
        <v>96</v>
      </c>
      <c r="F2668" s="62" t="s">
        <v>90</v>
      </c>
      <c r="G2668" s="62" t="s">
        <v>1</v>
      </c>
    </row>
    <row r="2669" spans="1:7">
      <c r="A2669" s="15" t="s">
        <v>3036</v>
      </c>
      <c r="B2669" s="69" t="s">
        <v>162</v>
      </c>
      <c r="C2669" s="71">
        <v>18</v>
      </c>
      <c r="D2669" s="65">
        <v>6.1</v>
      </c>
      <c r="E2669" s="72" t="s">
        <v>76</v>
      </c>
      <c r="F2669" s="62" t="s">
        <v>101</v>
      </c>
      <c r="G2669" s="62" t="s">
        <v>0</v>
      </c>
    </row>
    <row r="2670" spans="1:7">
      <c r="A2670" s="15" t="s">
        <v>3037</v>
      </c>
      <c r="B2670" s="69" t="s">
        <v>162</v>
      </c>
      <c r="C2670" s="71">
        <v>19</v>
      </c>
      <c r="D2670" s="65">
        <v>3.1</v>
      </c>
      <c r="E2670" s="72" t="s">
        <v>76</v>
      </c>
      <c r="F2670" s="62" t="s">
        <v>90</v>
      </c>
      <c r="G2670" s="62" t="s">
        <v>2</v>
      </c>
    </row>
    <row r="2671" spans="1:7">
      <c r="A2671" s="15" t="s">
        <v>3038</v>
      </c>
      <c r="B2671" s="69" t="s">
        <v>162</v>
      </c>
      <c r="C2671" s="71">
        <v>20</v>
      </c>
      <c r="D2671" s="65">
        <v>2.35</v>
      </c>
      <c r="E2671" s="72" t="s">
        <v>81</v>
      </c>
      <c r="F2671" s="62" t="s">
        <v>89</v>
      </c>
      <c r="G2671" s="62" t="s">
        <v>0</v>
      </c>
    </row>
    <row r="2672" spans="1:7">
      <c r="A2672" s="15" t="s">
        <v>3039</v>
      </c>
      <c r="B2672" s="69" t="s">
        <v>162</v>
      </c>
      <c r="C2672" s="71">
        <v>21</v>
      </c>
      <c r="D2672" s="65">
        <v>1.3</v>
      </c>
      <c r="E2672" s="72" t="s">
        <v>81</v>
      </c>
      <c r="F2672" s="62" t="s">
        <v>79</v>
      </c>
      <c r="G2672" s="62" t="s">
        <v>4</v>
      </c>
    </row>
    <row r="2673" spans="1:7">
      <c r="A2673" s="15" t="s">
        <v>3040</v>
      </c>
      <c r="B2673" s="69" t="s">
        <v>162</v>
      </c>
      <c r="C2673" s="71">
        <v>22</v>
      </c>
      <c r="D2673" s="65">
        <v>2.31</v>
      </c>
      <c r="E2673" s="72" t="s">
        <v>93</v>
      </c>
      <c r="F2673" s="62" t="s">
        <v>85</v>
      </c>
      <c r="G2673" s="62" t="s">
        <v>3</v>
      </c>
    </row>
    <row r="2674" spans="1:7">
      <c r="A2674" s="15" t="s">
        <v>3041</v>
      </c>
      <c r="B2674" s="69" t="s">
        <v>162</v>
      </c>
      <c r="C2674" s="71">
        <v>23</v>
      </c>
      <c r="D2674" s="65">
        <v>2.31</v>
      </c>
      <c r="E2674" s="72" t="s">
        <v>28</v>
      </c>
      <c r="F2674" s="62" t="s">
        <v>85</v>
      </c>
      <c r="G2674" s="62" t="s">
        <v>1</v>
      </c>
    </row>
    <row r="2675" spans="1:7">
      <c r="A2675" s="15" t="s">
        <v>3042</v>
      </c>
      <c r="B2675" s="69" t="s">
        <v>162</v>
      </c>
      <c r="C2675" s="71">
        <v>24</v>
      </c>
      <c r="D2675" s="65">
        <v>3.2</v>
      </c>
      <c r="E2675" s="72" t="s">
        <v>76</v>
      </c>
      <c r="F2675" s="62" t="s">
        <v>91</v>
      </c>
      <c r="G2675" s="62" t="s">
        <v>2</v>
      </c>
    </row>
    <row r="2676" spans="1:7">
      <c r="A2676" s="15" t="s">
        <v>3043</v>
      </c>
      <c r="B2676" s="69" t="s">
        <v>162</v>
      </c>
      <c r="C2676" s="71">
        <v>25</v>
      </c>
      <c r="D2676" s="65">
        <v>5.0999999999999996</v>
      </c>
      <c r="E2676" s="72" t="s">
        <v>81</v>
      </c>
      <c r="F2676" s="62" t="s">
        <v>97</v>
      </c>
      <c r="G2676" s="62" t="s">
        <v>2</v>
      </c>
    </row>
    <row r="2677" spans="1:7">
      <c r="A2677" s="15" t="s">
        <v>3044</v>
      </c>
      <c r="B2677" s="69" t="s">
        <v>162</v>
      </c>
      <c r="C2677" s="71">
        <v>26</v>
      </c>
      <c r="D2677" s="65">
        <v>2.35</v>
      </c>
      <c r="E2677" s="72" t="s">
        <v>81</v>
      </c>
      <c r="F2677" s="62" t="s">
        <v>89</v>
      </c>
      <c r="G2677" s="62" t="s">
        <v>3</v>
      </c>
    </row>
    <row r="2678" spans="1:7">
      <c r="A2678" s="15" t="s">
        <v>3045</v>
      </c>
      <c r="B2678" s="69" t="s">
        <v>162</v>
      </c>
      <c r="C2678" s="71">
        <v>27</v>
      </c>
      <c r="D2678" s="65">
        <v>3.2</v>
      </c>
      <c r="E2678" s="72" t="s">
        <v>96</v>
      </c>
      <c r="F2678" s="62" t="s">
        <v>91</v>
      </c>
      <c r="G2678" s="62" t="s">
        <v>0</v>
      </c>
    </row>
    <row r="2679" spans="1:7">
      <c r="A2679" s="15" t="s">
        <v>3046</v>
      </c>
      <c r="B2679" s="69" t="s">
        <v>162</v>
      </c>
      <c r="C2679" s="71">
        <v>28</v>
      </c>
      <c r="D2679" s="65">
        <v>2.31</v>
      </c>
      <c r="E2679" s="72" t="s">
        <v>81</v>
      </c>
      <c r="F2679" s="62" t="s">
        <v>85</v>
      </c>
      <c r="G2679" s="62" t="s">
        <v>4</v>
      </c>
    </row>
    <row r="2680" spans="1:7">
      <c r="A2680" s="15" t="s">
        <v>3047</v>
      </c>
      <c r="B2680" s="69" t="s">
        <v>162</v>
      </c>
      <c r="C2680" s="71">
        <v>29</v>
      </c>
      <c r="D2680" s="65">
        <v>1.1000000000000001</v>
      </c>
      <c r="E2680" s="72" t="s">
        <v>96</v>
      </c>
      <c r="F2680" s="62" t="s">
        <v>77</v>
      </c>
      <c r="G2680" s="62" t="s">
        <v>3</v>
      </c>
    </row>
    <row r="2681" spans="1:7">
      <c r="A2681" s="15" t="s">
        <v>3048</v>
      </c>
      <c r="B2681" s="69" t="s">
        <v>162</v>
      </c>
      <c r="C2681" s="71">
        <v>30</v>
      </c>
      <c r="D2681" s="65">
        <v>3.1</v>
      </c>
      <c r="E2681" s="72" t="s">
        <v>28</v>
      </c>
      <c r="F2681" s="62" t="s">
        <v>90</v>
      </c>
      <c r="G2681" s="62" t="s">
        <v>0</v>
      </c>
    </row>
    <row r="2682" spans="1:7">
      <c r="A2682" s="15" t="s">
        <v>3049</v>
      </c>
      <c r="B2682" s="69" t="s">
        <v>162</v>
      </c>
      <c r="C2682" s="71">
        <v>31</v>
      </c>
      <c r="D2682" s="65">
        <v>1.3</v>
      </c>
      <c r="E2682" s="72" t="s">
        <v>28</v>
      </c>
      <c r="F2682" s="62" t="s">
        <v>79</v>
      </c>
      <c r="G2682" s="62" t="s">
        <v>4</v>
      </c>
    </row>
    <row r="2683" spans="1:7">
      <c r="A2683" s="15" t="s">
        <v>3050</v>
      </c>
      <c r="B2683" s="69" t="s">
        <v>162</v>
      </c>
      <c r="C2683" s="71">
        <v>32</v>
      </c>
      <c r="D2683" s="65">
        <v>2.35</v>
      </c>
      <c r="E2683" s="72" t="s">
        <v>96</v>
      </c>
      <c r="F2683" s="62" t="s">
        <v>89</v>
      </c>
      <c r="G2683" s="62" t="s">
        <v>2</v>
      </c>
    </row>
    <row r="2684" spans="1:7">
      <c r="A2684" s="15" t="s">
        <v>3051</v>
      </c>
      <c r="B2684" s="69" t="s">
        <v>162</v>
      </c>
      <c r="C2684" s="71">
        <v>33</v>
      </c>
      <c r="D2684" s="65">
        <v>2.1</v>
      </c>
      <c r="E2684" s="72" t="s">
        <v>28</v>
      </c>
      <c r="F2684" s="62" t="s">
        <v>82</v>
      </c>
      <c r="G2684" s="62" t="s">
        <v>3</v>
      </c>
    </row>
    <row r="2685" spans="1:7">
      <c r="A2685" s="15" t="s">
        <v>3052</v>
      </c>
      <c r="B2685" s="69" t="s">
        <v>162</v>
      </c>
      <c r="C2685" s="71">
        <v>34</v>
      </c>
      <c r="D2685" s="65">
        <v>2.34</v>
      </c>
      <c r="E2685" s="72" t="s">
        <v>28</v>
      </c>
      <c r="F2685" s="62" t="s">
        <v>88</v>
      </c>
      <c r="G2685" s="62" t="s">
        <v>2</v>
      </c>
    </row>
    <row r="2686" spans="1:7">
      <c r="A2686" s="15" t="s">
        <v>3053</v>
      </c>
      <c r="B2686" s="69" t="s">
        <v>162</v>
      </c>
      <c r="C2686" s="71">
        <v>35</v>
      </c>
      <c r="D2686" s="65">
        <v>5.3</v>
      </c>
      <c r="E2686" s="72" t="s">
        <v>76</v>
      </c>
      <c r="F2686" s="62" t="s">
        <v>99</v>
      </c>
      <c r="G2686" s="62" t="s">
        <v>3</v>
      </c>
    </row>
    <row r="2687" spans="1:7">
      <c r="A2687" s="15" t="s">
        <v>3054</v>
      </c>
      <c r="B2687" s="69" t="s">
        <v>162</v>
      </c>
      <c r="C2687" s="71">
        <v>36</v>
      </c>
      <c r="D2687" s="65">
        <v>6.3</v>
      </c>
      <c r="E2687" s="72" t="s">
        <v>81</v>
      </c>
      <c r="F2687" s="62" t="s">
        <v>103</v>
      </c>
      <c r="G2687" s="62" t="s">
        <v>1</v>
      </c>
    </row>
    <row r="2688" spans="1:7">
      <c r="A2688" s="15" t="s">
        <v>3055</v>
      </c>
      <c r="B2688" s="69" t="s">
        <v>162</v>
      </c>
      <c r="C2688" s="71">
        <v>37</v>
      </c>
      <c r="D2688" s="65">
        <v>2.3199999999999998</v>
      </c>
      <c r="E2688" s="72" t="s">
        <v>81</v>
      </c>
      <c r="F2688" s="62" t="s">
        <v>86</v>
      </c>
      <c r="G2688" s="62" t="s">
        <v>0</v>
      </c>
    </row>
    <row r="2689" spans="1:7">
      <c r="A2689" s="15" t="s">
        <v>3056</v>
      </c>
      <c r="B2689" s="69" t="s">
        <v>162</v>
      </c>
      <c r="C2689" s="71">
        <v>38</v>
      </c>
      <c r="D2689" s="65">
        <v>1.4</v>
      </c>
      <c r="E2689" s="72" t="s">
        <v>28</v>
      </c>
      <c r="F2689" s="62" t="s">
        <v>30</v>
      </c>
      <c r="G2689" s="62" t="s">
        <v>3</v>
      </c>
    </row>
    <row r="2690" spans="1:7">
      <c r="A2690" s="15" t="s">
        <v>3057</v>
      </c>
      <c r="B2690" s="69" t="s">
        <v>162</v>
      </c>
      <c r="C2690" s="71">
        <v>39</v>
      </c>
      <c r="D2690" s="65">
        <v>1.3</v>
      </c>
      <c r="E2690" s="72" t="s">
        <v>81</v>
      </c>
      <c r="F2690" s="62" t="s">
        <v>79</v>
      </c>
      <c r="G2690" s="62" t="s">
        <v>0</v>
      </c>
    </row>
    <row r="2691" spans="1:7">
      <c r="A2691" s="15" t="s">
        <v>3058</v>
      </c>
      <c r="B2691" s="69" t="s">
        <v>162</v>
      </c>
      <c r="C2691" s="71">
        <v>40</v>
      </c>
      <c r="D2691" s="65">
        <v>5.2</v>
      </c>
      <c r="E2691" s="72" t="s">
        <v>96</v>
      </c>
      <c r="F2691" s="62" t="s">
        <v>98</v>
      </c>
      <c r="G2691" s="62" t="s">
        <v>0</v>
      </c>
    </row>
    <row r="2692" spans="1:7">
      <c r="A2692" s="15" t="s">
        <v>3059</v>
      </c>
      <c r="B2692" s="69" t="s">
        <v>162</v>
      </c>
      <c r="C2692" s="71">
        <v>41</v>
      </c>
      <c r="D2692" s="65">
        <v>2.2000000000000002</v>
      </c>
      <c r="E2692" s="72" t="s">
        <v>81</v>
      </c>
      <c r="F2692" s="62" t="s">
        <v>83</v>
      </c>
      <c r="G2692" s="62" t="s">
        <v>4</v>
      </c>
    </row>
    <row r="2693" spans="1:7">
      <c r="A2693" s="15" t="s">
        <v>3060</v>
      </c>
      <c r="B2693" s="69" t="s">
        <v>162</v>
      </c>
      <c r="C2693" s="71">
        <v>42</v>
      </c>
      <c r="D2693" s="65">
        <v>4.0999999999999996</v>
      </c>
      <c r="E2693" s="72" t="s">
        <v>100</v>
      </c>
      <c r="F2693" s="62" t="s">
        <v>94</v>
      </c>
      <c r="G2693" s="62" t="s">
        <v>0</v>
      </c>
    </row>
    <row r="2694" spans="1:7">
      <c r="A2694" s="15" t="s">
        <v>3061</v>
      </c>
      <c r="B2694" s="69" t="s">
        <v>162</v>
      </c>
      <c r="C2694" s="71">
        <v>43</v>
      </c>
      <c r="D2694" s="65">
        <v>6.4</v>
      </c>
      <c r="E2694" s="72" t="s">
        <v>81</v>
      </c>
      <c r="F2694" s="62" t="s">
        <v>104</v>
      </c>
      <c r="G2694" s="62" t="s">
        <v>3</v>
      </c>
    </row>
    <row r="2695" spans="1:7">
      <c r="A2695" s="15" t="s">
        <v>3062</v>
      </c>
      <c r="B2695" s="69" t="s">
        <v>162</v>
      </c>
      <c r="C2695" s="71">
        <v>44</v>
      </c>
      <c r="D2695" s="65">
        <v>3.1</v>
      </c>
      <c r="E2695" s="72" t="s">
        <v>93</v>
      </c>
      <c r="F2695" s="62" t="s">
        <v>90</v>
      </c>
      <c r="G2695" s="62" t="s">
        <v>4</v>
      </c>
    </row>
    <row r="2696" spans="1:7">
      <c r="A2696" s="15" t="s">
        <v>3063</v>
      </c>
      <c r="B2696" s="69" t="s">
        <v>162</v>
      </c>
      <c r="C2696" s="71">
        <v>45</v>
      </c>
      <c r="D2696" s="65">
        <v>4.0999999999999996</v>
      </c>
      <c r="E2696" s="72" t="s">
        <v>28</v>
      </c>
      <c r="F2696" s="62" t="s">
        <v>94</v>
      </c>
      <c r="G2696" s="62" t="s">
        <v>0</v>
      </c>
    </row>
    <row r="2697" spans="1:7">
      <c r="A2697" s="15" t="s">
        <v>3064</v>
      </c>
      <c r="B2697" s="69" t="s">
        <v>162</v>
      </c>
      <c r="C2697" s="71">
        <v>46</v>
      </c>
      <c r="D2697" s="65">
        <v>6.3</v>
      </c>
      <c r="E2697" s="72" t="s">
        <v>81</v>
      </c>
      <c r="F2697" s="62" t="s">
        <v>103</v>
      </c>
      <c r="G2697" s="62" t="s">
        <v>1</v>
      </c>
    </row>
    <row r="2698" spans="1:7">
      <c r="A2698" s="15" t="s">
        <v>3065</v>
      </c>
      <c r="B2698" s="69" t="s">
        <v>162</v>
      </c>
      <c r="C2698" s="71">
        <v>47</v>
      </c>
      <c r="D2698" s="65">
        <v>3.3</v>
      </c>
      <c r="E2698" s="72" t="s">
        <v>100</v>
      </c>
      <c r="F2698" s="62" t="s">
        <v>92</v>
      </c>
      <c r="G2698" s="62" t="s">
        <v>4</v>
      </c>
    </row>
    <row r="2699" spans="1:7">
      <c r="A2699" s="15" t="s">
        <v>3066</v>
      </c>
      <c r="B2699" s="69" t="s">
        <v>162</v>
      </c>
      <c r="C2699" s="71">
        <v>48</v>
      </c>
      <c r="D2699" s="65">
        <v>2.2000000000000002</v>
      </c>
      <c r="E2699" s="72" t="s">
        <v>28</v>
      </c>
      <c r="F2699" s="62" t="s">
        <v>83</v>
      </c>
      <c r="G2699" s="62" t="s">
        <v>2</v>
      </c>
    </row>
    <row r="2700" spans="1:7">
      <c r="A2700" s="15" t="s">
        <v>3067</v>
      </c>
      <c r="B2700" s="69" t="s">
        <v>162</v>
      </c>
      <c r="C2700" s="71">
        <v>49</v>
      </c>
      <c r="D2700" s="65">
        <v>3.2</v>
      </c>
      <c r="E2700" s="72" t="s">
        <v>93</v>
      </c>
      <c r="F2700" s="62" t="s">
        <v>91</v>
      </c>
      <c r="G2700" s="62" t="s">
        <v>0</v>
      </c>
    </row>
    <row r="2701" spans="1:7">
      <c r="A2701" s="15" t="s">
        <v>3068</v>
      </c>
      <c r="B2701" s="69" t="s">
        <v>162</v>
      </c>
      <c r="C2701" s="64">
        <v>50</v>
      </c>
      <c r="D2701" s="66">
        <v>1.1000000000000001</v>
      </c>
      <c r="E2701" s="67" t="s">
        <v>81</v>
      </c>
      <c r="F2701" s="51" t="s">
        <v>77</v>
      </c>
      <c r="G2701" s="62" t="s">
        <v>3</v>
      </c>
    </row>
    <row r="2702" spans="1:7">
      <c r="A2702" s="15" t="s">
        <v>3069</v>
      </c>
      <c r="B2702" s="63" t="s">
        <v>163</v>
      </c>
      <c r="C2702" s="64">
        <v>1</v>
      </c>
      <c r="D2702" s="66">
        <v>2.1</v>
      </c>
      <c r="E2702" s="67" t="s">
        <v>81</v>
      </c>
      <c r="F2702" s="51" t="s">
        <v>82</v>
      </c>
      <c r="G2702" s="62" t="s">
        <v>2</v>
      </c>
    </row>
    <row r="2703" spans="1:7">
      <c r="A2703" s="15" t="s">
        <v>3070</v>
      </c>
      <c r="B2703" s="63" t="s">
        <v>163</v>
      </c>
      <c r="C2703" s="64">
        <v>2</v>
      </c>
      <c r="D2703" s="66">
        <v>2.2000000000000002</v>
      </c>
      <c r="E2703" s="67" t="s">
        <v>76</v>
      </c>
      <c r="F2703" s="51" t="s">
        <v>83</v>
      </c>
      <c r="G2703" s="62" t="s">
        <v>0</v>
      </c>
    </row>
    <row r="2704" spans="1:7">
      <c r="A2704" s="15" t="s">
        <v>3071</v>
      </c>
      <c r="B2704" s="63" t="s">
        <v>163</v>
      </c>
      <c r="C2704" s="64">
        <v>3</v>
      </c>
      <c r="D2704" s="65">
        <v>2.31</v>
      </c>
      <c r="E2704" s="72" t="s">
        <v>81</v>
      </c>
      <c r="F2704" s="62" t="s">
        <v>85</v>
      </c>
      <c r="G2704" s="62" t="s">
        <v>4</v>
      </c>
    </row>
    <row r="2705" spans="1:7">
      <c r="A2705" s="15" t="s">
        <v>3072</v>
      </c>
      <c r="B2705" s="63" t="s">
        <v>163</v>
      </c>
      <c r="C2705" s="64">
        <v>4</v>
      </c>
      <c r="D2705" s="65">
        <v>1.1000000000000001</v>
      </c>
      <c r="E2705" s="72" t="s">
        <v>81</v>
      </c>
      <c r="F2705" s="62" t="s">
        <v>77</v>
      </c>
      <c r="G2705" s="62" t="s">
        <v>1</v>
      </c>
    </row>
    <row r="2706" spans="1:7">
      <c r="A2706" s="15" t="s">
        <v>3073</v>
      </c>
      <c r="B2706" s="63" t="s">
        <v>163</v>
      </c>
      <c r="C2706" s="64">
        <v>5</v>
      </c>
      <c r="D2706" s="65">
        <v>2.35</v>
      </c>
      <c r="E2706" s="72" t="s">
        <v>81</v>
      </c>
      <c r="F2706" s="62" t="s">
        <v>89</v>
      </c>
      <c r="G2706" s="62" t="s">
        <v>0</v>
      </c>
    </row>
    <row r="2707" spans="1:7">
      <c r="A2707" s="15" t="s">
        <v>3074</v>
      </c>
      <c r="B2707" s="63" t="s">
        <v>163</v>
      </c>
      <c r="C2707" s="64">
        <v>6</v>
      </c>
      <c r="D2707" s="65">
        <v>2.1</v>
      </c>
      <c r="E2707" s="72" t="s">
        <v>100</v>
      </c>
      <c r="F2707" s="62" t="s">
        <v>82</v>
      </c>
      <c r="G2707" s="62" t="s">
        <v>0</v>
      </c>
    </row>
    <row r="2708" spans="1:7">
      <c r="A2708" s="15" t="s">
        <v>3075</v>
      </c>
      <c r="B2708" s="63" t="s">
        <v>163</v>
      </c>
      <c r="C2708" s="64">
        <v>7</v>
      </c>
      <c r="D2708" s="65">
        <v>2.31</v>
      </c>
      <c r="E2708" s="72" t="s">
        <v>81</v>
      </c>
      <c r="F2708" s="62" t="s">
        <v>85</v>
      </c>
      <c r="G2708" s="62" t="s">
        <v>2</v>
      </c>
    </row>
    <row r="2709" spans="1:7">
      <c r="A2709" s="15" t="s">
        <v>3076</v>
      </c>
      <c r="B2709" s="63" t="s">
        <v>163</v>
      </c>
      <c r="C2709" s="64">
        <v>8</v>
      </c>
      <c r="D2709" s="65">
        <v>5.0999999999999996</v>
      </c>
      <c r="E2709" s="72" t="s">
        <v>100</v>
      </c>
      <c r="F2709" s="62" t="s">
        <v>97</v>
      </c>
      <c r="G2709" s="62" t="s">
        <v>3</v>
      </c>
    </row>
    <row r="2710" spans="1:7">
      <c r="A2710" s="15" t="s">
        <v>3077</v>
      </c>
      <c r="B2710" s="63" t="s">
        <v>163</v>
      </c>
      <c r="C2710" s="64">
        <v>9</v>
      </c>
      <c r="D2710" s="65">
        <v>5.3</v>
      </c>
      <c r="E2710" s="72" t="s">
        <v>28</v>
      </c>
      <c r="F2710" s="62" t="s">
        <v>99</v>
      </c>
      <c r="G2710" s="62" t="s">
        <v>1</v>
      </c>
    </row>
    <row r="2711" spans="1:7">
      <c r="A2711" s="15" t="s">
        <v>3078</v>
      </c>
      <c r="B2711" s="63" t="s">
        <v>163</v>
      </c>
      <c r="C2711" s="64">
        <v>10</v>
      </c>
      <c r="D2711" s="65">
        <v>2.31</v>
      </c>
      <c r="E2711" s="72" t="s">
        <v>81</v>
      </c>
      <c r="F2711" s="62" t="s">
        <v>85</v>
      </c>
      <c r="G2711" s="62" t="s">
        <v>4</v>
      </c>
    </row>
    <row r="2712" spans="1:7">
      <c r="A2712" s="15" t="s">
        <v>3079</v>
      </c>
      <c r="B2712" s="63" t="s">
        <v>163</v>
      </c>
      <c r="C2712" s="64">
        <v>11</v>
      </c>
      <c r="D2712" s="65">
        <v>3.1</v>
      </c>
      <c r="E2712" s="72" t="s">
        <v>81</v>
      </c>
      <c r="F2712" s="62" t="s">
        <v>90</v>
      </c>
      <c r="G2712" s="62" t="s">
        <v>4</v>
      </c>
    </row>
    <row r="2713" spans="1:7">
      <c r="A2713" s="15" t="s">
        <v>3080</v>
      </c>
      <c r="B2713" s="63" t="s">
        <v>163</v>
      </c>
      <c r="C2713" s="64">
        <v>12</v>
      </c>
      <c r="D2713" s="65">
        <v>6.3</v>
      </c>
      <c r="E2713" s="72" t="s">
        <v>93</v>
      </c>
      <c r="F2713" s="62" t="s">
        <v>103</v>
      </c>
      <c r="G2713" s="62" t="s">
        <v>0</v>
      </c>
    </row>
    <row r="2714" spans="1:7">
      <c r="A2714" s="15" t="s">
        <v>3081</v>
      </c>
      <c r="B2714" s="63" t="s">
        <v>163</v>
      </c>
      <c r="C2714" s="64">
        <v>13</v>
      </c>
      <c r="D2714" s="65">
        <v>4.0999999999999996</v>
      </c>
      <c r="E2714" s="72" t="s">
        <v>100</v>
      </c>
      <c r="F2714" s="62" t="s">
        <v>94</v>
      </c>
      <c r="G2714" s="62" t="s">
        <v>2</v>
      </c>
    </row>
    <row r="2715" spans="1:7">
      <c r="A2715" s="15" t="s">
        <v>3082</v>
      </c>
      <c r="B2715" s="63" t="s">
        <v>163</v>
      </c>
      <c r="C2715" s="64">
        <v>14</v>
      </c>
      <c r="D2715" s="65">
        <v>2.31</v>
      </c>
      <c r="E2715" s="72" t="s">
        <v>81</v>
      </c>
      <c r="F2715" s="62" t="s">
        <v>85</v>
      </c>
      <c r="G2715" s="62" t="s">
        <v>3</v>
      </c>
    </row>
    <row r="2716" spans="1:7">
      <c r="A2716" s="15" t="s">
        <v>3083</v>
      </c>
      <c r="B2716" s="63" t="s">
        <v>163</v>
      </c>
      <c r="C2716" s="64">
        <v>15</v>
      </c>
      <c r="D2716" s="65">
        <v>2.1</v>
      </c>
      <c r="E2716" s="72" t="s">
        <v>28</v>
      </c>
      <c r="F2716" s="62" t="s">
        <v>82</v>
      </c>
      <c r="G2716" s="62" t="s">
        <v>4</v>
      </c>
    </row>
    <row r="2717" spans="1:7">
      <c r="A2717" s="15" t="s">
        <v>3084</v>
      </c>
      <c r="B2717" s="63" t="s">
        <v>163</v>
      </c>
      <c r="C2717" s="64">
        <v>16</v>
      </c>
      <c r="D2717" s="65">
        <v>3.1</v>
      </c>
      <c r="E2717" s="72" t="s">
        <v>81</v>
      </c>
      <c r="F2717" s="62" t="s">
        <v>90</v>
      </c>
      <c r="G2717" s="62" t="s">
        <v>1</v>
      </c>
    </row>
    <row r="2718" spans="1:7">
      <c r="A2718" s="15" t="s">
        <v>3085</v>
      </c>
      <c r="B2718" s="63" t="s">
        <v>163</v>
      </c>
      <c r="C2718" s="64">
        <v>17</v>
      </c>
      <c r="D2718" s="65">
        <v>5.3</v>
      </c>
      <c r="E2718" s="72" t="s">
        <v>81</v>
      </c>
      <c r="F2718" s="62" t="s">
        <v>99</v>
      </c>
      <c r="G2718" s="62" t="s">
        <v>0</v>
      </c>
    </row>
    <row r="2719" spans="1:7">
      <c r="A2719" s="15" t="s">
        <v>3086</v>
      </c>
      <c r="B2719" s="63" t="s">
        <v>163</v>
      </c>
      <c r="C2719" s="64">
        <v>18</v>
      </c>
      <c r="D2719" s="65">
        <v>1.1000000000000001</v>
      </c>
      <c r="E2719" s="72" t="s">
        <v>76</v>
      </c>
      <c r="F2719" s="62" t="s">
        <v>77</v>
      </c>
      <c r="G2719" s="62" t="s">
        <v>3</v>
      </c>
    </row>
    <row r="2720" spans="1:7">
      <c r="A2720" s="15" t="s">
        <v>3087</v>
      </c>
      <c r="B2720" s="63" t="s">
        <v>163</v>
      </c>
      <c r="C2720" s="64">
        <v>19</v>
      </c>
      <c r="D2720" s="65">
        <v>1.1000000000000001</v>
      </c>
      <c r="E2720" s="72" t="s">
        <v>81</v>
      </c>
      <c r="F2720" s="62" t="s">
        <v>77</v>
      </c>
      <c r="G2720" s="62" t="s">
        <v>1</v>
      </c>
    </row>
    <row r="2721" spans="1:7">
      <c r="A2721" s="15" t="s">
        <v>3088</v>
      </c>
      <c r="B2721" s="63" t="s">
        <v>163</v>
      </c>
      <c r="C2721" s="64">
        <v>20</v>
      </c>
      <c r="D2721" s="65">
        <v>1.1000000000000001</v>
      </c>
      <c r="E2721" s="72" t="s">
        <v>93</v>
      </c>
      <c r="F2721" s="62" t="s">
        <v>77</v>
      </c>
      <c r="G2721" s="62" t="s">
        <v>2</v>
      </c>
    </row>
    <row r="2722" spans="1:7">
      <c r="A2722" s="15" t="s">
        <v>3089</v>
      </c>
      <c r="B2722" s="63" t="s">
        <v>163</v>
      </c>
      <c r="C2722" s="64">
        <v>21</v>
      </c>
      <c r="D2722" s="65">
        <v>2.2000000000000002</v>
      </c>
      <c r="E2722" s="72" t="s">
        <v>96</v>
      </c>
      <c r="F2722" s="62" t="s">
        <v>83</v>
      </c>
      <c r="G2722" s="62" t="s">
        <v>4</v>
      </c>
    </row>
    <row r="2723" spans="1:7">
      <c r="A2723" s="15" t="s">
        <v>3090</v>
      </c>
      <c r="B2723" s="63" t="s">
        <v>163</v>
      </c>
      <c r="C2723" s="64">
        <v>22</v>
      </c>
      <c r="D2723" s="65">
        <v>4.2</v>
      </c>
      <c r="E2723" s="72" t="s">
        <v>81</v>
      </c>
      <c r="F2723" s="62" t="s">
        <v>95</v>
      </c>
      <c r="G2723" s="62" t="s">
        <v>2</v>
      </c>
    </row>
    <row r="2724" spans="1:7">
      <c r="A2724" s="15" t="s">
        <v>3091</v>
      </c>
      <c r="B2724" s="63" t="s">
        <v>163</v>
      </c>
      <c r="C2724" s="64">
        <v>23</v>
      </c>
      <c r="D2724" s="65">
        <v>3.4</v>
      </c>
      <c r="E2724" s="72" t="s">
        <v>81</v>
      </c>
      <c r="F2724" s="62" t="s">
        <v>29</v>
      </c>
      <c r="G2724" s="62" t="s">
        <v>0</v>
      </c>
    </row>
    <row r="2725" spans="1:7">
      <c r="A2725" s="15" t="s">
        <v>3092</v>
      </c>
      <c r="B2725" s="63" t="s">
        <v>163</v>
      </c>
      <c r="C2725" s="64">
        <v>24</v>
      </c>
      <c r="D2725" s="65">
        <v>1.2</v>
      </c>
      <c r="E2725" s="72" t="s">
        <v>96</v>
      </c>
      <c r="F2725" s="62" t="s">
        <v>78</v>
      </c>
      <c r="G2725" s="62" t="s">
        <v>1</v>
      </c>
    </row>
    <row r="2726" spans="1:7">
      <c r="A2726" s="15" t="s">
        <v>3093</v>
      </c>
      <c r="B2726" s="63" t="s">
        <v>163</v>
      </c>
      <c r="C2726" s="64">
        <v>25</v>
      </c>
      <c r="D2726" s="65">
        <v>2.1</v>
      </c>
      <c r="E2726" s="72" t="s">
        <v>28</v>
      </c>
      <c r="F2726" s="62" t="s">
        <v>82</v>
      </c>
      <c r="G2726" s="62" t="s">
        <v>3</v>
      </c>
    </row>
    <row r="2727" spans="1:7">
      <c r="A2727" s="15" t="s">
        <v>3094</v>
      </c>
      <c r="B2727" s="63" t="s">
        <v>163</v>
      </c>
      <c r="C2727" s="64">
        <v>26</v>
      </c>
      <c r="D2727" s="65">
        <v>2.31</v>
      </c>
      <c r="E2727" s="72" t="s">
        <v>28</v>
      </c>
      <c r="F2727" s="62" t="s">
        <v>85</v>
      </c>
      <c r="G2727" s="62" t="s">
        <v>0</v>
      </c>
    </row>
    <row r="2728" spans="1:7">
      <c r="A2728" s="15" t="s">
        <v>3095</v>
      </c>
      <c r="B2728" s="63" t="s">
        <v>163</v>
      </c>
      <c r="C2728" s="64">
        <v>27</v>
      </c>
      <c r="D2728" s="65">
        <v>5.3</v>
      </c>
      <c r="E2728" s="72" t="s">
        <v>81</v>
      </c>
      <c r="F2728" s="62" t="s">
        <v>99</v>
      </c>
      <c r="G2728" s="62" t="s">
        <v>4</v>
      </c>
    </row>
    <row r="2729" spans="1:7">
      <c r="A2729" s="15" t="s">
        <v>3096</v>
      </c>
      <c r="B2729" s="63" t="s">
        <v>163</v>
      </c>
      <c r="C2729" s="64">
        <v>28</v>
      </c>
      <c r="D2729" s="65">
        <v>2.1</v>
      </c>
      <c r="E2729" s="72" t="s">
        <v>81</v>
      </c>
      <c r="F2729" s="62" t="s">
        <v>82</v>
      </c>
      <c r="G2729" s="62" t="s">
        <v>2</v>
      </c>
    </row>
    <row r="2730" spans="1:7">
      <c r="A2730" s="15" t="s">
        <v>3097</v>
      </c>
      <c r="B2730" s="63" t="s">
        <v>163</v>
      </c>
      <c r="C2730" s="64">
        <v>29</v>
      </c>
      <c r="D2730" s="65">
        <v>5.2</v>
      </c>
      <c r="E2730" s="72" t="s">
        <v>28</v>
      </c>
      <c r="F2730" s="62" t="s">
        <v>98</v>
      </c>
      <c r="G2730" s="62" t="s">
        <v>2</v>
      </c>
    </row>
    <row r="2731" spans="1:7">
      <c r="A2731" s="15" t="s">
        <v>3098</v>
      </c>
      <c r="B2731" s="63" t="s">
        <v>163</v>
      </c>
      <c r="C2731" s="64">
        <v>30</v>
      </c>
      <c r="D2731" s="65">
        <v>3.1</v>
      </c>
      <c r="E2731" s="72" t="s">
        <v>81</v>
      </c>
      <c r="F2731" s="62" t="s">
        <v>90</v>
      </c>
      <c r="G2731" s="62" t="s">
        <v>0</v>
      </c>
    </row>
    <row r="2732" spans="1:7">
      <c r="A2732" s="15" t="s">
        <v>3099</v>
      </c>
      <c r="B2732" s="63" t="s">
        <v>163</v>
      </c>
      <c r="C2732" s="64">
        <v>31</v>
      </c>
      <c r="D2732" s="65">
        <v>3.1</v>
      </c>
      <c r="E2732" s="72" t="s">
        <v>76</v>
      </c>
      <c r="F2732" s="62" t="s">
        <v>90</v>
      </c>
      <c r="G2732" s="62" t="s">
        <v>4</v>
      </c>
    </row>
    <row r="2733" spans="1:7">
      <c r="A2733" s="15" t="s">
        <v>3100</v>
      </c>
      <c r="B2733" s="63" t="s">
        <v>163</v>
      </c>
      <c r="C2733" s="64">
        <v>32</v>
      </c>
      <c r="D2733" s="65">
        <v>5.2</v>
      </c>
      <c r="E2733" s="72" t="s">
        <v>81</v>
      </c>
      <c r="F2733" s="62" t="s">
        <v>98</v>
      </c>
      <c r="G2733" s="62" t="s">
        <v>3</v>
      </c>
    </row>
    <row r="2734" spans="1:7">
      <c r="A2734" s="15" t="s">
        <v>3101</v>
      </c>
      <c r="B2734" s="63" t="s">
        <v>163</v>
      </c>
      <c r="C2734" s="64">
        <v>33</v>
      </c>
      <c r="D2734" s="65">
        <v>4.2</v>
      </c>
      <c r="E2734" s="72" t="s">
        <v>96</v>
      </c>
      <c r="F2734" s="62" t="s">
        <v>95</v>
      </c>
      <c r="G2734" s="62" t="s">
        <v>1</v>
      </c>
    </row>
    <row r="2735" spans="1:7">
      <c r="A2735" s="15" t="s">
        <v>3102</v>
      </c>
      <c r="B2735" s="63" t="s">
        <v>163</v>
      </c>
      <c r="C2735" s="64">
        <v>34</v>
      </c>
      <c r="D2735" s="65">
        <v>3.2</v>
      </c>
      <c r="E2735" s="72" t="s">
        <v>100</v>
      </c>
      <c r="F2735" s="62" t="s">
        <v>91</v>
      </c>
      <c r="G2735" s="62" t="s">
        <v>2</v>
      </c>
    </row>
    <row r="2736" spans="1:7">
      <c r="A2736" s="15" t="s">
        <v>3103</v>
      </c>
      <c r="B2736" s="63" t="s">
        <v>163</v>
      </c>
      <c r="C2736" s="64">
        <v>35</v>
      </c>
      <c r="D2736" s="65">
        <v>1.1000000000000001</v>
      </c>
      <c r="E2736" s="72" t="s">
        <v>81</v>
      </c>
      <c r="F2736" s="62" t="s">
        <v>77</v>
      </c>
      <c r="G2736" s="62" t="s">
        <v>3</v>
      </c>
    </row>
    <row r="2737" spans="1:7">
      <c r="A2737" s="15" t="s">
        <v>3104</v>
      </c>
      <c r="B2737" s="63" t="s">
        <v>163</v>
      </c>
      <c r="C2737" s="64">
        <v>36</v>
      </c>
      <c r="D2737" s="65">
        <v>2.31</v>
      </c>
      <c r="E2737" s="72" t="s">
        <v>81</v>
      </c>
      <c r="F2737" s="62" t="s">
        <v>85</v>
      </c>
      <c r="G2737" s="62" t="s">
        <v>0</v>
      </c>
    </row>
    <row r="2738" spans="1:7">
      <c r="A2738" s="15" t="s">
        <v>3105</v>
      </c>
      <c r="B2738" s="63" t="s">
        <v>163</v>
      </c>
      <c r="C2738" s="64">
        <v>37</v>
      </c>
      <c r="D2738" s="65">
        <v>2.35</v>
      </c>
      <c r="E2738" s="72" t="s">
        <v>96</v>
      </c>
      <c r="F2738" s="62" t="s">
        <v>89</v>
      </c>
      <c r="G2738" s="62" t="s">
        <v>3</v>
      </c>
    </row>
    <row r="2739" spans="1:7">
      <c r="A2739" s="15" t="s">
        <v>3106</v>
      </c>
      <c r="B2739" s="63" t="s">
        <v>163</v>
      </c>
      <c r="C2739" s="64">
        <v>38</v>
      </c>
      <c r="D2739" s="65">
        <v>3.2</v>
      </c>
      <c r="E2739" s="72" t="s">
        <v>76</v>
      </c>
      <c r="F2739" s="62" t="s">
        <v>91</v>
      </c>
      <c r="G2739" s="62" t="s">
        <v>4</v>
      </c>
    </row>
    <row r="2740" spans="1:7">
      <c r="A2740" s="15" t="s">
        <v>3107</v>
      </c>
      <c r="B2740" s="63" t="s">
        <v>163</v>
      </c>
      <c r="C2740" s="64">
        <v>39</v>
      </c>
      <c r="D2740" s="65">
        <v>2.3199999999999998</v>
      </c>
      <c r="E2740" s="72" t="s">
        <v>28</v>
      </c>
      <c r="F2740" s="62" t="s">
        <v>86</v>
      </c>
      <c r="G2740" s="62" t="s">
        <v>1</v>
      </c>
    </row>
    <row r="2741" spans="1:7">
      <c r="A2741" s="15" t="s">
        <v>3108</v>
      </c>
      <c r="B2741" s="63" t="s">
        <v>163</v>
      </c>
      <c r="C2741" s="64">
        <v>40</v>
      </c>
      <c r="D2741" s="65">
        <v>5.0999999999999996</v>
      </c>
      <c r="E2741" s="72" t="s">
        <v>81</v>
      </c>
      <c r="F2741" s="62" t="s">
        <v>97</v>
      </c>
      <c r="G2741" s="62" t="s">
        <v>0</v>
      </c>
    </row>
    <row r="2742" spans="1:7">
      <c r="A2742" s="15" t="s">
        <v>3109</v>
      </c>
      <c r="B2742" s="63" t="s">
        <v>163</v>
      </c>
      <c r="C2742" s="64">
        <v>41</v>
      </c>
      <c r="D2742" s="65">
        <v>2.34</v>
      </c>
      <c r="E2742" s="72" t="s">
        <v>76</v>
      </c>
      <c r="F2742" s="62" t="s">
        <v>88</v>
      </c>
      <c r="G2742" s="62" t="s">
        <v>2</v>
      </c>
    </row>
    <row r="2743" spans="1:7">
      <c r="A2743" s="15" t="s">
        <v>3110</v>
      </c>
      <c r="B2743" s="63" t="s">
        <v>163</v>
      </c>
      <c r="C2743" s="64">
        <v>42</v>
      </c>
      <c r="D2743" s="65">
        <v>6.3</v>
      </c>
      <c r="E2743" s="72" t="s">
        <v>81</v>
      </c>
      <c r="F2743" s="62" t="s">
        <v>103</v>
      </c>
      <c r="G2743" s="62" t="s">
        <v>1</v>
      </c>
    </row>
    <row r="2744" spans="1:7">
      <c r="A2744" s="15" t="s">
        <v>3111</v>
      </c>
      <c r="B2744" s="63" t="s">
        <v>163</v>
      </c>
      <c r="C2744" s="64">
        <v>43</v>
      </c>
      <c r="D2744" s="65">
        <v>2.34</v>
      </c>
      <c r="E2744" s="72" t="s">
        <v>28</v>
      </c>
      <c r="F2744" s="62" t="s">
        <v>88</v>
      </c>
      <c r="G2744" s="62" t="s">
        <v>3</v>
      </c>
    </row>
    <row r="2745" spans="1:7">
      <c r="A2745" s="15" t="s">
        <v>3112</v>
      </c>
      <c r="B2745" s="63" t="s">
        <v>163</v>
      </c>
      <c r="C2745" s="64">
        <v>44</v>
      </c>
      <c r="D2745" s="65">
        <v>4.0999999999999996</v>
      </c>
      <c r="E2745" s="72" t="s">
        <v>81</v>
      </c>
      <c r="F2745" s="62" t="s">
        <v>94</v>
      </c>
      <c r="G2745" s="62" t="s">
        <v>4</v>
      </c>
    </row>
    <row r="2746" spans="1:7">
      <c r="A2746" s="15" t="s">
        <v>3113</v>
      </c>
      <c r="B2746" s="63" t="s">
        <v>163</v>
      </c>
      <c r="C2746" s="64">
        <v>45</v>
      </c>
      <c r="D2746" s="65">
        <v>3.3</v>
      </c>
      <c r="E2746" s="72" t="s">
        <v>81</v>
      </c>
      <c r="F2746" s="62" t="s">
        <v>92</v>
      </c>
      <c r="G2746" s="62" t="s">
        <v>2</v>
      </c>
    </row>
    <row r="2747" spans="1:7">
      <c r="A2747" s="15" t="s">
        <v>3114</v>
      </c>
      <c r="B2747" s="63" t="s">
        <v>163</v>
      </c>
      <c r="C2747" s="64">
        <v>46</v>
      </c>
      <c r="D2747" s="65">
        <v>2.35</v>
      </c>
      <c r="E2747" s="72" t="s">
        <v>76</v>
      </c>
      <c r="F2747" s="62" t="s">
        <v>89</v>
      </c>
      <c r="G2747" s="62" t="s">
        <v>1</v>
      </c>
    </row>
    <row r="2748" spans="1:7">
      <c r="A2748" s="15" t="s">
        <v>3115</v>
      </c>
      <c r="B2748" s="63" t="s">
        <v>163</v>
      </c>
      <c r="C2748" s="64">
        <v>47</v>
      </c>
      <c r="D2748" s="65">
        <v>6.4</v>
      </c>
      <c r="E2748" s="72" t="s">
        <v>28</v>
      </c>
      <c r="F2748" s="62" t="s">
        <v>104</v>
      </c>
      <c r="G2748" s="62" t="s">
        <v>3</v>
      </c>
    </row>
    <row r="2749" spans="1:7">
      <c r="A2749" s="15" t="s">
        <v>3116</v>
      </c>
      <c r="B2749" s="63" t="s">
        <v>163</v>
      </c>
      <c r="C2749" s="64">
        <v>48</v>
      </c>
      <c r="D2749" s="65">
        <v>3.1</v>
      </c>
      <c r="E2749" s="72" t="s">
        <v>93</v>
      </c>
      <c r="F2749" s="62" t="s">
        <v>90</v>
      </c>
      <c r="G2749" s="62" t="s">
        <v>4</v>
      </c>
    </row>
    <row r="2750" spans="1:7">
      <c r="A2750" s="15" t="s">
        <v>3117</v>
      </c>
      <c r="B2750" s="63" t="s">
        <v>163</v>
      </c>
      <c r="C2750" s="64">
        <v>49</v>
      </c>
      <c r="D2750" s="65">
        <v>4.0999999999999996</v>
      </c>
      <c r="E2750" s="72" t="s">
        <v>76</v>
      </c>
      <c r="F2750" s="62" t="s">
        <v>94</v>
      </c>
      <c r="G2750" s="62" t="s">
        <v>0</v>
      </c>
    </row>
    <row r="2751" spans="1:7">
      <c r="A2751" s="15" t="s">
        <v>3118</v>
      </c>
      <c r="B2751" s="63" t="s">
        <v>163</v>
      </c>
      <c r="C2751" s="64">
        <v>50</v>
      </c>
      <c r="D2751" s="65">
        <v>2.1</v>
      </c>
      <c r="E2751" s="72" t="s">
        <v>81</v>
      </c>
      <c r="F2751" s="62" t="s">
        <v>82</v>
      </c>
      <c r="G2751" s="62" t="s">
        <v>0</v>
      </c>
    </row>
    <row r="2752" spans="1:7">
      <c r="A2752" s="15" t="s">
        <v>3119</v>
      </c>
      <c r="B2752" s="69" t="s">
        <v>164</v>
      </c>
      <c r="C2752" s="64">
        <v>1</v>
      </c>
      <c r="D2752" s="65">
        <v>2.1</v>
      </c>
      <c r="E2752" s="73" t="s">
        <v>81</v>
      </c>
      <c r="F2752" s="62" t="s">
        <v>82</v>
      </c>
      <c r="G2752" s="62" t="s">
        <v>2</v>
      </c>
    </row>
    <row r="2753" spans="1:7">
      <c r="A2753" s="15" t="s">
        <v>3120</v>
      </c>
      <c r="B2753" s="69" t="s">
        <v>164</v>
      </c>
      <c r="C2753" s="64">
        <v>2</v>
      </c>
      <c r="D2753" s="65">
        <v>1.1000000000000001</v>
      </c>
      <c r="E2753" s="73" t="s">
        <v>76</v>
      </c>
      <c r="F2753" s="62" t="s">
        <v>77</v>
      </c>
      <c r="G2753" s="62" t="s">
        <v>4</v>
      </c>
    </row>
    <row r="2754" spans="1:7">
      <c r="A2754" s="15" t="s">
        <v>3121</v>
      </c>
      <c r="B2754" s="69" t="s">
        <v>164</v>
      </c>
      <c r="C2754" s="64">
        <v>3</v>
      </c>
      <c r="D2754" s="65">
        <v>2.31</v>
      </c>
      <c r="E2754" s="73" t="s">
        <v>81</v>
      </c>
      <c r="F2754" s="62" t="s">
        <v>85</v>
      </c>
      <c r="G2754" s="62" t="s">
        <v>0</v>
      </c>
    </row>
    <row r="2755" spans="1:7">
      <c r="A2755" s="15" t="s">
        <v>3122</v>
      </c>
      <c r="B2755" s="69" t="s">
        <v>164</v>
      </c>
      <c r="C2755" s="64">
        <v>4</v>
      </c>
      <c r="D2755" s="65">
        <v>2.2000000000000002</v>
      </c>
      <c r="E2755" s="73" t="s">
        <v>81</v>
      </c>
      <c r="F2755" s="62" t="s">
        <v>83</v>
      </c>
      <c r="G2755" s="62" t="s">
        <v>3</v>
      </c>
    </row>
    <row r="2756" spans="1:7">
      <c r="A2756" s="15" t="s">
        <v>3123</v>
      </c>
      <c r="B2756" s="69" t="s">
        <v>164</v>
      </c>
      <c r="C2756" s="64">
        <v>5</v>
      </c>
      <c r="D2756" s="65">
        <v>2.35</v>
      </c>
      <c r="E2756" s="73" t="s">
        <v>81</v>
      </c>
      <c r="F2756" s="62" t="s">
        <v>89</v>
      </c>
      <c r="G2756" s="62" t="s">
        <v>1</v>
      </c>
    </row>
    <row r="2757" spans="1:7">
      <c r="A2757" s="15" t="s">
        <v>3124</v>
      </c>
      <c r="B2757" s="69" t="s">
        <v>164</v>
      </c>
      <c r="C2757" s="64">
        <v>6</v>
      </c>
      <c r="D2757" s="65">
        <v>6.1</v>
      </c>
      <c r="E2757" s="73" t="s">
        <v>100</v>
      </c>
      <c r="F2757" s="62" t="s">
        <v>101</v>
      </c>
      <c r="G2757" s="62" t="s">
        <v>3</v>
      </c>
    </row>
    <row r="2758" spans="1:7">
      <c r="A2758" s="15" t="s">
        <v>3125</v>
      </c>
      <c r="B2758" s="69" t="s">
        <v>164</v>
      </c>
      <c r="C2758" s="64">
        <v>7</v>
      </c>
      <c r="D2758" s="65">
        <v>2.35</v>
      </c>
      <c r="E2758" s="73" t="s">
        <v>81</v>
      </c>
      <c r="F2758" s="62" t="s">
        <v>89</v>
      </c>
      <c r="G2758" s="62" t="s">
        <v>2</v>
      </c>
    </row>
    <row r="2759" spans="1:7">
      <c r="A2759" s="15" t="s">
        <v>3126</v>
      </c>
      <c r="B2759" s="69" t="s">
        <v>164</v>
      </c>
      <c r="C2759" s="64">
        <v>8</v>
      </c>
      <c r="D2759" s="65">
        <v>6.1</v>
      </c>
      <c r="E2759" s="73" t="s">
        <v>100</v>
      </c>
      <c r="F2759" s="62" t="s">
        <v>101</v>
      </c>
      <c r="G2759" s="62" t="s">
        <v>0</v>
      </c>
    </row>
    <row r="2760" spans="1:7">
      <c r="A2760" s="15" t="s">
        <v>3127</v>
      </c>
      <c r="B2760" s="69" t="s">
        <v>164</v>
      </c>
      <c r="C2760" s="64">
        <v>9</v>
      </c>
      <c r="D2760" s="65">
        <v>3.1</v>
      </c>
      <c r="E2760" s="73" t="s">
        <v>28</v>
      </c>
      <c r="F2760" s="62" t="s">
        <v>90</v>
      </c>
      <c r="G2760" s="62" t="s">
        <v>4</v>
      </c>
    </row>
    <row r="2761" spans="1:7">
      <c r="A2761" s="15" t="s">
        <v>3128</v>
      </c>
      <c r="B2761" s="69" t="s">
        <v>164</v>
      </c>
      <c r="C2761" s="64">
        <v>10</v>
      </c>
      <c r="D2761" s="65">
        <v>2.1</v>
      </c>
      <c r="E2761" s="73" t="s">
        <v>81</v>
      </c>
      <c r="F2761" s="62" t="s">
        <v>82</v>
      </c>
      <c r="G2761" s="62" t="s">
        <v>4</v>
      </c>
    </row>
    <row r="2762" spans="1:7">
      <c r="A2762" s="15" t="s">
        <v>3129</v>
      </c>
      <c r="B2762" s="69" t="s">
        <v>164</v>
      </c>
      <c r="C2762" s="64">
        <v>11</v>
      </c>
      <c r="D2762" s="65">
        <v>2.2000000000000002</v>
      </c>
      <c r="E2762" s="73" t="s">
        <v>81</v>
      </c>
      <c r="F2762" s="62" t="s">
        <v>83</v>
      </c>
      <c r="G2762" s="62" t="s">
        <v>1</v>
      </c>
    </row>
    <row r="2763" spans="1:7">
      <c r="A2763" s="15" t="s">
        <v>3130</v>
      </c>
      <c r="B2763" s="69" t="s">
        <v>164</v>
      </c>
      <c r="C2763" s="64">
        <v>12</v>
      </c>
      <c r="D2763" s="65">
        <v>4.0999999999999996</v>
      </c>
      <c r="E2763" s="73" t="s">
        <v>93</v>
      </c>
      <c r="F2763" s="62" t="s">
        <v>94</v>
      </c>
      <c r="G2763" s="62" t="s">
        <v>2</v>
      </c>
    </row>
    <row r="2764" spans="1:7">
      <c r="A2764" s="15" t="s">
        <v>3131</v>
      </c>
      <c r="B2764" s="69" t="s">
        <v>164</v>
      </c>
      <c r="C2764" s="64">
        <v>13</v>
      </c>
      <c r="D2764" s="65">
        <v>6.3</v>
      </c>
      <c r="E2764" s="73" t="s">
        <v>81</v>
      </c>
      <c r="F2764" s="62" t="s">
        <v>103</v>
      </c>
      <c r="G2764" s="62" t="s">
        <v>0</v>
      </c>
    </row>
    <row r="2765" spans="1:7">
      <c r="A2765" s="15" t="s">
        <v>3132</v>
      </c>
      <c r="B2765" s="69" t="s">
        <v>164</v>
      </c>
      <c r="C2765" s="64">
        <v>14</v>
      </c>
      <c r="D2765" s="65">
        <v>2.3199999999999998</v>
      </c>
      <c r="E2765" s="73" t="s">
        <v>81</v>
      </c>
      <c r="F2765" s="62" t="s">
        <v>86</v>
      </c>
      <c r="G2765" s="62" t="s">
        <v>3</v>
      </c>
    </row>
    <row r="2766" spans="1:7">
      <c r="A2766" s="15" t="s">
        <v>3133</v>
      </c>
      <c r="B2766" s="69" t="s">
        <v>164</v>
      </c>
      <c r="C2766" s="64">
        <v>15</v>
      </c>
      <c r="D2766" s="65">
        <v>3.2</v>
      </c>
      <c r="E2766" s="73" t="s">
        <v>28</v>
      </c>
      <c r="F2766" s="62" t="s">
        <v>91</v>
      </c>
      <c r="G2766" s="62" t="s">
        <v>2</v>
      </c>
    </row>
    <row r="2767" spans="1:7">
      <c r="A2767" s="15" t="s">
        <v>3134</v>
      </c>
      <c r="B2767" s="69" t="s">
        <v>164</v>
      </c>
      <c r="C2767" s="64">
        <v>16</v>
      </c>
      <c r="D2767" s="65">
        <v>2.31</v>
      </c>
      <c r="E2767" s="73" t="s">
        <v>81</v>
      </c>
      <c r="F2767" s="62" t="s">
        <v>85</v>
      </c>
      <c r="G2767" s="62" t="s">
        <v>3</v>
      </c>
    </row>
    <row r="2768" spans="1:7">
      <c r="A2768" s="15" t="s">
        <v>3135</v>
      </c>
      <c r="B2768" s="69" t="s">
        <v>164</v>
      </c>
      <c r="C2768" s="64">
        <v>17</v>
      </c>
      <c r="D2768" s="65">
        <v>2.33</v>
      </c>
      <c r="E2768" s="73" t="s">
        <v>96</v>
      </c>
      <c r="F2768" s="62" t="s">
        <v>87</v>
      </c>
      <c r="G2768" s="62" t="s">
        <v>4</v>
      </c>
    </row>
    <row r="2769" spans="1:7">
      <c r="A2769" s="15" t="s">
        <v>3136</v>
      </c>
      <c r="B2769" s="69" t="s">
        <v>164</v>
      </c>
      <c r="C2769" s="64">
        <v>18</v>
      </c>
      <c r="D2769" s="65">
        <v>1.3</v>
      </c>
      <c r="E2769" s="73" t="s">
        <v>76</v>
      </c>
      <c r="F2769" s="62" t="s">
        <v>79</v>
      </c>
      <c r="G2769" s="62" t="s">
        <v>1</v>
      </c>
    </row>
    <row r="2770" spans="1:7">
      <c r="A2770" s="15" t="s">
        <v>3137</v>
      </c>
      <c r="B2770" s="69" t="s">
        <v>164</v>
      </c>
      <c r="C2770" s="64">
        <v>19</v>
      </c>
      <c r="D2770" s="65">
        <v>2.31</v>
      </c>
      <c r="E2770" s="73" t="s">
        <v>81</v>
      </c>
      <c r="F2770" s="62" t="s">
        <v>85</v>
      </c>
      <c r="G2770" s="62" t="s">
        <v>4</v>
      </c>
    </row>
    <row r="2771" spans="1:7">
      <c r="A2771" s="15" t="s">
        <v>3138</v>
      </c>
      <c r="B2771" s="69" t="s">
        <v>164</v>
      </c>
      <c r="C2771" s="64">
        <v>20</v>
      </c>
      <c r="D2771" s="65">
        <v>4.0999999999999996</v>
      </c>
      <c r="E2771" s="73" t="s">
        <v>93</v>
      </c>
      <c r="F2771" s="62" t="s">
        <v>94</v>
      </c>
      <c r="G2771" s="62" t="s">
        <v>0</v>
      </c>
    </row>
    <row r="2772" spans="1:7">
      <c r="A2772" s="15" t="s">
        <v>3139</v>
      </c>
      <c r="B2772" s="69" t="s">
        <v>164</v>
      </c>
      <c r="C2772" s="64">
        <v>21</v>
      </c>
      <c r="D2772" s="65">
        <v>5.0999999999999996</v>
      </c>
      <c r="E2772" s="73" t="s">
        <v>96</v>
      </c>
      <c r="F2772" s="62" t="s">
        <v>97</v>
      </c>
      <c r="G2772" s="62" t="s">
        <v>4</v>
      </c>
    </row>
    <row r="2773" spans="1:7">
      <c r="A2773" s="15" t="s">
        <v>3140</v>
      </c>
      <c r="B2773" s="69" t="s">
        <v>164</v>
      </c>
      <c r="C2773" s="64">
        <v>22</v>
      </c>
      <c r="D2773" s="65">
        <v>2.35</v>
      </c>
      <c r="E2773" s="73" t="s">
        <v>81</v>
      </c>
      <c r="F2773" s="62" t="s">
        <v>89</v>
      </c>
      <c r="G2773" s="62" t="s">
        <v>2</v>
      </c>
    </row>
    <row r="2774" spans="1:7">
      <c r="A2774" s="15" t="s">
        <v>3141</v>
      </c>
      <c r="B2774" s="69" t="s">
        <v>164</v>
      </c>
      <c r="C2774" s="64">
        <v>23</v>
      </c>
      <c r="D2774" s="65">
        <v>2.35</v>
      </c>
      <c r="E2774" s="73" t="s">
        <v>81</v>
      </c>
      <c r="F2774" s="62" t="s">
        <v>89</v>
      </c>
      <c r="G2774" s="62" t="s">
        <v>3</v>
      </c>
    </row>
    <row r="2775" spans="1:7">
      <c r="A2775" s="15" t="s">
        <v>3142</v>
      </c>
      <c r="B2775" s="69" t="s">
        <v>164</v>
      </c>
      <c r="C2775" s="64">
        <v>24</v>
      </c>
      <c r="D2775" s="65">
        <v>5.2</v>
      </c>
      <c r="E2775" s="73" t="s">
        <v>96</v>
      </c>
      <c r="F2775" s="62" t="s">
        <v>98</v>
      </c>
      <c r="G2775" s="62" t="s">
        <v>1</v>
      </c>
    </row>
    <row r="2776" spans="1:7">
      <c r="A2776" s="15" t="s">
        <v>3143</v>
      </c>
      <c r="B2776" s="69" t="s">
        <v>164</v>
      </c>
      <c r="C2776" s="64">
        <v>25</v>
      </c>
      <c r="D2776" s="65">
        <v>3.2</v>
      </c>
      <c r="E2776" s="73" t="s">
        <v>28</v>
      </c>
      <c r="F2776" s="62" t="s">
        <v>91</v>
      </c>
      <c r="G2776" s="62" t="s">
        <v>0</v>
      </c>
    </row>
    <row r="2777" spans="1:7">
      <c r="A2777" s="15" t="s">
        <v>3144</v>
      </c>
      <c r="B2777" s="69" t="s">
        <v>164</v>
      </c>
      <c r="C2777" s="64">
        <v>26</v>
      </c>
      <c r="D2777" s="65">
        <v>3.1</v>
      </c>
      <c r="E2777" s="73" t="s">
        <v>28</v>
      </c>
      <c r="F2777" s="62" t="s">
        <v>90</v>
      </c>
      <c r="G2777" s="62" t="s">
        <v>0</v>
      </c>
    </row>
    <row r="2778" spans="1:7">
      <c r="A2778" s="15" t="s">
        <v>3145</v>
      </c>
      <c r="B2778" s="69" t="s">
        <v>164</v>
      </c>
      <c r="C2778" s="64">
        <v>27</v>
      </c>
      <c r="D2778" s="65">
        <v>2.31</v>
      </c>
      <c r="E2778" s="73" t="s">
        <v>81</v>
      </c>
      <c r="F2778" s="62" t="s">
        <v>85</v>
      </c>
      <c r="G2778" s="62" t="s">
        <v>4</v>
      </c>
    </row>
    <row r="2779" spans="1:7">
      <c r="A2779" s="15" t="s">
        <v>3146</v>
      </c>
      <c r="B2779" s="69" t="s">
        <v>164</v>
      </c>
      <c r="C2779" s="64">
        <v>28</v>
      </c>
      <c r="D2779" s="65">
        <v>2.2000000000000002</v>
      </c>
      <c r="E2779" s="73" t="s">
        <v>81</v>
      </c>
      <c r="F2779" s="62" t="s">
        <v>83</v>
      </c>
      <c r="G2779" s="62" t="s">
        <v>2</v>
      </c>
    </row>
    <row r="2780" spans="1:7">
      <c r="A2780" s="15" t="s">
        <v>3147</v>
      </c>
      <c r="B2780" s="69" t="s">
        <v>164</v>
      </c>
      <c r="C2780" s="64">
        <v>29</v>
      </c>
      <c r="D2780" s="65">
        <v>6.3</v>
      </c>
      <c r="E2780" s="73" t="s">
        <v>81</v>
      </c>
      <c r="F2780" s="62" t="s">
        <v>103</v>
      </c>
      <c r="G2780" s="62" t="s">
        <v>3</v>
      </c>
    </row>
    <row r="2781" spans="1:7">
      <c r="A2781" s="15" t="s">
        <v>3148</v>
      </c>
      <c r="B2781" s="69" t="s">
        <v>164</v>
      </c>
      <c r="C2781" s="64">
        <v>30</v>
      </c>
      <c r="D2781" s="65">
        <v>2.34</v>
      </c>
      <c r="E2781" s="73" t="s">
        <v>81</v>
      </c>
      <c r="F2781" s="62" t="s">
        <v>88</v>
      </c>
      <c r="G2781" s="62" t="s">
        <v>4</v>
      </c>
    </row>
    <row r="2782" spans="1:7">
      <c r="A2782" s="15" t="s">
        <v>3149</v>
      </c>
      <c r="B2782" s="69" t="s">
        <v>164</v>
      </c>
      <c r="C2782" s="64">
        <v>31</v>
      </c>
      <c r="D2782" s="65">
        <v>1.6</v>
      </c>
      <c r="E2782" s="73" t="s">
        <v>76</v>
      </c>
      <c r="F2782" s="62" t="s">
        <v>27</v>
      </c>
      <c r="G2782" s="62" t="s">
        <v>0</v>
      </c>
    </row>
    <row r="2783" spans="1:7">
      <c r="A2783" s="15" t="s">
        <v>3150</v>
      </c>
      <c r="B2783" s="69" t="s">
        <v>164</v>
      </c>
      <c r="C2783" s="64">
        <v>32</v>
      </c>
      <c r="D2783" s="65">
        <v>2.35</v>
      </c>
      <c r="E2783" s="73" t="s">
        <v>81</v>
      </c>
      <c r="F2783" s="62" t="s">
        <v>89</v>
      </c>
      <c r="G2783" s="62" t="s">
        <v>2</v>
      </c>
    </row>
    <row r="2784" spans="1:7">
      <c r="A2784" s="15" t="s">
        <v>3151</v>
      </c>
      <c r="B2784" s="69" t="s">
        <v>164</v>
      </c>
      <c r="C2784" s="64">
        <v>33</v>
      </c>
      <c r="D2784" s="65">
        <v>5.2</v>
      </c>
      <c r="E2784" s="73" t="s">
        <v>96</v>
      </c>
      <c r="F2784" s="62" t="s">
        <v>98</v>
      </c>
      <c r="G2784" s="62" t="s">
        <v>1</v>
      </c>
    </row>
    <row r="2785" spans="1:7">
      <c r="A2785" s="15" t="s">
        <v>3152</v>
      </c>
      <c r="B2785" s="69" t="s">
        <v>164</v>
      </c>
      <c r="C2785" s="64">
        <v>34</v>
      </c>
      <c r="D2785" s="65">
        <v>6.4</v>
      </c>
      <c r="E2785" s="73" t="s">
        <v>100</v>
      </c>
      <c r="F2785" s="62" t="s">
        <v>104</v>
      </c>
      <c r="G2785" s="62" t="s">
        <v>0</v>
      </c>
    </row>
    <row r="2786" spans="1:7">
      <c r="A2786" s="15" t="s">
        <v>3153</v>
      </c>
      <c r="B2786" s="69" t="s">
        <v>164</v>
      </c>
      <c r="C2786" s="64">
        <v>35</v>
      </c>
      <c r="D2786" s="65">
        <v>2.2000000000000002</v>
      </c>
      <c r="E2786" s="73" t="s">
        <v>81</v>
      </c>
      <c r="F2786" s="62" t="s">
        <v>83</v>
      </c>
      <c r="G2786" s="62" t="s">
        <v>4</v>
      </c>
    </row>
    <row r="2787" spans="1:7">
      <c r="A2787" s="15" t="s">
        <v>3154</v>
      </c>
      <c r="B2787" s="69" t="s">
        <v>164</v>
      </c>
      <c r="C2787" s="64">
        <v>36</v>
      </c>
      <c r="D2787" s="65">
        <v>2.31</v>
      </c>
      <c r="E2787" s="73" t="s">
        <v>81</v>
      </c>
      <c r="F2787" s="62" t="s">
        <v>85</v>
      </c>
      <c r="G2787" s="62" t="s">
        <v>1</v>
      </c>
    </row>
    <row r="2788" spans="1:7">
      <c r="A2788" s="15" t="s">
        <v>3155</v>
      </c>
      <c r="B2788" s="69" t="s">
        <v>164</v>
      </c>
      <c r="C2788" s="64">
        <v>37</v>
      </c>
      <c r="D2788" s="65">
        <v>5.2</v>
      </c>
      <c r="E2788" s="73" t="s">
        <v>96</v>
      </c>
      <c r="F2788" s="62" t="s">
        <v>98</v>
      </c>
      <c r="G2788" s="62" t="s">
        <v>4</v>
      </c>
    </row>
    <row r="2789" spans="1:7">
      <c r="A2789" s="15" t="s">
        <v>3156</v>
      </c>
      <c r="B2789" s="69" t="s">
        <v>164</v>
      </c>
      <c r="C2789" s="64">
        <v>38</v>
      </c>
      <c r="D2789" s="65">
        <v>1.3</v>
      </c>
      <c r="E2789" s="73" t="s">
        <v>76</v>
      </c>
      <c r="F2789" s="62" t="s">
        <v>79</v>
      </c>
      <c r="G2789" s="62" t="s">
        <v>3</v>
      </c>
    </row>
    <row r="2790" spans="1:7">
      <c r="A2790" s="15" t="s">
        <v>3157</v>
      </c>
      <c r="B2790" s="69" t="s">
        <v>164</v>
      </c>
      <c r="C2790" s="64">
        <v>39</v>
      </c>
      <c r="D2790" s="65">
        <v>3.1</v>
      </c>
      <c r="E2790" s="73" t="s">
        <v>28</v>
      </c>
      <c r="F2790" s="62" t="s">
        <v>90</v>
      </c>
      <c r="G2790" s="62" t="s">
        <v>0</v>
      </c>
    </row>
    <row r="2791" spans="1:7">
      <c r="A2791" s="15" t="s">
        <v>3158</v>
      </c>
      <c r="B2791" s="69" t="s">
        <v>164</v>
      </c>
      <c r="C2791" s="64">
        <v>40</v>
      </c>
      <c r="D2791" s="65">
        <v>2.35</v>
      </c>
      <c r="E2791" s="73" t="s">
        <v>81</v>
      </c>
      <c r="F2791" s="62" t="s">
        <v>89</v>
      </c>
      <c r="G2791" s="62" t="s">
        <v>2</v>
      </c>
    </row>
    <row r="2792" spans="1:7">
      <c r="A2792" s="15" t="s">
        <v>3159</v>
      </c>
      <c r="B2792" s="69" t="s">
        <v>164</v>
      </c>
      <c r="C2792" s="64">
        <v>41</v>
      </c>
      <c r="D2792" s="65">
        <v>1.3</v>
      </c>
      <c r="E2792" s="73" t="s">
        <v>76</v>
      </c>
      <c r="F2792" s="62" t="s">
        <v>79</v>
      </c>
      <c r="G2792" s="62" t="s">
        <v>1</v>
      </c>
    </row>
    <row r="2793" spans="1:7">
      <c r="A2793" s="15" t="s">
        <v>3160</v>
      </c>
      <c r="B2793" s="69" t="s">
        <v>164</v>
      </c>
      <c r="C2793" s="64">
        <v>42</v>
      </c>
      <c r="D2793" s="65">
        <v>2.3199999999999998</v>
      </c>
      <c r="E2793" s="73" t="s">
        <v>81</v>
      </c>
      <c r="F2793" s="62" t="s">
        <v>86</v>
      </c>
      <c r="G2793" s="62" t="s">
        <v>3</v>
      </c>
    </row>
    <row r="2794" spans="1:7">
      <c r="A2794" s="15" t="s">
        <v>3161</v>
      </c>
      <c r="B2794" s="69" t="s">
        <v>164</v>
      </c>
      <c r="C2794" s="64">
        <v>43</v>
      </c>
      <c r="D2794" s="65">
        <v>3.1</v>
      </c>
      <c r="E2794" s="73" t="s">
        <v>28</v>
      </c>
      <c r="F2794" s="62" t="s">
        <v>90</v>
      </c>
      <c r="G2794" s="62" t="s">
        <v>1</v>
      </c>
    </row>
    <row r="2795" spans="1:7">
      <c r="A2795" s="15" t="s">
        <v>3162</v>
      </c>
      <c r="B2795" s="69" t="s">
        <v>164</v>
      </c>
      <c r="C2795" s="64">
        <v>44</v>
      </c>
      <c r="D2795" s="65">
        <v>2.31</v>
      </c>
      <c r="E2795" s="73" t="s">
        <v>81</v>
      </c>
      <c r="F2795" s="62" t="s">
        <v>85</v>
      </c>
      <c r="G2795" s="62" t="s">
        <v>0</v>
      </c>
    </row>
    <row r="2796" spans="1:7">
      <c r="A2796" s="15" t="s">
        <v>3163</v>
      </c>
      <c r="B2796" s="69" t="s">
        <v>164</v>
      </c>
      <c r="C2796" s="64">
        <v>45</v>
      </c>
      <c r="D2796" s="65">
        <v>2.35</v>
      </c>
      <c r="E2796" s="73" t="s">
        <v>81</v>
      </c>
      <c r="F2796" s="62" t="s">
        <v>89</v>
      </c>
      <c r="G2796" s="62" t="s">
        <v>4</v>
      </c>
    </row>
    <row r="2797" spans="1:7">
      <c r="A2797" s="15" t="s">
        <v>3164</v>
      </c>
      <c r="B2797" s="69" t="s">
        <v>164</v>
      </c>
      <c r="C2797" s="64">
        <v>46</v>
      </c>
      <c r="D2797" s="65">
        <v>1.2</v>
      </c>
      <c r="E2797" s="73" t="s">
        <v>76</v>
      </c>
      <c r="F2797" s="62" t="s">
        <v>78</v>
      </c>
      <c r="G2797" s="62" t="s">
        <v>2</v>
      </c>
    </row>
    <row r="2798" spans="1:7">
      <c r="A2798" s="15" t="s">
        <v>3165</v>
      </c>
      <c r="B2798" s="69" t="s">
        <v>164</v>
      </c>
      <c r="C2798" s="64">
        <v>47</v>
      </c>
      <c r="D2798" s="65">
        <v>3.1</v>
      </c>
      <c r="E2798" s="73" t="s">
        <v>28</v>
      </c>
      <c r="F2798" s="62" t="s">
        <v>90</v>
      </c>
      <c r="G2798" s="62" t="s">
        <v>0</v>
      </c>
    </row>
    <row r="2799" spans="1:7">
      <c r="A2799" s="15" t="s">
        <v>3166</v>
      </c>
      <c r="B2799" s="69" t="s">
        <v>164</v>
      </c>
      <c r="C2799" s="64">
        <v>48</v>
      </c>
      <c r="D2799" s="65">
        <v>4.0999999999999996</v>
      </c>
      <c r="E2799" s="73" t="s">
        <v>93</v>
      </c>
      <c r="F2799" s="62" t="s">
        <v>94</v>
      </c>
      <c r="G2799" s="62" t="s">
        <v>1</v>
      </c>
    </row>
    <row r="2800" spans="1:7">
      <c r="A2800" s="15" t="s">
        <v>3167</v>
      </c>
      <c r="B2800" s="69" t="s">
        <v>164</v>
      </c>
      <c r="C2800" s="64">
        <v>49</v>
      </c>
      <c r="D2800" s="65">
        <v>1.2</v>
      </c>
      <c r="E2800" s="73" t="s">
        <v>76</v>
      </c>
      <c r="F2800" s="62" t="s">
        <v>78</v>
      </c>
      <c r="G2800" s="62" t="s">
        <v>3</v>
      </c>
    </row>
    <row r="2801" spans="1:7">
      <c r="A2801" s="15" t="s">
        <v>3168</v>
      </c>
      <c r="B2801" s="69" t="s">
        <v>164</v>
      </c>
      <c r="C2801" s="64">
        <v>50</v>
      </c>
      <c r="D2801" s="65">
        <v>2.34</v>
      </c>
      <c r="E2801" s="73" t="s">
        <v>81</v>
      </c>
      <c r="F2801" s="62" t="s">
        <v>88</v>
      </c>
      <c r="G2801" s="62" t="s">
        <v>4</v>
      </c>
    </row>
    <row r="2802" spans="1:7">
      <c r="A2802" s="15" t="s">
        <v>165</v>
      </c>
      <c r="B2802" s="16" t="s">
        <v>166</v>
      </c>
      <c r="C2802" s="64">
        <v>1</v>
      </c>
      <c r="D2802" s="66">
        <v>2.2000000000000002</v>
      </c>
      <c r="E2802" s="68" t="s">
        <v>81</v>
      </c>
      <c r="F2802" s="51" t="s">
        <v>83</v>
      </c>
      <c r="G2802" s="51" t="s">
        <v>0</v>
      </c>
    </row>
    <row r="2803" spans="1:7">
      <c r="A2803" s="15" t="s">
        <v>167</v>
      </c>
      <c r="B2803" s="70" t="s">
        <v>166</v>
      </c>
      <c r="C2803" s="64">
        <v>2</v>
      </c>
      <c r="D2803" s="65">
        <v>2.1</v>
      </c>
      <c r="E2803" s="73" t="s">
        <v>81</v>
      </c>
      <c r="F2803" s="62" t="s">
        <v>82</v>
      </c>
      <c r="G2803" s="62" t="s">
        <v>3</v>
      </c>
    </row>
    <row r="2804" spans="1:7">
      <c r="A2804" s="15" t="s">
        <v>168</v>
      </c>
      <c r="B2804" s="70" t="s">
        <v>166</v>
      </c>
      <c r="C2804" s="64">
        <v>3</v>
      </c>
      <c r="D2804" s="65">
        <v>3.1</v>
      </c>
      <c r="E2804" s="73" t="s">
        <v>28</v>
      </c>
      <c r="F2804" s="62" t="s">
        <v>90</v>
      </c>
      <c r="G2804" s="62" t="s">
        <v>0</v>
      </c>
    </row>
    <row r="2805" spans="1:7">
      <c r="A2805" s="15" t="s">
        <v>169</v>
      </c>
      <c r="B2805" s="16" t="s">
        <v>166</v>
      </c>
      <c r="C2805" s="64">
        <v>4</v>
      </c>
      <c r="D2805" s="66">
        <v>2.1</v>
      </c>
      <c r="E2805" s="68" t="s">
        <v>81</v>
      </c>
      <c r="F2805" s="51" t="s">
        <v>82</v>
      </c>
      <c r="G2805" s="51" t="s">
        <v>2</v>
      </c>
    </row>
    <row r="2806" spans="1:7">
      <c r="A2806" s="15" t="s">
        <v>170</v>
      </c>
      <c r="B2806" s="70" t="s">
        <v>166</v>
      </c>
      <c r="C2806" s="64">
        <v>5</v>
      </c>
      <c r="D2806" s="65">
        <v>2.31</v>
      </c>
      <c r="E2806" s="73" t="s">
        <v>81</v>
      </c>
      <c r="F2806" s="62" t="s">
        <v>85</v>
      </c>
      <c r="G2806" s="62" t="s">
        <v>1</v>
      </c>
    </row>
    <row r="2807" spans="1:7">
      <c r="A2807" s="15" t="s">
        <v>171</v>
      </c>
      <c r="B2807" s="70" t="s">
        <v>166</v>
      </c>
      <c r="C2807" s="64">
        <v>6</v>
      </c>
      <c r="D2807" s="65">
        <v>2.34</v>
      </c>
      <c r="E2807" s="73" t="s">
        <v>81</v>
      </c>
      <c r="F2807" s="62" t="s">
        <v>88</v>
      </c>
      <c r="G2807" s="62" t="s">
        <v>2</v>
      </c>
    </row>
    <row r="2808" spans="1:7">
      <c r="A2808" s="15" t="s">
        <v>172</v>
      </c>
      <c r="B2808" s="16" t="s">
        <v>166</v>
      </c>
      <c r="C2808" s="64">
        <v>7</v>
      </c>
      <c r="D2808" s="65">
        <v>2.1</v>
      </c>
      <c r="E2808" s="73" t="s">
        <v>81</v>
      </c>
      <c r="F2808" s="62" t="s">
        <v>82</v>
      </c>
      <c r="G2808" s="62" t="s">
        <v>1</v>
      </c>
    </row>
    <row r="2809" spans="1:7">
      <c r="A2809" s="15" t="s">
        <v>173</v>
      </c>
      <c r="B2809" s="70" t="s">
        <v>166</v>
      </c>
      <c r="C2809" s="64">
        <v>8</v>
      </c>
      <c r="D2809" s="65">
        <v>6.1</v>
      </c>
      <c r="E2809" s="73" t="s">
        <v>100</v>
      </c>
      <c r="F2809" s="62" t="s">
        <v>101</v>
      </c>
      <c r="G2809" s="62" t="s">
        <v>4</v>
      </c>
    </row>
    <row r="2810" spans="1:7">
      <c r="A2810" s="15" t="s">
        <v>174</v>
      </c>
      <c r="B2810" s="70" t="s">
        <v>166</v>
      </c>
      <c r="C2810" s="64">
        <v>9</v>
      </c>
      <c r="D2810" s="65">
        <v>2.35</v>
      </c>
      <c r="E2810" s="73" t="s">
        <v>81</v>
      </c>
      <c r="F2810" s="62" t="s">
        <v>89</v>
      </c>
      <c r="G2810" s="62" t="s">
        <v>0</v>
      </c>
    </row>
    <row r="2811" spans="1:7">
      <c r="A2811" s="15" t="s">
        <v>175</v>
      </c>
      <c r="B2811" s="16" t="s">
        <v>166</v>
      </c>
      <c r="C2811" s="64">
        <v>10</v>
      </c>
      <c r="D2811" s="65">
        <v>2.2000000000000002</v>
      </c>
      <c r="E2811" s="73" t="s">
        <v>81</v>
      </c>
      <c r="F2811" s="62" t="s">
        <v>83</v>
      </c>
      <c r="G2811" s="62" t="s">
        <v>0</v>
      </c>
    </row>
    <row r="2812" spans="1:7">
      <c r="A2812" s="15" t="s">
        <v>176</v>
      </c>
      <c r="B2812" s="70" t="s">
        <v>166</v>
      </c>
      <c r="C2812" s="64">
        <v>11</v>
      </c>
      <c r="D2812" s="65">
        <v>6.2</v>
      </c>
      <c r="E2812" s="73" t="s">
        <v>100</v>
      </c>
      <c r="F2812" s="62" t="s">
        <v>102</v>
      </c>
      <c r="G2812" s="62" t="s">
        <v>2</v>
      </c>
    </row>
    <row r="2813" spans="1:7">
      <c r="A2813" s="15" t="s">
        <v>177</v>
      </c>
      <c r="B2813" s="70" t="s">
        <v>166</v>
      </c>
      <c r="C2813" s="64">
        <v>12</v>
      </c>
      <c r="D2813" s="65">
        <v>1.3</v>
      </c>
      <c r="E2813" s="73" t="s">
        <v>76</v>
      </c>
      <c r="F2813" s="62" t="s">
        <v>79</v>
      </c>
      <c r="G2813" s="62" t="s">
        <v>0</v>
      </c>
    </row>
    <row r="2814" spans="1:7">
      <c r="A2814" s="15" t="s">
        <v>178</v>
      </c>
      <c r="B2814" s="16" t="s">
        <v>166</v>
      </c>
      <c r="C2814" s="64">
        <v>13</v>
      </c>
      <c r="D2814" s="65">
        <v>3.1</v>
      </c>
      <c r="E2814" s="73" t="s">
        <v>28</v>
      </c>
      <c r="F2814" s="62" t="s">
        <v>90</v>
      </c>
      <c r="G2814" s="62" t="s">
        <v>1</v>
      </c>
    </row>
    <row r="2815" spans="1:7">
      <c r="A2815" s="15" t="s">
        <v>179</v>
      </c>
      <c r="B2815" s="70" t="s">
        <v>166</v>
      </c>
      <c r="C2815" s="64">
        <v>14</v>
      </c>
      <c r="D2815" s="65">
        <v>3.1</v>
      </c>
      <c r="E2815" s="73" t="s">
        <v>28</v>
      </c>
      <c r="F2815" s="62" t="s">
        <v>90</v>
      </c>
      <c r="G2815" s="62" t="s">
        <v>3</v>
      </c>
    </row>
    <row r="2816" spans="1:7">
      <c r="A2816" s="15" t="s">
        <v>180</v>
      </c>
      <c r="B2816" s="70" t="s">
        <v>166</v>
      </c>
      <c r="C2816" s="64">
        <v>15</v>
      </c>
      <c r="D2816" s="65">
        <v>6.3</v>
      </c>
      <c r="E2816" s="73" t="s">
        <v>81</v>
      </c>
      <c r="F2816" s="62" t="s">
        <v>103</v>
      </c>
      <c r="G2816" s="62" t="s">
        <v>3</v>
      </c>
    </row>
    <row r="2817" spans="1:7">
      <c r="A2817" s="15" t="s">
        <v>181</v>
      </c>
      <c r="B2817" s="16" t="s">
        <v>166</v>
      </c>
      <c r="C2817" s="64">
        <v>16</v>
      </c>
      <c r="D2817" s="65">
        <v>2.3199999999999998</v>
      </c>
      <c r="E2817" s="73" t="s">
        <v>81</v>
      </c>
      <c r="F2817" s="62" t="s">
        <v>86</v>
      </c>
      <c r="G2817" s="62" t="s">
        <v>0</v>
      </c>
    </row>
    <row r="2818" spans="1:7">
      <c r="A2818" s="15" t="s">
        <v>182</v>
      </c>
      <c r="B2818" s="70" t="s">
        <v>166</v>
      </c>
      <c r="C2818" s="64">
        <v>17</v>
      </c>
      <c r="D2818" s="65">
        <v>1.5</v>
      </c>
      <c r="E2818" s="73" t="s">
        <v>76</v>
      </c>
      <c r="F2818" s="62" t="s">
        <v>80</v>
      </c>
      <c r="G2818" s="62" t="s">
        <v>3</v>
      </c>
    </row>
    <row r="2819" spans="1:7">
      <c r="A2819" s="15" t="s">
        <v>183</v>
      </c>
      <c r="B2819" s="70" t="s">
        <v>166</v>
      </c>
      <c r="C2819" s="64">
        <v>18</v>
      </c>
      <c r="D2819" s="65">
        <v>1.1000000000000001</v>
      </c>
      <c r="E2819" s="73" t="s">
        <v>76</v>
      </c>
      <c r="F2819" s="62" t="s">
        <v>77</v>
      </c>
      <c r="G2819" s="62" t="s">
        <v>0</v>
      </c>
    </row>
    <row r="2820" spans="1:7">
      <c r="A2820" s="15" t="s">
        <v>184</v>
      </c>
      <c r="B2820" s="16" t="s">
        <v>166</v>
      </c>
      <c r="C2820" s="64">
        <v>19</v>
      </c>
      <c r="D2820" s="65">
        <v>5.3</v>
      </c>
      <c r="E2820" s="73" t="s">
        <v>96</v>
      </c>
      <c r="F2820" s="62" t="s">
        <v>99</v>
      </c>
      <c r="G2820" s="62" t="s">
        <v>3</v>
      </c>
    </row>
    <row r="2821" spans="1:7">
      <c r="A2821" s="15" t="s">
        <v>185</v>
      </c>
      <c r="B2821" s="70" t="s">
        <v>166</v>
      </c>
      <c r="C2821" s="64">
        <v>20</v>
      </c>
      <c r="D2821" s="65">
        <v>2.1</v>
      </c>
      <c r="E2821" s="73" t="s">
        <v>81</v>
      </c>
      <c r="F2821" s="62" t="s">
        <v>82</v>
      </c>
      <c r="G2821" s="62" t="s">
        <v>0</v>
      </c>
    </row>
    <row r="2822" spans="1:7">
      <c r="A2822" s="15" t="s">
        <v>186</v>
      </c>
      <c r="B2822" s="70" t="s">
        <v>166</v>
      </c>
      <c r="C2822" s="64">
        <v>21</v>
      </c>
      <c r="D2822" s="65">
        <v>5.2</v>
      </c>
      <c r="E2822" s="73" t="s">
        <v>96</v>
      </c>
      <c r="F2822" s="62" t="s">
        <v>98</v>
      </c>
      <c r="G2822" s="62" t="s">
        <v>2</v>
      </c>
    </row>
    <row r="2823" spans="1:7">
      <c r="A2823" s="15" t="s">
        <v>187</v>
      </c>
      <c r="B2823" s="16" t="s">
        <v>166</v>
      </c>
      <c r="C2823" s="64">
        <v>22</v>
      </c>
      <c r="D2823" s="65">
        <v>2.33</v>
      </c>
      <c r="E2823" s="73" t="s">
        <v>96</v>
      </c>
      <c r="F2823" s="62" t="s">
        <v>87</v>
      </c>
      <c r="G2823" s="62" t="s">
        <v>3</v>
      </c>
    </row>
    <row r="2824" spans="1:7">
      <c r="A2824" s="15" t="s">
        <v>188</v>
      </c>
      <c r="B2824" s="70" t="s">
        <v>166</v>
      </c>
      <c r="C2824" s="64">
        <v>23</v>
      </c>
      <c r="D2824" s="65">
        <v>3.2</v>
      </c>
      <c r="E2824" s="73" t="s">
        <v>28</v>
      </c>
      <c r="F2824" s="62" t="s">
        <v>91</v>
      </c>
      <c r="G2824" s="62" t="s">
        <v>3</v>
      </c>
    </row>
    <row r="2825" spans="1:7">
      <c r="A2825" s="15" t="s">
        <v>189</v>
      </c>
      <c r="B2825" s="70" t="s">
        <v>166</v>
      </c>
      <c r="C2825" s="64">
        <v>24</v>
      </c>
      <c r="D2825" s="65">
        <v>6.3</v>
      </c>
      <c r="E2825" s="73" t="s">
        <v>81</v>
      </c>
      <c r="F2825" s="62" t="s">
        <v>103</v>
      </c>
      <c r="G2825" s="62" t="s">
        <v>0</v>
      </c>
    </row>
    <row r="2826" spans="1:7">
      <c r="A2826" s="15" t="s">
        <v>190</v>
      </c>
      <c r="B2826" s="16" t="s">
        <v>166</v>
      </c>
      <c r="C2826" s="64">
        <v>25</v>
      </c>
      <c r="D2826" s="65">
        <v>2.35</v>
      </c>
      <c r="E2826" s="73" t="s">
        <v>81</v>
      </c>
      <c r="F2826" s="62" t="s">
        <v>89</v>
      </c>
      <c r="G2826" s="62" t="s">
        <v>2</v>
      </c>
    </row>
    <row r="2827" spans="1:7">
      <c r="A2827" s="15" t="s">
        <v>191</v>
      </c>
      <c r="B2827" s="70" t="s">
        <v>166</v>
      </c>
      <c r="C2827" s="64">
        <v>26</v>
      </c>
      <c r="D2827" s="65">
        <v>2.35</v>
      </c>
      <c r="E2827" s="73" t="s">
        <v>81</v>
      </c>
      <c r="F2827" s="62" t="s">
        <v>89</v>
      </c>
      <c r="G2827" s="62" t="s">
        <v>2</v>
      </c>
    </row>
    <row r="2828" spans="1:7">
      <c r="A2828" s="15" t="s">
        <v>192</v>
      </c>
      <c r="B2828" s="70" t="s">
        <v>166</v>
      </c>
      <c r="C2828" s="64">
        <v>27</v>
      </c>
      <c r="D2828" s="65">
        <v>4.0999999999999996</v>
      </c>
      <c r="E2828" s="73" t="s">
        <v>93</v>
      </c>
      <c r="F2828" s="62" t="s">
        <v>94</v>
      </c>
      <c r="G2828" s="62" t="s">
        <v>3</v>
      </c>
    </row>
    <row r="2829" spans="1:7">
      <c r="A2829" s="15" t="s">
        <v>193</v>
      </c>
      <c r="B2829" s="16" t="s">
        <v>166</v>
      </c>
      <c r="C2829" s="64">
        <v>28</v>
      </c>
      <c r="D2829" s="65">
        <v>3.1</v>
      </c>
      <c r="E2829" s="73" t="s">
        <v>28</v>
      </c>
      <c r="F2829" s="62" t="s">
        <v>90</v>
      </c>
      <c r="G2829" s="62" t="s">
        <v>1</v>
      </c>
    </row>
    <row r="2830" spans="1:7">
      <c r="A2830" s="15" t="s">
        <v>194</v>
      </c>
      <c r="B2830" s="70" t="s">
        <v>166</v>
      </c>
      <c r="C2830" s="64">
        <v>29</v>
      </c>
      <c r="D2830" s="65">
        <v>5.0999999999999996</v>
      </c>
      <c r="E2830" s="73" t="s">
        <v>28</v>
      </c>
      <c r="F2830" s="62" t="s">
        <v>97</v>
      </c>
      <c r="G2830" s="62" t="s">
        <v>4</v>
      </c>
    </row>
    <row r="2831" spans="1:7">
      <c r="A2831" s="15" t="s">
        <v>195</v>
      </c>
      <c r="B2831" s="70" t="s">
        <v>166</v>
      </c>
      <c r="C2831" s="64">
        <v>30</v>
      </c>
      <c r="D2831" s="65">
        <v>2.31</v>
      </c>
      <c r="E2831" s="73" t="s">
        <v>81</v>
      </c>
      <c r="F2831" s="62" t="s">
        <v>85</v>
      </c>
      <c r="G2831" s="62" t="s">
        <v>0</v>
      </c>
    </row>
    <row r="2832" spans="1:7">
      <c r="A2832" s="15" t="s">
        <v>196</v>
      </c>
      <c r="B2832" s="16" t="s">
        <v>166</v>
      </c>
      <c r="C2832" s="64">
        <v>31</v>
      </c>
      <c r="D2832" s="65">
        <v>2.2000000000000002</v>
      </c>
      <c r="E2832" s="73" t="s">
        <v>81</v>
      </c>
      <c r="F2832" s="62" t="s">
        <v>83</v>
      </c>
      <c r="G2832" s="62" t="s">
        <v>1</v>
      </c>
    </row>
    <row r="2833" spans="1:7">
      <c r="A2833" s="15" t="s">
        <v>197</v>
      </c>
      <c r="B2833" s="70" t="s">
        <v>166</v>
      </c>
      <c r="C2833" s="64">
        <v>32</v>
      </c>
      <c r="D2833" s="65">
        <v>4.0999999999999996</v>
      </c>
      <c r="E2833" s="73" t="s">
        <v>93</v>
      </c>
      <c r="F2833" s="62" t="s">
        <v>94</v>
      </c>
      <c r="G2833" s="62" t="s">
        <v>4</v>
      </c>
    </row>
    <row r="2834" spans="1:7">
      <c r="A2834" s="15" t="s">
        <v>198</v>
      </c>
      <c r="B2834" s="70" t="s">
        <v>166</v>
      </c>
      <c r="C2834" s="64">
        <v>33</v>
      </c>
      <c r="D2834" s="65">
        <v>6.1</v>
      </c>
      <c r="E2834" s="73" t="s">
        <v>100</v>
      </c>
      <c r="F2834" s="62" t="s">
        <v>101</v>
      </c>
      <c r="G2834" s="62" t="s">
        <v>4</v>
      </c>
    </row>
    <row r="2835" spans="1:7">
      <c r="A2835" s="15" t="s">
        <v>199</v>
      </c>
      <c r="B2835" s="16" t="s">
        <v>166</v>
      </c>
      <c r="C2835" s="64">
        <v>34</v>
      </c>
      <c r="D2835" s="65">
        <v>3.4</v>
      </c>
      <c r="E2835" s="73" t="s">
        <v>28</v>
      </c>
      <c r="F2835" s="62" t="s">
        <v>29</v>
      </c>
      <c r="G2835" s="62" t="s">
        <v>0</v>
      </c>
    </row>
    <row r="2836" spans="1:7">
      <c r="A2836" s="15" t="s">
        <v>200</v>
      </c>
      <c r="B2836" s="70" t="s">
        <v>166</v>
      </c>
      <c r="C2836" s="64">
        <v>35</v>
      </c>
      <c r="D2836" s="65">
        <v>6.4</v>
      </c>
      <c r="E2836" s="73" t="s">
        <v>100</v>
      </c>
      <c r="F2836" s="62" t="s">
        <v>104</v>
      </c>
      <c r="G2836" s="62" t="s">
        <v>0</v>
      </c>
    </row>
    <row r="2837" spans="1:7">
      <c r="A2837" s="15" t="s">
        <v>201</v>
      </c>
      <c r="B2837" s="70" t="s">
        <v>166</v>
      </c>
      <c r="C2837" s="64">
        <v>36</v>
      </c>
      <c r="D2837" s="65">
        <v>3.2</v>
      </c>
      <c r="E2837" s="73" t="s">
        <v>28</v>
      </c>
      <c r="F2837" s="62" t="s">
        <v>91</v>
      </c>
      <c r="G2837" s="62" t="s">
        <v>0</v>
      </c>
    </row>
    <row r="2838" spans="1:7">
      <c r="A2838" s="15" t="s">
        <v>202</v>
      </c>
      <c r="B2838" s="16" t="s">
        <v>166</v>
      </c>
      <c r="C2838" s="64">
        <v>37</v>
      </c>
      <c r="D2838" s="65">
        <v>6.2</v>
      </c>
      <c r="E2838" s="73" t="s">
        <v>100</v>
      </c>
      <c r="F2838" s="62" t="s">
        <v>102</v>
      </c>
      <c r="G2838" s="62" t="s">
        <v>3</v>
      </c>
    </row>
    <row r="2839" spans="1:7">
      <c r="A2839" s="15" t="s">
        <v>203</v>
      </c>
      <c r="B2839" s="70" t="s">
        <v>166</v>
      </c>
      <c r="C2839" s="64">
        <v>38</v>
      </c>
      <c r="D2839" s="65">
        <v>2.2000000000000002</v>
      </c>
      <c r="E2839" s="73" t="s">
        <v>81</v>
      </c>
      <c r="F2839" s="62" t="s">
        <v>83</v>
      </c>
      <c r="G2839" s="62" t="s">
        <v>2</v>
      </c>
    </row>
    <row r="2840" spans="1:7">
      <c r="A2840" s="15" t="s">
        <v>204</v>
      </c>
      <c r="B2840" s="70" t="s">
        <v>166</v>
      </c>
      <c r="C2840" s="64">
        <v>39</v>
      </c>
      <c r="D2840" s="65">
        <v>5.3</v>
      </c>
      <c r="E2840" s="73" t="s">
        <v>96</v>
      </c>
      <c r="F2840" s="62" t="s">
        <v>99</v>
      </c>
      <c r="G2840" s="62" t="s">
        <v>4</v>
      </c>
    </row>
    <row r="2841" spans="1:7">
      <c r="A2841" s="15" t="s">
        <v>205</v>
      </c>
      <c r="B2841" s="16" t="s">
        <v>166</v>
      </c>
      <c r="C2841" s="64">
        <v>40</v>
      </c>
      <c r="D2841" s="65">
        <v>2.1</v>
      </c>
      <c r="E2841" s="73" t="s">
        <v>81</v>
      </c>
      <c r="F2841" s="62" t="s">
        <v>82</v>
      </c>
      <c r="G2841" s="62" t="s">
        <v>4</v>
      </c>
    </row>
    <row r="2842" spans="1:7">
      <c r="A2842" s="15" t="s">
        <v>206</v>
      </c>
      <c r="B2842" s="70" t="s">
        <v>166</v>
      </c>
      <c r="C2842" s="64">
        <v>41</v>
      </c>
      <c r="D2842" s="65">
        <v>3.3</v>
      </c>
      <c r="E2842" s="73" t="s">
        <v>28</v>
      </c>
      <c r="F2842" s="62" t="s">
        <v>92</v>
      </c>
      <c r="G2842" s="62" t="s">
        <v>2</v>
      </c>
    </row>
    <row r="2843" spans="1:7">
      <c r="A2843" s="15" t="s">
        <v>207</v>
      </c>
      <c r="B2843" s="70" t="s">
        <v>166</v>
      </c>
      <c r="C2843" s="64">
        <v>42</v>
      </c>
      <c r="D2843" s="65">
        <v>1.1000000000000001</v>
      </c>
      <c r="E2843" s="73" t="s">
        <v>76</v>
      </c>
      <c r="F2843" s="62" t="s">
        <v>77</v>
      </c>
      <c r="G2843" s="62" t="s">
        <v>0</v>
      </c>
    </row>
    <row r="2844" spans="1:7">
      <c r="A2844" s="15" t="s">
        <v>208</v>
      </c>
      <c r="B2844" s="16" t="s">
        <v>166</v>
      </c>
      <c r="C2844" s="64">
        <v>43</v>
      </c>
      <c r="D2844" s="65">
        <v>1.6</v>
      </c>
      <c r="E2844" s="73" t="s">
        <v>76</v>
      </c>
      <c r="F2844" s="62" t="s">
        <v>27</v>
      </c>
      <c r="G2844" s="62" t="s">
        <v>0</v>
      </c>
    </row>
    <row r="2845" spans="1:7">
      <c r="A2845" s="15" t="s">
        <v>209</v>
      </c>
      <c r="B2845" s="70" t="s">
        <v>166</v>
      </c>
      <c r="C2845" s="64">
        <v>44</v>
      </c>
      <c r="D2845" s="65">
        <v>4.0999999999999996</v>
      </c>
      <c r="E2845" s="73" t="s">
        <v>93</v>
      </c>
      <c r="F2845" s="62" t="s">
        <v>94</v>
      </c>
      <c r="G2845" s="62" t="s">
        <v>4</v>
      </c>
    </row>
    <row r="2846" spans="1:7">
      <c r="A2846" s="15" t="s">
        <v>210</v>
      </c>
      <c r="B2846" s="70" t="s">
        <v>166</v>
      </c>
      <c r="C2846" s="64">
        <v>45</v>
      </c>
      <c r="D2846" s="65">
        <v>2.33</v>
      </c>
      <c r="E2846" s="73" t="s">
        <v>96</v>
      </c>
      <c r="F2846" s="62" t="s">
        <v>87</v>
      </c>
      <c r="G2846" s="62" t="s">
        <v>3</v>
      </c>
    </row>
    <row r="2847" spans="1:7">
      <c r="A2847" s="15" t="s">
        <v>211</v>
      </c>
      <c r="B2847" s="16" t="s">
        <v>166</v>
      </c>
      <c r="C2847" s="64">
        <v>46</v>
      </c>
      <c r="D2847" s="65">
        <v>6.2</v>
      </c>
      <c r="E2847" s="73" t="s">
        <v>100</v>
      </c>
      <c r="F2847" s="62" t="s">
        <v>102</v>
      </c>
      <c r="G2847" s="62" t="s">
        <v>4</v>
      </c>
    </row>
    <row r="2848" spans="1:7">
      <c r="A2848" s="15" t="s">
        <v>212</v>
      </c>
      <c r="B2848" s="70" t="s">
        <v>166</v>
      </c>
      <c r="C2848" s="64">
        <v>47</v>
      </c>
      <c r="D2848" s="65">
        <v>5.3</v>
      </c>
      <c r="E2848" s="73" t="s">
        <v>96</v>
      </c>
      <c r="F2848" s="62" t="s">
        <v>99</v>
      </c>
      <c r="G2848" s="62" t="s">
        <v>1</v>
      </c>
    </row>
    <row r="2849" spans="1:7">
      <c r="A2849" s="15" t="s">
        <v>213</v>
      </c>
      <c r="B2849" s="70" t="s">
        <v>166</v>
      </c>
      <c r="C2849" s="64">
        <v>48</v>
      </c>
      <c r="D2849" s="65">
        <v>2.34</v>
      </c>
      <c r="E2849" s="73" t="s">
        <v>81</v>
      </c>
      <c r="F2849" s="62" t="s">
        <v>88</v>
      </c>
      <c r="G2849" s="62" t="s">
        <v>2</v>
      </c>
    </row>
    <row r="2850" spans="1:7">
      <c r="A2850" s="15" t="s">
        <v>214</v>
      </c>
      <c r="B2850" s="16" t="s">
        <v>166</v>
      </c>
      <c r="C2850" s="64">
        <v>49</v>
      </c>
      <c r="D2850" s="65">
        <v>5.0999999999999996</v>
      </c>
      <c r="E2850" s="73" t="s">
        <v>96</v>
      </c>
      <c r="F2850" s="62" t="s">
        <v>97</v>
      </c>
      <c r="G2850" s="62" t="s">
        <v>3</v>
      </c>
    </row>
    <row r="2851" spans="1:7">
      <c r="A2851" s="15" t="s">
        <v>215</v>
      </c>
      <c r="B2851" s="70" t="s">
        <v>166</v>
      </c>
      <c r="C2851" s="64">
        <v>50</v>
      </c>
      <c r="D2851" s="65">
        <v>2.1</v>
      </c>
      <c r="E2851" s="73" t="s">
        <v>81</v>
      </c>
      <c r="F2851" s="62" t="s">
        <v>82</v>
      </c>
      <c r="G2851" s="62" t="s">
        <v>1</v>
      </c>
    </row>
    <row r="2852" spans="1:7">
      <c r="A2852" s="15" t="s">
        <v>216</v>
      </c>
      <c r="B2852" s="70" t="s">
        <v>217</v>
      </c>
      <c r="C2852" s="71">
        <v>1</v>
      </c>
      <c r="D2852" s="65">
        <v>2.1</v>
      </c>
      <c r="E2852" s="73" t="s">
        <v>81</v>
      </c>
      <c r="F2852" s="62" t="s">
        <v>82</v>
      </c>
      <c r="G2852" s="62" t="s">
        <v>2</v>
      </c>
    </row>
    <row r="2853" spans="1:7">
      <c r="A2853" s="15" t="s">
        <v>218</v>
      </c>
      <c r="B2853" s="70" t="s">
        <v>217</v>
      </c>
      <c r="C2853" s="71">
        <v>2</v>
      </c>
      <c r="D2853" s="65">
        <v>3.1</v>
      </c>
      <c r="E2853" s="73" t="s">
        <v>28</v>
      </c>
      <c r="F2853" s="62" t="s">
        <v>90</v>
      </c>
      <c r="G2853" s="62" t="s">
        <v>0</v>
      </c>
    </row>
    <row r="2854" spans="1:7">
      <c r="A2854" s="15" t="s">
        <v>219</v>
      </c>
      <c r="B2854" s="70" t="s">
        <v>217</v>
      </c>
      <c r="C2854" s="71">
        <v>3</v>
      </c>
      <c r="D2854" s="65">
        <v>4.0999999999999996</v>
      </c>
      <c r="E2854" s="73" t="s">
        <v>93</v>
      </c>
      <c r="F2854" s="62" t="s">
        <v>94</v>
      </c>
      <c r="G2854" s="62" t="s">
        <v>0</v>
      </c>
    </row>
    <row r="2855" spans="1:7">
      <c r="A2855" s="15" t="s">
        <v>220</v>
      </c>
      <c r="B2855" s="70" t="s">
        <v>217</v>
      </c>
      <c r="C2855" s="71">
        <v>4</v>
      </c>
      <c r="D2855" s="65">
        <v>6.4</v>
      </c>
      <c r="E2855" s="73" t="s">
        <v>100</v>
      </c>
      <c r="F2855" s="62" t="s">
        <v>104</v>
      </c>
      <c r="G2855" s="62" t="s">
        <v>3</v>
      </c>
    </row>
    <row r="2856" spans="1:7">
      <c r="A2856" s="15" t="s">
        <v>221</v>
      </c>
      <c r="B2856" s="70" t="s">
        <v>217</v>
      </c>
      <c r="C2856" s="71">
        <v>5</v>
      </c>
      <c r="D2856" s="65">
        <v>3.3</v>
      </c>
      <c r="E2856" s="73" t="s">
        <v>28</v>
      </c>
      <c r="F2856" s="62" t="s">
        <v>92</v>
      </c>
      <c r="G2856" s="62" t="s">
        <v>3</v>
      </c>
    </row>
    <row r="2857" spans="1:7">
      <c r="A2857" s="15" t="s">
        <v>222</v>
      </c>
      <c r="B2857" s="70" t="s">
        <v>217</v>
      </c>
      <c r="C2857" s="71">
        <v>6</v>
      </c>
      <c r="D2857" s="65">
        <v>3.1</v>
      </c>
      <c r="E2857" s="73" t="s">
        <v>28</v>
      </c>
      <c r="F2857" s="62" t="s">
        <v>90</v>
      </c>
      <c r="G2857" s="62" t="s">
        <v>0</v>
      </c>
    </row>
    <row r="2858" spans="1:7">
      <c r="A2858" s="15" t="s">
        <v>223</v>
      </c>
      <c r="B2858" s="70" t="s">
        <v>217</v>
      </c>
      <c r="C2858" s="71">
        <v>7</v>
      </c>
      <c r="D2858" s="65">
        <v>3.1</v>
      </c>
      <c r="E2858" s="73" t="s">
        <v>28</v>
      </c>
      <c r="F2858" s="62" t="s">
        <v>90</v>
      </c>
      <c r="G2858" s="62" t="s">
        <v>3</v>
      </c>
    </row>
    <row r="2859" spans="1:7">
      <c r="A2859" s="15" t="s">
        <v>224</v>
      </c>
      <c r="B2859" s="70" t="s">
        <v>217</v>
      </c>
      <c r="C2859" s="71">
        <v>8</v>
      </c>
      <c r="D2859" s="65">
        <v>6.2</v>
      </c>
      <c r="E2859" s="73" t="s">
        <v>100</v>
      </c>
      <c r="F2859" s="62" t="s">
        <v>102</v>
      </c>
      <c r="G2859" s="62" t="s">
        <v>1</v>
      </c>
    </row>
    <row r="2860" spans="1:7">
      <c r="A2860" s="15" t="s">
        <v>225</v>
      </c>
      <c r="B2860" s="70" t="s">
        <v>217</v>
      </c>
      <c r="C2860" s="71">
        <v>9</v>
      </c>
      <c r="D2860" s="66">
        <v>2.1</v>
      </c>
      <c r="E2860" s="68" t="s">
        <v>81</v>
      </c>
      <c r="F2860" s="51" t="s">
        <v>82</v>
      </c>
      <c r="G2860" s="51" t="s">
        <v>1</v>
      </c>
    </row>
    <row r="2861" spans="1:7">
      <c r="A2861" s="15" t="s">
        <v>226</v>
      </c>
      <c r="B2861" s="70" t="s">
        <v>217</v>
      </c>
      <c r="C2861" s="71">
        <v>10</v>
      </c>
      <c r="D2861" s="65">
        <v>6.3</v>
      </c>
      <c r="E2861" s="73" t="s">
        <v>81</v>
      </c>
      <c r="F2861" s="62" t="s">
        <v>103</v>
      </c>
      <c r="G2861" s="62" t="s">
        <v>0</v>
      </c>
    </row>
    <row r="2862" spans="1:7">
      <c r="A2862" s="15" t="s">
        <v>227</v>
      </c>
      <c r="B2862" s="70" t="s">
        <v>217</v>
      </c>
      <c r="C2862" s="71">
        <v>11</v>
      </c>
      <c r="D2862" s="65">
        <v>5.2</v>
      </c>
      <c r="E2862" s="73" t="s">
        <v>96</v>
      </c>
      <c r="F2862" s="62" t="s">
        <v>98</v>
      </c>
      <c r="G2862" s="62" t="s">
        <v>4</v>
      </c>
    </row>
    <row r="2863" spans="1:7">
      <c r="A2863" s="15" t="s">
        <v>228</v>
      </c>
      <c r="B2863" s="70" t="s">
        <v>217</v>
      </c>
      <c r="C2863" s="71">
        <v>12</v>
      </c>
      <c r="D2863" s="65">
        <v>2.34</v>
      </c>
      <c r="E2863" s="73" t="s">
        <v>81</v>
      </c>
      <c r="F2863" s="62" t="s">
        <v>88</v>
      </c>
      <c r="G2863" s="62" t="s">
        <v>1</v>
      </c>
    </row>
    <row r="2864" spans="1:7">
      <c r="A2864" s="15" t="s">
        <v>229</v>
      </c>
      <c r="B2864" s="70" t="s">
        <v>217</v>
      </c>
      <c r="C2864" s="71">
        <v>13</v>
      </c>
      <c r="D2864" s="65">
        <v>3.2</v>
      </c>
      <c r="E2864" s="73" t="s">
        <v>28</v>
      </c>
      <c r="F2864" s="62" t="s">
        <v>91</v>
      </c>
      <c r="G2864" s="62" t="s">
        <v>3</v>
      </c>
    </row>
    <row r="2865" spans="1:7">
      <c r="A2865" s="15" t="s">
        <v>230</v>
      </c>
      <c r="B2865" s="70" t="s">
        <v>217</v>
      </c>
      <c r="C2865" s="71">
        <v>14</v>
      </c>
      <c r="D2865" s="65">
        <v>2.1</v>
      </c>
      <c r="E2865" s="73" t="s">
        <v>81</v>
      </c>
      <c r="F2865" s="62" t="s">
        <v>82</v>
      </c>
      <c r="G2865" s="62" t="s">
        <v>0</v>
      </c>
    </row>
    <row r="2866" spans="1:7">
      <c r="A2866" s="15" t="s">
        <v>231</v>
      </c>
      <c r="B2866" s="70" t="s">
        <v>217</v>
      </c>
      <c r="C2866" s="71">
        <v>15</v>
      </c>
      <c r="D2866" s="65">
        <v>6.1</v>
      </c>
      <c r="E2866" s="73" t="s">
        <v>100</v>
      </c>
      <c r="F2866" s="62" t="s">
        <v>101</v>
      </c>
      <c r="G2866" s="62" t="s">
        <v>4</v>
      </c>
    </row>
    <row r="2867" spans="1:7">
      <c r="A2867" s="15" t="s">
        <v>232</v>
      </c>
      <c r="B2867" s="70" t="s">
        <v>217</v>
      </c>
      <c r="C2867" s="71">
        <v>16</v>
      </c>
      <c r="D2867" s="65">
        <v>2.1</v>
      </c>
      <c r="E2867" s="73" t="s">
        <v>81</v>
      </c>
      <c r="F2867" s="62" t="s">
        <v>82</v>
      </c>
      <c r="G2867" s="62" t="s">
        <v>2</v>
      </c>
    </row>
    <row r="2868" spans="1:7">
      <c r="A2868" s="15" t="s">
        <v>233</v>
      </c>
      <c r="B2868" s="70" t="s">
        <v>217</v>
      </c>
      <c r="C2868" s="71">
        <v>17</v>
      </c>
      <c r="D2868" s="65">
        <v>2.35</v>
      </c>
      <c r="E2868" s="73" t="s">
        <v>81</v>
      </c>
      <c r="F2868" s="62" t="s">
        <v>89</v>
      </c>
      <c r="G2868" s="62" t="s">
        <v>4</v>
      </c>
    </row>
    <row r="2869" spans="1:7">
      <c r="A2869" s="15" t="s">
        <v>234</v>
      </c>
      <c r="B2869" s="70" t="s">
        <v>217</v>
      </c>
      <c r="C2869" s="71">
        <v>18</v>
      </c>
      <c r="D2869" s="65">
        <v>6.1</v>
      </c>
      <c r="E2869" s="73" t="s">
        <v>100</v>
      </c>
      <c r="F2869" s="62" t="s">
        <v>101</v>
      </c>
      <c r="G2869" s="62" t="s">
        <v>2</v>
      </c>
    </row>
    <row r="2870" spans="1:7">
      <c r="A2870" s="15" t="s">
        <v>235</v>
      </c>
      <c r="B2870" s="70" t="s">
        <v>217</v>
      </c>
      <c r="C2870" s="71">
        <v>19</v>
      </c>
      <c r="D2870" s="65">
        <v>2.34</v>
      </c>
      <c r="E2870" s="73" t="s">
        <v>81</v>
      </c>
      <c r="F2870" s="62" t="s">
        <v>88</v>
      </c>
      <c r="G2870" s="62" t="s">
        <v>0</v>
      </c>
    </row>
    <row r="2871" spans="1:7">
      <c r="A2871" s="15" t="s">
        <v>236</v>
      </c>
      <c r="B2871" s="70" t="s">
        <v>217</v>
      </c>
      <c r="C2871" s="71">
        <v>20</v>
      </c>
      <c r="D2871" s="65">
        <v>1.3</v>
      </c>
      <c r="E2871" s="73" t="s">
        <v>76</v>
      </c>
      <c r="F2871" s="62" t="s">
        <v>79</v>
      </c>
      <c r="G2871" s="62" t="s">
        <v>2</v>
      </c>
    </row>
    <row r="2872" spans="1:7">
      <c r="A2872" s="15" t="s">
        <v>237</v>
      </c>
      <c r="B2872" s="70" t="s">
        <v>217</v>
      </c>
      <c r="C2872" s="71">
        <v>21</v>
      </c>
      <c r="D2872" s="65">
        <v>2.2000000000000002</v>
      </c>
      <c r="E2872" s="73" t="s">
        <v>81</v>
      </c>
      <c r="F2872" s="62" t="s">
        <v>83</v>
      </c>
      <c r="G2872" s="62" t="s">
        <v>4</v>
      </c>
    </row>
    <row r="2873" spans="1:7">
      <c r="A2873" s="15" t="s">
        <v>238</v>
      </c>
      <c r="B2873" s="70" t="s">
        <v>217</v>
      </c>
      <c r="C2873" s="71">
        <v>22</v>
      </c>
      <c r="D2873" s="65">
        <v>2.35</v>
      </c>
      <c r="E2873" s="73" t="s">
        <v>81</v>
      </c>
      <c r="F2873" s="62" t="s">
        <v>89</v>
      </c>
      <c r="G2873" s="62" t="s">
        <v>2</v>
      </c>
    </row>
    <row r="2874" spans="1:7">
      <c r="A2874" s="15" t="s">
        <v>239</v>
      </c>
      <c r="B2874" s="70" t="s">
        <v>217</v>
      </c>
      <c r="C2874" s="71">
        <v>23</v>
      </c>
      <c r="D2874" s="65">
        <v>1.5</v>
      </c>
      <c r="E2874" s="73" t="s">
        <v>76</v>
      </c>
      <c r="F2874" s="62" t="s">
        <v>80</v>
      </c>
      <c r="G2874" s="62" t="s">
        <v>1</v>
      </c>
    </row>
    <row r="2875" spans="1:7">
      <c r="A2875" s="15" t="s">
        <v>240</v>
      </c>
      <c r="B2875" s="70" t="s">
        <v>217</v>
      </c>
      <c r="C2875" s="71">
        <v>24</v>
      </c>
      <c r="D2875" s="65">
        <v>3.1</v>
      </c>
      <c r="E2875" s="73" t="s">
        <v>28</v>
      </c>
      <c r="F2875" s="62" t="s">
        <v>90</v>
      </c>
      <c r="G2875" s="62" t="s">
        <v>0</v>
      </c>
    </row>
    <row r="2876" spans="1:7">
      <c r="A2876" s="15" t="s">
        <v>241</v>
      </c>
      <c r="B2876" s="70" t="s">
        <v>217</v>
      </c>
      <c r="C2876" s="71">
        <v>25</v>
      </c>
      <c r="D2876" s="65">
        <v>2.31</v>
      </c>
      <c r="E2876" s="73" t="s">
        <v>81</v>
      </c>
      <c r="F2876" s="62" t="s">
        <v>85</v>
      </c>
      <c r="G2876" s="62" t="s">
        <v>3</v>
      </c>
    </row>
    <row r="2877" spans="1:7">
      <c r="A2877" s="15" t="s">
        <v>242</v>
      </c>
      <c r="B2877" s="70" t="s">
        <v>217</v>
      </c>
      <c r="C2877" s="71">
        <v>26</v>
      </c>
      <c r="D2877" s="65">
        <v>2.2000000000000002</v>
      </c>
      <c r="E2877" s="73" t="s">
        <v>81</v>
      </c>
      <c r="F2877" s="62" t="s">
        <v>83</v>
      </c>
      <c r="G2877" s="62" t="s">
        <v>0</v>
      </c>
    </row>
    <row r="2878" spans="1:7">
      <c r="A2878" s="15" t="s">
        <v>243</v>
      </c>
      <c r="B2878" s="70" t="s">
        <v>217</v>
      </c>
      <c r="C2878" s="71">
        <v>27</v>
      </c>
      <c r="D2878" s="65">
        <v>2.33</v>
      </c>
      <c r="E2878" s="73" t="s">
        <v>96</v>
      </c>
      <c r="F2878" s="62" t="s">
        <v>87</v>
      </c>
      <c r="G2878" s="62" t="s">
        <v>0</v>
      </c>
    </row>
    <row r="2879" spans="1:7">
      <c r="A2879" s="15" t="s">
        <v>244</v>
      </c>
      <c r="B2879" s="70" t="s">
        <v>217</v>
      </c>
      <c r="C2879" s="71">
        <v>28</v>
      </c>
      <c r="D2879" s="65">
        <v>2.1</v>
      </c>
      <c r="E2879" s="73" t="s">
        <v>81</v>
      </c>
      <c r="F2879" s="62" t="s">
        <v>82</v>
      </c>
      <c r="G2879" s="62" t="s">
        <v>0</v>
      </c>
    </row>
    <row r="2880" spans="1:7">
      <c r="A2880" s="15" t="s">
        <v>245</v>
      </c>
      <c r="B2880" s="70" t="s">
        <v>217</v>
      </c>
      <c r="C2880" s="71">
        <v>29</v>
      </c>
      <c r="D2880" s="65">
        <v>2.3199999999999998</v>
      </c>
      <c r="E2880" s="73" t="s">
        <v>81</v>
      </c>
      <c r="F2880" s="62" t="s">
        <v>86</v>
      </c>
      <c r="G2880" s="62" t="s">
        <v>1</v>
      </c>
    </row>
    <row r="2881" spans="1:7">
      <c r="A2881" s="15" t="s">
        <v>246</v>
      </c>
      <c r="B2881" s="70" t="s">
        <v>217</v>
      </c>
      <c r="C2881" s="71">
        <v>30</v>
      </c>
      <c r="D2881" s="65">
        <v>2.2000000000000002</v>
      </c>
      <c r="E2881" s="73" t="s">
        <v>81</v>
      </c>
      <c r="F2881" s="62" t="s">
        <v>83</v>
      </c>
      <c r="G2881" s="62" t="s">
        <v>2</v>
      </c>
    </row>
    <row r="2882" spans="1:7">
      <c r="A2882" s="15" t="s">
        <v>247</v>
      </c>
      <c r="B2882" s="70" t="s">
        <v>217</v>
      </c>
      <c r="C2882" s="71">
        <v>31</v>
      </c>
      <c r="D2882" s="65">
        <v>5.0999999999999996</v>
      </c>
      <c r="E2882" s="73" t="s">
        <v>96</v>
      </c>
      <c r="F2882" s="62" t="s">
        <v>97</v>
      </c>
      <c r="G2882" s="62" t="s">
        <v>3</v>
      </c>
    </row>
    <row r="2883" spans="1:7">
      <c r="A2883" s="15" t="s">
        <v>248</v>
      </c>
      <c r="B2883" s="70" t="s">
        <v>217</v>
      </c>
      <c r="C2883" s="71">
        <v>32</v>
      </c>
      <c r="D2883" s="65">
        <v>1.1000000000000001</v>
      </c>
      <c r="E2883" s="73" t="s">
        <v>76</v>
      </c>
      <c r="F2883" s="62" t="s">
        <v>77</v>
      </c>
      <c r="G2883" s="62" t="s">
        <v>1</v>
      </c>
    </row>
    <row r="2884" spans="1:7">
      <c r="A2884" s="15" t="s">
        <v>249</v>
      </c>
      <c r="B2884" s="70" t="s">
        <v>217</v>
      </c>
      <c r="C2884" s="71">
        <v>33</v>
      </c>
      <c r="D2884" s="65">
        <v>2.1</v>
      </c>
      <c r="E2884" s="73" t="s">
        <v>81</v>
      </c>
      <c r="F2884" s="62" t="s">
        <v>82</v>
      </c>
      <c r="G2884" s="62" t="s">
        <v>3</v>
      </c>
    </row>
    <row r="2885" spans="1:7">
      <c r="A2885" s="15" t="s">
        <v>250</v>
      </c>
      <c r="B2885" s="70" t="s">
        <v>217</v>
      </c>
      <c r="C2885" s="71">
        <v>34</v>
      </c>
      <c r="D2885" s="65">
        <v>3.1</v>
      </c>
      <c r="E2885" s="73" t="s">
        <v>28</v>
      </c>
      <c r="F2885" s="62" t="s">
        <v>90</v>
      </c>
      <c r="G2885" s="62" t="s">
        <v>3</v>
      </c>
    </row>
    <row r="2886" spans="1:7">
      <c r="A2886" s="15" t="s">
        <v>251</v>
      </c>
      <c r="B2886" s="70" t="s">
        <v>217</v>
      </c>
      <c r="C2886" s="71">
        <v>35</v>
      </c>
      <c r="D2886" s="65">
        <v>1.1000000000000001</v>
      </c>
      <c r="E2886" s="73" t="s">
        <v>76</v>
      </c>
      <c r="F2886" s="62" t="s">
        <v>77</v>
      </c>
      <c r="G2886" s="62" t="s">
        <v>4</v>
      </c>
    </row>
    <row r="2887" spans="1:7">
      <c r="A2887" s="15" t="s">
        <v>252</v>
      </c>
      <c r="B2887" s="70" t="s">
        <v>217</v>
      </c>
      <c r="C2887" s="71">
        <v>36</v>
      </c>
      <c r="D2887" s="65">
        <v>4.2</v>
      </c>
      <c r="E2887" s="73" t="s">
        <v>28</v>
      </c>
      <c r="F2887" s="62" t="s">
        <v>95</v>
      </c>
      <c r="G2887" s="62" t="s">
        <v>0</v>
      </c>
    </row>
    <row r="2888" spans="1:7">
      <c r="A2888" s="15" t="s">
        <v>253</v>
      </c>
      <c r="B2888" s="70" t="s">
        <v>217</v>
      </c>
      <c r="C2888" s="71">
        <v>37</v>
      </c>
      <c r="D2888" s="65">
        <v>5.0999999999999996</v>
      </c>
      <c r="E2888" s="73" t="s">
        <v>96</v>
      </c>
      <c r="F2888" s="62" t="s">
        <v>97</v>
      </c>
      <c r="G2888" s="62" t="s">
        <v>1</v>
      </c>
    </row>
    <row r="2889" spans="1:7">
      <c r="A2889" s="15" t="s">
        <v>254</v>
      </c>
      <c r="B2889" s="70" t="s">
        <v>217</v>
      </c>
      <c r="C2889" s="71">
        <v>38</v>
      </c>
      <c r="D2889" s="65">
        <v>2.34</v>
      </c>
      <c r="E2889" s="73" t="s">
        <v>81</v>
      </c>
      <c r="F2889" s="62" t="s">
        <v>88</v>
      </c>
      <c r="G2889" s="62" t="s">
        <v>1</v>
      </c>
    </row>
    <row r="2890" spans="1:7">
      <c r="A2890" s="15" t="s">
        <v>255</v>
      </c>
      <c r="B2890" s="70" t="s">
        <v>217</v>
      </c>
      <c r="C2890" s="71">
        <v>39</v>
      </c>
      <c r="D2890" s="65">
        <v>2.35</v>
      </c>
      <c r="E2890" s="73" t="s">
        <v>81</v>
      </c>
      <c r="F2890" s="62" t="s">
        <v>89</v>
      </c>
      <c r="G2890" s="62" t="s">
        <v>0</v>
      </c>
    </row>
    <row r="2891" spans="1:7">
      <c r="A2891" s="15" t="s">
        <v>256</v>
      </c>
      <c r="B2891" s="70" t="s">
        <v>217</v>
      </c>
      <c r="C2891" s="71">
        <v>40</v>
      </c>
      <c r="D2891" s="65">
        <v>5.0999999999999996</v>
      </c>
      <c r="E2891" s="73" t="s">
        <v>96</v>
      </c>
      <c r="F2891" s="62" t="s">
        <v>97</v>
      </c>
      <c r="G2891" s="62" t="s">
        <v>3</v>
      </c>
    </row>
    <row r="2892" spans="1:7">
      <c r="A2892" s="15" t="s">
        <v>257</v>
      </c>
      <c r="B2892" s="70" t="s">
        <v>217</v>
      </c>
      <c r="C2892" s="71">
        <v>41</v>
      </c>
      <c r="D2892" s="65">
        <v>3.2</v>
      </c>
      <c r="E2892" s="73" t="s">
        <v>28</v>
      </c>
      <c r="F2892" s="62" t="s">
        <v>91</v>
      </c>
      <c r="G2892" s="62" t="s">
        <v>0</v>
      </c>
    </row>
    <row r="2893" spans="1:7">
      <c r="A2893" s="15" t="s">
        <v>258</v>
      </c>
      <c r="B2893" s="70" t="s">
        <v>217</v>
      </c>
      <c r="C2893" s="71">
        <v>42</v>
      </c>
      <c r="D2893" s="65">
        <v>2.31</v>
      </c>
      <c r="E2893" s="73" t="s">
        <v>81</v>
      </c>
      <c r="F2893" s="62" t="s">
        <v>85</v>
      </c>
      <c r="G2893" s="62" t="s">
        <v>2</v>
      </c>
    </row>
    <row r="2894" spans="1:7">
      <c r="A2894" s="15" t="s">
        <v>259</v>
      </c>
      <c r="B2894" s="70" t="s">
        <v>217</v>
      </c>
      <c r="C2894" s="71">
        <v>43</v>
      </c>
      <c r="D2894" s="65">
        <v>1.4</v>
      </c>
      <c r="E2894" s="73" t="s">
        <v>76</v>
      </c>
      <c r="F2894" s="62" t="s">
        <v>30</v>
      </c>
      <c r="G2894" s="62" t="s">
        <v>4</v>
      </c>
    </row>
    <row r="2895" spans="1:7">
      <c r="A2895" s="15" t="s">
        <v>260</v>
      </c>
      <c r="B2895" s="70" t="s">
        <v>217</v>
      </c>
      <c r="C2895" s="71">
        <v>44</v>
      </c>
      <c r="D2895" s="65">
        <v>3.1</v>
      </c>
      <c r="E2895" s="73" t="s">
        <v>28</v>
      </c>
      <c r="F2895" s="62" t="s">
        <v>90</v>
      </c>
      <c r="G2895" s="62" t="s">
        <v>1</v>
      </c>
    </row>
    <row r="2896" spans="1:7">
      <c r="A2896" s="15" t="s">
        <v>261</v>
      </c>
      <c r="B2896" s="70" t="s">
        <v>217</v>
      </c>
      <c r="C2896" s="71">
        <v>45</v>
      </c>
      <c r="D2896" s="65">
        <v>2.35</v>
      </c>
      <c r="E2896" s="73" t="s">
        <v>81</v>
      </c>
      <c r="F2896" s="62" t="s">
        <v>89</v>
      </c>
      <c r="G2896" s="62" t="s">
        <v>2</v>
      </c>
    </row>
    <row r="2897" spans="1:7">
      <c r="A2897" s="15" t="s">
        <v>262</v>
      </c>
      <c r="B2897" s="70" t="s">
        <v>217</v>
      </c>
      <c r="C2897" s="71">
        <v>46</v>
      </c>
      <c r="D2897" s="65">
        <v>2.1</v>
      </c>
      <c r="E2897" s="73" t="s">
        <v>81</v>
      </c>
      <c r="F2897" s="62" t="s">
        <v>82</v>
      </c>
      <c r="G2897" s="62" t="s">
        <v>2</v>
      </c>
    </row>
    <row r="2898" spans="1:7">
      <c r="A2898" s="15" t="s">
        <v>263</v>
      </c>
      <c r="B2898" s="70" t="s">
        <v>217</v>
      </c>
      <c r="C2898" s="71">
        <v>47</v>
      </c>
      <c r="D2898" s="65">
        <v>5.2</v>
      </c>
      <c r="E2898" s="73" t="s">
        <v>96</v>
      </c>
      <c r="F2898" s="62" t="s">
        <v>98</v>
      </c>
      <c r="G2898" s="62" t="s">
        <v>3</v>
      </c>
    </row>
    <row r="2899" spans="1:7">
      <c r="A2899" s="15" t="s">
        <v>264</v>
      </c>
      <c r="B2899" s="70" t="s">
        <v>217</v>
      </c>
      <c r="C2899" s="71">
        <v>48</v>
      </c>
      <c r="D2899" s="65">
        <v>1.5</v>
      </c>
      <c r="E2899" s="73" t="s">
        <v>76</v>
      </c>
      <c r="F2899" s="62" t="s">
        <v>80</v>
      </c>
      <c r="G2899" s="62" t="s">
        <v>2</v>
      </c>
    </row>
    <row r="2900" spans="1:7">
      <c r="A2900" s="15" t="s">
        <v>265</v>
      </c>
      <c r="B2900" s="70" t="s">
        <v>217</v>
      </c>
      <c r="C2900" s="71">
        <v>49</v>
      </c>
      <c r="D2900" s="65">
        <v>2.2000000000000002</v>
      </c>
      <c r="E2900" s="73" t="s">
        <v>81</v>
      </c>
      <c r="F2900" s="62" t="s">
        <v>83</v>
      </c>
      <c r="G2900" s="62" t="s">
        <v>1</v>
      </c>
    </row>
    <row r="2901" spans="1:7">
      <c r="A2901" s="15" t="s">
        <v>266</v>
      </c>
      <c r="B2901" s="70" t="s">
        <v>217</v>
      </c>
      <c r="C2901" s="71">
        <v>50</v>
      </c>
      <c r="D2901" s="65">
        <v>5.0999999999999996</v>
      </c>
      <c r="E2901" s="73" t="s">
        <v>96</v>
      </c>
      <c r="F2901" s="62" t="s">
        <v>97</v>
      </c>
      <c r="G2901" s="62" t="s">
        <v>0</v>
      </c>
    </row>
    <row r="2902" spans="1:7">
      <c r="A2902" s="15" t="s">
        <v>267</v>
      </c>
      <c r="B2902" s="70" t="s">
        <v>268</v>
      </c>
      <c r="C2902" s="71">
        <v>1</v>
      </c>
      <c r="D2902" s="65">
        <v>2.1</v>
      </c>
      <c r="E2902" s="73" t="s">
        <v>81</v>
      </c>
      <c r="F2902" s="62" t="s">
        <v>82</v>
      </c>
      <c r="G2902" s="62" t="s">
        <v>4</v>
      </c>
    </row>
    <row r="2903" spans="1:7">
      <c r="A2903" s="15" t="s">
        <v>269</v>
      </c>
      <c r="B2903" s="70" t="s">
        <v>268</v>
      </c>
      <c r="C2903" s="71">
        <v>2</v>
      </c>
      <c r="D2903" s="65">
        <v>2.35</v>
      </c>
      <c r="E2903" s="73" t="s">
        <v>81</v>
      </c>
      <c r="F2903" s="62" t="s">
        <v>89</v>
      </c>
      <c r="G2903" s="62" t="s">
        <v>2</v>
      </c>
    </row>
    <row r="2904" spans="1:7">
      <c r="A2904" s="15" t="s">
        <v>270</v>
      </c>
      <c r="B2904" s="70" t="s">
        <v>268</v>
      </c>
      <c r="C2904" s="71">
        <v>3</v>
      </c>
      <c r="D2904" s="65">
        <v>3.1</v>
      </c>
      <c r="E2904" s="73" t="s">
        <v>28</v>
      </c>
      <c r="F2904" s="62" t="s">
        <v>90</v>
      </c>
      <c r="G2904" s="62" t="s">
        <v>4</v>
      </c>
    </row>
    <row r="2905" spans="1:7">
      <c r="A2905" s="15" t="s">
        <v>271</v>
      </c>
      <c r="B2905" s="70" t="s">
        <v>268</v>
      </c>
      <c r="C2905" s="71">
        <v>4</v>
      </c>
      <c r="D2905" s="65">
        <v>2.1</v>
      </c>
      <c r="E2905" s="73" t="s">
        <v>81</v>
      </c>
      <c r="F2905" s="62" t="s">
        <v>82</v>
      </c>
      <c r="G2905" s="62" t="s">
        <v>3</v>
      </c>
    </row>
    <row r="2906" spans="1:7">
      <c r="A2906" s="15" t="s">
        <v>272</v>
      </c>
      <c r="B2906" s="70" t="s">
        <v>268</v>
      </c>
      <c r="C2906" s="71">
        <v>5</v>
      </c>
      <c r="D2906" s="65">
        <v>2.35</v>
      </c>
      <c r="E2906" s="73" t="s">
        <v>81</v>
      </c>
      <c r="F2906" s="62" t="s">
        <v>89</v>
      </c>
      <c r="G2906" s="62" t="s">
        <v>2</v>
      </c>
    </row>
    <row r="2907" spans="1:7">
      <c r="A2907" s="15" t="s">
        <v>273</v>
      </c>
      <c r="B2907" s="70" t="s">
        <v>268</v>
      </c>
      <c r="C2907" s="71">
        <v>6</v>
      </c>
      <c r="D2907" s="65">
        <v>4.0999999999999996</v>
      </c>
      <c r="E2907" s="73" t="s">
        <v>93</v>
      </c>
      <c r="F2907" s="62" t="s">
        <v>94</v>
      </c>
      <c r="G2907" s="62" t="s">
        <v>1</v>
      </c>
    </row>
    <row r="2908" spans="1:7">
      <c r="A2908" s="15" t="s">
        <v>274</v>
      </c>
      <c r="B2908" s="70" t="s">
        <v>268</v>
      </c>
      <c r="C2908" s="71">
        <v>7</v>
      </c>
      <c r="D2908" s="65">
        <v>5.0999999999999996</v>
      </c>
      <c r="E2908" s="73" t="s">
        <v>96</v>
      </c>
      <c r="F2908" s="62" t="s">
        <v>97</v>
      </c>
      <c r="G2908" s="62" t="s">
        <v>2</v>
      </c>
    </row>
    <row r="2909" spans="1:7">
      <c r="A2909" s="15" t="s">
        <v>275</v>
      </c>
      <c r="B2909" s="70" t="s">
        <v>268</v>
      </c>
      <c r="C2909" s="71">
        <v>8</v>
      </c>
      <c r="D2909" s="65">
        <v>1.1000000000000001</v>
      </c>
      <c r="E2909" s="73" t="s">
        <v>76</v>
      </c>
      <c r="F2909" s="62" t="s">
        <v>77</v>
      </c>
      <c r="G2909" s="62" t="s">
        <v>4</v>
      </c>
    </row>
    <row r="2910" spans="1:7">
      <c r="A2910" s="15" t="s">
        <v>276</v>
      </c>
      <c r="B2910" s="70" t="s">
        <v>268</v>
      </c>
      <c r="C2910" s="71">
        <v>9</v>
      </c>
      <c r="D2910" s="65">
        <v>3.3</v>
      </c>
      <c r="E2910" s="73" t="s">
        <v>28</v>
      </c>
      <c r="F2910" s="62" t="s">
        <v>92</v>
      </c>
      <c r="G2910" s="62" t="s">
        <v>4</v>
      </c>
    </row>
    <row r="2911" spans="1:7">
      <c r="A2911" s="15" t="s">
        <v>277</v>
      </c>
      <c r="B2911" s="70" t="s">
        <v>268</v>
      </c>
      <c r="C2911" s="71">
        <v>10</v>
      </c>
      <c r="D2911" s="65">
        <v>2.35</v>
      </c>
      <c r="E2911" s="73" t="s">
        <v>81</v>
      </c>
      <c r="F2911" s="62" t="s">
        <v>89</v>
      </c>
      <c r="G2911" s="62" t="s">
        <v>0</v>
      </c>
    </row>
    <row r="2912" spans="1:7">
      <c r="A2912" s="15" t="s">
        <v>278</v>
      </c>
      <c r="B2912" s="70" t="s">
        <v>268</v>
      </c>
      <c r="C2912" s="71">
        <v>11</v>
      </c>
      <c r="D2912" s="65">
        <v>5.2</v>
      </c>
      <c r="E2912" s="73" t="s">
        <v>96</v>
      </c>
      <c r="F2912" s="62" t="s">
        <v>98</v>
      </c>
      <c r="G2912" s="62" t="s">
        <v>1</v>
      </c>
    </row>
    <row r="2913" spans="1:7">
      <c r="A2913" s="15" t="s">
        <v>279</v>
      </c>
      <c r="B2913" s="70" t="s">
        <v>268</v>
      </c>
      <c r="C2913" s="71">
        <v>12</v>
      </c>
      <c r="D2913" s="65">
        <v>4.0999999999999996</v>
      </c>
      <c r="E2913" s="73" t="s">
        <v>93</v>
      </c>
      <c r="F2913" s="62" t="s">
        <v>94</v>
      </c>
      <c r="G2913" s="62" t="s">
        <v>2</v>
      </c>
    </row>
    <row r="2914" spans="1:7">
      <c r="A2914" s="15" t="s">
        <v>280</v>
      </c>
      <c r="B2914" s="70" t="s">
        <v>268</v>
      </c>
      <c r="C2914" s="71">
        <v>13</v>
      </c>
      <c r="D2914" s="65">
        <v>2.31</v>
      </c>
      <c r="E2914" s="73" t="s">
        <v>81</v>
      </c>
      <c r="F2914" s="62" t="s">
        <v>85</v>
      </c>
      <c r="G2914" s="62" t="s">
        <v>0</v>
      </c>
    </row>
    <row r="2915" spans="1:7">
      <c r="A2915" s="15" t="s">
        <v>281</v>
      </c>
      <c r="B2915" s="70" t="s">
        <v>268</v>
      </c>
      <c r="C2915" s="71">
        <v>14</v>
      </c>
      <c r="D2915" s="65">
        <v>2.31</v>
      </c>
      <c r="E2915" s="73" t="s">
        <v>81</v>
      </c>
      <c r="F2915" s="62" t="s">
        <v>85</v>
      </c>
      <c r="G2915" s="62" t="s">
        <v>4</v>
      </c>
    </row>
    <row r="2916" spans="1:7">
      <c r="A2916" s="15" t="s">
        <v>282</v>
      </c>
      <c r="B2916" s="70" t="s">
        <v>268</v>
      </c>
      <c r="C2916" s="71">
        <v>15</v>
      </c>
      <c r="D2916" s="65">
        <v>5.0999999999999996</v>
      </c>
      <c r="E2916" s="73" t="s">
        <v>96</v>
      </c>
      <c r="F2916" s="62" t="s">
        <v>97</v>
      </c>
      <c r="G2916" s="62" t="s">
        <v>3</v>
      </c>
    </row>
    <row r="2917" spans="1:7">
      <c r="A2917" s="15" t="s">
        <v>283</v>
      </c>
      <c r="B2917" s="70" t="s">
        <v>268</v>
      </c>
      <c r="C2917" s="71">
        <v>16</v>
      </c>
      <c r="D2917" s="65">
        <v>2.2000000000000002</v>
      </c>
      <c r="E2917" s="73" t="s">
        <v>81</v>
      </c>
      <c r="F2917" s="62" t="s">
        <v>83</v>
      </c>
      <c r="G2917" s="62" t="s">
        <v>0</v>
      </c>
    </row>
    <row r="2918" spans="1:7">
      <c r="A2918" s="15" t="s">
        <v>284</v>
      </c>
      <c r="B2918" s="70" t="s">
        <v>268</v>
      </c>
      <c r="C2918" s="71">
        <v>17</v>
      </c>
      <c r="D2918" s="65">
        <v>2.31</v>
      </c>
      <c r="E2918" s="73" t="s">
        <v>81</v>
      </c>
      <c r="F2918" s="62" t="s">
        <v>85</v>
      </c>
      <c r="G2918" s="62" t="s">
        <v>0</v>
      </c>
    </row>
    <row r="2919" spans="1:7">
      <c r="A2919" s="15" t="s">
        <v>285</v>
      </c>
      <c r="B2919" s="70" t="s">
        <v>268</v>
      </c>
      <c r="C2919" s="71">
        <v>18</v>
      </c>
      <c r="D2919" s="65">
        <v>1.3</v>
      </c>
      <c r="E2919" s="73" t="s">
        <v>76</v>
      </c>
      <c r="F2919" s="62" t="s">
        <v>79</v>
      </c>
      <c r="G2919" s="62" t="s">
        <v>3</v>
      </c>
    </row>
    <row r="2920" spans="1:7">
      <c r="A2920" s="15" t="s">
        <v>286</v>
      </c>
      <c r="B2920" s="70" t="s">
        <v>268</v>
      </c>
      <c r="C2920" s="71">
        <v>19</v>
      </c>
      <c r="D2920" s="65">
        <v>6.4</v>
      </c>
      <c r="E2920" s="73" t="s">
        <v>100</v>
      </c>
      <c r="F2920" s="62" t="s">
        <v>104</v>
      </c>
      <c r="G2920" s="62" t="s">
        <v>4</v>
      </c>
    </row>
    <row r="2921" spans="1:7">
      <c r="A2921" s="15" t="s">
        <v>287</v>
      </c>
      <c r="B2921" s="70" t="s">
        <v>268</v>
      </c>
      <c r="C2921" s="71">
        <v>20</v>
      </c>
      <c r="D2921" s="65">
        <v>6.4</v>
      </c>
      <c r="E2921" s="73" t="s">
        <v>100</v>
      </c>
      <c r="F2921" s="62" t="s">
        <v>104</v>
      </c>
      <c r="G2921" s="62" t="s">
        <v>4</v>
      </c>
    </row>
    <row r="2922" spans="1:7">
      <c r="A2922" s="15" t="s">
        <v>288</v>
      </c>
      <c r="B2922" s="70" t="s">
        <v>268</v>
      </c>
      <c r="C2922" s="71">
        <v>21</v>
      </c>
      <c r="D2922" s="65">
        <v>6.3</v>
      </c>
      <c r="E2922" s="73" t="s">
        <v>81</v>
      </c>
      <c r="F2922" s="62" t="s">
        <v>103</v>
      </c>
      <c r="G2922" s="62" t="s">
        <v>2</v>
      </c>
    </row>
    <row r="2923" spans="1:7">
      <c r="A2923" s="15" t="s">
        <v>289</v>
      </c>
      <c r="B2923" s="70" t="s">
        <v>268</v>
      </c>
      <c r="C2923" s="71">
        <v>22</v>
      </c>
      <c r="D2923" s="65">
        <v>5.3</v>
      </c>
      <c r="E2923" s="73" t="s">
        <v>96</v>
      </c>
      <c r="F2923" s="62" t="s">
        <v>99</v>
      </c>
      <c r="G2923" s="62" t="s">
        <v>2</v>
      </c>
    </row>
    <row r="2924" spans="1:7">
      <c r="A2924" s="15" t="s">
        <v>290</v>
      </c>
      <c r="B2924" s="70" t="s">
        <v>268</v>
      </c>
      <c r="C2924" s="71">
        <v>23</v>
      </c>
      <c r="D2924" s="65">
        <v>2.31</v>
      </c>
      <c r="E2924" s="73" t="s">
        <v>81</v>
      </c>
      <c r="F2924" s="62" t="s">
        <v>85</v>
      </c>
      <c r="G2924" s="62" t="s">
        <v>2</v>
      </c>
    </row>
    <row r="2925" spans="1:7">
      <c r="A2925" s="15" t="s">
        <v>291</v>
      </c>
      <c r="B2925" s="70" t="s">
        <v>268</v>
      </c>
      <c r="C2925" s="71">
        <v>24</v>
      </c>
      <c r="D2925" s="65">
        <v>2.33</v>
      </c>
      <c r="E2925" s="73" t="s">
        <v>96</v>
      </c>
      <c r="F2925" s="62" t="s">
        <v>87</v>
      </c>
      <c r="G2925" s="62" t="s">
        <v>0</v>
      </c>
    </row>
    <row r="2926" spans="1:7">
      <c r="A2926" s="15" t="s">
        <v>292</v>
      </c>
      <c r="B2926" s="70" t="s">
        <v>268</v>
      </c>
      <c r="C2926" s="71">
        <v>25</v>
      </c>
      <c r="D2926" s="65">
        <v>6.1</v>
      </c>
      <c r="E2926" s="73" t="s">
        <v>100</v>
      </c>
      <c r="F2926" s="62" t="s">
        <v>101</v>
      </c>
      <c r="G2926" s="62" t="s">
        <v>1</v>
      </c>
    </row>
    <row r="2927" spans="1:7">
      <c r="A2927" s="15" t="s">
        <v>293</v>
      </c>
      <c r="B2927" s="70" t="s">
        <v>268</v>
      </c>
      <c r="C2927" s="71">
        <v>26</v>
      </c>
      <c r="D2927" s="65">
        <v>2.1</v>
      </c>
      <c r="E2927" s="73" t="s">
        <v>81</v>
      </c>
      <c r="F2927" s="62" t="s">
        <v>82</v>
      </c>
      <c r="G2927" s="62" t="s">
        <v>4</v>
      </c>
    </row>
    <row r="2928" spans="1:7">
      <c r="A2928" s="15" t="s">
        <v>294</v>
      </c>
      <c r="B2928" s="70" t="s">
        <v>268</v>
      </c>
      <c r="C2928" s="71">
        <v>27</v>
      </c>
      <c r="D2928" s="65">
        <v>5.2</v>
      </c>
      <c r="E2928" s="73" t="s">
        <v>96</v>
      </c>
      <c r="F2928" s="62" t="s">
        <v>98</v>
      </c>
      <c r="G2928" s="62" t="s">
        <v>0</v>
      </c>
    </row>
    <row r="2929" spans="1:7">
      <c r="A2929" s="15" t="s">
        <v>295</v>
      </c>
      <c r="B2929" s="70" t="s">
        <v>268</v>
      </c>
      <c r="C2929" s="71">
        <v>28</v>
      </c>
      <c r="D2929" s="65">
        <v>2.35</v>
      </c>
      <c r="E2929" s="73" t="s">
        <v>81</v>
      </c>
      <c r="F2929" s="62" t="s">
        <v>89</v>
      </c>
      <c r="G2929" s="62" t="s">
        <v>2</v>
      </c>
    </row>
    <row r="2930" spans="1:7">
      <c r="A2930" s="15" t="s">
        <v>296</v>
      </c>
      <c r="B2930" s="70" t="s">
        <v>268</v>
      </c>
      <c r="C2930" s="71">
        <v>29</v>
      </c>
      <c r="D2930" s="65">
        <v>6.4</v>
      </c>
      <c r="E2930" s="73" t="s">
        <v>100</v>
      </c>
      <c r="F2930" s="62" t="s">
        <v>104</v>
      </c>
      <c r="G2930" s="62" t="s">
        <v>1</v>
      </c>
    </row>
    <row r="2931" spans="1:7">
      <c r="A2931" s="15" t="s">
        <v>297</v>
      </c>
      <c r="B2931" s="70" t="s">
        <v>268</v>
      </c>
      <c r="C2931" s="71">
        <v>30</v>
      </c>
      <c r="D2931" s="65">
        <v>6.3</v>
      </c>
      <c r="E2931" s="73" t="s">
        <v>81</v>
      </c>
      <c r="F2931" s="62" t="s">
        <v>103</v>
      </c>
      <c r="G2931" s="62" t="s">
        <v>4</v>
      </c>
    </row>
    <row r="2932" spans="1:7">
      <c r="A2932" s="15" t="s">
        <v>298</v>
      </c>
      <c r="B2932" s="70" t="s">
        <v>268</v>
      </c>
      <c r="C2932" s="71">
        <v>31</v>
      </c>
      <c r="D2932" s="65">
        <v>2.31</v>
      </c>
      <c r="E2932" s="73" t="s">
        <v>81</v>
      </c>
      <c r="F2932" s="62" t="s">
        <v>85</v>
      </c>
      <c r="G2932" s="62" t="s">
        <v>2</v>
      </c>
    </row>
    <row r="2933" spans="1:7">
      <c r="A2933" s="15" t="s">
        <v>299</v>
      </c>
      <c r="B2933" s="70" t="s">
        <v>268</v>
      </c>
      <c r="C2933" s="71">
        <v>32</v>
      </c>
      <c r="D2933" s="65">
        <v>2.34</v>
      </c>
      <c r="E2933" s="73" t="s">
        <v>81</v>
      </c>
      <c r="F2933" s="62" t="s">
        <v>88</v>
      </c>
      <c r="G2933" s="62" t="s">
        <v>4</v>
      </c>
    </row>
    <row r="2934" spans="1:7">
      <c r="A2934" s="15" t="s">
        <v>300</v>
      </c>
      <c r="B2934" s="70" t="s">
        <v>268</v>
      </c>
      <c r="C2934" s="71">
        <v>33</v>
      </c>
      <c r="D2934" s="65">
        <v>2.33</v>
      </c>
      <c r="E2934" s="73" t="s">
        <v>96</v>
      </c>
      <c r="F2934" s="62" t="s">
        <v>87</v>
      </c>
      <c r="G2934" s="62" t="s">
        <v>4</v>
      </c>
    </row>
    <row r="2935" spans="1:7">
      <c r="A2935" s="15" t="s">
        <v>301</v>
      </c>
      <c r="B2935" s="70" t="s">
        <v>268</v>
      </c>
      <c r="C2935" s="71">
        <v>34</v>
      </c>
      <c r="D2935" s="65">
        <v>5.3</v>
      </c>
      <c r="E2935" s="73" t="s">
        <v>96</v>
      </c>
      <c r="F2935" s="62" t="s">
        <v>99</v>
      </c>
      <c r="G2935" s="62" t="s">
        <v>2</v>
      </c>
    </row>
    <row r="2936" spans="1:7">
      <c r="A2936" s="15" t="s">
        <v>302</v>
      </c>
      <c r="B2936" s="70" t="s">
        <v>268</v>
      </c>
      <c r="C2936" s="71">
        <v>35</v>
      </c>
      <c r="D2936" s="65">
        <v>2.31</v>
      </c>
      <c r="E2936" s="73" t="s">
        <v>81</v>
      </c>
      <c r="F2936" s="62" t="s">
        <v>85</v>
      </c>
      <c r="G2936" s="62" t="s">
        <v>0</v>
      </c>
    </row>
    <row r="2937" spans="1:7">
      <c r="A2937" s="15" t="s">
        <v>303</v>
      </c>
      <c r="B2937" s="70" t="s">
        <v>268</v>
      </c>
      <c r="C2937" s="71">
        <v>36</v>
      </c>
      <c r="D2937" s="66">
        <v>1.1000000000000001</v>
      </c>
      <c r="E2937" s="68" t="s">
        <v>76</v>
      </c>
      <c r="F2937" s="51" t="s">
        <v>77</v>
      </c>
      <c r="G2937" s="51" t="s">
        <v>4</v>
      </c>
    </row>
    <row r="2938" spans="1:7">
      <c r="A2938" s="15" t="s">
        <v>304</v>
      </c>
      <c r="B2938" s="70" t="s">
        <v>268</v>
      </c>
      <c r="C2938" s="71">
        <v>37</v>
      </c>
      <c r="D2938" s="65">
        <v>5.2</v>
      </c>
      <c r="E2938" s="73" t="s">
        <v>96</v>
      </c>
      <c r="F2938" s="62" t="s">
        <v>98</v>
      </c>
      <c r="G2938" s="62" t="s">
        <v>1</v>
      </c>
    </row>
    <row r="2939" spans="1:7">
      <c r="A2939" s="15" t="s">
        <v>305</v>
      </c>
      <c r="B2939" s="70" t="s">
        <v>268</v>
      </c>
      <c r="C2939" s="71">
        <v>38</v>
      </c>
      <c r="D2939" s="65">
        <v>2.35</v>
      </c>
      <c r="E2939" s="73" t="s">
        <v>81</v>
      </c>
      <c r="F2939" s="62" t="s">
        <v>89</v>
      </c>
      <c r="G2939" s="62" t="s">
        <v>2</v>
      </c>
    </row>
    <row r="2940" spans="1:7">
      <c r="A2940" s="15" t="s">
        <v>306</v>
      </c>
      <c r="B2940" s="70" t="s">
        <v>268</v>
      </c>
      <c r="C2940" s="71">
        <v>39</v>
      </c>
      <c r="D2940" s="65">
        <v>1.3</v>
      </c>
      <c r="E2940" s="73" t="s">
        <v>76</v>
      </c>
      <c r="F2940" s="62" t="s">
        <v>79</v>
      </c>
      <c r="G2940" s="62" t="s">
        <v>2</v>
      </c>
    </row>
    <row r="2941" spans="1:7">
      <c r="A2941" s="15" t="s">
        <v>307</v>
      </c>
      <c r="B2941" s="70" t="s">
        <v>268</v>
      </c>
      <c r="C2941" s="71">
        <v>40</v>
      </c>
      <c r="D2941" s="65">
        <v>2.31</v>
      </c>
      <c r="E2941" s="73" t="s">
        <v>81</v>
      </c>
      <c r="F2941" s="62" t="s">
        <v>85</v>
      </c>
      <c r="G2941" s="62" t="s">
        <v>4</v>
      </c>
    </row>
    <row r="2942" spans="1:7">
      <c r="A2942" s="15" t="s">
        <v>308</v>
      </c>
      <c r="B2942" s="70" t="s">
        <v>268</v>
      </c>
      <c r="C2942" s="71">
        <v>41</v>
      </c>
      <c r="D2942" s="65">
        <v>2.35</v>
      </c>
      <c r="E2942" s="73" t="s">
        <v>81</v>
      </c>
      <c r="F2942" s="62" t="s">
        <v>89</v>
      </c>
      <c r="G2942" s="62" t="s">
        <v>3</v>
      </c>
    </row>
    <row r="2943" spans="1:7">
      <c r="A2943" s="15" t="s">
        <v>309</v>
      </c>
      <c r="B2943" s="70" t="s">
        <v>268</v>
      </c>
      <c r="C2943" s="71">
        <v>42</v>
      </c>
      <c r="D2943" s="65">
        <v>1.1000000000000001</v>
      </c>
      <c r="E2943" s="73" t="s">
        <v>76</v>
      </c>
      <c r="F2943" s="62" t="s">
        <v>77</v>
      </c>
      <c r="G2943" s="62" t="s">
        <v>0</v>
      </c>
    </row>
    <row r="2944" spans="1:7">
      <c r="A2944" s="15" t="s">
        <v>310</v>
      </c>
      <c r="B2944" s="70" t="s">
        <v>268</v>
      </c>
      <c r="C2944" s="71">
        <v>43</v>
      </c>
      <c r="D2944" s="65">
        <v>5.0999999999999996</v>
      </c>
      <c r="E2944" s="73" t="s">
        <v>96</v>
      </c>
      <c r="F2944" s="62" t="s">
        <v>97</v>
      </c>
      <c r="G2944" s="62" t="s">
        <v>2</v>
      </c>
    </row>
    <row r="2945" spans="1:7">
      <c r="A2945" s="15" t="s">
        <v>311</v>
      </c>
      <c r="B2945" s="70" t="s">
        <v>268</v>
      </c>
      <c r="C2945" s="71">
        <v>44</v>
      </c>
      <c r="D2945" s="65">
        <v>4.2</v>
      </c>
      <c r="E2945" s="73" t="s">
        <v>93</v>
      </c>
      <c r="F2945" s="62" t="s">
        <v>95</v>
      </c>
      <c r="G2945" s="62" t="s">
        <v>0</v>
      </c>
    </row>
    <row r="2946" spans="1:7">
      <c r="A2946" s="15" t="s">
        <v>312</v>
      </c>
      <c r="B2946" s="70" t="s">
        <v>268</v>
      </c>
      <c r="C2946" s="71">
        <v>45</v>
      </c>
      <c r="D2946" s="65">
        <v>2.3199999999999998</v>
      </c>
      <c r="E2946" s="73" t="s">
        <v>81</v>
      </c>
      <c r="F2946" s="62" t="s">
        <v>86</v>
      </c>
      <c r="G2946" s="62" t="s">
        <v>3</v>
      </c>
    </row>
    <row r="2947" spans="1:7">
      <c r="A2947" s="15" t="s">
        <v>313</v>
      </c>
      <c r="B2947" s="70" t="s">
        <v>268</v>
      </c>
      <c r="C2947" s="71">
        <v>46</v>
      </c>
      <c r="D2947" s="65">
        <v>5.0999999999999996</v>
      </c>
      <c r="E2947" s="73" t="s">
        <v>96</v>
      </c>
      <c r="F2947" s="62" t="s">
        <v>97</v>
      </c>
      <c r="G2947" s="62" t="s">
        <v>0</v>
      </c>
    </row>
    <row r="2948" spans="1:7">
      <c r="A2948" s="15" t="s">
        <v>314</v>
      </c>
      <c r="B2948" s="70" t="s">
        <v>268</v>
      </c>
      <c r="C2948" s="71">
        <v>47</v>
      </c>
      <c r="D2948" s="65">
        <v>3.3</v>
      </c>
      <c r="E2948" s="73" t="s">
        <v>28</v>
      </c>
      <c r="F2948" s="62" t="s">
        <v>92</v>
      </c>
      <c r="G2948" s="62" t="s">
        <v>1</v>
      </c>
    </row>
    <row r="2949" spans="1:7">
      <c r="A2949" s="15" t="s">
        <v>315</v>
      </c>
      <c r="B2949" s="70" t="s">
        <v>268</v>
      </c>
      <c r="C2949" s="71">
        <v>48</v>
      </c>
      <c r="D2949" s="65">
        <v>1.5</v>
      </c>
      <c r="E2949" s="73" t="s">
        <v>76</v>
      </c>
      <c r="F2949" s="62" t="s">
        <v>80</v>
      </c>
      <c r="G2949" s="62" t="s">
        <v>3</v>
      </c>
    </row>
    <row r="2950" spans="1:7">
      <c r="A2950" s="15" t="s">
        <v>316</v>
      </c>
      <c r="B2950" s="70" t="s">
        <v>268</v>
      </c>
      <c r="C2950" s="71">
        <v>49</v>
      </c>
      <c r="D2950" s="65">
        <v>1.2</v>
      </c>
      <c r="E2950" s="73" t="s">
        <v>76</v>
      </c>
      <c r="F2950" s="62" t="s">
        <v>78</v>
      </c>
      <c r="G2950" s="62" t="s">
        <v>4</v>
      </c>
    </row>
    <row r="2951" spans="1:7">
      <c r="A2951" s="15" t="s">
        <v>317</v>
      </c>
      <c r="B2951" s="70" t="s">
        <v>268</v>
      </c>
      <c r="C2951" s="71">
        <v>50</v>
      </c>
      <c r="D2951" s="65">
        <v>1.6</v>
      </c>
      <c r="E2951" s="73" t="s">
        <v>76</v>
      </c>
      <c r="F2951" s="62" t="s">
        <v>27</v>
      </c>
      <c r="G2951" s="62" t="s">
        <v>3</v>
      </c>
    </row>
    <row r="2952" spans="1:7">
      <c r="A2952" s="15" t="s">
        <v>318</v>
      </c>
      <c r="B2952" s="70" t="s">
        <v>319</v>
      </c>
      <c r="C2952" s="71">
        <v>1</v>
      </c>
      <c r="D2952" s="65">
        <v>2.1</v>
      </c>
      <c r="E2952" s="73" t="s">
        <v>81</v>
      </c>
      <c r="F2952" s="62" t="s">
        <v>82</v>
      </c>
      <c r="G2952" s="62" t="s">
        <v>0</v>
      </c>
    </row>
    <row r="2953" spans="1:7">
      <c r="A2953" s="15" t="s">
        <v>320</v>
      </c>
      <c r="B2953" s="70" t="s">
        <v>319</v>
      </c>
      <c r="C2953" s="71">
        <v>2</v>
      </c>
      <c r="D2953" s="65">
        <v>2.2000000000000002</v>
      </c>
      <c r="E2953" s="73" t="s">
        <v>81</v>
      </c>
      <c r="F2953" s="62" t="s">
        <v>83</v>
      </c>
      <c r="G2953" s="62" t="s">
        <v>4</v>
      </c>
    </row>
    <row r="2954" spans="1:7">
      <c r="A2954" s="15" t="s">
        <v>321</v>
      </c>
      <c r="B2954" s="70" t="s">
        <v>319</v>
      </c>
      <c r="C2954" s="71">
        <v>3</v>
      </c>
      <c r="D2954" s="65">
        <v>2.33</v>
      </c>
      <c r="E2954" s="73" t="s">
        <v>96</v>
      </c>
      <c r="F2954" s="62" t="s">
        <v>87</v>
      </c>
      <c r="G2954" s="62" t="s">
        <v>4</v>
      </c>
    </row>
    <row r="2955" spans="1:7">
      <c r="A2955" s="15" t="s">
        <v>322</v>
      </c>
      <c r="B2955" s="70" t="s">
        <v>319</v>
      </c>
      <c r="C2955" s="71">
        <v>4</v>
      </c>
      <c r="D2955" s="65">
        <v>3.1</v>
      </c>
      <c r="E2955" s="73" t="s">
        <v>28</v>
      </c>
      <c r="F2955" s="62" t="s">
        <v>90</v>
      </c>
      <c r="G2955" s="62" t="s">
        <v>3</v>
      </c>
    </row>
    <row r="2956" spans="1:7">
      <c r="A2956" s="15" t="s">
        <v>323</v>
      </c>
      <c r="B2956" s="70" t="s">
        <v>319</v>
      </c>
      <c r="C2956" s="71">
        <v>5</v>
      </c>
      <c r="D2956" s="65">
        <v>2.1</v>
      </c>
      <c r="E2956" s="73" t="s">
        <v>81</v>
      </c>
      <c r="F2956" s="62" t="s">
        <v>82</v>
      </c>
      <c r="G2956" s="62" t="s">
        <v>2</v>
      </c>
    </row>
    <row r="2957" spans="1:7">
      <c r="A2957" s="15" t="s">
        <v>324</v>
      </c>
      <c r="B2957" s="70" t="s">
        <v>319</v>
      </c>
      <c r="C2957" s="71">
        <v>6</v>
      </c>
      <c r="D2957" s="65">
        <v>3.4</v>
      </c>
      <c r="E2957" s="73" t="s">
        <v>28</v>
      </c>
      <c r="F2957" s="62" t="s">
        <v>29</v>
      </c>
      <c r="G2957" s="62" t="s">
        <v>3</v>
      </c>
    </row>
    <row r="2958" spans="1:7">
      <c r="A2958" s="15" t="s">
        <v>325</v>
      </c>
      <c r="B2958" s="70" t="s">
        <v>319</v>
      </c>
      <c r="C2958" s="71">
        <v>7</v>
      </c>
      <c r="D2958" s="65">
        <v>2.35</v>
      </c>
      <c r="E2958" s="73" t="s">
        <v>81</v>
      </c>
      <c r="F2958" s="62" t="s">
        <v>89</v>
      </c>
      <c r="G2958" s="62" t="s">
        <v>2</v>
      </c>
    </row>
    <row r="2959" spans="1:7">
      <c r="A2959" s="15" t="s">
        <v>326</v>
      </c>
      <c r="B2959" s="70" t="s">
        <v>319</v>
      </c>
      <c r="C2959" s="71">
        <v>8</v>
      </c>
      <c r="D2959" s="65">
        <v>2.2000000000000002</v>
      </c>
      <c r="E2959" s="73" t="s">
        <v>81</v>
      </c>
      <c r="F2959" s="62" t="s">
        <v>83</v>
      </c>
      <c r="G2959" s="62" t="s">
        <v>2</v>
      </c>
    </row>
    <row r="2960" spans="1:7">
      <c r="A2960" s="15" t="s">
        <v>327</v>
      </c>
      <c r="B2960" s="70" t="s">
        <v>319</v>
      </c>
      <c r="C2960" s="71">
        <v>9</v>
      </c>
      <c r="D2960" s="65">
        <v>3.1</v>
      </c>
      <c r="E2960" s="73" t="s">
        <v>28</v>
      </c>
      <c r="F2960" s="62" t="s">
        <v>90</v>
      </c>
      <c r="G2960" s="62" t="s">
        <v>1</v>
      </c>
    </row>
    <row r="2961" spans="1:7">
      <c r="A2961" s="15" t="s">
        <v>328</v>
      </c>
      <c r="B2961" s="70" t="s">
        <v>319</v>
      </c>
      <c r="C2961" s="71">
        <v>10</v>
      </c>
      <c r="D2961" s="65">
        <v>5.0999999999999996</v>
      </c>
      <c r="E2961" s="73" t="s">
        <v>96</v>
      </c>
      <c r="F2961" s="62" t="s">
        <v>97</v>
      </c>
      <c r="G2961" s="62" t="s">
        <v>3</v>
      </c>
    </row>
    <row r="2962" spans="1:7">
      <c r="A2962" s="15" t="s">
        <v>329</v>
      </c>
      <c r="B2962" s="70" t="s">
        <v>319</v>
      </c>
      <c r="C2962" s="71">
        <v>11</v>
      </c>
      <c r="D2962" s="65">
        <v>2.34</v>
      </c>
      <c r="E2962" s="73" t="s">
        <v>81</v>
      </c>
      <c r="F2962" s="62" t="s">
        <v>88</v>
      </c>
      <c r="G2962" s="62" t="s">
        <v>1</v>
      </c>
    </row>
    <row r="2963" spans="1:7">
      <c r="A2963" s="15" t="s">
        <v>330</v>
      </c>
      <c r="B2963" s="70" t="s">
        <v>319</v>
      </c>
      <c r="C2963" s="71">
        <v>12</v>
      </c>
      <c r="D2963" s="65">
        <v>2.31</v>
      </c>
      <c r="E2963" s="73" t="s">
        <v>81</v>
      </c>
      <c r="F2963" s="62" t="s">
        <v>85</v>
      </c>
      <c r="G2963" s="62" t="s">
        <v>0</v>
      </c>
    </row>
    <row r="2964" spans="1:7">
      <c r="A2964" s="15" t="s">
        <v>331</v>
      </c>
      <c r="B2964" s="70" t="s">
        <v>319</v>
      </c>
      <c r="C2964" s="71">
        <v>13</v>
      </c>
      <c r="D2964" s="65">
        <v>5.3</v>
      </c>
      <c r="E2964" s="73" t="s">
        <v>96</v>
      </c>
      <c r="F2964" s="62" t="s">
        <v>99</v>
      </c>
      <c r="G2964" s="62" t="s">
        <v>2</v>
      </c>
    </row>
    <row r="2965" spans="1:7">
      <c r="A2965" s="15" t="s">
        <v>332</v>
      </c>
      <c r="B2965" s="70" t="s">
        <v>319</v>
      </c>
      <c r="C2965" s="71">
        <v>14</v>
      </c>
      <c r="D2965" s="65">
        <v>2.35</v>
      </c>
      <c r="E2965" s="73" t="s">
        <v>81</v>
      </c>
      <c r="F2965" s="62" t="s">
        <v>89</v>
      </c>
      <c r="G2965" s="62" t="s">
        <v>3</v>
      </c>
    </row>
    <row r="2966" spans="1:7">
      <c r="A2966" s="15" t="s">
        <v>333</v>
      </c>
      <c r="B2966" s="70" t="s">
        <v>319</v>
      </c>
      <c r="C2966" s="71">
        <v>15</v>
      </c>
      <c r="D2966" s="65">
        <v>4.2</v>
      </c>
      <c r="E2966" s="73" t="s">
        <v>93</v>
      </c>
      <c r="F2966" s="62" t="s">
        <v>95</v>
      </c>
      <c r="G2966" s="62" t="s">
        <v>2</v>
      </c>
    </row>
    <row r="2967" spans="1:7">
      <c r="A2967" s="15" t="s">
        <v>334</v>
      </c>
      <c r="B2967" s="70" t="s">
        <v>319</v>
      </c>
      <c r="C2967" s="71">
        <v>16</v>
      </c>
      <c r="D2967" s="65">
        <v>3.1</v>
      </c>
      <c r="E2967" s="73" t="s">
        <v>28</v>
      </c>
      <c r="F2967" s="62" t="s">
        <v>90</v>
      </c>
      <c r="G2967" s="62" t="s">
        <v>0</v>
      </c>
    </row>
    <row r="2968" spans="1:7">
      <c r="A2968" s="15" t="s">
        <v>335</v>
      </c>
      <c r="B2968" s="70" t="s">
        <v>319</v>
      </c>
      <c r="C2968" s="71">
        <v>17</v>
      </c>
      <c r="D2968" s="65">
        <v>6.1</v>
      </c>
      <c r="E2968" s="73" t="s">
        <v>100</v>
      </c>
      <c r="F2968" s="62" t="s">
        <v>101</v>
      </c>
      <c r="G2968" s="62" t="s">
        <v>0</v>
      </c>
    </row>
    <row r="2969" spans="1:7">
      <c r="A2969" s="15" t="s">
        <v>336</v>
      </c>
      <c r="B2969" s="70" t="s">
        <v>319</v>
      </c>
      <c r="C2969" s="71">
        <v>18</v>
      </c>
      <c r="D2969" s="65">
        <v>5.0999999999999996</v>
      </c>
      <c r="E2969" s="73" t="s">
        <v>96</v>
      </c>
      <c r="F2969" s="62" t="s">
        <v>97</v>
      </c>
      <c r="G2969" s="62" t="s">
        <v>2</v>
      </c>
    </row>
    <row r="2970" spans="1:7">
      <c r="A2970" s="15" t="s">
        <v>337</v>
      </c>
      <c r="B2970" s="70" t="s">
        <v>319</v>
      </c>
      <c r="C2970" s="71">
        <v>19</v>
      </c>
      <c r="D2970" s="65">
        <v>1.5</v>
      </c>
      <c r="E2970" s="73" t="s">
        <v>76</v>
      </c>
      <c r="F2970" s="62" t="s">
        <v>80</v>
      </c>
      <c r="G2970" s="62" t="s">
        <v>1</v>
      </c>
    </row>
    <row r="2971" spans="1:7">
      <c r="A2971" s="15" t="s">
        <v>338</v>
      </c>
      <c r="B2971" s="70" t="s">
        <v>319</v>
      </c>
      <c r="C2971" s="71">
        <v>20</v>
      </c>
      <c r="D2971" s="65">
        <v>6.4</v>
      </c>
      <c r="E2971" s="73" t="s">
        <v>100</v>
      </c>
      <c r="F2971" s="62" t="s">
        <v>104</v>
      </c>
      <c r="G2971" s="62" t="s">
        <v>0</v>
      </c>
    </row>
    <row r="2972" spans="1:7">
      <c r="A2972" s="15" t="s">
        <v>339</v>
      </c>
      <c r="B2972" s="70" t="s">
        <v>319</v>
      </c>
      <c r="C2972" s="71">
        <v>21</v>
      </c>
      <c r="D2972" s="65">
        <v>1.3</v>
      </c>
      <c r="E2972" s="73" t="s">
        <v>76</v>
      </c>
      <c r="F2972" s="62" t="s">
        <v>79</v>
      </c>
      <c r="G2972" s="62" t="s">
        <v>4</v>
      </c>
    </row>
    <row r="2973" spans="1:7">
      <c r="A2973" s="15" t="s">
        <v>340</v>
      </c>
      <c r="B2973" s="70" t="s">
        <v>319</v>
      </c>
      <c r="C2973" s="71">
        <v>22</v>
      </c>
      <c r="D2973" s="65">
        <v>2.1</v>
      </c>
      <c r="E2973" s="73" t="s">
        <v>81</v>
      </c>
      <c r="F2973" s="62" t="s">
        <v>82</v>
      </c>
      <c r="G2973" s="62" t="s">
        <v>4</v>
      </c>
    </row>
    <row r="2974" spans="1:7">
      <c r="A2974" s="15" t="s">
        <v>341</v>
      </c>
      <c r="B2974" s="70" t="s">
        <v>319</v>
      </c>
      <c r="C2974" s="71">
        <v>23</v>
      </c>
      <c r="D2974" s="65">
        <v>5.0999999999999996</v>
      </c>
      <c r="E2974" s="73" t="s">
        <v>96</v>
      </c>
      <c r="F2974" s="62" t="s">
        <v>97</v>
      </c>
      <c r="G2974" s="62" t="s">
        <v>2</v>
      </c>
    </row>
    <row r="2975" spans="1:7">
      <c r="A2975" s="15" t="s">
        <v>342</v>
      </c>
      <c r="B2975" s="70" t="s">
        <v>319</v>
      </c>
      <c r="C2975" s="71">
        <v>24</v>
      </c>
      <c r="D2975" s="65">
        <v>2.31</v>
      </c>
      <c r="E2975" s="73" t="s">
        <v>81</v>
      </c>
      <c r="F2975" s="62" t="s">
        <v>85</v>
      </c>
      <c r="G2975" s="62" t="s">
        <v>1</v>
      </c>
    </row>
    <row r="2976" spans="1:7">
      <c r="A2976" s="15" t="s">
        <v>343</v>
      </c>
      <c r="B2976" s="70" t="s">
        <v>319</v>
      </c>
      <c r="C2976" s="71">
        <v>25</v>
      </c>
      <c r="D2976" s="65">
        <v>5.2</v>
      </c>
      <c r="E2976" s="73" t="s">
        <v>96</v>
      </c>
      <c r="F2976" s="62" t="s">
        <v>98</v>
      </c>
      <c r="G2976" s="62" t="s">
        <v>1</v>
      </c>
    </row>
    <row r="2977" spans="1:7">
      <c r="A2977" s="15" t="s">
        <v>344</v>
      </c>
      <c r="B2977" s="70" t="s">
        <v>319</v>
      </c>
      <c r="C2977" s="71">
        <v>26</v>
      </c>
      <c r="D2977" s="65">
        <v>2.3199999999999998</v>
      </c>
      <c r="E2977" s="73" t="s">
        <v>81</v>
      </c>
      <c r="F2977" s="62" t="s">
        <v>86</v>
      </c>
      <c r="G2977" s="62" t="s">
        <v>4</v>
      </c>
    </row>
    <row r="2978" spans="1:7">
      <c r="A2978" s="15" t="s">
        <v>345</v>
      </c>
      <c r="B2978" s="70" t="s">
        <v>319</v>
      </c>
      <c r="C2978" s="71">
        <v>27</v>
      </c>
      <c r="D2978" s="65">
        <v>1.5</v>
      </c>
      <c r="E2978" s="73" t="s">
        <v>76</v>
      </c>
      <c r="F2978" s="62" t="s">
        <v>80</v>
      </c>
      <c r="G2978" s="62" t="s">
        <v>2</v>
      </c>
    </row>
    <row r="2979" spans="1:7">
      <c r="A2979" s="15" t="s">
        <v>346</v>
      </c>
      <c r="B2979" s="70" t="s">
        <v>319</v>
      </c>
      <c r="C2979" s="71">
        <v>28</v>
      </c>
      <c r="D2979" s="65">
        <v>2.31</v>
      </c>
      <c r="E2979" s="73" t="s">
        <v>81</v>
      </c>
      <c r="F2979" s="62" t="s">
        <v>85</v>
      </c>
      <c r="G2979" s="62" t="s">
        <v>4</v>
      </c>
    </row>
    <row r="2980" spans="1:7">
      <c r="A2980" s="15" t="s">
        <v>347</v>
      </c>
      <c r="B2980" s="70" t="s">
        <v>319</v>
      </c>
      <c r="C2980" s="71">
        <v>29</v>
      </c>
      <c r="D2980" s="65">
        <v>2.35</v>
      </c>
      <c r="E2980" s="73" t="s">
        <v>81</v>
      </c>
      <c r="F2980" s="62" t="s">
        <v>89</v>
      </c>
      <c r="G2980" s="62" t="s">
        <v>2</v>
      </c>
    </row>
    <row r="2981" spans="1:7">
      <c r="A2981" s="15" t="s">
        <v>348</v>
      </c>
      <c r="B2981" s="70" t="s">
        <v>319</v>
      </c>
      <c r="C2981" s="71">
        <v>30</v>
      </c>
      <c r="D2981" s="65">
        <v>3.2</v>
      </c>
      <c r="E2981" s="73" t="s">
        <v>28</v>
      </c>
      <c r="F2981" s="62" t="s">
        <v>91</v>
      </c>
      <c r="G2981" s="62" t="s">
        <v>4</v>
      </c>
    </row>
    <row r="2982" spans="1:7">
      <c r="A2982" s="15" t="s">
        <v>349</v>
      </c>
      <c r="B2982" s="70" t="s">
        <v>319</v>
      </c>
      <c r="C2982" s="71">
        <v>31</v>
      </c>
      <c r="D2982" s="65">
        <v>2.34</v>
      </c>
      <c r="E2982" s="73" t="s">
        <v>81</v>
      </c>
      <c r="F2982" s="62" t="s">
        <v>88</v>
      </c>
      <c r="G2982" s="62" t="s">
        <v>1</v>
      </c>
    </row>
    <row r="2983" spans="1:7">
      <c r="A2983" s="15" t="s">
        <v>350</v>
      </c>
      <c r="B2983" s="70" t="s">
        <v>319</v>
      </c>
      <c r="C2983" s="71">
        <v>32</v>
      </c>
      <c r="D2983" s="65">
        <v>2.1</v>
      </c>
      <c r="E2983" s="73" t="s">
        <v>81</v>
      </c>
      <c r="F2983" s="62" t="s">
        <v>82</v>
      </c>
      <c r="G2983" s="62" t="s">
        <v>2</v>
      </c>
    </row>
    <row r="2984" spans="1:7">
      <c r="A2984" s="15" t="s">
        <v>351</v>
      </c>
      <c r="B2984" s="70" t="s">
        <v>319</v>
      </c>
      <c r="C2984" s="71">
        <v>33</v>
      </c>
      <c r="D2984" s="65">
        <v>2.35</v>
      </c>
      <c r="E2984" s="73" t="s">
        <v>81</v>
      </c>
      <c r="F2984" s="62" t="s">
        <v>89</v>
      </c>
      <c r="G2984" s="62" t="s">
        <v>3</v>
      </c>
    </row>
    <row r="2985" spans="1:7">
      <c r="A2985" s="15" t="s">
        <v>352</v>
      </c>
      <c r="B2985" s="70" t="s">
        <v>319</v>
      </c>
      <c r="C2985" s="71">
        <v>34</v>
      </c>
      <c r="D2985" s="65">
        <v>1.3</v>
      </c>
      <c r="E2985" s="73" t="s">
        <v>76</v>
      </c>
      <c r="F2985" s="62" t="s">
        <v>79</v>
      </c>
      <c r="G2985" s="62" t="s">
        <v>2</v>
      </c>
    </row>
    <row r="2986" spans="1:7">
      <c r="A2986" s="15" t="s">
        <v>353</v>
      </c>
      <c r="B2986" s="70" t="s">
        <v>319</v>
      </c>
      <c r="C2986" s="71">
        <v>35</v>
      </c>
      <c r="D2986" s="65">
        <v>5.3</v>
      </c>
      <c r="E2986" s="73" t="s">
        <v>96</v>
      </c>
      <c r="F2986" s="62" t="s">
        <v>99</v>
      </c>
      <c r="G2986" s="62" t="s">
        <v>1</v>
      </c>
    </row>
    <row r="2987" spans="1:7">
      <c r="A2987" s="15" t="s">
        <v>354</v>
      </c>
      <c r="B2987" s="70" t="s">
        <v>319</v>
      </c>
      <c r="C2987" s="71">
        <v>36</v>
      </c>
      <c r="D2987" s="65">
        <v>6.3</v>
      </c>
      <c r="E2987" s="73" t="s">
        <v>81</v>
      </c>
      <c r="F2987" s="62" t="s">
        <v>103</v>
      </c>
      <c r="G2987" s="62" t="s">
        <v>3</v>
      </c>
    </row>
    <row r="2988" spans="1:7">
      <c r="A2988" s="15" t="s">
        <v>355</v>
      </c>
      <c r="B2988" s="70" t="s">
        <v>319</v>
      </c>
      <c r="C2988" s="71">
        <v>37</v>
      </c>
      <c r="D2988" s="65">
        <v>1.4</v>
      </c>
      <c r="E2988" s="73" t="s">
        <v>76</v>
      </c>
      <c r="F2988" s="62" t="s">
        <v>30</v>
      </c>
      <c r="G2988" s="62" t="s">
        <v>3</v>
      </c>
    </row>
    <row r="2989" spans="1:7">
      <c r="A2989" s="15" t="s">
        <v>356</v>
      </c>
      <c r="B2989" s="70" t="s">
        <v>319</v>
      </c>
      <c r="C2989" s="71">
        <v>38</v>
      </c>
      <c r="D2989" s="65">
        <v>2.1</v>
      </c>
      <c r="E2989" s="73" t="s">
        <v>81</v>
      </c>
      <c r="F2989" s="62" t="s">
        <v>82</v>
      </c>
      <c r="G2989" s="62" t="s">
        <v>4</v>
      </c>
    </row>
    <row r="2990" spans="1:7">
      <c r="A2990" s="15" t="s">
        <v>357</v>
      </c>
      <c r="B2990" s="70" t="s">
        <v>319</v>
      </c>
      <c r="C2990" s="71">
        <v>39</v>
      </c>
      <c r="D2990" s="65">
        <v>5.2</v>
      </c>
      <c r="E2990" s="73" t="s">
        <v>96</v>
      </c>
      <c r="F2990" s="62" t="s">
        <v>98</v>
      </c>
      <c r="G2990" s="62" t="s">
        <v>3</v>
      </c>
    </row>
    <row r="2991" spans="1:7">
      <c r="A2991" s="15" t="s">
        <v>358</v>
      </c>
      <c r="B2991" s="70" t="s">
        <v>319</v>
      </c>
      <c r="C2991" s="71">
        <v>40</v>
      </c>
      <c r="D2991" s="65">
        <v>1.3</v>
      </c>
      <c r="E2991" s="73" t="s">
        <v>76</v>
      </c>
      <c r="F2991" s="62" t="s">
        <v>79</v>
      </c>
      <c r="G2991" s="62" t="s">
        <v>0</v>
      </c>
    </row>
    <row r="2992" spans="1:7">
      <c r="A2992" s="15" t="s">
        <v>359</v>
      </c>
      <c r="B2992" s="70" t="s">
        <v>319</v>
      </c>
      <c r="C2992" s="71">
        <v>41</v>
      </c>
      <c r="D2992" s="65">
        <v>2.2000000000000002</v>
      </c>
      <c r="E2992" s="73" t="s">
        <v>81</v>
      </c>
      <c r="F2992" s="62" t="s">
        <v>83</v>
      </c>
      <c r="G2992" s="62" t="s">
        <v>0</v>
      </c>
    </row>
    <row r="2993" spans="1:7">
      <c r="A2993" s="15" t="s">
        <v>360</v>
      </c>
      <c r="B2993" s="70" t="s">
        <v>319</v>
      </c>
      <c r="C2993" s="71">
        <v>42</v>
      </c>
      <c r="D2993" s="65">
        <v>5.2</v>
      </c>
      <c r="E2993" s="73" t="s">
        <v>96</v>
      </c>
      <c r="F2993" s="62" t="s">
        <v>98</v>
      </c>
      <c r="G2993" s="62" t="s">
        <v>4</v>
      </c>
    </row>
    <row r="2994" spans="1:7">
      <c r="A2994" s="15" t="s">
        <v>361</v>
      </c>
      <c r="B2994" s="70" t="s">
        <v>319</v>
      </c>
      <c r="C2994" s="71">
        <v>43</v>
      </c>
      <c r="D2994" s="65">
        <v>2.2000000000000002</v>
      </c>
      <c r="E2994" s="73" t="s">
        <v>81</v>
      </c>
      <c r="F2994" s="62" t="s">
        <v>83</v>
      </c>
      <c r="G2994" s="62" t="s">
        <v>0</v>
      </c>
    </row>
    <row r="2995" spans="1:7">
      <c r="A2995" s="15" t="s">
        <v>362</v>
      </c>
      <c r="B2995" s="70" t="s">
        <v>319</v>
      </c>
      <c r="C2995" s="71">
        <v>44</v>
      </c>
      <c r="D2995" s="65">
        <v>4.0999999999999996</v>
      </c>
      <c r="E2995" s="73" t="s">
        <v>93</v>
      </c>
      <c r="F2995" s="62" t="s">
        <v>94</v>
      </c>
      <c r="G2995" s="62" t="s">
        <v>1</v>
      </c>
    </row>
    <row r="2996" spans="1:7">
      <c r="A2996" s="15" t="s">
        <v>363</v>
      </c>
      <c r="B2996" s="70" t="s">
        <v>319</v>
      </c>
      <c r="C2996" s="71">
        <v>45</v>
      </c>
      <c r="D2996" s="65">
        <v>6.4</v>
      </c>
      <c r="E2996" s="73" t="s">
        <v>100</v>
      </c>
      <c r="F2996" s="62" t="s">
        <v>104</v>
      </c>
      <c r="G2996" s="62" t="s">
        <v>2</v>
      </c>
    </row>
    <row r="2997" spans="1:7">
      <c r="A2997" s="15" t="s">
        <v>364</v>
      </c>
      <c r="B2997" s="70" t="s">
        <v>319</v>
      </c>
      <c r="C2997" s="71">
        <v>46</v>
      </c>
      <c r="D2997" s="65">
        <v>3.3</v>
      </c>
      <c r="E2997" s="73" t="s">
        <v>28</v>
      </c>
      <c r="F2997" s="62" t="s">
        <v>92</v>
      </c>
      <c r="G2997" s="62" t="s">
        <v>0</v>
      </c>
    </row>
    <row r="2998" spans="1:7">
      <c r="A2998" s="15" t="s">
        <v>365</v>
      </c>
      <c r="B2998" s="70" t="s">
        <v>319</v>
      </c>
      <c r="C2998" s="71">
        <v>47</v>
      </c>
      <c r="D2998" s="65">
        <v>6.3</v>
      </c>
      <c r="E2998" s="73" t="s">
        <v>81</v>
      </c>
      <c r="F2998" s="62" t="s">
        <v>103</v>
      </c>
      <c r="G2998" s="62" t="s">
        <v>3</v>
      </c>
    </row>
    <row r="2999" spans="1:7">
      <c r="A2999" s="15" t="s">
        <v>366</v>
      </c>
      <c r="B2999" s="70" t="s">
        <v>319</v>
      </c>
      <c r="C2999" s="71">
        <v>48</v>
      </c>
      <c r="D2999" s="65">
        <v>1.2</v>
      </c>
      <c r="E2999" s="73" t="s">
        <v>76</v>
      </c>
      <c r="F2999" s="62" t="s">
        <v>78</v>
      </c>
      <c r="G2999" s="62" t="s">
        <v>3</v>
      </c>
    </row>
    <row r="3000" spans="1:7">
      <c r="A3000" s="15" t="s">
        <v>367</v>
      </c>
      <c r="B3000" s="70" t="s">
        <v>319</v>
      </c>
      <c r="C3000" s="71">
        <v>49</v>
      </c>
      <c r="D3000" s="65">
        <v>3.2</v>
      </c>
      <c r="E3000" s="73" t="s">
        <v>28</v>
      </c>
      <c r="F3000" s="62" t="s">
        <v>91</v>
      </c>
      <c r="G3000" s="62" t="s">
        <v>4</v>
      </c>
    </row>
    <row r="3001" spans="1:7">
      <c r="A3001" s="15" t="s">
        <v>368</v>
      </c>
      <c r="B3001" s="70" t="s">
        <v>319</v>
      </c>
      <c r="C3001" s="71">
        <v>50</v>
      </c>
      <c r="D3001" s="65">
        <v>2.2000000000000002</v>
      </c>
      <c r="E3001" s="73" t="s">
        <v>81</v>
      </c>
      <c r="F3001" s="62" t="s">
        <v>83</v>
      </c>
      <c r="G3001" s="62" t="s">
        <v>2</v>
      </c>
    </row>
    <row r="3002" spans="1:7">
      <c r="A3002" s="15" t="s">
        <v>3169</v>
      </c>
      <c r="B3002" s="69"/>
      <c r="C3002" s="71"/>
      <c r="D3002" s="65">
        <v>0</v>
      </c>
      <c r="E3002" s="72" t="e">
        <v>#N/A</v>
      </c>
      <c r="F3002" s="62" t="e">
        <v>#N/A</v>
      </c>
      <c r="G3002" s="62"/>
    </row>
    <row r="3003" spans="1:7">
      <c r="A3003" s="15" t="s">
        <v>3169</v>
      </c>
      <c r="B3003" s="69"/>
      <c r="C3003" s="71"/>
      <c r="D3003" s="65">
        <v>0</v>
      </c>
      <c r="E3003" s="72" t="e">
        <v>#N/A</v>
      </c>
      <c r="F3003" s="62" t="e">
        <v>#N/A</v>
      </c>
      <c r="G3003" s="62"/>
    </row>
    <row r="3004" spans="1:7">
      <c r="A3004" s="15" t="s">
        <v>3169</v>
      </c>
      <c r="B3004" s="69"/>
      <c r="C3004" s="71"/>
      <c r="D3004" s="65">
        <v>0</v>
      </c>
      <c r="E3004" s="72" t="e">
        <v>#N/A</v>
      </c>
      <c r="F3004" s="62" t="e">
        <v>#N/A</v>
      </c>
      <c r="G3004" s="62"/>
    </row>
    <row r="3005" spans="1:7">
      <c r="A3005" s="15" t="s">
        <v>3169</v>
      </c>
      <c r="B3005" s="69"/>
      <c r="C3005" s="71"/>
      <c r="D3005" s="65">
        <v>0</v>
      </c>
      <c r="E3005" s="72" t="e">
        <v>#N/A</v>
      </c>
      <c r="F3005" s="62" t="e">
        <v>#N/A</v>
      </c>
      <c r="G3005" s="62"/>
    </row>
    <row r="3006" spans="1:7">
      <c r="A3006" s="15" t="s">
        <v>3169</v>
      </c>
      <c r="B3006" s="69"/>
      <c r="C3006" s="71"/>
      <c r="D3006" s="65">
        <v>0</v>
      </c>
      <c r="E3006" s="72" t="e">
        <v>#N/A</v>
      </c>
      <c r="F3006" s="62" t="e">
        <v>#N/A</v>
      </c>
      <c r="G3006" s="62"/>
    </row>
    <row r="3007" spans="1:7">
      <c r="A3007" s="15" t="s">
        <v>3169</v>
      </c>
      <c r="B3007" s="69"/>
      <c r="C3007" s="71"/>
      <c r="D3007" s="65">
        <v>0</v>
      </c>
      <c r="E3007" s="72" t="e">
        <v>#N/A</v>
      </c>
      <c r="F3007" s="62" t="e">
        <v>#N/A</v>
      </c>
      <c r="G3007" s="62"/>
    </row>
    <row r="3008" spans="1:7">
      <c r="A3008" s="15" t="s">
        <v>3169</v>
      </c>
      <c r="B3008" s="69"/>
      <c r="C3008" s="71"/>
      <c r="D3008" s="65">
        <v>0</v>
      </c>
      <c r="E3008" s="72" t="e">
        <v>#N/A</v>
      </c>
      <c r="F3008" s="62" t="e">
        <v>#N/A</v>
      </c>
      <c r="G3008" s="62"/>
    </row>
    <row r="3009" spans="1:7">
      <c r="A3009" s="15" t="s">
        <v>3169</v>
      </c>
      <c r="B3009" s="69"/>
      <c r="C3009" s="71"/>
      <c r="D3009" s="65">
        <v>0</v>
      </c>
      <c r="E3009" s="72" t="e">
        <v>#N/A</v>
      </c>
      <c r="F3009" s="62" t="e">
        <v>#N/A</v>
      </c>
      <c r="G3009" s="62"/>
    </row>
    <row r="3010" spans="1:7">
      <c r="A3010" s="15" t="s">
        <v>3169</v>
      </c>
      <c r="B3010" s="69"/>
      <c r="C3010" s="71"/>
      <c r="D3010" s="65">
        <v>0</v>
      </c>
      <c r="E3010" s="72" t="e">
        <v>#N/A</v>
      </c>
      <c r="F3010" s="62" t="e">
        <v>#N/A</v>
      </c>
      <c r="G3010" s="62"/>
    </row>
    <row r="3011" spans="1:7">
      <c r="A3011" s="15" t="s">
        <v>3169</v>
      </c>
      <c r="B3011" s="69"/>
      <c r="C3011" s="71"/>
      <c r="D3011" s="65">
        <v>0</v>
      </c>
      <c r="E3011" s="72" t="e">
        <v>#N/A</v>
      </c>
      <c r="F3011" s="62" t="e">
        <v>#N/A</v>
      </c>
      <c r="G3011" s="62"/>
    </row>
    <row r="3012" spans="1:7">
      <c r="A3012" s="15" t="s">
        <v>3169</v>
      </c>
      <c r="B3012" s="69"/>
      <c r="C3012" s="71"/>
      <c r="D3012" s="65">
        <v>0</v>
      </c>
      <c r="E3012" s="72" t="e">
        <v>#N/A</v>
      </c>
      <c r="F3012" s="62" t="e">
        <v>#N/A</v>
      </c>
      <c r="G3012" s="62"/>
    </row>
    <row r="3013" spans="1:7">
      <c r="A3013" s="15" t="s">
        <v>3169</v>
      </c>
      <c r="B3013" s="69"/>
      <c r="C3013" s="71"/>
      <c r="D3013" s="65">
        <v>0</v>
      </c>
      <c r="E3013" s="72" t="e">
        <v>#N/A</v>
      </c>
      <c r="F3013" s="62" t="e">
        <v>#N/A</v>
      </c>
      <c r="G3013" s="62"/>
    </row>
    <row r="3014" spans="1:7">
      <c r="A3014" s="15" t="s">
        <v>3169</v>
      </c>
      <c r="B3014" s="69"/>
      <c r="C3014" s="71"/>
      <c r="D3014" s="65">
        <v>0</v>
      </c>
      <c r="E3014" s="72" t="e">
        <v>#N/A</v>
      </c>
      <c r="F3014" s="62" t="e">
        <v>#N/A</v>
      </c>
      <c r="G3014" s="62"/>
    </row>
    <row r="3015" spans="1:7">
      <c r="A3015" s="15" t="s">
        <v>3169</v>
      </c>
      <c r="B3015" s="69"/>
      <c r="C3015" s="71"/>
      <c r="D3015" s="65">
        <v>0</v>
      </c>
      <c r="E3015" s="72" t="e">
        <v>#N/A</v>
      </c>
      <c r="F3015" s="62" t="e">
        <v>#N/A</v>
      </c>
      <c r="G3015" s="62"/>
    </row>
    <row r="3016" spans="1:7">
      <c r="A3016" s="15" t="s">
        <v>3169</v>
      </c>
      <c r="B3016" s="69"/>
      <c r="C3016" s="71"/>
      <c r="D3016" s="65">
        <v>0</v>
      </c>
      <c r="E3016" s="72" t="e">
        <v>#N/A</v>
      </c>
      <c r="F3016" s="62" t="e">
        <v>#N/A</v>
      </c>
      <c r="G3016" s="62"/>
    </row>
    <row r="3017" spans="1:7">
      <c r="A3017" s="15" t="s">
        <v>3169</v>
      </c>
      <c r="B3017" s="69"/>
      <c r="C3017" s="71"/>
      <c r="D3017" s="65">
        <v>0</v>
      </c>
      <c r="E3017" s="72" t="e">
        <v>#N/A</v>
      </c>
      <c r="F3017" s="62" t="e">
        <v>#N/A</v>
      </c>
      <c r="G3017" s="62"/>
    </row>
    <row r="3018" spans="1:7">
      <c r="A3018" s="15" t="s">
        <v>3169</v>
      </c>
      <c r="B3018" s="69"/>
      <c r="C3018" s="71"/>
      <c r="D3018" s="65">
        <v>0</v>
      </c>
      <c r="E3018" s="72" t="e">
        <v>#N/A</v>
      </c>
      <c r="F3018" s="62" t="e">
        <v>#N/A</v>
      </c>
      <c r="G3018" s="62"/>
    </row>
    <row r="3019" spans="1:7">
      <c r="A3019" s="15" t="s">
        <v>3169</v>
      </c>
      <c r="B3019" s="69"/>
      <c r="C3019" s="71"/>
      <c r="D3019" s="65">
        <v>0</v>
      </c>
      <c r="E3019" s="72" t="e">
        <v>#N/A</v>
      </c>
      <c r="F3019" s="62" t="e">
        <v>#N/A</v>
      </c>
      <c r="G3019" s="62"/>
    </row>
    <row r="3020" spans="1:7">
      <c r="A3020" s="15" t="s">
        <v>3169</v>
      </c>
      <c r="B3020" s="69"/>
      <c r="C3020" s="71"/>
      <c r="D3020" s="65">
        <v>0</v>
      </c>
      <c r="E3020" s="72" t="e">
        <v>#N/A</v>
      </c>
      <c r="F3020" s="62" t="e">
        <v>#N/A</v>
      </c>
      <c r="G3020" s="62"/>
    </row>
    <row r="3021" spans="1:7">
      <c r="A3021" s="15" t="s">
        <v>3169</v>
      </c>
      <c r="B3021" s="69"/>
      <c r="C3021" s="71"/>
      <c r="D3021" s="65">
        <v>0</v>
      </c>
      <c r="E3021" s="72" t="e">
        <v>#N/A</v>
      </c>
      <c r="F3021" s="62" t="e">
        <v>#N/A</v>
      </c>
      <c r="G3021" s="62"/>
    </row>
    <row r="3022" spans="1:7">
      <c r="A3022" s="15" t="s">
        <v>3169</v>
      </c>
      <c r="B3022" s="69"/>
      <c r="C3022" s="71"/>
      <c r="D3022" s="65">
        <v>0</v>
      </c>
      <c r="E3022" s="72" t="e">
        <v>#N/A</v>
      </c>
      <c r="F3022" s="62" t="e">
        <v>#N/A</v>
      </c>
      <c r="G3022" s="62"/>
    </row>
    <row r="3023" spans="1:7">
      <c r="A3023" s="15" t="s">
        <v>3169</v>
      </c>
      <c r="B3023" s="69"/>
      <c r="C3023" s="71"/>
      <c r="D3023" s="65">
        <v>0</v>
      </c>
      <c r="E3023" s="72" t="e">
        <v>#N/A</v>
      </c>
      <c r="F3023" s="62" t="e">
        <v>#N/A</v>
      </c>
      <c r="G3023" s="62"/>
    </row>
    <row r="3024" spans="1:7">
      <c r="A3024" s="15" t="s">
        <v>3169</v>
      </c>
      <c r="B3024" s="69"/>
      <c r="C3024" s="71"/>
      <c r="D3024" s="65">
        <v>0</v>
      </c>
      <c r="E3024" s="72" t="e">
        <v>#N/A</v>
      </c>
      <c r="F3024" s="62" t="e">
        <v>#N/A</v>
      </c>
      <c r="G3024" s="62"/>
    </row>
    <row r="3025" spans="1:7">
      <c r="A3025" s="15" t="s">
        <v>3169</v>
      </c>
      <c r="B3025" s="69"/>
      <c r="C3025" s="71"/>
      <c r="D3025" s="65">
        <v>0</v>
      </c>
      <c r="E3025" s="72" t="e">
        <v>#N/A</v>
      </c>
      <c r="F3025" s="62" t="e">
        <v>#N/A</v>
      </c>
      <c r="G3025" s="62"/>
    </row>
    <row r="3026" spans="1:7">
      <c r="A3026" s="15" t="s">
        <v>3169</v>
      </c>
      <c r="B3026" s="69"/>
      <c r="C3026" s="71"/>
      <c r="D3026" s="65">
        <v>0</v>
      </c>
      <c r="E3026" s="72" t="e">
        <v>#N/A</v>
      </c>
      <c r="F3026" s="62" t="e">
        <v>#N/A</v>
      </c>
      <c r="G3026" s="62"/>
    </row>
    <row r="3027" spans="1:7">
      <c r="A3027" s="15" t="s">
        <v>3169</v>
      </c>
      <c r="B3027" s="69"/>
      <c r="C3027" s="71"/>
      <c r="D3027" s="65">
        <v>0</v>
      </c>
      <c r="E3027" s="72" t="e">
        <v>#N/A</v>
      </c>
      <c r="F3027" s="62" t="e">
        <v>#N/A</v>
      </c>
      <c r="G3027" s="62"/>
    </row>
    <row r="3028" spans="1:7">
      <c r="A3028" s="15" t="s">
        <v>3169</v>
      </c>
      <c r="B3028" s="69"/>
      <c r="C3028" s="71"/>
      <c r="D3028" s="65">
        <v>0</v>
      </c>
      <c r="E3028" s="72" t="e">
        <v>#N/A</v>
      </c>
      <c r="F3028" s="62" t="e">
        <v>#N/A</v>
      </c>
      <c r="G3028" s="62"/>
    </row>
    <row r="3029" spans="1:7">
      <c r="A3029" s="15" t="s">
        <v>3169</v>
      </c>
      <c r="B3029" s="69"/>
      <c r="C3029" s="71"/>
      <c r="D3029" s="65">
        <v>0</v>
      </c>
      <c r="E3029" s="72" t="e">
        <v>#N/A</v>
      </c>
      <c r="F3029" s="62" t="e">
        <v>#N/A</v>
      </c>
      <c r="G3029" s="62"/>
    </row>
    <row r="3030" spans="1:7">
      <c r="A3030" s="15" t="s">
        <v>3169</v>
      </c>
      <c r="B3030" s="69"/>
      <c r="C3030" s="71"/>
      <c r="D3030" s="65">
        <v>0</v>
      </c>
      <c r="E3030" s="72" t="e">
        <v>#N/A</v>
      </c>
      <c r="F3030" s="62" t="e">
        <v>#N/A</v>
      </c>
      <c r="G3030" s="62"/>
    </row>
    <row r="3031" spans="1:7">
      <c r="A3031" s="15" t="s">
        <v>3169</v>
      </c>
      <c r="B3031" s="69"/>
      <c r="C3031" s="71"/>
      <c r="D3031" s="65">
        <v>0</v>
      </c>
      <c r="E3031" s="72" t="e">
        <v>#N/A</v>
      </c>
      <c r="F3031" s="62" t="e">
        <v>#N/A</v>
      </c>
      <c r="G3031" s="62"/>
    </row>
    <row r="3032" spans="1:7">
      <c r="A3032" s="15" t="s">
        <v>3169</v>
      </c>
      <c r="B3032" s="69"/>
      <c r="C3032" s="71"/>
      <c r="D3032" s="65">
        <v>0</v>
      </c>
      <c r="E3032" s="72" t="e">
        <v>#N/A</v>
      </c>
      <c r="F3032" s="62" t="e">
        <v>#N/A</v>
      </c>
      <c r="G3032" s="62"/>
    </row>
    <row r="3033" spans="1:7">
      <c r="A3033" s="15" t="s">
        <v>3169</v>
      </c>
      <c r="B3033" s="69"/>
      <c r="C3033" s="71"/>
      <c r="D3033" s="65">
        <v>0</v>
      </c>
      <c r="E3033" s="72" t="e">
        <v>#N/A</v>
      </c>
      <c r="F3033" s="62" t="e">
        <v>#N/A</v>
      </c>
      <c r="G3033" s="62"/>
    </row>
    <row r="3034" spans="1:7">
      <c r="A3034" s="15" t="s">
        <v>3169</v>
      </c>
      <c r="B3034" s="69"/>
      <c r="C3034" s="71"/>
      <c r="D3034" s="65">
        <v>0</v>
      </c>
      <c r="E3034" s="72" t="e">
        <v>#N/A</v>
      </c>
      <c r="F3034" s="62" t="e">
        <v>#N/A</v>
      </c>
      <c r="G3034" s="62"/>
    </row>
    <row r="3035" spans="1:7">
      <c r="A3035" s="15" t="s">
        <v>3169</v>
      </c>
      <c r="B3035" s="69"/>
      <c r="C3035" s="71"/>
      <c r="D3035" s="65">
        <v>0</v>
      </c>
      <c r="E3035" s="72" t="e">
        <v>#N/A</v>
      </c>
      <c r="F3035" s="62" t="e">
        <v>#N/A</v>
      </c>
      <c r="G3035" s="62"/>
    </row>
    <row r="3036" spans="1:7">
      <c r="A3036" s="15" t="s">
        <v>3169</v>
      </c>
      <c r="B3036" s="69"/>
      <c r="C3036" s="71"/>
      <c r="D3036" s="65">
        <v>0</v>
      </c>
      <c r="E3036" s="72" t="e">
        <v>#N/A</v>
      </c>
      <c r="F3036" s="62" t="e">
        <v>#N/A</v>
      </c>
      <c r="G3036" s="62"/>
    </row>
    <row r="3037" spans="1:7">
      <c r="A3037" s="15" t="s">
        <v>3169</v>
      </c>
      <c r="B3037" s="69"/>
      <c r="C3037" s="71"/>
      <c r="D3037" s="65">
        <v>0</v>
      </c>
      <c r="E3037" s="72" t="e">
        <v>#N/A</v>
      </c>
      <c r="F3037" s="62" t="e">
        <v>#N/A</v>
      </c>
      <c r="G3037" s="62"/>
    </row>
    <row r="3038" spans="1:7">
      <c r="A3038" s="15" t="s">
        <v>3169</v>
      </c>
      <c r="B3038" s="69"/>
      <c r="C3038" s="71"/>
      <c r="D3038" s="65">
        <v>0</v>
      </c>
      <c r="E3038" s="72" t="e">
        <v>#N/A</v>
      </c>
      <c r="F3038" s="62" t="e">
        <v>#N/A</v>
      </c>
      <c r="G3038" s="62"/>
    </row>
    <row r="3039" spans="1:7">
      <c r="A3039" s="15" t="s">
        <v>3169</v>
      </c>
      <c r="B3039" s="69"/>
      <c r="C3039" s="71"/>
      <c r="D3039" s="65">
        <v>0</v>
      </c>
      <c r="E3039" s="72" t="e">
        <v>#N/A</v>
      </c>
      <c r="F3039" s="62" t="e">
        <v>#N/A</v>
      </c>
      <c r="G3039" s="62"/>
    </row>
    <row r="3040" spans="1:7">
      <c r="A3040" s="15" t="s">
        <v>3169</v>
      </c>
      <c r="B3040" s="69"/>
      <c r="C3040" s="71"/>
      <c r="D3040" s="65">
        <v>0</v>
      </c>
      <c r="E3040" s="72" t="e">
        <v>#N/A</v>
      </c>
      <c r="F3040" s="62" t="e">
        <v>#N/A</v>
      </c>
      <c r="G3040" s="62"/>
    </row>
    <row r="3041" spans="1:7">
      <c r="A3041" s="15" t="s">
        <v>3169</v>
      </c>
      <c r="B3041" s="69"/>
      <c r="C3041" s="71"/>
      <c r="D3041" s="65">
        <v>0</v>
      </c>
      <c r="E3041" s="72" t="e">
        <v>#N/A</v>
      </c>
      <c r="F3041" s="62" t="e">
        <v>#N/A</v>
      </c>
      <c r="G3041" s="62"/>
    </row>
    <row r="3042" spans="1:7">
      <c r="A3042" s="15" t="s">
        <v>3169</v>
      </c>
      <c r="B3042" s="69"/>
      <c r="C3042" s="71"/>
      <c r="D3042" s="65">
        <v>0</v>
      </c>
      <c r="E3042" s="72" t="e">
        <v>#N/A</v>
      </c>
      <c r="F3042" s="62" t="e">
        <v>#N/A</v>
      </c>
      <c r="G3042" s="62"/>
    </row>
    <row r="3043" spans="1:7">
      <c r="A3043" s="15" t="s">
        <v>3169</v>
      </c>
      <c r="B3043" s="69"/>
      <c r="C3043" s="71"/>
      <c r="D3043" s="65">
        <v>0</v>
      </c>
      <c r="E3043" s="72" t="e">
        <v>#N/A</v>
      </c>
      <c r="F3043" s="62" t="e">
        <v>#N/A</v>
      </c>
      <c r="G3043" s="62"/>
    </row>
    <row r="3044" spans="1:7">
      <c r="A3044" s="15" t="s">
        <v>3169</v>
      </c>
      <c r="B3044" s="69"/>
      <c r="C3044" s="71"/>
      <c r="D3044" s="65">
        <v>0</v>
      </c>
      <c r="E3044" s="72" t="e">
        <v>#N/A</v>
      </c>
      <c r="F3044" s="62" t="e">
        <v>#N/A</v>
      </c>
      <c r="G3044" s="62"/>
    </row>
    <row r="3045" spans="1:7">
      <c r="A3045" s="15" t="s">
        <v>3169</v>
      </c>
      <c r="B3045" s="69"/>
      <c r="C3045" s="71"/>
      <c r="D3045" s="65">
        <v>0</v>
      </c>
      <c r="E3045" s="72" t="e">
        <v>#N/A</v>
      </c>
      <c r="F3045" s="62" t="e">
        <v>#N/A</v>
      </c>
      <c r="G3045" s="62"/>
    </row>
    <row r="3046" spans="1:7">
      <c r="A3046" s="15" t="s">
        <v>3169</v>
      </c>
      <c r="B3046" s="69"/>
      <c r="C3046" s="71"/>
      <c r="D3046" s="65">
        <v>0</v>
      </c>
      <c r="E3046" s="72" t="e">
        <v>#N/A</v>
      </c>
      <c r="F3046" s="62" t="e">
        <v>#N/A</v>
      </c>
      <c r="G3046" s="62"/>
    </row>
    <row r="3047" spans="1:7">
      <c r="A3047" s="15" t="s">
        <v>3169</v>
      </c>
      <c r="B3047" s="69"/>
      <c r="C3047" s="71"/>
      <c r="D3047" s="65">
        <v>0</v>
      </c>
      <c r="E3047" s="72" t="e">
        <v>#N/A</v>
      </c>
      <c r="F3047" s="62" t="e">
        <v>#N/A</v>
      </c>
      <c r="G3047" s="62"/>
    </row>
    <row r="3048" spans="1:7">
      <c r="A3048" s="15" t="s">
        <v>3169</v>
      </c>
      <c r="B3048" s="69"/>
      <c r="C3048" s="71"/>
      <c r="D3048" s="65">
        <v>0</v>
      </c>
      <c r="E3048" s="72" t="e">
        <v>#N/A</v>
      </c>
      <c r="F3048" s="62" t="e">
        <v>#N/A</v>
      </c>
      <c r="G3048" s="62"/>
    </row>
    <row r="3049" spans="1:7">
      <c r="A3049" s="15" t="s">
        <v>3169</v>
      </c>
      <c r="B3049" s="69"/>
      <c r="C3049" s="71"/>
      <c r="D3049" s="65">
        <v>0</v>
      </c>
      <c r="E3049" s="72" t="e">
        <v>#N/A</v>
      </c>
      <c r="F3049" s="62" t="e">
        <v>#N/A</v>
      </c>
      <c r="G3049" s="62"/>
    </row>
    <row r="3050" spans="1:7">
      <c r="A3050" s="15" t="s">
        <v>3169</v>
      </c>
      <c r="B3050" s="69"/>
      <c r="C3050" s="71"/>
      <c r="D3050" s="65">
        <v>0</v>
      </c>
      <c r="E3050" s="72" t="e">
        <v>#N/A</v>
      </c>
      <c r="F3050" s="62" t="e">
        <v>#N/A</v>
      </c>
      <c r="G3050" s="62"/>
    </row>
    <row r="3051" spans="1:7">
      <c r="A3051" s="15" t="s">
        <v>3169</v>
      </c>
      <c r="B3051" s="69"/>
      <c r="C3051" s="71"/>
      <c r="D3051" s="65">
        <v>0</v>
      </c>
      <c r="E3051" s="72" t="e">
        <v>#N/A</v>
      </c>
      <c r="F3051" s="62" t="e">
        <v>#N/A</v>
      </c>
      <c r="G3051" s="62"/>
    </row>
    <row r="3052" spans="1:7">
      <c r="A3052" s="15" t="s">
        <v>3169</v>
      </c>
      <c r="B3052" s="69"/>
      <c r="C3052" s="71"/>
      <c r="D3052" s="65">
        <v>0</v>
      </c>
      <c r="E3052" s="72" t="e">
        <v>#N/A</v>
      </c>
      <c r="F3052" s="62" t="e">
        <v>#N/A</v>
      </c>
      <c r="G3052" s="62"/>
    </row>
    <row r="3053" spans="1:7">
      <c r="A3053" s="15" t="s">
        <v>3169</v>
      </c>
      <c r="B3053" s="69"/>
      <c r="C3053" s="71"/>
      <c r="D3053" s="65">
        <v>0</v>
      </c>
      <c r="E3053" s="72" t="e">
        <v>#N/A</v>
      </c>
      <c r="F3053" s="62" t="e">
        <v>#N/A</v>
      </c>
      <c r="G3053" s="62"/>
    </row>
    <row r="3054" spans="1:7">
      <c r="A3054" s="15" t="s">
        <v>3169</v>
      </c>
      <c r="B3054" s="69"/>
      <c r="C3054" s="71"/>
      <c r="D3054" s="65">
        <v>0</v>
      </c>
      <c r="E3054" s="72" t="e">
        <v>#N/A</v>
      </c>
      <c r="F3054" s="62" t="e">
        <v>#N/A</v>
      </c>
      <c r="G3054" s="62"/>
    </row>
    <row r="3055" spans="1:7">
      <c r="A3055" s="15" t="s">
        <v>3169</v>
      </c>
      <c r="B3055" s="69"/>
      <c r="C3055" s="71"/>
      <c r="D3055" s="65">
        <v>0</v>
      </c>
      <c r="E3055" s="72" t="e">
        <v>#N/A</v>
      </c>
      <c r="F3055" s="62" t="e">
        <v>#N/A</v>
      </c>
      <c r="G3055" s="62"/>
    </row>
    <row r="3056" spans="1:7">
      <c r="A3056" s="15" t="s">
        <v>3169</v>
      </c>
      <c r="B3056" s="69"/>
      <c r="C3056" s="71"/>
      <c r="D3056" s="65">
        <v>0</v>
      </c>
      <c r="E3056" s="72" t="e">
        <v>#N/A</v>
      </c>
      <c r="F3056" s="62" t="e">
        <v>#N/A</v>
      </c>
      <c r="G3056" s="62"/>
    </row>
    <row r="3057" spans="1:7">
      <c r="A3057" s="15" t="s">
        <v>3169</v>
      </c>
      <c r="B3057" s="69"/>
      <c r="C3057" s="71"/>
      <c r="D3057" s="65">
        <v>0</v>
      </c>
      <c r="E3057" s="72" t="e">
        <v>#N/A</v>
      </c>
      <c r="F3057" s="62" t="e">
        <v>#N/A</v>
      </c>
      <c r="G3057" s="62"/>
    </row>
    <row r="3058" spans="1:7">
      <c r="A3058" s="15" t="s">
        <v>3169</v>
      </c>
      <c r="B3058" s="69"/>
      <c r="C3058" s="71"/>
      <c r="D3058" s="65">
        <v>0</v>
      </c>
      <c r="E3058" s="72" t="e">
        <v>#N/A</v>
      </c>
      <c r="F3058" s="62" t="e">
        <v>#N/A</v>
      </c>
      <c r="G3058" s="62"/>
    </row>
    <row r="3059" spans="1:7">
      <c r="A3059" s="15" t="s">
        <v>3169</v>
      </c>
      <c r="B3059" s="69"/>
      <c r="C3059" s="71"/>
      <c r="D3059" s="65">
        <v>0</v>
      </c>
      <c r="E3059" s="72" t="e">
        <v>#N/A</v>
      </c>
      <c r="F3059" s="62" t="e">
        <v>#N/A</v>
      </c>
      <c r="G3059" s="62"/>
    </row>
    <row r="3060" spans="1:7">
      <c r="A3060" s="15" t="s">
        <v>3169</v>
      </c>
      <c r="B3060" s="69"/>
      <c r="C3060" s="71"/>
      <c r="D3060" s="65">
        <v>0</v>
      </c>
      <c r="E3060" s="72" t="e">
        <v>#N/A</v>
      </c>
      <c r="F3060" s="62" t="e">
        <v>#N/A</v>
      </c>
      <c r="G3060" s="62"/>
    </row>
    <row r="3061" spans="1:7">
      <c r="A3061" s="15" t="s">
        <v>3169</v>
      </c>
      <c r="B3061" s="69"/>
      <c r="C3061" s="71"/>
      <c r="D3061" s="65">
        <v>0</v>
      </c>
      <c r="E3061" s="72" t="e">
        <v>#N/A</v>
      </c>
      <c r="F3061" s="62" t="e">
        <v>#N/A</v>
      </c>
      <c r="G3061" s="62"/>
    </row>
    <row r="3062" spans="1:7">
      <c r="A3062" s="15" t="s">
        <v>3169</v>
      </c>
      <c r="B3062" s="69"/>
      <c r="C3062" s="71"/>
      <c r="D3062" s="65">
        <v>0</v>
      </c>
      <c r="E3062" s="72" t="e">
        <v>#N/A</v>
      </c>
      <c r="F3062" s="62" t="e">
        <v>#N/A</v>
      </c>
      <c r="G3062" s="62"/>
    </row>
    <row r="3063" spans="1:7">
      <c r="A3063" s="15" t="s">
        <v>3169</v>
      </c>
      <c r="B3063" s="69"/>
      <c r="C3063" s="71"/>
      <c r="D3063" s="65">
        <v>0</v>
      </c>
      <c r="E3063" s="72" t="e">
        <v>#N/A</v>
      </c>
      <c r="F3063" s="62" t="e">
        <v>#N/A</v>
      </c>
      <c r="G3063" s="62"/>
    </row>
    <row r="3064" spans="1:7">
      <c r="A3064" s="15" t="s">
        <v>3169</v>
      </c>
      <c r="B3064" s="69"/>
      <c r="C3064" s="71"/>
      <c r="D3064" s="65">
        <v>0</v>
      </c>
      <c r="E3064" s="72" t="e">
        <v>#N/A</v>
      </c>
      <c r="F3064" s="62" t="e">
        <v>#N/A</v>
      </c>
      <c r="G3064" s="62"/>
    </row>
    <row r="3065" spans="1:7">
      <c r="A3065" s="15" t="s">
        <v>3169</v>
      </c>
      <c r="B3065" s="69"/>
      <c r="C3065" s="71"/>
      <c r="D3065" s="65">
        <v>0</v>
      </c>
      <c r="E3065" s="72" t="e">
        <v>#N/A</v>
      </c>
      <c r="F3065" s="62" t="e">
        <v>#N/A</v>
      </c>
      <c r="G3065" s="62"/>
    </row>
    <row r="3066" spans="1:7">
      <c r="A3066" s="15" t="s">
        <v>3169</v>
      </c>
      <c r="B3066" s="69"/>
      <c r="C3066" s="71"/>
      <c r="D3066" s="65">
        <v>0</v>
      </c>
      <c r="E3066" s="72" t="e">
        <v>#N/A</v>
      </c>
      <c r="F3066" s="62" t="e">
        <v>#N/A</v>
      </c>
      <c r="G3066" s="62"/>
    </row>
    <row r="3067" spans="1:7">
      <c r="A3067" s="15" t="s">
        <v>3169</v>
      </c>
      <c r="B3067" s="69"/>
      <c r="C3067" s="71"/>
      <c r="D3067" s="65">
        <v>0</v>
      </c>
      <c r="E3067" s="72" t="e">
        <v>#N/A</v>
      </c>
      <c r="F3067" s="62" t="e">
        <v>#N/A</v>
      </c>
      <c r="G3067" s="62"/>
    </row>
    <row r="3068" spans="1:7">
      <c r="A3068" s="15" t="s">
        <v>3169</v>
      </c>
      <c r="B3068" s="69"/>
      <c r="C3068" s="71"/>
      <c r="D3068" s="65">
        <v>0</v>
      </c>
      <c r="E3068" s="72" t="e">
        <v>#N/A</v>
      </c>
      <c r="F3068" s="62" t="e">
        <v>#N/A</v>
      </c>
      <c r="G3068" s="62"/>
    </row>
    <row r="3069" spans="1:7">
      <c r="A3069" s="15" t="s">
        <v>3169</v>
      </c>
      <c r="B3069" s="69"/>
      <c r="C3069" s="71"/>
      <c r="D3069" s="65">
        <v>0</v>
      </c>
      <c r="E3069" s="72" t="e">
        <v>#N/A</v>
      </c>
      <c r="F3069" s="62" t="e">
        <v>#N/A</v>
      </c>
      <c r="G3069" s="62"/>
    </row>
    <row r="3070" spans="1:7">
      <c r="A3070" s="15" t="s">
        <v>3169</v>
      </c>
      <c r="B3070" s="69"/>
      <c r="C3070" s="71"/>
      <c r="D3070" s="65">
        <v>0</v>
      </c>
      <c r="E3070" s="72" t="e">
        <v>#N/A</v>
      </c>
      <c r="F3070" s="62" t="e">
        <v>#N/A</v>
      </c>
      <c r="G3070" s="62"/>
    </row>
    <row r="3071" spans="1:7">
      <c r="A3071" s="15" t="s">
        <v>3169</v>
      </c>
      <c r="B3071" s="69"/>
      <c r="C3071" s="71"/>
      <c r="D3071" s="65">
        <v>0</v>
      </c>
      <c r="E3071" s="72" t="e">
        <v>#N/A</v>
      </c>
      <c r="F3071" s="62" t="e">
        <v>#N/A</v>
      </c>
      <c r="G3071" s="62"/>
    </row>
    <row r="3072" spans="1:7">
      <c r="A3072" s="15" t="s">
        <v>3169</v>
      </c>
      <c r="B3072" s="69"/>
      <c r="C3072" s="71"/>
      <c r="D3072" s="65">
        <v>0</v>
      </c>
      <c r="E3072" s="72" t="e">
        <v>#N/A</v>
      </c>
      <c r="F3072" s="62" t="e">
        <v>#N/A</v>
      </c>
      <c r="G3072" s="62"/>
    </row>
    <row r="3073" spans="1:7">
      <c r="A3073" s="15" t="s">
        <v>3169</v>
      </c>
      <c r="B3073" s="69"/>
      <c r="C3073" s="71"/>
      <c r="D3073" s="65">
        <v>0</v>
      </c>
      <c r="E3073" s="72" t="e">
        <v>#N/A</v>
      </c>
      <c r="F3073" s="62" t="e">
        <v>#N/A</v>
      </c>
      <c r="G3073" s="62"/>
    </row>
    <row r="3074" spans="1:7">
      <c r="A3074" s="15" t="s">
        <v>3169</v>
      </c>
      <c r="B3074" s="69"/>
      <c r="C3074" s="71"/>
      <c r="D3074" s="65">
        <v>0</v>
      </c>
      <c r="E3074" s="72" t="e">
        <v>#N/A</v>
      </c>
      <c r="F3074" s="62" t="e">
        <v>#N/A</v>
      </c>
      <c r="G3074" s="62"/>
    </row>
    <row r="3075" spans="1:7">
      <c r="A3075" s="15" t="s">
        <v>3169</v>
      </c>
      <c r="B3075" s="69"/>
      <c r="C3075" s="71"/>
      <c r="D3075" s="65">
        <v>0</v>
      </c>
      <c r="E3075" s="72" t="e">
        <v>#N/A</v>
      </c>
      <c r="F3075" s="62" t="e">
        <v>#N/A</v>
      </c>
      <c r="G3075" s="62"/>
    </row>
    <row r="3076" spans="1:7">
      <c r="A3076" s="15" t="s">
        <v>3169</v>
      </c>
      <c r="B3076" s="69"/>
      <c r="C3076" s="71"/>
      <c r="D3076" s="65">
        <v>0</v>
      </c>
      <c r="E3076" s="72" t="e">
        <v>#N/A</v>
      </c>
      <c r="F3076" s="62" t="e">
        <v>#N/A</v>
      </c>
      <c r="G3076" s="62"/>
    </row>
    <row r="3077" spans="1:7">
      <c r="A3077" s="15" t="s">
        <v>3169</v>
      </c>
      <c r="B3077" s="69"/>
      <c r="C3077" s="71"/>
      <c r="D3077" s="65">
        <v>0</v>
      </c>
      <c r="E3077" s="72" t="e">
        <v>#N/A</v>
      </c>
      <c r="F3077" s="62" t="e">
        <v>#N/A</v>
      </c>
      <c r="G3077" s="62"/>
    </row>
    <row r="3078" spans="1:7">
      <c r="A3078" s="15" t="s">
        <v>3169</v>
      </c>
      <c r="B3078" s="69"/>
      <c r="C3078" s="71"/>
      <c r="D3078" s="65">
        <v>0</v>
      </c>
      <c r="E3078" s="72" t="e">
        <v>#N/A</v>
      </c>
      <c r="F3078" s="62" t="e">
        <v>#N/A</v>
      </c>
      <c r="G3078" s="62"/>
    </row>
    <row r="3079" spans="1:7">
      <c r="A3079" s="15" t="s">
        <v>3169</v>
      </c>
      <c r="B3079" s="69"/>
      <c r="C3079" s="71"/>
      <c r="D3079" s="65">
        <v>0</v>
      </c>
      <c r="E3079" s="72" t="e">
        <v>#N/A</v>
      </c>
      <c r="F3079" s="62" t="e">
        <v>#N/A</v>
      </c>
      <c r="G3079" s="62"/>
    </row>
    <row r="3080" spans="1:7">
      <c r="A3080" s="15" t="s">
        <v>3169</v>
      </c>
      <c r="B3080" s="69"/>
      <c r="C3080" s="71"/>
      <c r="D3080" s="65">
        <v>0</v>
      </c>
      <c r="E3080" s="72" t="e">
        <v>#N/A</v>
      </c>
      <c r="F3080" s="62" t="e">
        <v>#N/A</v>
      </c>
      <c r="G3080" s="62"/>
    </row>
    <row r="3081" spans="1:7">
      <c r="A3081" s="15" t="s">
        <v>3169</v>
      </c>
      <c r="B3081" s="69"/>
      <c r="C3081" s="71"/>
      <c r="D3081" s="65">
        <v>0</v>
      </c>
      <c r="E3081" s="72" t="e">
        <v>#N/A</v>
      </c>
      <c r="F3081" s="62" t="e">
        <v>#N/A</v>
      </c>
      <c r="G3081" s="62"/>
    </row>
    <row r="3082" spans="1:7">
      <c r="A3082" s="15" t="s">
        <v>3169</v>
      </c>
      <c r="B3082" s="69"/>
      <c r="C3082" s="71"/>
      <c r="D3082" s="65">
        <v>0</v>
      </c>
      <c r="E3082" s="72" t="e">
        <v>#N/A</v>
      </c>
      <c r="F3082" s="62" t="e">
        <v>#N/A</v>
      </c>
      <c r="G3082" s="62"/>
    </row>
    <row r="3083" spans="1:7">
      <c r="A3083" s="15" t="s">
        <v>3169</v>
      </c>
      <c r="B3083" s="69"/>
      <c r="C3083" s="71"/>
      <c r="D3083" s="65">
        <v>0</v>
      </c>
      <c r="E3083" s="72" t="e">
        <v>#N/A</v>
      </c>
      <c r="F3083" s="62" t="e">
        <v>#N/A</v>
      </c>
      <c r="G3083" s="62"/>
    </row>
    <row r="3084" spans="1:7">
      <c r="A3084" s="15" t="s">
        <v>3169</v>
      </c>
      <c r="B3084" s="69"/>
      <c r="C3084" s="71"/>
      <c r="D3084" s="65">
        <v>0</v>
      </c>
      <c r="E3084" s="72" t="e">
        <v>#N/A</v>
      </c>
      <c r="F3084" s="62" t="e">
        <v>#N/A</v>
      </c>
      <c r="G3084" s="62"/>
    </row>
    <row r="3085" spans="1:7">
      <c r="A3085" s="15" t="s">
        <v>3169</v>
      </c>
      <c r="B3085" s="69"/>
      <c r="C3085" s="71"/>
      <c r="D3085" s="65">
        <v>0</v>
      </c>
      <c r="E3085" s="72" t="e">
        <v>#N/A</v>
      </c>
      <c r="F3085" s="62" t="e">
        <v>#N/A</v>
      </c>
      <c r="G3085" s="62"/>
    </row>
    <row r="3086" spans="1:7">
      <c r="A3086" s="15" t="s">
        <v>3169</v>
      </c>
      <c r="B3086" s="69"/>
      <c r="C3086" s="71"/>
      <c r="D3086" s="65">
        <v>0</v>
      </c>
      <c r="E3086" s="72" t="e">
        <v>#N/A</v>
      </c>
      <c r="F3086" s="62" t="e">
        <v>#N/A</v>
      </c>
      <c r="G3086" s="62"/>
    </row>
    <row r="3087" spans="1:7">
      <c r="A3087" s="15" t="s">
        <v>3169</v>
      </c>
      <c r="B3087" s="69"/>
      <c r="C3087" s="71"/>
      <c r="D3087" s="65">
        <v>0</v>
      </c>
      <c r="E3087" s="72" t="e">
        <v>#N/A</v>
      </c>
      <c r="F3087" s="62" t="e">
        <v>#N/A</v>
      </c>
      <c r="G3087" s="62"/>
    </row>
    <row r="3088" spans="1:7">
      <c r="A3088" s="15" t="s">
        <v>3169</v>
      </c>
      <c r="B3088" s="69"/>
      <c r="C3088" s="71"/>
      <c r="D3088" s="65">
        <v>0</v>
      </c>
      <c r="E3088" s="72" t="e">
        <v>#N/A</v>
      </c>
      <c r="F3088" s="62" t="e">
        <v>#N/A</v>
      </c>
      <c r="G3088" s="62"/>
    </row>
    <row r="3089" spans="1:7">
      <c r="A3089" s="15" t="s">
        <v>3169</v>
      </c>
      <c r="B3089" s="69"/>
      <c r="C3089" s="71"/>
      <c r="D3089" s="65">
        <v>0</v>
      </c>
      <c r="E3089" s="72" t="e">
        <v>#N/A</v>
      </c>
      <c r="F3089" s="62" t="e">
        <v>#N/A</v>
      </c>
      <c r="G3089" s="62"/>
    </row>
    <row r="3090" spans="1:7">
      <c r="A3090" s="15" t="s">
        <v>3169</v>
      </c>
      <c r="B3090" s="69"/>
      <c r="C3090" s="71"/>
      <c r="D3090" s="65">
        <v>0</v>
      </c>
      <c r="E3090" s="72" t="e">
        <v>#N/A</v>
      </c>
      <c r="F3090" s="62" t="e">
        <v>#N/A</v>
      </c>
      <c r="G3090" s="62"/>
    </row>
    <row r="3091" spans="1:7">
      <c r="A3091" s="15" t="s">
        <v>3169</v>
      </c>
      <c r="B3091" s="69"/>
      <c r="C3091" s="71"/>
      <c r="D3091" s="65">
        <v>0</v>
      </c>
      <c r="E3091" s="72" t="e">
        <v>#N/A</v>
      </c>
      <c r="F3091" s="62" t="e">
        <v>#N/A</v>
      </c>
      <c r="G3091" s="62"/>
    </row>
    <row r="3092" spans="1:7">
      <c r="A3092" s="15" t="s">
        <v>3169</v>
      </c>
      <c r="B3092" s="69"/>
      <c r="C3092" s="71"/>
      <c r="D3092" s="65">
        <v>0</v>
      </c>
      <c r="E3092" s="72" t="e">
        <v>#N/A</v>
      </c>
      <c r="F3092" s="62" t="e">
        <v>#N/A</v>
      </c>
      <c r="G3092" s="62"/>
    </row>
    <row r="3093" spans="1:7">
      <c r="A3093" s="15" t="s">
        <v>3169</v>
      </c>
      <c r="B3093" s="69"/>
      <c r="C3093" s="71"/>
      <c r="D3093" s="65">
        <v>0</v>
      </c>
      <c r="E3093" s="72" t="e">
        <v>#N/A</v>
      </c>
      <c r="F3093" s="62" t="e">
        <v>#N/A</v>
      </c>
      <c r="G3093" s="62"/>
    </row>
    <row r="3094" spans="1:7">
      <c r="A3094" s="15" t="s">
        <v>3169</v>
      </c>
      <c r="B3094" s="69"/>
      <c r="C3094" s="71"/>
      <c r="D3094" s="65">
        <v>0</v>
      </c>
      <c r="E3094" s="72" t="e">
        <v>#N/A</v>
      </c>
      <c r="F3094" s="62" t="e">
        <v>#N/A</v>
      </c>
      <c r="G3094" s="62"/>
    </row>
    <row r="3095" spans="1:7">
      <c r="A3095" s="15" t="s">
        <v>3169</v>
      </c>
      <c r="B3095" s="69"/>
      <c r="C3095" s="71"/>
      <c r="D3095" s="65">
        <v>0</v>
      </c>
      <c r="E3095" s="72" t="e">
        <v>#N/A</v>
      </c>
      <c r="F3095" s="62" t="e">
        <v>#N/A</v>
      </c>
      <c r="G3095" s="62"/>
    </row>
    <row r="3096" spans="1:7">
      <c r="A3096" s="15" t="s">
        <v>3169</v>
      </c>
      <c r="B3096" s="69"/>
      <c r="C3096" s="71"/>
      <c r="D3096" s="65">
        <v>0</v>
      </c>
      <c r="E3096" s="72" t="e">
        <v>#N/A</v>
      </c>
      <c r="F3096" s="62" t="e">
        <v>#N/A</v>
      </c>
      <c r="G3096" s="62"/>
    </row>
    <row r="3097" spans="1:7">
      <c r="A3097" s="15" t="s">
        <v>3169</v>
      </c>
      <c r="B3097" s="69"/>
      <c r="C3097" s="71"/>
      <c r="D3097" s="65">
        <v>0</v>
      </c>
      <c r="E3097" s="72" t="e">
        <v>#N/A</v>
      </c>
      <c r="F3097" s="62" t="e">
        <v>#N/A</v>
      </c>
      <c r="G3097" s="62"/>
    </row>
    <row r="3098" spans="1:7">
      <c r="A3098" s="15" t="s">
        <v>3169</v>
      </c>
      <c r="B3098" s="69"/>
      <c r="C3098" s="71"/>
      <c r="D3098" s="65">
        <v>0</v>
      </c>
      <c r="E3098" s="72" t="e">
        <v>#N/A</v>
      </c>
      <c r="F3098" s="62" t="e">
        <v>#N/A</v>
      </c>
      <c r="G3098" s="62"/>
    </row>
    <row r="3099" spans="1:7">
      <c r="A3099" s="15" t="s">
        <v>3169</v>
      </c>
      <c r="B3099" s="69"/>
      <c r="C3099" s="71"/>
      <c r="D3099" s="65">
        <v>0</v>
      </c>
      <c r="E3099" s="72" t="e">
        <v>#N/A</v>
      </c>
      <c r="F3099" s="62" t="e">
        <v>#N/A</v>
      </c>
      <c r="G3099" s="62"/>
    </row>
    <row r="3100" spans="1:7">
      <c r="A3100" s="15" t="s">
        <v>3169</v>
      </c>
      <c r="B3100" s="69"/>
      <c r="C3100" s="71"/>
      <c r="D3100" s="65">
        <v>0</v>
      </c>
      <c r="E3100" s="72" t="e">
        <v>#N/A</v>
      </c>
      <c r="F3100" s="62" t="e">
        <v>#N/A</v>
      </c>
      <c r="G3100" s="62"/>
    </row>
    <row r="3101" spans="1:7">
      <c r="A3101" s="15" t="s">
        <v>3169</v>
      </c>
      <c r="B3101" s="69"/>
      <c r="C3101" s="71"/>
      <c r="D3101" s="65">
        <v>0</v>
      </c>
      <c r="E3101" s="72" t="e">
        <v>#N/A</v>
      </c>
      <c r="F3101" s="62" t="e">
        <v>#N/A</v>
      </c>
      <c r="G3101" s="62"/>
    </row>
    <row r="3102" spans="1:7">
      <c r="A3102" s="15" t="s">
        <v>3169</v>
      </c>
      <c r="B3102" s="69"/>
      <c r="C3102" s="71"/>
      <c r="D3102" s="65">
        <v>0</v>
      </c>
      <c r="E3102" s="72" t="e">
        <v>#N/A</v>
      </c>
      <c r="F3102" s="62" t="e">
        <v>#N/A</v>
      </c>
      <c r="G3102" s="62"/>
    </row>
    <row r="3103" spans="1:7">
      <c r="A3103" s="15" t="s">
        <v>3169</v>
      </c>
      <c r="B3103" s="69"/>
      <c r="C3103" s="71"/>
      <c r="D3103" s="65">
        <v>0</v>
      </c>
      <c r="E3103" s="72" t="e">
        <v>#N/A</v>
      </c>
      <c r="F3103" s="62" t="e">
        <v>#N/A</v>
      </c>
      <c r="G3103" s="62"/>
    </row>
    <row r="3104" spans="1:7">
      <c r="A3104" s="15" t="s">
        <v>3169</v>
      </c>
      <c r="B3104" s="69"/>
      <c r="C3104" s="71"/>
      <c r="D3104" s="65">
        <v>0</v>
      </c>
      <c r="E3104" s="72" t="e">
        <v>#N/A</v>
      </c>
      <c r="F3104" s="62" t="e">
        <v>#N/A</v>
      </c>
      <c r="G3104" s="62"/>
    </row>
    <row r="3105" spans="1:7">
      <c r="A3105" s="15" t="s">
        <v>3169</v>
      </c>
      <c r="B3105" s="69"/>
      <c r="C3105" s="71"/>
      <c r="D3105" s="65">
        <v>0</v>
      </c>
      <c r="E3105" s="72" t="e">
        <v>#N/A</v>
      </c>
      <c r="F3105" s="62" t="e">
        <v>#N/A</v>
      </c>
      <c r="G3105" s="62"/>
    </row>
    <row r="3106" spans="1:7">
      <c r="A3106" s="15" t="s">
        <v>3169</v>
      </c>
      <c r="B3106" s="69"/>
      <c r="C3106" s="71"/>
      <c r="D3106" s="65">
        <v>0</v>
      </c>
      <c r="E3106" s="72" t="e">
        <v>#N/A</v>
      </c>
      <c r="F3106" s="62" t="e">
        <v>#N/A</v>
      </c>
      <c r="G3106" s="62"/>
    </row>
    <row r="3107" spans="1:7">
      <c r="A3107" s="15" t="s">
        <v>3169</v>
      </c>
      <c r="B3107" s="69"/>
      <c r="C3107" s="71"/>
      <c r="D3107" s="65">
        <v>0</v>
      </c>
      <c r="E3107" s="72" t="e">
        <v>#N/A</v>
      </c>
      <c r="F3107" s="62" t="e">
        <v>#N/A</v>
      </c>
      <c r="G3107" s="62"/>
    </row>
    <row r="3108" spans="1:7">
      <c r="A3108" s="15" t="s">
        <v>3169</v>
      </c>
      <c r="B3108" s="69"/>
      <c r="C3108" s="71"/>
      <c r="D3108" s="65">
        <v>0</v>
      </c>
      <c r="E3108" s="72" t="e">
        <v>#N/A</v>
      </c>
      <c r="F3108" s="62" t="e">
        <v>#N/A</v>
      </c>
      <c r="G3108" s="62"/>
    </row>
    <row r="3109" spans="1:7">
      <c r="A3109" s="15" t="s">
        <v>3169</v>
      </c>
      <c r="B3109" s="69"/>
      <c r="C3109" s="71"/>
      <c r="D3109" s="65">
        <v>0</v>
      </c>
      <c r="E3109" s="72" t="e">
        <v>#N/A</v>
      </c>
      <c r="F3109" s="62" t="e">
        <v>#N/A</v>
      </c>
      <c r="G3109" s="62"/>
    </row>
    <row r="3110" spans="1:7">
      <c r="A3110" s="15" t="s">
        <v>3169</v>
      </c>
      <c r="B3110" s="69"/>
      <c r="C3110" s="71"/>
      <c r="D3110" s="65">
        <v>0</v>
      </c>
      <c r="E3110" s="72" t="e">
        <v>#N/A</v>
      </c>
      <c r="F3110" s="62" t="e">
        <v>#N/A</v>
      </c>
      <c r="G3110" s="62"/>
    </row>
    <row r="3111" spans="1:7">
      <c r="A3111" s="15" t="s">
        <v>3169</v>
      </c>
      <c r="B3111" s="69"/>
      <c r="C3111" s="71"/>
      <c r="D3111" s="65">
        <v>0</v>
      </c>
      <c r="E3111" s="72" t="e">
        <v>#N/A</v>
      </c>
      <c r="F3111" s="62" t="e">
        <v>#N/A</v>
      </c>
      <c r="G3111" s="62"/>
    </row>
    <row r="3112" spans="1:7">
      <c r="A3112" s="15" t="s">
        <v>3169</v>
      </c>
      <c r="B3112" s="69"/>
      <c r="C3112" s="71"/>
      <c r="D3112" s="65">
        <v>0</v>
      </c>
      <c r="E3112" s="72" t="e">
        <v>#N/A</v>
      </c>
      <c r="F3112" s="62" t="e">
        <v>#N/A</v>
      </c>
      <c r="G3112" s="62"/>
    </row>
    <row r="3113" spans="1:7">
      <c r="A3113" s="15" t="s">
        <v>3169</v>
      </c>
      <c r="B3113" s="69"/>
      <c r="C3113" s="71"/>
      <c r="D3113" s="65">
        <v>0</v>
      </c>
      <c r="E3113" s="72" t="e">
        <v>#N/A</v>
      </c>
      <c r="F3113" s="62" t="e">
        <v>#N/A</v>
      </c>
      <c r="G3113" s="62"/>
    </row>
    <row r="3114" spans="1:7">
      <c r="A3114" s="15" t="s">
        <v>3169</v>
      </c>
      <c r="B3114" s="69"/>
      <c r="C3114" s="71"/>
      <c r="D3114" s="65">
        <v>0</v>
      </c>
      <c r="E3114" s="72" t="e">
        <v>#N/A</v>
      </c>
      <c r="F3114" s="62" t="e">
        <v>#N/A</v>
      </c>
      <c r="G3114" s="62"/>
    </row>
    <row r="3115" spans="1:7">
      <c r="A3115" s="15" t="s">
        <v>3169</v>
      </c>
      <c r="B3115" s="69"/>
      <c r="C3115" s="71"/>
      <c r="D3115" s="65">
        <v>0</v>
      </c>
      <c r="E3115" s="72" t="e">
        <v>#N/A</v>
      </c>
      <c r="F3115" s="62" t="e">
        <v>#N/A</v>
      </c>
      <c r="G3115" s="62"/>
    </row>
    <row r="3116" spans="1:7">
      <c r="A3116" s="15" t="s">
        <v>3169</v>
      </c>
      <c r="B3116" s="69"/>
      <c r="C3116" s="71"/>
      <c r="D3116" s="65">
        <v>0</v>
      </c>
      <c r="E3116" s="72" t="e">
        <v>#N/A</v>
      </c>
      <c r="F3116" s="62" t="e">
        <v>#N/A</v>
      </c>
      <c r="G3116" s="62"/>
    </row>
    <row r="3117" spans="1:7">
      <c r="A3117" s="15" t="s">
        <v>3169</v>
      </c>
      <c r="B3117" s="69"/>
      <c r="C3117" s="71"/>
      <c r="D3117" s="65">
        <v>0</v>
      </c>
      <c r="E3117" s="72" t="e">
        <v>#N/A</v>
      </c>
      <c r="F3117" s="62" t="e">
        <v>#N/A</v>
      </c>
      <c r="G3117" s="62"/>
    </row>
    <row r="3118" spans="1:7">
      <c r="A3118" s="15" t="s">
        <v>3169</v>
      </c>
      <c r="B3118" s="69"/>
      <c r="C3118" s="71"/>
      <c r="D3118" s="65">
        <v>0</v>
      </c>
      <c r="E3118" s="72" t="e">
        <v>#N/A</v>
      </c>
      <c r="F3118" s="62" t="e">
        <v>#N/A</v>
      </c>
      <c r="G3118" s="62"/>
    </row>
    <row r="3119" spans="1:7">
      <c r="A3119" s="15" t="s">
        <v>3169</v>
      </c>
      <c r="B3119" s="69"/>
      <c r="C3119" s="71"/>
      <c r="D3119" s="65">
        <v>0</v>
      </c>
      <c r="E3119" s="72" t="e">
        <v>#N/A</v>
      </c>
      <c r="F3119" s="62" t="e">
        <v>#N/A</v>
      </c>
      <c r="G3119" s="62"/>
    </row>
    <row r="3120" spans="1:7">
      <c r="A3120" s="15" t="s">
        <v>3169</v>
      </c>
      <c r="B3120" s="69"/>
      <c r="C3120" s="71"/>
      <c r="D3120" s="65">
        <v>0</v>
      </c>
      <c r="E3120" s="72" t="e">
        <v>#N/A</v>
      </c>
      <c r="F3120" s="62" t="e">
        <v>#N/A</v>
      </c>
      <c r="G3120" s="62"/>
    </row>
    <row r="3121" spans="1:7">
      <c r="A3121" s="15" t="s">
        <v>3169</v>
      </c>
      <c r="B3121" s="69"/>
      <c r="C3121" s="71"/>
      <c r="D3121" s="65">
        <v>0</v>
      </c>
      <c r="E3121" s="72" t="e">
        <v>#N/A</v>
      </c>
      <c r="F3121" s="62" t="e">
        <v>#N/A</v>
      </c>
      <c r="G3121" s="62"/>
    </row>
    <row r="3122" spans="1:7">
      <c r="A3122" s="15" t="s">
        <v>3169</v>
      </c>
      <c r="B3122" s="69"/>
      <c r="C3122" s="71"/>
      <c r="D3122" s="65">
        <v>0</v>
      </c>
      <c r="E3122" s="72" t="e">
        <v>#N/A</v>
      </c>
      <c r="F3122" s="62" t="e">
        <v>#N/A</v>
      </c>
      <c r="G3122" s="62"/>
    </row>
    <row r="3123" spans="1:7">
      <c r="A3123" s="15" t="s">
        <v>3169</v>
      </c>
      <c r="B3123" s="69"/>
      <c r="C3123" s="71"/>
      <c r="D3123" s="65">
        <v>0</v>
      </c>
      <c r="E3123" s="72" t="e">
        <v>#N/A</v>
      </c>
      <c r="F3123" s="62" t="e">
        <v>#N/A</v>
      </c>
      <c r="G3123" s="62"/>
    </row>
    <row r="3124" spans="1:7">
      <c r="A3124" s="15" t="s">
        <v>3169</v>
      </c>
      <c r="B3124" s="69"/>
      <c r="C3124" s="71"/>
      <c r="D3124" s="65">
        <v>0</v>
      </c>
      <c r="E3124" s="72" t="e">
        <v>#N/A</v>
      </c>
      <c r="F3124" s="62" t="e">
        <v>#N/A</v>
      </c>
      <c r="G3124" s="62"/>
    </row>
    <row r="3125" spans="1:7">
      <c r="A3125" s="15" t="s">
        <v>3169</v>
      </c>
      <c r="B3125" s="69"/>
      <c r="C3125" s="71"/>
      <c r="D3125" s="65">
        <v>0</v>
      </c>
      <c r="E3125" s="72" t="e">
        <v>#N/A</v>
      </c>
      <c r="F3125" s="62" t="e">
        <v>#N/A</v>
      </c>
      <c r="G3125" s="62"/>
    </row>
    <row r="3126" spans="1:7">
      <c r="A3126" s="15" t="s">
        <v>3169</v>
      </c>
      <c r="B3126" s="69"/>
      <c r="C3126" s="71"/>
      <c r="D3126" s="65">
        <v>0</v>
      </c>
      <c r="E3126" s="72" t="e">
        <v>#N/A</v>
      </c>
      <c r="F3126" s="62" t="e">
        <v>#N/A</v>
      </c>
      <c r="G3126" s="62"/>
    </row>
    <row r="3127" spans="1:7">
      <c r="A3127" s="15" t="s">
        <v>3169</v>
      </c>
      <c r="B3127" s="69"/>
      <c r="C3127" s="71"/>
      <c r="D3127" s="65">
        <v>0</v>
      </c>
      <c r="E3127" s="72" t="e">
        <v>#N/A</v>
      </c>
      <c r="F3127" s="62" t="e">
        <v>#N/A</v>
      </c>
      <c r="G3127" s="62"/>
    </row>
    <row r="3128" spans="1:7">
      <c r="A3128" s="15" t="s">
        <v>3169</v>
      </c>
      <c r="B3128" s="69"/>
      <c r="C3128" s="71"/>
      <c r="D3128" s="65">
        <v>0</v>
      </c>
      <c r="E3128" s="72" t="e">
        <v>#N/A</v>
      </c>
      <c r="F3128" s="62" t="e">
        <v>#N/A</v>
      </c>
      <c r="G3128" s="62"/>
    </row>
    <row r="3129" spans="1:7">
      <c r="A3129" s="15" t="s">
        <v>3169</v>
      </c>
      <c r="B3129" s="69"/>
      <c r="C3129" s="71"/>
      <c r="D3129" s="65">
        <v>0</v>
      </c>
      <c r="E3129" s="72" t="e">
        <v>#N/A</v>
      </c>
      <c r="F3129" s="62" t="e">
        <v>#N/A</v>
      </c>
      <c r="G3129" s="62"/>
    </row>
    <row r="3130" spans="1:7">
      <c r="A3130" s="15" t="s">
        <v>3169</v>
      </c>
      <c r="B3130" s="69"/>
      <c r="C3130" s="71"/>
      <c r="D3130" s="65">
        <v>0</v>
      </c>
      <c r="E3130" s="72" t="e">
        <v>#N/A</v>
      </c>
      <c r="F3130" s="62" t="e">
        <v>#N/A</v>
      </c>
      <c r="G3130" s="62"/>
    </row>
    <row r="3131" spans="1:7">
      <c r="A3131" s="15" t="s">
        <v>3169</v>
      </c>
      <c r="B3131" s="69"/>
      <c r="C3131" s="71"/>
      <c r="D3131" s="65">
        <v>0</v>
      </c>
      <c r="E3131" s="72" t="e">
        <v>#N/A</v>
      </c>
      <c r="F3131" s="62" t="e">
        <v>#N/A</v>
      </c>
      <c r="G3131" s="62"/>
    </row>
    <row r="3132" spans="1:7">
      <c r="A3132" s="15" t="s">
        <v>3169</v>
      </c>
      <c r="B3132" s="69"/>
      <c r="C3132" s="71"/>
      <c r="D3132" s="65">
        <v>0</v>
      </c>
      <c r="E3132" s="72" t="e">
        <v>#N/A</v>
      </c>
      <c r="F3132" s="62" t="e">
        <v>#N/A</v>
      </c>
      <c r="G3132" s="62"/>
    </row>
    <row r="3133" spans="1:7">
      <c r="A3133" s="15" t="s">
        <v>3169</v>
      </c>
      <c r="B3133" s="69"/>
      <c r="C3133" s="71"/>
      <c r="D3133" s="65">
        <v>0</v>
      </c>
      <c r="E3133" s="72" t="e">
        <v>#N/A</v>
      </c>
      <c r="F3133" s="62" t="e">
        <v>#N/A</v>
      </c>
      <c r="G3133" s="62"/>
    </row>
    <row r="3134" spans="1:7">
      <c r="A3134" s="15" t="s">
        <v>3169</v>
      </c>
      <c r="B3134" s="69"/>
      <c r="C3134" s="71"/>
      <c r="D3134" s="65">
        <v>0</v>
      </c>
      <c r="E3134" s="72" t="e">
        <v>#N/A</v>
      </c>
      <c r="F3134" s="62" t="e">
        <v>#N/A</v>
      </c>
      <c r="G3134" s="62"/>
    </row>
    <row r="3135" spans="1:7">
      <c r="A3135" s="15" t="s">
        <v>3169</v>
      </c>
      <c r="B3135" s="69"/>
      <c r="C3135" s="71"/>
      <c r="D3135" s="65">
        <v>0</v>
      </c>
      <c r="E3135" s="72" t="e">
        <v>#N/A</v>
      </c>
      <c r="F3135" s="62" t="e">
        <v>#N/A</v>
      </c>
      <c r="G3135" s="62"/>
    </row>
    <row r="3136" spans="1:7">
      <c r="A3136" s="15" t="s">
        <v>3169</v>
      </c>
      <c r="B3136" s="69"/>
      <c r="C3136" s="71"/>
      <c r="D3136" s="65">
        <v>0</v>
      </c>
      <c r="E3136" s="72" t="e">
        <v>#N/A</v>
      </c>
      <c r="F3136" s="62" t="e">
        <v>#N/A</v>
      </c>
      <c r="G3136" s="62"/>
    </row>
    <row r="3137" spans="1:7">
      <c r="A3137" s="15" t="s">
        <v>3169</v>
      </c>
      <c r="B3137" s="69"/>
      <c r="C3137" s="71"/>
      <c r="D3137" s="65">
        <v>0</v>
      </c>
      <c r="E3137" s="72" t="e">
        <v>#N/A</v>
      </c>
      <c r="F3137" s="62" t="e">
        <v>#N/A</v>
      </c>
      <c r="G3137" s="62"/>
    </row>
    <row r="3138" spans="1:7">
      <c r="A3138" s="15" t="s">
        <v>3169</v>
      </c>
      <c r="B3138" s="69"/>
      <c r="C3138" s="71"/>
      <c r="D3138" s="65">
        <v>0</v>
      </c>
      <c r="E3138" s="72" t="e">
        <v>#N/A</v>
      </c>
      <c r="F3138" s="62" t="e">
        <v>#N/A</v>
      </c>
      <c r="G3138" s="62"/>
    </row>
    <row r="3139" spans="1:7">
      <c r="A3139" s="15" t="s">
        <v>3169</v>
      </c>
      <c r="B3139" s="69"/>
      <c r="C3139" s="71"/>
      <c r="D3139" s="65">
        <v>0</v>
      </c>
      <c r="E3139" s="72" t="e">
        <v>#N/A</v>
      </c>
      <c r="F3139" s="62" t="e">
        <v>#N/A</v>
      </c>
      <c r="G3139" s="62"/>
    </row>
    <row r="3140" spans="1:7">
      <c r="A3140" s="15" t="s">
        <v>3169</v>
      </c>
      <c r="B3140" s="69"/>
      <c r="C3140" s="71"/>
      <c r="D3140" s="65">
        <v>0</v>
      </c>
      <c r="E3140" s="72" t="e">
        <v>#N/A</v>
      </c>
      <c r="F3140" s="62" t="e">
        <v>#N/A</v>
      </c>
      <c r="G3140" s="62"/>
    </row>
    <row r="3141" spans="1:7">
      <c r="A3141" s="15" t="s">
        <v>3169</v>
      </c>
      <c r="B3141" s="69"/>
      <c r="C3141" s="71"/>
      <c r="D3141" s="65">
        <v>0</v>
      </c>
      <c r="E3141" s="72" t="e">
        <v>#N/A</v>
      </c>
      <c r="F3141" s="62" t="e">
        <v>#N/A</v>
      </c>
      <c r="G3141" s="62"/>
    </row>
    <row r="3142" spans="1:7">
      <c r="A3142" s="15" t="s">
        <v>3169</v>
      </c>
      <c r="B3142" s="69"/>
      <c r="C3142" s="71"/>
      <c r="D3142" s="65">
        <v>0</v>
      </c>
      <c r="E3142" s="72" t="e">
        <v>#N/A</v>
      </c>
      <c r="F3142" s="62" t="e">
        <v>#N/A</v>
      </c>
      <c r="G3142" s="62"/>
    </row>
    <row r="3143" spans="1:7">
      <c r="A3143" s="15" t="s">
        <v>3169</v>
      </c>
      <c r="B3143" s="69"/>
      <c r="C3143" s="71"/>
      <c r="D3143" s="65">
        <v>0</v>
      </c>
      <c r="E3143" s="72" t="e">
        <v>#N/A</v>
      </c>
      <c r="F3143" s="62" t="e">
        <v>#N/A</v>
      </c>
      <c r="G3143" s="62"/>
    </row>
    <row r="3144" spans="1:7">
      <c r="A3144" s="15" t="s">
        <v>3169</v>
      </c>
      <c r="B3144" s="69"/>
      <c r="C3144" s="71"/>
      <c r="D3144" s="65">
        <v>0</v>
      </c>
      <c r="E3144" s="72" t="e">
        <v>#N/A</v>
      </c>
      <c r="F3144" s="62" t="e">
        <v>#N/A</v>
      </c>
      <c r="G3144" s="62"/>
    </row>
    <row r="3145" spans="1:7">
      <c r="A3145" s="15" t="s">
        <v>3169</v>
      </c>
      <c r="B3145" s="69"/>
      <c r="C3145" s="71"/>
      <c r="D3145" s="65">
        <v>0</v>
      </c>
      <c r="E3145" s="72" t="e">
        <v>#N/A</v>
      </c>
      <c r="F3145" s="62" t="e">
        <v>#N/A</v>
      </c>
      <c r="G3145" s="62"/>
    </row>
    <row r="3146" spans="1:7">
      <c r="A3146" s="15" t="s">
        <v>3169</v>
      </c>
      <c r="B3146" s="69"/>
      <c r="C3146" s="71"/>
      <c r="D3146" s="65">
        <v>0</v>
      </c>
      <c r="E3146" s="72" t="e">
        <v>#N/A</v>
      </c>
      <c r="F3146" s="62" t="e">
        <v>#N/A</v>
      </c>
      <c r="G3146" s="62"/>
    </row>
    <row r="3147" spans="1:7">
      <c r="A3147" s="15" t="s">
        <v>3169</v>
      </c>
      <c r="B3147" s="69"/>
      <c r="C3147" s="71"/>
      <c r="D3147" s="65">
        <v>0</v>
      </c>
      <c r="E3147" s="72" t="e">
        <v>#N/A</v>
      </c>
      <c r="F3147" s="62" t="e">
        <v>#N/A</v>
      </c>
      <c r="G3147" s="62"/>
    </row>
    <row r="3148" spans="1:7">
      <c r="A3148" s="15" t="s">
        <v>3169</v>
      </c>
      <c r="B3148" s="69"/>
      <c r="C3148" s="71"/>
      <c r="D3148" s="65">
        <v>0</v>
      </c>
      <c r="E3148" s="72" t="e">
        <v>#N/A</v>
      </c>
      <c r="F3148" s="62" t="e">
        <v>#N/A</v>
      </c>
      <c r="G3148" s="62"/>
    </row>
    <row r="3149" spans="1:7">
      <c r="A3149" s="15" t="s">
        <v>3169</v>
      </c>
      <c r="B3149" s="69"/>
      <c r="C3149" s="71"/>
      <c r="D3149" s="65">
        <v>0</v>
      </c>
      <c r="E3149" s="72" t="e">
        <v>#N/A</v>
      </c>
      <c r="F3149" s="62" t="e">
        <v>#N/A</v>
      </c>
      <c r="G3149" s="62"/>
    </row>
    <row r="3150" spans="1:7">
      <c r="A3150" s="15" t="s">
        <v>3169</v>
      </c>
      <c r="B3150" s="69"/>
      <c r="C3150" s="71"/>
      <c r="D3150" s="65">
        <v>0</v>
      </c>
      <c r="E3150" s="72" t="e">
        <v>#N/A</v>
      </c>
      <c r="F3150" s="62" t="e">
        <v>#N/A</v>
      </c>
      <c r="G3150" s="62"/>
    </row>
    <row r="3151" spans="1:7">
      <c r="A3151" s="15" t="s">
        <v>3169</v>
      </c>
      <c r="B3151" s="69"/>
      <c r="C3151" s="71"/>
      <c r="D3151" s="65">
        <v>0</v>
      </c>
      <c r="E3151" s="72" t="e">
        <v>#N/A</v>
      </c>
      <c r="F3151" s="62" t="e">
        <v>#N/A</v>
      </c>
      <c r="G3151" s="62"/>
    </row>
    <row r="3152" spans="1:7">
      <c r="A3152" s="15" t="s">
        <v>3169</v>
      </c>
      <c r="B3152" s="69"/>
      <c r="C3152" s="71"/>
      <c r="D3152" s="65">
        <v>0</v>
      </c>
      <c r="E3152" s="72" t="e">
        <v>#N/A</v>
      </c>
      <c r="F3152" s="62" t="e">
        <v>#N/A</v>
      </c>
      <c r="G3152" s="62"/>
    </row>
    <row r="3153" spans="1:7">
      <c r="A3153" s="15" t="s">
        <v>3169</v>
      </c>
      <c r="B3153" s="69"/>
      <c r="C3153" s="71"/>
      <c r="D3153" s="65">
        <v>0</v>
      </c>
      <c r="E3153" s="72" t="e">
        <v>#N/A</v>
      </c>
      <c r="F3153" s="62" t="e">
        <v>#N/A</v>
      </c>
      <c r="G3153" s="62"/>
    </row>
    <row r="3154" spans="1:7">
      <c r="A3154" s="15" t="s">
        <v>3169</v>
      </c>
      <c r="B3154" s="69"/>
      <c r="C3154" s="71"/>
      <c r="D3154" s="65">
        <v>0</v>
      </c>
      <c r="E3154" s="72" t="e">
        <v>#N/A</v>
      </c>
      <c r="F3154" s="62" t="e">
        <v>#N/A</v>
      </c>
      <c r="G3154" s="62"/>
    </row>
    <row r="3155" spans="1:7">
      <c r="A3155" s="15" t="s">
        <v>3169</v>
      </c>
      <c r="B3155" s="69"/>
      <c r="C3155" s="71"/>
      <c r="D3155" s="65">
        <v>0</v>
      </c>
      <c r="E3155" s="72" t="e">
        <v>#N/A</v>
      </c>
      <c r="F3155" s="62" t="e">
        <v>#N/A</v>
      </c>
      <c r="G3155" s="62"/>
    </row>
    <row r="3156" spans="1:7">
      <c r="A3156" s="15" t="s">
        <v>3169</v>
      </c>
      <c r="B3156" s="69"/>
      <c r="C3156" s="71"/>
      <c r="D3156" s="65">
        <v>0</v>
      </c>
      <c r="E3156" s="72" t="e">
        <v>#N/A</v>
      </c>
      <c r="F3156" s="62" t="e">
        <v>#N/A</v>
      </c>
      <c r="G3156" s="62"/>
    </row>
    <row r="3157" spans="1:7">
      <c r="A3157" s="15" t="s">
        <v>3169</v>
      </c>
      <c r="B3157" s="69"/>
      <c r="C3157" s="71"/>
      <c r="D3157" s="65">
        <v>0</v>
      </c>
      <c r="E3157" s="72" t="e">
        <v>#N/A</v>
      </c>
      <c r="F3157" s="62" t="e">
        <v>#N/A</v>
      </c>
      <c r="G3157" s="62"/>
    </row>
    <row r="3158" spans="1:7">
      <c r="A3158" s="15" t="s">
        <v>3169</v>
      </c>
      <c r="B3158" s="69"/>
      <c r="C3158" s="71"/>
      <c r="D3158" s="65">
        <v>0</v>
      </c>
      <c r="E3158" s="72" t="e">
        <v>#N/A</v>
      </c>
      <c r="F3158" s="62" t="e">
        <v>#N/A</v>
      </c>
      <c r="G3158" s="62"/>
    </row>
    <row r="3159" spans="1:7">
      <c r="A3159" s="15" t="s">
        <v>3169</v>
      </c>
      <c r="B3159" s="69"/>
      <c r="C3159" s="71"/>
      <c r="D3159" s="65">
        <v>0</v>
      </c>
      <c r="E3159" s="72" t="e">
        <v>#N/A</v>
      </c>
      <c r="F3159" s="62" t="e">
        <v>#N/A</v>
      </c>
      <c r="G3159" s="62"/>
    </row>
    <row r="3160" spans="1:7">
      <c r="A3160" s="15" t="s">
        <v>3169</v>
      </c>
      <c r="B3160" s="69"/>
      <c r="C3160" s="71"/>
      <c r="D3160" s="65">
        <v>0</v>
      </c>
      <c r="E3160" s="72" t="e">
        <v>#N/A</v>
      </c>
      <c r="F3160" s="62" t="e">
        <v>#N/A</v>
      </c>
      <c r="G3160" s="62"/>
    </row>
    <row r="3161" spans="1:7">
      <c r="A3161" s="15" t="s">
        <v>3169</v>
      </c>
      <c r="B3161" s="69"/>
      <c r="C3161" s="71"/>
      <c r="D3161" s="65">
        <v>0</v>
      </c>
      <c r="E3161" s="72" t="e">
        <v>#N/A</v>
      </c>
      <c r="F3161" s="62" t="e">
        <v>#N/A</v>
      </c>
      <c r="G3161" s="62"/>
    </row>
    <row r="3162" spans="1:7">
      <c r="A3162" s="15" t="s">
        <v>3169</v>
      </c>
      <c r="B3162" s="69"/>
      <c r="C3162" s="71"/>
      <c r="D3162" s="65">
        <v>0</v>
      </c>
      <c r="E3162" s="72" t="e">
        <v>#N/A</v>
      </c>
      <c r="F3162" s="62" t="e">
        <v>#N/A</v>
      </c>
      <c r="G3162" s="62"/>
    </row>
    <row r="3163" spans="1:7">
      <c r="A3163" s="15" t="s">
        <v>3169</v>
      </c>
      <c r="B3163" s="69"/>
      <c r="C3163" s="71"/>
      <c r="D3163" s="65">
        <v>0</v>
      </c>
      <c r="E3163" s="72" t="e">
        <v>#N/A</v>
      </c>
      <c r="F3163" s="62" t="e">
        <v>#N/A</v>
      </c>
      <c r="G3163" s="62"/>
    </row>
    <row r="3164" spans="1:7">
      <c r="A3164" s="15" t="s">
        <v>3169</v>
      </c>
      <c r="B3164" s="69"/>
      <c r="C3164" s="71"/>
      <c r="D3164" s="65">
        <v>0</v>
      </c>
      <c r="E3164" s="72" t="e">
        <v>#N/A</v>
      </c>
      <c r="F3164" s="62" t="e">
        <v>#N/A</v>
      </c>
      <c r="G3164" s="62"/>
    </row>
    <row r="3165" spans="1:7">
      <c r="A3165" s="15" t="s">
        <v>3169</v>
      </c>
      <c r="B3165" s="69"/>
      <c r="C3165" s="71"/>
      <c r="D3165" s="65">
        <v>0</v>
      </c>
      <c r="E3165" s="72" t="e">
        <v>#N/A</v>
      </c>
      <c r="F3165" s="62" t="e">
        <v>#N/A</v>
      </c>
      <c r="G3165" s="62"/>
    </row>
    <row r="3166" spans="1:7">
      <c r="A3166" s="15" t="s">
        <v>3169</v>
      </c>
      <c r="B3166" s="69"/>
      <c r="C3166" s="71"/>
      <c r="D3166" s="65">
        <v>0</v>
      </c>
      <c r="E3166" s="72" t="e">
        <v>#N/A</v>
      </c>
      <c r="F3166" s="62" t="e">
        <v>#N/A</v>
      </c>
      <c r="G3166" s="62"/>
    </row>
    <row r="3167" spans="1:7">
      <c r="A3167" s="15" t="s">
        <v>3169</v>
      </c>
      <c r="B3167" s="69"/>
      <c r="C3167" s="71"/>
      <c r="D3167" s="65">
        <v>0</v>
      </c>
      <c r="E3167" s="72" t="e">
        <v>#N/A</v>
      </c>
      <c r="F3167" s="62" t="e">
        <v>#N/A</v>
      </c>
      <c r="G3167" s="62"/>
    </row>
    <row r="3168" spans="1:7">
      <c r="A3168" s="15" t="s">
        <v>3169</v>
      </c>
      <c r="B3168" s="69"/>
      <c r="C3168" s="71"/>
      <c r="D3168" s="65">
        <v>0</v>
      </c>
      <c r="E3168" s="72" t="e">
        <v>#N/A</v>
      </c>
      <c r="F3168" s="62" t="e">
        <v>#N/A</v>
      </c>
      <c r="G3168" s="62"/>
    </row>
    <row r="3169" spans="1:7">
      <c r="A3169" s="15" t="s">
        <v>3169</v>
      </c>
      <c r="B3169" s="69"/>
      <c r="C3169" s="71"/>
      <c r="D3169" s="65">
        <v>0</v>
      </c>
      <c r="E3169" s="72" t="e">
        <v>#N/A</v>
      </c>
      <c r="F3169" s="62" t="e">
        <v>#N/A</v>
      </c>
      <c r="G3169" s="62"/>
    </row>
    <row r="3170" spans="1:7">
      <c r="A3170" s="15" t="s">
        <v>3169</v>
      </c>
      <c r="B3170" s="69"/>
      <c r="C3170" s="71"/>
      <c r="D3170" s="65">
        <v>0</v>
      </c>
      <c r="E3170" s="72" t="e">
        <v>#N/A</v>
      </c>
      <c r="F3170" s="62" t="e">
        <v>#N/A</v>
      </c>
      <c r="G3170" s="62"/>
    </row>
    <row r="3171" spans="1:7">
      <c r="A3171" s="15" t="s">
        <v>3169</v>
      </c>
      <c r="B3171" s="69"/>
      <c r="C3171" s="71"/>
      <c r="D3171" s="65">
        <v>0</v>
      </c>
      <c r="E3171" s="72" t="e">
        <v>#N/A</v>
      </c>
      <c r="F3171" s="62" t="e">
        <v>#N/A</v>
      </c>
      <c r="G3171" s="62"/>
    </row>
    <row r="3172" spans="1:7">
      <c r="A3172" s="15" t="s">
        <v>3169</v>
      </c>
      <c r="B3172" s="69"/>
      <c r="C3172" s="71"/>
      <c r="D3172" s="65">
        <v>0</v>
      </c>
      <c r="E3172" s="72" t="e">
        <v>#N/A</v>
      </c>
      <c r="F3172" s="62" t="e">
        <v>#N/A</v>
      </c>
      <c r="G3172" s="62"/>
    </row>
    <row r="3173" spans="1:7">
      <c r="A3173" s="15" t="s">
        <v>3169</v>
      </c>
      <c r="B3173" s="69"/>
      <c r="C3173" s="71"/>
      <c r="D3173" s="65">
        <v>0</v>
      </c>
      <c r="E3173" s="72" t="e">
        <v>#N/A</v>
      </c>
      <c r="F3173" s="62" t="e">
        <v>#N/A</v>
      </c>
      <c r="G3173" s="62"/>
    </row>
    <row r="3174" spans="1:7">
      <c r="A3174" s="15" t="s">
        <v>3169</v>
      </c>
      <c r="B3174" s="69"/>
      <c r="C3174" s="71"/>
      <c r="D3174" s="65">
        <v>0</v>
      </c>
      <c r="E3174" s="72" t="e">
        <v>#N/A</v>
      </c>
      <c r="F3174" s="62" t="e">
        <v>#N/A</v>
      </c>
      <c r="G3174" s="62"/>
    </row>
    <row r="3175" spans="1:7">
      <c r="A3175" s="15" t="s">
        <v>3169</v>
      </c>
      <c r="B3175" s="69"/>
      <c r="C3175" s="71"/>
      <c r="D3175" s="65">
        <v>0</v>
      </c>
      <c r="E3175" s="72" t="e">
        <v>#N/A</v>
      </c>
      <c r="F3175" s="62" t="e">
        <v>#N/A</v>
      </c>
      <c r="G3175" s="62"/>
    </row>
    <row r="3176" spans="1:7">
      <c r="A3176" s="15" t="s">
        <v>3169</v>
      </c>
      <c r="B3176" s="69"/>
      <c r="C3176" s="71"/>
      <c r="D3176" s="65">
        <v>0</v>
      </c>
      <c r="E3176" s="72" t="e">
        <v>#N/A</v>
      </c>
      <c r="F3176" s="62" t="e">
        <v>#N/A</v>
      </c>
      <c r="G3176" s="62"/>
    </row>
    <row r="3177" spans="1:7">
      <c r="A3177" s="15" t="s">
        <v>3169</v>
      </c>
      <c r="B3177" s="69"/>
      <c r="C3177" s="71"/>
      <c r="D3177" s="65">
        <v>0</v>
      </c>
      <c r="E3177" s="72" t="e">
        <v>#N/A</v>
      </c>
      <c r="F3177" s="62" t="e">
        <v>#N/A</v>
      </c>
      <c r="G3177" s="62"/>
    </row>
    <row r="3178" spans="1:7">
      <c r="A3178" s="15" t="s">
        <v>3169</v>
      </c>
      <c r="B3178" s="69"/>
      <c r="C3178" s="71"/>
      <c r="D3178" s="65">
        <v>0</v>
      </c>
      <c r="E3178" s="72" t="e">
        <v>#N/A</v>
      </c>
      <c r="F3178" s="62" t="e">
        <v>#N/A</v>
      </c>
      <c r="G3178" s="62"/>
    </row>
    <row r="3179" spans="1:7">
      <c r="A3179" s="15" t="s">
        <v>3169</v>
      </c>
      <c r="B3179" s="69"/>
      <c r="C3179" s="71"/>
      <c r="D3179" s="65">
        <v>0</v>
      </c>
      <c r="E3179" s="72" t="e">
        <v>#N/A</v>
      </c>
      <c r="F3179" s="62" t="e">
        <v>#N/A</v>
      </c>
      <c r="G3179" s="62"/>
    </row>
    <row r="3180" spans="1:7">
      <c r="A3180" s="15" t="s">
        <v>3169</v>
      </c>
      <c r="B3180" s="69"/>
      <c r="C3180" s="71"/>
      <c r="D3180" s="65">
        <v>0</v>
      </c>
      <c r="E3180" s="72" t="e">
        <v>#N/A</v>
      </c>
      <c r="F3180" s="62" t="e">
        <v>#N/A</v>
      </c>
      <c r="G3180" s="62"/>
    </row>
    <row r="3181" spans="1:7">
      <c r="A3181" s="15" t="s">
        <v>3169</v>
      </c>
      <c r="B3181" s="69"/>
      <c r="C3181" s="71"/>
      <c r="D3181" s="65">
        <v>0</v>
      </c>
      <c r="E3181" s="72" t="e">
        <v>#N/A</v>
      </c>
      <c r="F3181" s="62" t="e">
        <v>#N/A</v>
      </c>
      <c r="G3181" s="62"/>
    </row>
    <row r="3182" spans="1:7">
      <c r="A3182" s="15" t="s">
        <v>3169</v>
      </c>
      <c r="B3182" s="69"/>
      <c r="C3182" s="71"/>
      <c r="D3182" s="65">
        <v>0</v>
      </c>
      <c r="E3182" s="72" t="e">
        <v>#N/A</v>
      </c>
      <c r="F3182" s="62" t="e">
        <v>#N/A</v>
      </c>
      <c r="G3182" s="62"/>
    </row>
    <row r="3183" spans="1:7">
      <c r="A3183" s="15" t="s">
        <v>3169</v>
      </c>
      <c r="B3183" s="69"/>
      <c r="C3183" s="71"/>
      <c r="D3183" s="65">
        <v>0</v>
      </c>
      <c r="E3183" s="72" t="e">
        <v>#N/A</v>
      </c>
      <c r="F3183" s="62" t="e">
        <v>#N/A</v>
      </c>
      <c r="G3183" s="62"/>
    </row>
    <row r="3184" spans="1:7">
      <c r="A3184" s="15" t="s">
        <v>3169</v>
      </c>
      <c r="B3184" s="69"/>
      <c r="C3184" s="71"/>
      <c r="D3184" s="65">
        <v>0</v>
      </c>
      <c r="E3184" s="72" t="e">
        <v>#N/A</v>
      </c>
      <c r="F3184" s="62" t="e">
        <v>#N/A</v>
      </c>
      <c r="G3184" s="62"/>
    </row>
    <row r="3185" spans="1:7">
      <c r="A3185" s="15" t="s">
        <v>3169</v>
      </c>
      <c r="B3185" s="69"/>
      <c r="C3185" s="71"/>
      <c r="D3185" s="65">
        <v>0</v>
      </c>
      <c r="E3185" s="72" t="e">
        <v>#N/A</v>
      </c>
      <c r="F3185" s="62" t="e">
        <v>#N/A</v>
      </c>
      <c r="G3185" s="62"/>
    </row>
    <row r="3186" spans="1:7">
      <c r="A3186" s="15" t="s">
        <v>3169</v>
      </c>
      <c r="B3186" s="69"/>
      <c r="C3186" s="71"/>
      <c r="D3186" s="65">
        <v>0</v>
      </c>
      <c r="E3186" s="72" t="e">
        <v>#N/A</v>
      </c>
      <c r="F3186" s="62" t="e">
        <v>#N/A</v>
      </c>
      <c r="G3186" s="62"/>
    </row>
    <row r="3187" spans="1:7">
      <c r="A3187" s="15" t="s">
        <v>3169</v>
      </c>
      <c r="B3187" s="69"/>
      <c r="C3187" s="71"/>
      <c r="D3187" s="65">
        <v>0</v>
      </c>
      <c r="E3187" s="72" t="e">
        <v>#N/A</v>
      </c>
      <c r="F3187" s="62" t="e">
        <v>#N/A</v>
      </c>
      <c r="G3187" s="62"/>
    </row>
    <row r="3188" spans="1:7">
      <c r="A3188" s="15" t="s">
        <v>3169</v>
      </c>
      <c r="B3188" s="69"/>
      <c r="C3188" s="71"/>
      <c r="D3188" s="65">
        <v>0</v>
      </c>
      <c r="E3188" s="72" t="e">
        <v>#N/A</v>
      </c>
      <c r="F3188" s="62" t="e">
        <v>#N/A</v>
      </c>
      <c r="G3188" s="62"/>
    </row>
    <row r="3189" spans="1:7">
      <c r="A3189" s="15" t="s">
        <v>3169</v>
      </c>
      <c r="B3189" s="69"/>
      <c r="C3189" s="71"/>
      <c r="D3189" s="65">
        <v>0</v>
      </c>
      <c r="E3189" s="72" t="e">
        <v>#N/A</v>
      </c>
      <c r="F3189" s="62" t="e">
        <v>#N/A</v>
      </c>
      <c r="G3189" s="62"/>
    </row>
    <row r="3190" spans="1:7">
      <c r="A3190" s="15" t="s">
        <v>3169</v>
      </c>
      <c r="B3190" s="69"/>
      <c r="C3190" s="71"/>
      <c r="D3190" s="65">
        <v>0</v>
      </c>
      <c r="E3190" s="72" t="e">
        <v>#N/A</v>
      </c>
      <c r="F3190" s="62" t="e">
        <v>#N/A</v>
      </c>
      <c r="G3190" s="62"/>
    </row>
    <row r="3191" spans="1:7">
      <c r="A3191" s="15" t="s">
        <v>3169</v>
      </c>
      <c r="B3191" s="69"/>
      <c r="C3191" s="71"/>
      <c r="D3191" s="65">
        <v>0</v>
      </c>
      <c r="E3191" s="72" t="e">
        <v>#N/A</v>
      </c>
      <c r="F3191" s="62" t="e">
        <v>#N/A</v>
      </c>
      <c r="G3191" s="62"/>
    </row>
    <row r="3192" spans="1:7">
      <c r="A3192" s="15" t="s">
        <v>3169</v>
      </c>
      <c r="B3192" s="69"/>
      <c r="C3192" s="71"/>
      <c r="D3192" s="65">
        <v>0</v>
      </c>
      <c r="E3192" s="72" t="e">
        <v>#N/A</v>
      </c>
      <c r="F3192" s="62" t="e">
        <v>#N/A</v>
      </c>
      <c r="G3192" s="62"/>
    </row>
    <row r="3193" spans="1:7">
      <c r="A3193" s="15" t="s">
        <v>3169</v>
      </c>
      <c r="B3193" s="69"/>
      <c r="C3193" s="71"/>
      <c r="D3193" s="65">
        <v>0</v>
      </c>
      <c r="E3193" s="72" t="e">
        <v>#N/A</v>
      </c>
      <c r="F3193" s="62" t="e">
        <v>#N/A</v>
      </c>
      <c r="G3193" s="62"/>
    </row>
    <row r="3194" spans="1:7">
      <c r="A3194" s="15" t="s">
        <v>3169</v>
      </c>
      <c r="B3194" s="69"/>
      <c r="C3194" s="71"/>
      <c r="D3194" s="65">
        <v>0</v>
      </c>
      <c r="E3194" s="72" t="e">
        <v>#N/A</v>
      </c>
      <c r="F3194" s="62" t="e">
        <v>#N/A</v>
      </c>
      <c r="G3194" s="62"/>
    </row>
    <row r="3195" spans="1:7">
      <c r="A3195" s="15" t="s">
        <v>3169</v>
      </c>
      <c r="B3195" s="69"/>
      <c r="C3195" s="71"/>
      <c r="D3195" s="65">
        <v>0</v>
      </c>
      <c r="E3195" s="72" t="e">
        <v>#N/A</v>
      </c>
      <c r="F3195" s="62" t="e">
        <v>#N/A</v>
      </c>
      <c r="G3195" s="62"/>
    </row>
    <row r="3196" spans="1:7">
      <c r="A3196" s="15" t="s">
        <v>3169</v>
      </c>
      <c r="B3196" s="69"/>
      <c r="C3196" s="71"/>
      <c r="D3196" s="65">
        <v>0</v>
      </c>
      <c r="E3196" s="72" t="e">
        <v>#N/A</v>
      </c>
      <c r="F3196" s="62" t="e">
        <v>#N/A</v>
      </c>
      <c r="G3196" s="62"/>
    </row>
    <row r="3197" spans="1:7">
      <c r="A3197" s="15" t="s">
        <v>3169</v>
      </c>
      <c r="B3197" s="69"/>
      <c r="C3197" s="71"/>
      <c r="D3197" s="65">
        <v>0</v>
      </c>
      <c r="E3197" s="72" t="e">
        <v>#N/A</v>
      </c>
      <c r="F3197" s="62" t="e">
        <v>#N/A</v>
      </c>
      <c r="G3197" s="62"/>
    </row>
    <row r="3198" spans="1:7">
      <c r="A3198" s="15" t="s">
        <v>3169</v>
      </c>
      <c r="B3198" s="69"/>
      <c r="C3198" s="71"/>
      <c r="D3198" s="65">
        <v>0</v>
      </c>
      <c r="E3198" s="72" t="e">
        <v>#N/A</v>
      </c>
      <c r="F3198" s="62" t="e">
        <v>#N/A</v>
      </c>
      <c r="G3198" s="62"/>
    </row>
    <row r="3199" spans="1:7">
      <c r="A3199" s="15" t="s">
        <v>3169</v>
      </c>
      <c r="B3199" s="69"/>
      <c r="C3199" s="71"/>
      <c r="D3199" s="65">
        <v>0</v>
      </c>
      <c r="E3199" s="72" t="e">
        <v>#N/A</v>
      </c>
      <c r="F3199" s="62" t="e">
        <v>#N/A</v>
      </c>
      <c r="G3199" s="62"/>
    </row>
    <row r="3200" spans="1:7">
      <c r="A3200" s="15" t="s">
        <v>3169</v>
      </c>
      <c r="B3200" s="69"/>
      <c r="C3200" s="71"/>
      <c r="D3200" s="65">
        <v>0</v>
      </c>
      <c r="E3200" s="72" t="e">
        <v>#N/A</v>
      </c>
      <c r="F3200" s="62" t="e">
        <v>#N/A</v>
      </c>
      <c r="G3200" s="62"/>
    </row>
    <row r="3201" spans="1:7">
      <c r="A3201" s="15" t="s">
        <v>3169</v>
      </c>
      <c r="B3201" s="69"/>
      <c r="C3201" s="71"/>
      <c r="D3201" s="65">
        <v>0</v>
      </c>
      <c r="E3201" s="72" t="e">
        <v>#N/A</v>
      </c>
      <c r="F3201" s="62" t="e">
        <v>#N/A</v>
      </c>
      <c r="G3201" s="62"/>
    </row>
    <row r="3202" spans="1:7">
      <c r="A3202" s="15" t="s">
        <v>3169</v>
      </c>
      <c r="B3202" s="69"/>
      <c r="C3202" s="71"/>
      <c r="D3202" s="65">
        <v>0</v>
      </c>
      <c r="E3202" s="72" t="e">
        <v>#N/A</v>
      </c>
      <c r="F3202" s="62" t="e">
        <v>#N/A</v>
      </c>
      <c r="G3202" s="62"/>
    </row>
    <row r="3203" spans="1:7">
      <c r="A3203" s="15" t="s">
        <v>3169</v>
      </c>
      <c r="B3203" s="69"/>
      <c r="C3203" s="71"/>
      <c r="D3203" s="65">
        <v>0</v>
      </c>
      <c r="E3203" s="72" t="e">
        <v>#N/A</v>
      </c>
      <c r="F3203" s="62" t="e">
        <v>#N/A</v>
      </c>
      <c r="G3203" s="62"/>
    </row>
    <row r="3204" spans="1:7">
      <c r="A3204" s="15" t="s">
        <v>3169</v>
      </c>
      <c r="B3204" s="69"/>
      <c r="C3204" s="71"/>
      <c r="D3204" s="65">
        <v>0</v>
      </c>
      <c r="E3204" s="72" t="e">
        <v>#N/A</v>
      </c>
      <c r="F3204" s="62" t="e">
        <v>#N/A</v>
      </c>
      <c r="G3204" s="62"/>
    </row>
    <row r="3205" spans="1:7">
      <c r="A3205" s="15" t="s">
        <v>3169</v>
      </c>
      <c r="B3205" s="69"/>
      <c r="C3205" s="71"/>
      <c r="D3205" s="65">
        <v>0</v>
      </c>
      <c r="E3205" s="72" t="e">
        <v>#N/A</v>
      </c>
      <c r="F3205" s="62" t="e">
        <v>#N/A</v>
      </c>
      <c r="G3205" s="62"/>
    </row>
    <row r="3206" spans="1:7">
      <c r="A3206" s="15" t="s">
        <v>3169</v>
      </c>
      <c r="B3206" s="69"/>
      <c r="C3206" s="71"/>
      <c r="D3206" s="65">
        <v>0</v>
      </c>
      <c r="E3206" s="72" t="e">
        <v>#N/A</v>
      </c>
      <c r="F3206" s="62" t="e">
        <v>#N/A</v>
      </c>
      <c r="G3206" s="62"/>
    </row>
    <row r="3207" spans="1:7">
      <c r="A3207" s="15" t="s">
        <v>3169</v>
      </c>
      <c r="B3207" s="69"/>
      <c r="C3207" s="71"/>
      <c r="D3207" s="65">
        <v>0</v>
      </c>
      <c r="E3207" s="72" t="e">
        <v>#N/A</v>
      </c>
      <c r="F3207" s="62" t="e">
        <v>#N/A</v>
      </c>
      <c r="G3207" s="62"/>
    </row>
    <row r="3208" spans="1:7">
      <c r="A3208" s="15" t="s">
        <v>3169</v>
      </c>
      <c r="B3208" s="69"/>
      <c r="C3208" s="71"/>
      <c r="D3208" s="65">
        <v>0</v>
      </c>
      <c r="E3208" s="72" t="e">
        <v>#N/A</v>
      </c>
      <c r="F3208" s="62" t="e">
        <v>#N/A</v>
      </c>
      <c r="G3208" s="62"/>
    </row>
    <row r="3209" spans="1:7">
      <c r="A3209" s="15" t="s">
        <v>3169</v>
      </c>
      <c r="B3209" s="69"/>
      <c r="C3209" s="71"/>
      <c r="D3209" s="65">
        <v>0</v>
      </c>
      <c r="E3209" s="72" t="e">
        <v>#N/A</v>
      </c>
      <c r="F3209" s="62" t="e">
        <v>#N/A</v>
      </c>
      <c r="G3209" s="62"/>
    </row>
    <row r="3210" spans="1:7">
      <c r="A3210" s="15" t="s">
        <v>3169</v>
      </c>
      <c r="B3210" s="69"/>
      <c r="C3210" s="71"/>
      <c r="D3210" s="65">
        <v>0</v>
      </c>
      <c r="E3210" s="72" t="e">
        <v>#N/A</v>
      </c>
      <c r="F3210" s="62" t="e">
        <v>#N/A</v>
      </c>
      <c r="G3210" s="62"/>
    </row>
    <row r="3211" spans="1:7">
      <c r="A3211" s="15" t="s">
        <v>3169</v>
      </c>
      <c r="B3211" s="69"/>
      <c r="C3211" s="71"/>
      <c r="D3211" s="65">
        <v>0</v>
      </c>
      <c r="E3211" s="72" t="e">
        <v>#N/A</v>
      </c>
      <c r="F3211" s="62" t="e">
        <v>#N/A</v>
      </c>
      <c r="G3211" s="62"/>
    </row>
    <row r="3212" spans="1:7">
      <c r="A3212" s="15" t="s">
        <v>3169</v>
      </c>
      <c r="B3212" s="69"/>
      <c r="C3212" s="71"/>
      <c r="D3212" s="65">
        <v>0</v>
      </c>
      <c r="E3212" s="72" t="e">
        <v>#N/A</v>
      </c>
      <c r="F3212" s="62" t="e">
        <v>#N/A</v>
      </c>
      <c r="G3212" s="62"/>
    </row>
    <row r="3213" spans="1:7">
      <c r="A3213" s="15" t="s">
        <v>3169</v>
      </c>
      <c r="B3213" s="69"/>
      <c r="C3213" s="71"/>
      <c r="D3213" s="65">
        <v>0</v>
      </c>
      <c r="E3213" s="72" t="e">
        <v>#N/A</v>
      </c>
      <c r="F3213" s="62" t="e">
        <v>#N/A</v>
      </c>
      <c r="G3213" s="62"/>
    </row>
    <row r="3214" spans="1:7">
      <c r="A3214" s="15" t="s">
        <v>3169</v>
      </c>
      <c r="B3214" s="69"/>
      <c r="C3214" s="71"/>
      <c r="D3214" s="65">
        <v>0</v>
      </c>
      <c r="E3214" s="72" t="e">
        <v>#N/A</v>
      </c>
      <c r="F3214" s="62" t="e">
        <v>#N/A</v>
      </c>
      <c r="G3214" s="62"/>
    </row>
    <row r="3215" spans="1:7">
      <c r="A3215" s="15" t="s">
        <v>3169</v>
      </c>
      <c r="B3215" s="69"/>
      <c r="C3215" s="71"/>
      <c r="D3215" s="65">
        <v>0</v>
      </c>
      <c r="E3215" s="72" t="e">
        <v>#N/A</v>
      </c>
      <c r="F3215" s="62" t="e">
        <v>#N/A</v>
      </c>
      <c r="G3215" s="62"/>
    </row>
    <row r="3216" spans="1:7">
      <c r="A3216" s="15" t="s">
        <v>3169</v>
      </c>
      <c r="B3216" s="69"/>
      <c r="C3216" s="71"/>
      <c r="D3216" s="65">
        <v>0</v>
      </c>
      <c r="E3216" s="72" t="e">
        <v>#N/A</v>
      </c>
      <c r="F3216" s="62" t="e">
        <v>#N/A</v>
      </c>
      <c r="G3216" s="62"/>
    </row>
    <row r="3217" spans="1:7">
      <c r="A3217" s="15" t="s">
        <v>3169</v>
      </c>
      <c r="B3217" s="69"/>
      <c r="C3217" s="71"/>
      <c r="D3217" s="65">
        <v>0</v>
      </c>
      <c r="E3217" s="72" t="e">
        <v>#N/A</v>
      </c>
      <c r="F3217" s="62" t="e">
        <v>#N/A</v>
      </c>
      <c r="G3217" s="62"/>
    </row>
    <row r="3218" spans="1:7">
      <c r="A3218" s="15" t="s">
        <v>3169</v>
      </c>
      <c r="B3218" s="69"/>
      <c r="C3218" s="71"/>
      <c r="D3218" s="65">
        <v>0</v>
      </c>
      <c r="E3218" s="72" t="e">
        <v>#N/A</v>
      </c>
      <c r="F3218" s="62" t="e">
        <v>#N/A</v>
      </c>
      <c r="G3218" s="62"/>
    </row>
    <row r="3219" spans="1:7">
      <c r="A3219" s="15" t="s">
        <v>3169</v>
      </c>
      <c r="B3219" s="69"/>
      <c r="C3219" s="71"/>
      <c r="D3219" s="65">
        <v>0</v>
      </c>
      <c r="E3219" s="72" t="e">
        <v>#N/A</v>
      </c>
      <c r="F3219" s="62" t="e">
        <v>#N/A</v>
      </c>
      <c r="G3219" s="62"/>
    </row>
    <row r="3220" spans="1:7">
      <c r="A3220" s="15" t="s">
        <v>3169</v>
      </c>
      <c r="B3220" s="69"/>
      <c r="C3220" s="71"/>
      <c r="D3220" s="65">
        <v>0</v>
      </c>
      <c r="E3220" s="72" t="e">
        <v>#N/A</v>
      </c>
      <c r="F3220" s="62" t="e">
        <v>#N/A</v>
      </c>
      <c r="G3220" s="62"/>
    </row>
    <row r="3221" spans="1:7">
      <c r="A3221" s="15" t="s">
        <v>3169</v>
      </c>
      <c r="B3221" s="69"/>
      <c r="C3221" s="71"/>
      <c r="D3221" s="65">
        <v>0</v>
      </c>
      <c r="E3221" s="72" t="e">
        <v>#N/A</v>
      </c>
      <c r="F3221" s="62" t="e">
        <v>#N/A</v>
      </c>
      <c r="G3221" s="62"/>
    </row>
    <row r="3222" spans="1:7">
      <c r="A3222" s="15" t="s">
        <v>3169</v>
      </c>
      <c r="B3222" s="69"/>
      <c r="C3222" s="71"/>
      <c r="D3222" s="65">
        <v>0</v>
      </c>
      <c r="E3222" s="72" t="e">
        <v>#N/A</v>
      </c>
      <c r="F3222" s="62" t="e">
        <v>#N/A</v>
      </c>
      <c r="G3222" s="62"/>
    </row>
    <row r="3223" spans="1:7">
      <c r="A3223" s="15" t="s">
        <v>3169</v>
      </c>
      <c r="B3223" s="69"/>
      <c r="C3223" s="71"/>
      <c r="D3223" s="65">
        <v>0</v>
      </c>
      <c r="E3223" s="72" t="e">
        <v>#N/A</v>
      </c>
      <c r="F3223" s="62" t="e">
        <v>#N/A</v>
      </c>
      <c r="G3223" s="62"/>
    </row>
    <row r="3224" spans="1:7">
      <c r="A3224" s="15" t="s">
        <v>3169</v>
      </c>
      <c r="B3224" s="69"/>
      <c r="C3224" s="71"/>
      <c r="D3224" s="65">
        <v>0</v>
      </c>
      <c r="E3224" s="72" t="e">
        <v>#N/A</v>
      </c>
      <c r="F3224" s="62" t="e">
        <v>#N/A</v>
      </c>
      <c r="G3224" s="62"/>
    </row>
    <row r="3225" spans="1:7">
      <c r="A3225" s="15" t="s">
        <v>3169</v>
      </c>
      <c r="B3225" s="69"/>
      <c r="C3225" s="71"/>
      <c r="D3225" s="65">
        <v>0</v>
      </c>
      <c r="E3225" s="72" t="e">
        <v>#N/A</v>
      </c>
      <c r="F3225" s="62" t="e">
        <v>#N/A</v>
      </c>
      <c r="G3225" s="62"/>
    </row>
    <row r="3226" spans="1:7">
      <c r="A3226" s="15" t="s">
        <v>3169</v>
      </c>
      <c r="B3226" s="69"/>
      <c r="C3226" s="71"/>
      <c r="D3226" s="65">
        <v>0</v>
      </c>
      <c r="E3226" s="72" t="e">
        <v>#N/A</v>
      </c>
      <c r="F3226" s="62" t="e">
        <v>#N/A</v>
      </c>
      <c r="G3226" s="62"/>
    </row>
    <row r="3227" spans="1:7">
      <c r="A3227" s="15" t="s">
        <v>3169</v>
      </c>
      <c r="B3227" s="69"/>
      <c r="C3227" s="71"/>
      <c r="D3227" s="65">
        <v>0</v>
      </c>
      <c r="E3227" s="72" t="e">
        <v>#N/A</v>
      </c>
      <c r="F3227" s="62" t="e">
        <v>#N/A</v>
      </c>
      <c r="G3227" s="62"/>
    </row>
    <row r="3228" spans="1:7">
      <c r="A3228" s="15" t="s">
        <v>3169</v>
      </c>
      <c r="B3228" s="69"/>
      <c r="C3228" s="71"/>
      <c r="D3228" s="65">
        <v>0</v>
      </c>
      <c r="E3228" s="72" t="e">
        <v>#N/A</v>
      </c>
      <c r="F3228" s="62" t="e">
        <v>#N/A</v>
      </c>
      <c r="G3228" s="62"/>
    </row>
    <row r="3229" spans="1:7">
      <c r="A3229" s="15" t="s">
        <v>3169</v>
      </c>
      <c r="B3229" s="69"/>
      <c r="C3229" s="71"/>
      <c r="D3229" s="65">
        <v>0</v>
      </c>
      <c r="E3229" s="72" t="e">
        <v>#N/A</v>
      </c>
      <c r="F3229" s="62" t="e">
        <v>#N/A</v>
      </c>
      <c r="G3229" s="62"/>
    </row>
    <row r="3230" spans="1:7">
      <c r="A3230" s="15" t="s">
        <v>3169</v>
      </c>
      <c r="B3230" s="69"/>
      <c r="C3230" s="71"/>
      <c r="D3230" s="65">
        <v>0</v>
      </c>
      <c r="E3230" s="72" t="e">
        <v>#N/A</v>
      </c>
      <c r="F3230" s="62" t="e">
        <v>#N/A</v>
      </c>
      <c r="G3230" s="62"/>
    </row>
    <row r="3231" spans="1:7">
      <c r="A3231" s="15" t="s">
        <v>3169</v>
      </c>
      <c r="B3231" s="69"/>
      <c r="C3231" s="71"/>
      <c r="D3231" s="65">
        <v>0</v>
      </c>
      <c r="E3231" s="72" t="e">
        <v>#N/A</v>
      </c>
      <c r="F3231" s="62" t="e">
        <v>#N/A</v>
      </c>
      <c r="G3231" s="62"/>
    </row>
    <row r="3232" spans="1:7">
      <c r="A3232" s="15" t="s">
        <v>3169</v>
      </c>
      <c r="B3232" s="69"/>
      <c r="C3232" s="71"/>
      <c r="D3232" s="65">
        <v>0</v>
      </c>
      <c r="E3232" s="72" t="e">
        <v>#N/A</v>
      </c>
      <c r="F3232" s="62" t="e">
        <v>#N/A</v>
      </c>
      <c r="G3232" s="62"/>
    </row>
    <row r="3233" spans="1:7">
      <c r="A3233" s="15" t="s">
        <v>3169</v>
      </c>
      <c r="B3233" s="69"/>
      <c r="C3233" s="71"/>
      <c r="D3233" s="65">
        <v>0</v>
      </c>
      <c r="E3233" s="72" t="e">
        <v>#N/A</v>
      </c>
      <c r="F3233" s="62" t="e">
        <v>#N/A</v>
      </c>
      <c r="G3233" s="62"/>
    </row>
    <row r="3234" spans="1:7">
      <c r="A3234" s="15" t="s">
        <v>3169</v>
      </c>
      <c r="B3234" s="69"/>
      <c r="C3234" s="71"/>
      <c r="D3234" s="65">
        <v>0</v>
      </c>
      <c r="E3234" s="72" t="e">
        <v>#N/A</v>
      </c>
      <c r="F3234" s="62" t="e">
        <v>#N/A</v>
      </c>
      <c r="G3234" s="62"/>
    </row>
    <row r="3235" spans="1:7">
      <c r="A3235" s="15" t="s">
        <v>3169</v>
      </c>
      <c r="B3235" s="69"/>
      <c r="C3235" s="71"/>
      <c r="D3235" s="65">
        <v>0</v>
      </c>
      <c r="E3235" s="72" t="e">
        <v>#N/A</v>
      </c>
      <c r="F3235" s="62" t="e">
        <v>#N/A</v>
      </c>
      <c r="G3235" s="62"/>
    </row>
    <row r="3236" spans="1:7">
      <c r="A3236" s="15" t="s">
        <v>3169</v>
      </c>
      <c r="B3236" s="69"/>
      <c r="C3236" s="71"/>
      <c r="D3236" s="65">
        <v>0</v>
      </c>
      <c r="E3236" s="72" t="e">
        <v>#N/A</v>
      </c>
      <c r="F3236" s="62" t="e">
        <v>#N/A</v>
      </c>
      <c r="G3236" s="62"/>
    </row>
    <row r="3237" spans="1:7">
      <c r="A3237" s="15" t="s">
        <v>3169</v>
      </c>
      <c r="B3237" s="69"/>
      <c r="C3237" s="71"/>
      <c r="D3237" s="65">
        <v>0</v>
      </c>
      <c r="E3237" s="72" t="e">
        <v>#N/A</v>
      </c>
      <c r="F3237" s="62" t="e">
        <v>#N/A</v>
      </c>
      <c r="G3237" s="62"/>
    </row>
    <row r="3238" spans="1:7">
      <c r="A3238" s="15" t="s">
        <v>3169</v>
      </c>
      <c r="B3238" s="69"/>
      <c r="C3238" s="71"/>
      <c r="D3238" s="65">
        <v>0</v>
      </c>
      <c r="E3238" s="72" t="e">
        <v>#N/A</v>
      </c>
      <c r="F3238" s="62" t="e">
        <v>#N/A</v>
      </c>
      <c r="G3238" s="62"/>
    </row>
    <row r="3239" spans="1:7">
      <c r="A3239" s="15" t="s">
        <v>3169</v>
      </c>
      <c r="B3239" s="69"/>
      <c r="C3239" s="71"/>
      <c r="D3239" s="65">
        <v>0</v>
      </c>
      <c r="E3239" s="72" t="e">
        <v>#N/A</v>
      </c>
      <c r="F3239" s="62" t="e">
        <v>#N/A</v>
      </c>
      <c r="G3239" s="62"/>
    </row>
    <row r="3240" spans="1:7">
      <c r="A3240" s="15" t="s">
        <v>3169</v>
      </c>
      <c r="B3240" s="69"/>
      <c r="C3240" s="71"/>
      <c r="D3240" s="65">
        <v>0</v>
      </c>
      <c r="E3240" s="72" t="e">
        <v>#N/A</v>
      </c>
      <c r="F3240" s="62" t="e">
        <v>#N/A</v>
      </c>
      <c r="G3240" s="62"/>
    </row>
    <row r="3241" spans="1:7">
      <c r="A3241" s="15" t="s">
        <v>3169</v>
      </c>
      <c r="B3241" s="69"/>
      <c r="C3241" s="71"/>
      <c r="D3241" s="65">
        <v>0</v>
      </c>
      <c r="E3241" s="72" t="e">
        <v>#N/A</v>
      </c>
      <c r="F3241" s="62" t="e">
        <v>#N/A</v>
      </c>
      <c r="G3241" s="62"/>
    </row>
    <row r="3242" spans="1:7">
      <c r="A3242" s="15" t="s">
        <v>3169</v>
      </c>
      <c r="B3242" s="69"/>
      <c r="C3242" s="71"/>
      <c r="D3242" s="65">
        <v>0</v>
      </c>
      <c r="E3242" s="72" t="e">
        <v>#N/A</v>
      </c>
      <c r="F3242" s="62" t="e">
        <v>#N/A</v>
      </c>
      <c r="G3242" s="62"/>
    </row>
    <row r="3243" spans="1:7">
      <c r="A3243" s="15" t="s">
        <v>3169</v>
      </c>
      <c r="B3243" s="69"/>
      <c r="C3243" s="71"/>
      <c r="D3243" s="65">
        <v>0</v>
      </c>
      <c r="E3243" s="72" t="e">
        <v>#N/A</v>
      </c>
      <c r="F3243" s="62" t="e">
        <v>#N/A</v>
      </c>
      <c r="G3243" s="62"/>
    </row>
    <row r="3244" spans="1:7">
      <c r="A3244" s="15" t="s">
        <v>3169</v>
      </c>
      <c r="B3244" s="69"/>
      <c r="C3244" s="71"/>
      <c r="D3244" s="65">
        <v>0</v>
      </c>
      <c r="E3244" s="72" t="e">
        <v>#N/A</v>
      </c>
      <c r="F3244" s="62" t="e">
        <v>#N/A</v>
      </c>
      <c r="G3244" s="62"/>
    </row>
    <row r="3245" spans="1:7">
      <c r="A3245" s="15" t="s">
        <v>3169</v>
      </c>
      <c r="B3245" s="69"/>
      <c r="C3245" s="71"/>
      <c r="D3245" s="65">
        <v>0</v>
      </c>
      <c r="E3245" s="72" t="e">
        <v>#N/A</v>
      </c>
      <c r="F3245" s="62" t="e">
        <v>#N/A</v>
      </c>
      <c r="G3245" s="62"/>
    </row>
    <row r="3246" spans="1:7">
      <c r="A3246" s="15" t="s">
        <v>3169</v>
      </c>
      <c r="B3246" s="69"/>
      <c r="C3246" s="71"/>
      <c r="D3246" s="65">
        <v>0</v>
      </c>
      <c r="E3246" s="72" t="e">
        <v>#N/A</v>
      </c>
      <c r="F3246" s="62" t="e">
        <v>#N/A</v>
      </c>
      <c r="G3246" s="62"/>
    </row>
    <row r="3247" spans="1:7">
      <c r="A3247" s="15" t="s">
        <v>3169</v>
      </c>
      <c r="B3247" s="69"/>
      <c r="C3247" s="71"/>
      <c r="D3247" s="65">
        <v>0</v>
      </c>
      <c r="E3247" s="72" t="e">
        <v>#N/A</v>
      </c>
      <c r="F3247" s="62" t="e">
        <v>#N/A</v>
      </c>
      <c r="G3247" s="62"/>
    </row>
    <row r="3248" spans="1:7">
      <c r="A3248" s="15" t="s">
        <v>3169</v>
      </c>
      <c r="B3248" s="69"/>
      <c r="C3248" s="71"/>
      <c r="D3248" s="65">
        <v>0</v>
      </c>
      <c r="E3248" s="72" t="e">
        <v>#N/A</v>
      </c>
      <c r="F3248" s="62" t="e">
        <v>#N/A</v>
      </c>
      <c r="G3248" s="62"/>
    </row>
    <row r="3249" spans="1:7">
      <c r="A3249" s="15" t="s">
        <v>3169</v>
      </c>
      <c r="B3249" s="69"/>
      <c r="C3249" s="71"/>
      <c r="D3249" s="65">
        <v>0</v>
      </c>
      <c r="E3249" s="72" t="e">
        <v>#N/A</v>
      </c>
      <c r="F3249" s="62" t="e">
        <v>#N/A</v>
      </c>
      <c r="G3249" s="62"/>
    </row>
    <row r="3250" spans="1:7">
      <c r="A3250" s="15" t="s">
        <v>3169</v>
      </c>
      <c r="B3250" s="69"/>
      <c r="C3250" s="71"/>
      <c r="D3250" s="65">
        <v>0</v>
      </c>
      <c r="E3250" s="72" t="e">
        <v>#N/A</v>
      </c>
      <c r="F3250" s="62" t="e">
        <v>#N/A</v>
      </c>
      <c r="G3250" s="62"/>
    </row>
    <row r="3251" spans="1:7">
      <c r="A3251" s="15" t="s">
        <v>3169</v>
      </c>
      <c r="B3251" s="69"/>
      <c r="C3251" s="71"/>
      <c r="D3251" s="65">
        <v>0</v>
      </c>
      <c r="E3251" s="72" t="e">
        <v>#N/A</v>
      </c>
      <c r="F3251" s="62" t="e">
        <v>#N/A</v>
      </c>
      <c r="G3251" s="62"/>
    </row>
    <row r="3252" spans="1:7">
      <c r="A3252" s="15" t="s">
        <v>3169</v>
      </c>
      <c r="B3252" s="69"/>
      <c r="C3252" s="71"/>
      <c r="D3252" s="65">
        <v>0</v>
      </c>
      <c r="E3252" s="72" t="e">
        <v>#N/A</v>
      </c>
      <c r="F3252" s="62" t="e">
        <v>#N/A</v>
      </c>
      <c r="G3252" s="62"/>
    </row>
    <row r="3253" spans="1:7">
      <c r="A3253" s="15" t="s">
        <v>3169</v>
      </c>
      <c r="B3253" s="69"/>
      <c r="C3253" s="71"/>
      <c r="D3253" s="65">
        <v>0</v>
      </c>
      <c r="E3253" s="72" t="e">
        <v>#N/A</v>
      </c>
      <c r="F3253" s="62" t="e">
        <v>#N/A</v>
      </c>
      <c r="G3253" s="62"/>
    </row>
  </sheetData>
  <sheetProtection algorithmName="SHA-512" hashValue="TDi8tjdgczo9gYINbX82qkscVXw7mcrxec4GMoQ4hQIU5F65cmDoOcnDij7I58ycRUlVeYz6oQ2sDUFj8YJoGQ==" saltValue="oienzgShTN9J7e9WGd1MDA==" spinCount="100000" sheet="1" objects="1" scenarios="1"/>
  <mergeCells count="1">
    <mergeCell ref="P93:U93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21907-C966-46F5-8EC9-945CD8495CA9}">
  <sheetPr codeName="Sheet8"/>
  <dimension ref="A1:U100"/>
  <sheetViews>
    <sheetView workbookViewId="0"/>
  </sheetViews>
  <sheetFormatPr defaultRowHeight="14.4"/>
  <cols>
    <col min="1" max="1" width="5" bestFit="1" customWidth="1"/>
    <col min="2" max="2" width="13.33203125" bestFit="1" customWidth="1"/>
    <col min="4" max="4" width="6.6640625" bestFit="1" customWidth="1"/>
    <col min="5" max="5" width="8.6640625" bestFit="1" customWidth="1"/>
    <col min="7" max="7" width="6.109375" bestFit="1" customWidth="1"/>
    <col min="8" max="8" width="48.44140625" bestFit="1" customWidth="1"/>
  </cols>
  <sheetData>
    <row r="1" spans="1:8">
      <c r="A1" s="11" t="s">
        <v>6</v>
      </c>
      <c r="B1" s="11" t="s">
        <v>7</v>
      </c>
      <c r="D1" s="2" t="s">
        <v>20</v>
      </c>
      <c r="E1" s="2" t="s">
        <v>33</v>
      </c>
      <c r="G1" s="2" t="s">
        <v>59</v>
      </c>
      <c r="H1" s="2" t="s">
        <v>32</v>
      </c>
    </row>
    <row r="2" spans="1:8">
      <c r="A2" s="12">
        <v>461</v>
      </c>
      <c r="B2" s="12" t="s">
        <v>47</v>
      </c>
      <c r="D2" s="2">
        <v>50</v>
      </c>
      <c r="E2" s="2">
        <v>800</v>
      </c>
      <c r="G2" s="2">
        <v>1</v>
      </c>
      <c r="H2" s="2" t="s">
        <v>76</v>
      </c>
    </row>
    <row r="3" spans="1:8">
      <c r="A3" s="13">
        <v>207</v>
      </c>
      <c r="B3" s="13" t="s">
        <v>48</v>
      </c>
      <c r="D3" s="2">
        <v>49</v>
      </c>
      <c r="E3" s="2">
        <v>800</v>
      </c>
      <c r="G3" s="2">
        <v>1.1000000000000001</v>
      </c>
      <c r="H3" s="2" t="s">
        <v>77</v>
      </c>
    </row>
    <row r="4" spans="1:8">
      <c r="A4" s="14">
        <v>179</v>
      </c>
      <c r="B4" s="14" t="s">
        <v>49</v>
      </c>
      <c r="D4" s="2">
        <v>48</v>
      </c>
      <c r="E4" s="2">
        <v>800</v>
      </c>
      <c r="G4" s="2">
        <v>1.2</v>
      </c>
      <c r="H4" s="2" t="s">
        <v>78</v>
      </c>
    </row>
    <row r="5" spans="1:8">
      <c r="A5" s="14">
        <v>190</v>
      </c>
      <c r="B5" s="14" t="s">
        <v>50</v>
      </c>
      <c r="D5" s="2">
        <v>47</v>
      </c>
      <c r="E5" s="2">
        <v>800</v>
      </c>
      <c r="G5" s="2">
        <v>1.3</v>
      </c>
      <c r="H5" s="2" t="s">
        <v>79</v>
      </c>
    </row>
    <row r="6" spans="1:8">
      <c r="A6" s="14">
        <v>438</v>
      </c>
      <c r="B6" s="14" t="s">
        <v>51</v>
      </c>
      <c r="D6" s="2">
        <v>46</v>
      </c>
      <c r="E6" s="2">
        <v>800</v>
      </c>
      <c r="G6" s="2">
        <v>1.4</v>
      </c>
      <c r="H6" s="2" t="s">
        <v>30</v>
      </c>
    </row>
    <row r="7" spans="1:8">
      <c r="A7" s="14">
        <v>4</v>
      </c>
      <c r="B7" s="14" t="s">
        <v>52</v>
      </c>
      <c r="D7" s="2">
        <v>45</v>
      </c>
      <c r="E7" s="2">
        <v>800</v>
      </c>
      <c r="G7" s="2">
        <v>1.5</v>
      </c>
      <c r="H7" s="2" t="s">
        <v>80</v>
      </c>
    </row>
    <row r="8" spans="1:8">
      <c r="A8" s="14">
        <v>432</v>
      </c>
      <c r="B8" s="14" t="s">
        <v>53</v>
      </c>
      <c r="D8" s="2">
        <v>44</v>
      </c>
      <c r="E8" s="2">
        <v>800</v>
      </c>
      <c r="G8" s="2">
        <v>1.6</v>
      </c>
      <c r="H8" s="2" t="s">
        <v>27</v>
      </c>
    </row>
    <row r="9" spans="1:8">
      <c r="A9" s="14">
        <v>304</v>
      </c>
      <c r="B9" s="14" t="s">
        <v>54</v>
      </c>
      <c r="D9" s="2">
        <v>43</v>
      </c>
      <c r="E9" s="2">
        <v>790</v>
      </c>
      <c r="G9" s="2">
        <v>2</v>
      </c>
      <c r="H9" s="2" t="s">
        <v>81</v>
      </c>
    </row>
    <row r="10" spans="1:8">
      <c r="A10" s="14">
        <v>441</v>
      </c>
      <c r="B10" s="14" t="s">
        <v>55</v>
      </c>
      <c r="D10" s="2">
        <v>42</v>
      </c>
      <c r="E10" s="2">
        <v>780</v>
      </c>
      <c r="G10" s="2">
        <v>2.1</v>
      </c>
      <c r="H10" s="2" t="s">
        <v>82</v>
      </c>
    </row>
    <row r="11" spans="1:8">
      <c r="A11" s="14">
        <v>366</v>
      </c>
      <c r="B11" s="14" t="s">
        <v>56</v>
      </c>
      <c r="D11" s="2">
        <v>41</v>
      </c>
      <c r="E11" s="2">
        <v>770</v>
      </c>
      <c r="G11" s="2">
        <v>2.2000000000000002</v>
      </c>
      <c r="H11" s="2" t="s">
        <v>83</v>
      </c>
    </row>
    <row r="12" spans="1:8">
      <c r="A12" s="14">
        <v>172</v>
      </c>
      <c r="B12" s="14" t="s">
        <v>57</v>
      </c>
      <c r="D12" s="2">
        <v>40</v>
      </c>
      <c r="E12" s="2">
        <v>760</v>
      </c>
      <c r="G12" s="2">
        <v>2.2999999999999998</v>
      </c>
      <c r="H12" s="2" t="s">
        <v>84</v>
      </c>
    </row>
    <row r="13" spans="1:8">
      <c r="A13" s="14">
        <v>480</v>
      </c>
      <c r="B13" s="14" t="s">
        <v>58</v>
      </c>
      <c r="D13" s="2">
        <v>39</v>
      </c>
      <c r="E13" s="2">
        <v>750</v>
      </c>
      <c r="G13" s="2">
        <v>2.31</v>
      </c>
      <c r="H13" s="2" t="s">
        <v>85</v>
      </c>
    </row>
    <row r="14" spans="1:8">
      <c r="A14" s="14"/>
      <c r="B14" s="14"/>
      <c r="D14" s="2">
        <v>38</v>
      </c>
      <c r="E14" s="2">
        <v>740</v>
      </c>
      <c r="G14" s="2">
        <v>2.3199999999999998</v>
      </c>
      <c r="H14" s="2" t="s">
        <v>86</v>
      </c>
    </row>
    <row r="15" spans="1:8">
      <c r="A15" s="2"/>
      <c r="B15" s="2"/>
      <c r="D15" s="2">
        <v>37</v>
      </c>
      <c r="E15" s="2">
        <v>730</v>
      </c>
      <c r="G15" s="2">
        <v>2.33</v>
      </c>
      <c r="H15" s="2" t="s">
        <v>87</v>
      </c>
    </row>
    <row r="16" spans="1:8">
      <c r="A16" s="2"/>
      <c r="B16" s="2"/>
      <c r="D16" s="2">
        <v>36</v>
      </c>
      <c r="E16" s="2">
        <v>720</v>
      </c>
      <c r="G16" s="2">
        <v>2.34</v>
      </c>
      <c r="H16" s="2" t="s">
        <v>88</v>
      </c>
    </row>
    <row r="17" spans="1:8">
      <c r="A17" s="2"/>
      <c r="B17" s="2"/>
      <c r="D17" s="2">
        <v>35</v>
      </c>
      <c r="E17" s="2">
        <v>710</v>
      </c>
      <c r="G17" s="2">
        <v>2.35</v>
      </c>
      <c r="H17" s="2" t="s">
        <v>89</v>
      </c>
    </row>
    <row r="18" spans="1:8">
      <c r="A18" s="2"/>
      <c r="B18" s="2"/>
      <c r="D18" s="2">
        <v>34</v>
      </c>
      <c r="E18" s="2">
        <v>700</v>
      </c>
      <c r="G18" s="2">
        <v>3</v>
      </c>
      <c r="H18" s="2" t="s">
        <v>28</v>
      </c>
    </row>
    <row r="19" spans="1:8">
      <c r="A19" s="2"/>
      <c r="B19" s="2"/>
      <c r="D19" s="2">
        <v>33</v>
      </c>
      <c r="E19" s="2">
        <v>690</v>
      </c>
      <c r="G19" s="2">
        <v>3.1</v>
      </c>
      <c r="H19" s="10" t="s">
        <v>90</v>
      </c>
    </row>
    <row r="20" spans="1:8">
      <c r="A20" s="2"/>
      <c r="B20" s="2"/>
      <c r="D20" s="2">
        <v>32</v>
      </c>
      <c r="E20" s="2">
        <v>680</v>
      </c>
      <c r="G20" s="2">
        <v>3.2</v>
      </c>
      <c r="H20" s="9" t="s">
        <v>91</v>
      </c>
    </row>
    <row r="21" spans="1:8">
      <c r="A21" s="2"/>
      <c r="B21" s="2"/>
      <c r="D21" s="2">
        <v>31</v>
      </c>
      <c r="E21" s="2">
        <v>670</v>
      </c>
      <c r="G21" s="2">
        <v>3.3</v>
      </c>
      <c r="H21" s="10" t="s">
        <v>92</v>
      </c>
    </row>
    <row r="22" spans="1:8">
      <c r="A22" s="2"/>
      <c r="B22" s="2"/>
      <c r="D22" s="2">
        <v>30</v>
      </c>
      <c r="E22" s="2">
        <v>660</v>
      </c>
      <c r="G22" s="2">
        <v>3.4</v>
      </c>
      <c r="H22" s="9" t="s">
        <v>29</v>
      </c>
    </row>
    <row r="23" spans="1:8">
      <c r="A23" s="2"/>
      <c r="B23" s="2"/>
      <c r="D23" s="2">
        <v>29</v>
      </c>
      <c r="E23" s="2">
        <v>650</v>
      </c>
      <c r="G23" s="2">
        <v>4</v>
      </c>
      <c r="H23" s="10" t="s">
        <v>93</v>
      </c>
    </row>
    <row r="24" spans="1:8">
      <c r="A24" s="2"/>
      <c r="B24" s="2"/>
      <c r="D24" s="2">
        <v>28</v>
      </c>
      <c r="E24" s="2">
        <v>640</v>
      </c>
      <c r="G24" s="2">
        <v>4.0999999999999996</v>
      </c>
      <c r="H24" s="9" t="s">
        <v>94</v>
      </c>
    </row>
    <row r="25" spans="1:8">
      <c r="A25" s="2"/>
      <c r="B25" s="2"/>
      <c r="D25" s="2">
        <v>27</v>
      </c>
      <c r="E25" s="2">
        <v>630</v>
      </c>
      <c r="G25" s="2">
        <v>4.2</v>
      </c>
      <c r="H25" s="10" t="s">
        <v>95</v>
      </c>
    </row>
    <row r="26" spans="1:8">
      <c r="A26" s="2"/>
      <c r="B26" s="2"/>
      <c r="D26" s="2">
        <v>26</v>
      </c>
      <c r="E26" s="2">
        <v>620</v>
      </c>
      <c r="G26" s="2">
        <v>5</v>
      </c>
      <c r="H26" s="9" t="s">
        <v>96</v>
      </c>
    </row>
    <row r="27" spans="1:8">
      <c r="A27" s="2"/>
      <c r="B27" s="2"/>
      <c r="D27" s="2">
        <v>25</v>
      </c>
      <c r="E27" s="2">
        <v>620</v>
      </c>
      <c r="G27" s="2">
        <v>5.0999999999999996</v>
      </c>
      <c r="H27" s="10" t="s">
        <v>97</v>
      </c>
    </row>
    <row r="28" spans="1:8">
      <c r="A28" s="2"/>
      <c r="B28" s="2"/>
      <c r="D28" s="2">
        <v>24</v>
      </c>
      <c r="E28" s="2">
        <v>610</v>
      </c>
      <c r="G28" s="2">
        <v>5.2</v>
      </c>
      <c r="H28" s="9" t="s">
        <v>98</v>
      </c>
    </row>
    <row r="29" spans="1:8">
      <c r="A29" s="2"/>
      <c r="B29" s="2"/>
      <c r="D29" s="2">
        <v>23</v>
      </c>
      <c r="E29" s="2">
        <v>610</v>
      </c>
      <c r="G29" s="2">
        <v>5.3</v>
      </c>
      <c r="H29" s="10" t="s">
        <v>99</v>
      </c>
    </row>
    <row r="30" spans="1:8">
      <c r="A30" s="2"/>
      <c r="B30" s="2"/>
      <c r="D30" s="2">
        <v>22</v>
      </c>
      <c r="E30" s="2">
        <v>600</v>
      </c>
      <c r="G30" s="2">
        <v>6</v>
      </c>
      <c r="H30" s="9" t="s">
        <v>100</v>
      </c>
    </row>
    <row r="31" spans="1:8">
      <c r="A31" s="2"/>
      <c r="B31" s="2"/>
      <c r="D31" s="2">
        <v>21</v>
      </c>
      <c r="E31" s="2">
        <v>600</v>
      </c>
      <c r="G31" s="2">
        <v>6.1</v>
      </c>
      <c r="H31" s="10" t="s">
        <v>101</v>
      </c>
    </row>
    <row r="32" spans="1:8">
      <c r="A32" s="2"/>
      <c r="B32" s="2"/>
      <c r="D32" s="2">
        <v>20</v>
      </c>
      <c r="E32" s="2">
        <v>590</v>
      </c>
      <c r="G32" s="2">
        <v>6.2</v>
      </c>
      <c r="H32" s="9" t="s">
        <v>102</v>
      </c>
    </row>
    <row r="33" spans="1:8">
      <c r="A33" s="2"/>
      <c r="B33" s="2"/>
      <c r="D33" s="2">
        <v>19</v>
      </c>
      <c r="E33" s="2">
        <v>580</v>
      </c>
      <c r="G33" s="2">
        <v>6.3</v>
      </c>
      <c r="H33" s="2" t="s">
        <v>103</v>
      </c>
    </row>
    <row r="34" spans="1:8">
      <c r="A34" s="2"/>
      <c r="B34" s="2"/>
      <c r="D34" s="2">
        <v>18</v>
      </c>
      <c r="E34" s="2">
        <v>570</v>
      </c>
      <c r="G34" s="2">
        <v>6.4</v>
      </c>
      <c r="H34" s="2" t="s">
        <v>104</v>
      </c>
    </row>
    <row r="35" spans="1:8">
      <c r="A35" s="2"/>
      <c r="B35" s="2"/>
      <c r="D35" s="2">
        <v>17</v>
      </c>
      <c r="E35" s="2">
        <v>560</v>
      </c>
      <c r="G35" s="2"/>
      <c r="H35" s="2"/>
    </row>
    <row r="36" spans="1:8">
      <c r="A36" s="2"/>
      <c r="B36" s="2"/>
      <c r="D36" s="2">
        <v>16</v>
      </c>
      <c r="E36" s="2">
        <v>550</v>
      </c>
      <c r="G36" s="2"/>
      <c r="H36" s="2"/>
    </row>
    <row r="37" spans="1:8">
      <c r="A37" s="2"/>
      <c r="B37" s="2"/>
      <c r="D37" s="2">
        <v>15</v>
      </c>
      <c r="E37" s="2">
        <v>540</v>
      </c>
      <c r="G37" s="2"/>
      <c r="H37" s="2"/>
    </row>
    <row r="38" spans="1:8">
      <c r="A38" s="2"/>
      <c r="B38" s="2"/>
      <c r="D38" s="2">
        <v>14</v>
      </c>
      <c r="E38" s="2">
        <v>530</v>
      </c>
      <c r="G38" s="2"/>
      <c r="H38" s="2"/>
    </row>
    <row r="39" spans="1:8">
      <c r="A39" s="2"/>
      <c r="B39" s="2"/>
      <c r="D39" s="2">
        <v>13</v>
      </c>
      <c r="E39" s="2">
        <v>520</v>
      </c>
      <c r="G39" s="2"/>
      <c r="H39" s="2"/>
    </row>
    <row r="40" spans="1:8">
      <c r="A40" s="2"/>
      <c r="B40" s="2"/>
      <c r="D40" s="2">
        <v>12</v>
      </c>
      <c r="E40" s="2">
        <v>510</v>
      </c>
      <c r="G40" s="2"/>
      <c r="H40" s="2"/>
    </row>
    <row r="41" spans="1:8">
      <c r="A41" s="2"/>
      <c r="B41" s="2"/>
      <c r="D41" s="2">
        <v>11</v>
      </c>
      <c r="E41" s="2">
        <v>500</v>
      </c>
      <c r="G41" s="2"/>
      <c r="H41" s="2"/>
    </row>
    <row r="42" spans="1:8">
      <c r="A42" s="2"/>
      <c r="B42" s="2"/>
      <c r="D42" s="2">
        <v>10</v>
      </c>
      <c r="E42" s="2">
        <v>490</v>
      </c>
      <c r="G42" s="2"/>
      <c r="H42" s="2"/>
    </row>
    <row r="43" spans="1:8">
      <c r="A43" s="2"/>
      <c r="B43" s="2"/>
      <c r="D43" s="2">
        <v>9</v>
      </c>
      <c r="E43" s="2">
        <v>480</v>
      </c>
      <c r="G43" s="2"/>
      <c r="H43" s="2"/>
    </row>
    <row r="44" spans="1:8">
      <c r="A44" s="2"/>
      <c r="B44" s="2"/>
      <c r="D44" s="2">
        <v>8</v>
      </c>
      <c r="E44" s="2">
        <v>470</v>
      </c>
      <c r="G44" s="2"/>
      <c r="H44" s="2"/>
    </row>
    <row r="45" spans="1:8">
      <c r="A45" s="2"/>
      <c r="B45" s="2"/>
      <c r="D45" s="2">
        <v>7</v>
      </c>
      <c r="E45" s="2">
        <v>450</v>
      </c>
      <c r="G45" s="2"/>
      <c r="H45" s="2"/>
    </row>
    <row r="46" spans="1:8">
      <c r="A46" s="2"/>
      <c r="B46" s="2"/>
      <c r="D46" s="2">
        <v>6</v>
      </c>
      <c r="E46" s="2">
        <v>440</v>
      </c>
      <c r="G46" s="2"/>
      <c r="H46" s="2"/>
    </row>
    <row r="47" spans="1:8">
      <c r="A47" s="2"/>
      <c r="B47" s="2"/>
      <c r="D47" s="2">
        <v>5</v>
      </c>
      <c r="E47" s="2">
        <v>430</v>
      </c>
      <c r="G47" s="2"/>
      <c r="H47" s="2"/>
    </row>
    <row r="48" spans="1:8">
      <c r="A48" s="2"/>
      <c r="B48" s="2"/>
      <c r="D48" s="2">
        <v>4</v>
      </c>
      <c r="E48" s="2">
        <v>420</v>
      </c>
      <c r="G48" s="2"/>
      <c r="H48" s="2"/>
    </row>
    <row r="49" spans="1:8">
      <c r="A49" s="2"/>
      <c r="B49" s="2"/>
      <c r="D49" s="2">
        <v>3</v>
      </c>
      <c r="E49" s="2">
        <v>410</v>
      </c>
      <c r="G49" s="2"/>
      <c r="H49" s="2"/>
    </row>
    <row r="50" spans="1:8">
      <c r="A50" s="2"/>
      <c r="B50" s="2"/>
      <c r="D50" s="2">
        <v>2</v>
      </c>
      <c r="E50" s="2">
        <v>400</v>
      </c>
      <c r="G50" s="2"/>
      <c r="H50" s="2"/>
    </row>
    <row r="51" spans="1:8">
      <c r="A51" s="2"/>
      <c r="B51" s="2"/>
      <c r="D51" s="2">
        <v>1</v>
      </c>
      <c r="E51" s="2">
        <v>390</v>
      </c>
      <c r="G51" s="2"/>
      <c r="H51" s="2"/>
    </row>
    <row r="52" spans="1:8">
      <c r="A52" s="2"/>
      <c r="B52" s="2"/>
      <c r="D52" s="2">
        <v>0</v>
      </c>
      <c r="E52" s="2">
        <v>380</v>
      </c>
      <c r="G52" s="2"/>
      <c r="H52" s="2"/>
    </row>
    <row r="53" spans="1:8">
      <c r="A53" s="2"/>
      <c r="B53" s="2"/>
      <c r="D53" s="2" t="s">
        <v>34</v>
      </c>
      <c r="E53" s="2">
        <v>370</v>
      </c>
      <c r="G53" s="2"/>
      <c r="H53" s="2"/>
    </row>
    <row r="54" spans="1:8">
      <c r="A54" s="2"/>
      <c r="B54" s="2"/>
      <c r="D54" s="2" t="s">
        <v>35</v>
      </c>
      <c r="E54" s="2">
        <v>360</v>
      </c>
      <c r="G54" s="2"/>
      <c r="H54" s="2"/>
    </row>
    <row r="55" spans="1:8">
      <c r="A55" s="2"/>
      <c r="B55" s="2"/>
      <c r="D55" s="2" t="s">
        <v>36</v>
      </c>
      <c r="E55" s="2">
        <v>350</v>
      </c>
      <c r="G55" s="2"/>
      <c r="H55" s="2"/>
    </row>
    <row r="56" spans="1:8">
      <c r="A56" s="2"/>
      <c r="B56" s="2"/>
      <c r="D56" s="2" t="s">
        <v>37</v>
      </c>
      <c r="E56" s="2">
        <v>340</v>
      </c>
      <c r="G56" s="2"/>
      <c r="H56" s="2"/>
    </row>
    <row r="57" spans="1:8">
      <c r="A57" s="2"/>
      <c r="B57" s="2"/>
      <c r="D57" s="2" t="s">
        <v>38</v>
      </c>
      <c r="E57" s="2">
        <v>330</v>
      </c>
      <c r="G57" s="2"/>
      <c r="H57" s="2"/>
    </row>
    <row r="58" spans="1:8">
      <c r="A58" s="2"/>
      <c r="B58" s="2"/>
      <c r="D58" s="2" t="s">
        <v>39</v>
      </c>
      <c r="E58" s="2">
        <v>320</v>
      </c>
      <c r="G58" s="2"/>
      <c r="H58" s="2"/>
    </row>
    <row r="59" spans="1:8">
      <c r="A59" s="2"/>
      <c r="B59" s="2"/>
      <c r="D59" s="2" t="s">
        <v>40</v>
      </c>
      <c r="E59" s="2">
        <v>310</v>
      </c>
      <c r="G59" s="2"/>
      <c r="H59" s="2"/>
    </row>
    <row r="60" spans="1:8">
      <c r="A60" s="2"/>
      <c r="B60" s="2"/>
      <c r="D60" s="2" t="s">
        <v>41</v>
      </c>
      <c r="E60" s="2">
        <v>300</v>
      </c>
      <c r="G60" s="2"/>
      <c r="H60" s="2"/>
    </row>
    <row r="61" spans="1:8">
      <c r="A61" s="2"/>
      <c r="B61" s="2"/>
      <c r="D61" s="2" t="s">
        <v>42</v>
      </c>
      <c r="E61" s="2">
        <v>300</v>
      </c>
      <c r="G61" s="2"/>
      <c r="H61" s="2"/>
    </row>
    <row r="62" spans="1:8">
      <c r="A62" s="2"/>
      <c r="B62" s="2"/>
      <c r="D62" s="2" t="s">
        <v>43</v>
      </c>
      <c r="E62" s="2">
        <v>290</v>
      </c>
      <c r="G62" s="2"/>
      <c r="H62" s="2"/>
    </row>
    <row r="63" spans="1:8">
      <c r="A63" s="2"/>
      <c r="B63" s="2"/>
      <c r="D63" s="2" t="s">
        <v>44</v>
      </c>
      <c r="E63" s="2">
        <v>290</v>
      </c>
      <c r="G63" s="2"/>
      <c r="H63" s="2"/>
    </row>
    <row r="64" spans="1:8">
      <c r="A64" s="2"/>
      <c r="B64" s="2"/>
      <c r="D64" s="2" t="s">
        <v>45</v>
      </c>
      <c r="E64" s="2">
        <v>280</v>
      </c>
      <c r="G64" s="2"/>
      <c r="H64" s="2"/>
    </row>
    <row r="65" spans="1:8">
      <c r="A65" s="2"/>
      <c r="B65" s="2"/>
      <c r="D65" s="2" t="s">
        <v>46</v>
      </c>
      <c r="E65" s="2">
        <v>280</v>
      </c>
      <c r="G65" s="2"/>
      <c r="H65" s="2"/>
    </row>
    <row r="66" spans="1:8">
      <c r="A66" s="2"/>
      <c r="B66" s="2"/>
      <c r="D66" s="2">
        <v>51</v>
      </c>
      <c r="E66" s="2">
        <v>800</v>
      </c>
      <c r="G66" s="2"/>
      <c r="H66" s="2"/>
    </row>
    <row r="67" spans="1:8">
      <c r="A67" s="2"/>
      <c r="B67" s="2"/>
      <c r="D67" s="2">
        <v>52</v>
      </c>
      <c r="E67" s="2">
        <v>800</v>
      </c>
      <c r="G67" s="2"/>
      <c r="H67" s="2"/>
    </row>
    <row r="68" spans="1:8">
      <c r="A68" s="2"/>
      <c r="B68" s="2"/>
      <c r="D68" s="2">
        <v>53</v>
      </c>
      <c r="E68" s="2">
        <v>800</v>
      </c>
      <c r="G68" s="2"/>
      <c r="H68" s="2"/>
    </row>
    <row r="69" spans="1:8">
      <c r="A69" s="2"/>
      <c r="B69" s="2"/>
      <c r="D69" s="2">
        <v>54</v>
      </c>
      <c r="E69" s="2">
        <v>800</v>
      </c>
    </row>
    <row r="70" spans="1:8">
      <c r="A70" s="2"/>
      <c r="B70" s="2"/>
      <c r="D70" s="2">
        <v>55</v>
      </c>
      <c r="E70" s="2">
        <v>800</v>
      </c>
    </row>
    <row r="71" spans="1:8">
      <c r="A71" s="2"/>
      <c r="B71" s="2"/>
      <c r="D71" s="2">
        <v>56</v>
      </c>
      <c r="E71" s="2">
        <v>800</v>
      </c>
    </row>
    <row r="72" spans="1:8">
      <c r="A72" s="2"/>
      <c r="B72" s="2"/>
      <c r="D72" s="2">
        <v>57</v>
      </c>
      <c r="E72" s="2">
        <v>800</v>
      </c>
    </row>
    <row r="73" spans="1:8">
      <c r="A73" s="2"/>
      <c r="B73" s="2"/>
      <c r="D73" s="2">
        <v>58</v>
      </c>
      <c r="E73" s="2">
        <v>800</v>
      </c>
    </row>
    <row r="74" spans="1:8">
      <c r="A74" s="2"/>
      <c r="B74" s="2"/>
      <c r="D74" s="2">
        <v>59</v>
      </c>
      <c r="E74" s="2">
        <v>800</v>
      </c>
    </row>
    <row r="75" spans="1:8">
      <c r="A75" s="2"/>
      <c r="B75" s="2"/>
      <c r="D75" s="2">
        <v>60</v>
      </c>
      <c r="E75" s="2">
        <v>800</v>
      </c>
    </row>
    <row r="100" spans="21:21">
      <c r="U100" t="e">
        <f>IF(INDEX(CatData!1:1048576,MATCH($Z100,CatData!A43:A81,0)+62,MATCH($P$4,CatData!$1:$1,0))="","-",INDEX(CatData!1:1048576,MATCH($Z100,CatData!A43:A81,0)+62,MATCH($P$4,CatData!$1:1,0)))</f>
        <v>#N/A</v>
      </c>
    </row>
  </sheetData>
  <sheetProtection algorithmName="SHA-512" hashValue="ih/baQaksB3VElWamtb7bbnNAyAidIoDoXHeL+qEYvmFBOTyfmZKKJlNI9WhLITkL/pP11Ryda+qYHi4SkqO9w==" saltValue="pWOyiBra1s78wAls1P+faQ==" spinCount="100000" sheet="1" objects="1" scenarios="1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StudentAnswers</vt:lpstr>
      <vt:lpstr>Report</vt:lpstr>
      <vt:lpstr>AllAns</vt:lpstr>
      <vt:lpstr>CatData</vt:lpstr>
      <vt:lpstr>AnswerKey</vt:lpstr>
      <vt:lpstr>Info</vt:lpstr>
      <vt:lpstr>Cat_All</vt:lpstr>
      <vt:lpstr>Cat_Data</vt:lpstr>
      <vt:lpstr>Cat_O</vt:lpstr>
      <vt:lpstr>S_Answers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Sang Cho Kim</dc:creator>
  <cp:lastModifiedBy>Sang Cho Kim</cp:lastModifiedBy>
  <cp:lastPrinted>2018-12-11T22:54:33Z</cp:lastPrinted>
  <dcterms:created xsi:type="dcterms:W3CDTF">2018-10-29T17:58:29Z</dcterms:created>
  <dcterms:modified xsi:type="dcterms:W3CDTF">2019-04-20T18:44:11Z</dcterms:modified>
</cp:coreProperties>
</file>