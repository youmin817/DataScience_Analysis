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e4442a8ea79421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5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juyounglee/Desktop/ACT Report 3/"/>
    </mc:Choice>
  </mc:AlternateContent>
  <xr:revisionPtr revIDLastSave="0" documentId="13_ncr:1_{E6294214-04F9-7844-A61C-1CCC85B192B1}" xr6:coauthVersionLast="43" xr6:coauthVersionMax="43" xr10:uidLastSave="{00000000-0000-0000-0000-000000000000}"/>
  <bookViews>
    <workbookView xWindow="4700" yWindow="3500" windowWidth="15900" windowHeight="15660" tabRatio="919" activeTab="1" xr2:uid="{00000000-000D-0000-FFFF-FFFF00000000}"/>
  </bookViews>
  <sheets>
    <sheet name="종합성적현황" sheetId="37" r:id="rId1"/>
    <sheet name="Sheet1" sheetId="42" r:id="rId2"/>
    <sheet name="과목성적분포도" sheetId="38" r:id="rId3"/>
    <sheet name="문항분석표" sheetId="39" r:id="rId4"/>
    <sheet name="유형분석표" sheetId="40" r:id="rId5"/>
    <sheet name="개인성적표" sheetId="41" r:id="rId6"/>
    <sheet name="%환산표" sheetId="32" r:id="rId7"/>
    <sheet name="Score환산표" sheetId="33" r:id="rId8"/>
    <sheet name="Combined" sheetId="34" r:id="rId9"/>
    <sheet name="유형구분표" sheetId="35" r:id="rId10"/>
    <sheet name="리스트" sheetId="10" state="veryHidden" r:id="rId11"/>
    <sheet name="Work_문항" sheetId="16" state="veryHidden" r:id="rId12"/>
    <sheet name="Work_P" sheetId="17" state="veryHidden" r:id="rId13"/>
    <sheet name="UpdateCheck" sheetId="11" state="veryHidden" r:id="rId14"/>
    <sheet name="T환산표" sheetId="28" state="veryHidden" r:id="rId15"/>
    <sheet name="Data" sheetId="2" state="veryHidden" r:id="rId16"/>
    <sheet name="TMPT" sheetId="3" state="veryHidden" r:id="rId17"/>
    <sheet name="정답" sheetId="13" state="veryHidden" r:id="rId18"/>
    <sheet name="DropDown" sheetId="14" state="veryHidden" r:id="rId19"/>
    <sheet name="SMART OMR" sheetId="15" r:id="rId20"/>
  </sheets>
  <definedNames>
    <definedName name="_xlnm._FilterDatabase" localSheetId="0" hidden="1">종합성적현황!$A$8:$AT$8</definedName>
    <definedName name="DropARange">OFFSET(리스트!$O$1,0,0,COUNTA(리스트!$O:I),1)</definedName>
    <definedName name="DropLstRange">OFFSET(DropDown!$A$1,0,0,COUNTA(DropDown!$A:$A)+1,1)</definedName>
    <definedName name="_xlnm.Print_Area" localSheetId="6">'%환산표'!$B$2:$J$40</definedName>
    <definedName name="_xlnm.Print_Area" localSheetId="5">개인성적표!$B$2:$AP$124</definedName>
    <definedName name="_xlnm.Print_Area" localSheetId="2">과목성적분포도!$B$2:$K$38</definedName>
    <definedName name="_xlnm.Print_Area" localSheetId="3">문항분석표!$B$2:$N$83</definedName>
    <definedName name="_xlnm.Print_Area" localSheetId="4">유형분석표!$B$2:$G$30</definedName>
    <definedName name="_xlnm.Print_Area" localSheetId="0">종합성적현황!$B$1:$Y$67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3" i="35" l="1"/>
  <c r="E22" i="35"/>
  <c r="E21" i="35"/>
  <c r="E20" i="35"/>
  <c r="E19" i="35"/>
  <c r="E18" i="35"/>
  <c r="E17" i="35"/>
  <c r="E16" i="35"/>
  <c r="E15" i="35"/>
  <c r="E14" i="35"/>
  <c r="E13" i="35"/>
  <c r="E12" i="35"/>
  <c r="E11" i="35"/>
  <c r="E10" i="35"/>
  <c r="E9" i="35"/>
  <c r="E8" i="35"/>
  <c r="E7" i="35"/>
  <c r="E6" i="35"/>
  <c r="E5" i="35"/>
  <c r="J145" i="39" l="1"/>
  <c r="I145" i="39"/>
  <c r="H145" i="39"/>
  <c r="G145" i="39"/>
  <c r="B145" i="39"/>
  <c r="J144" i="39"/>
  <c r="I144" i="39"/>
  <c r="H144" i="39"/>
  <c r="G144" i="39"/>
  <c r="B144" i="39"/>
  <c r="J143" i="39"/>
  <c r="I143" i="39"/>
  <c r="H143" i="39"/>
  <c r="G143" i="39"/>
  <c r="B143" i="39"/>
  <c r="J142" i="39"/>
  <c r="I142" i="39"/>
  <c r="H142" i="39"/>
  <c r="G142" i="39"/>
  <c r="B142" i="39"/>
  <c r="J141" i="39"/>
  <c r="I141" i="39"/>
  <c r="H141" i="39"/>
  <c r="G141" i="39"/>
  <c r="B141" i="39"/>
  <c r="J140" i="39"/>
  <c r="I140" i="39"/>
  <c r="H140" i="39"/>
  <c r="G140" i="39"/>
  <c r="B140" i="39"/>
  <c r="J139" i="39"/>
  <c r="I139" i="39"/>
  <c r="H139" i="39"/>
  <c r="G139" i="39"/>
  <c r="B139" i="39"/>
  <c r="J138" i="39"/>
  <c r="I138" i="39"/>
  <c r="H138" i="39"/>
  <c r="G138" i="39"/>
  <c r="B138" i="39"/>
  <c r="J137" i="39"/>
  <c r="I137" i="39"/>
  <c r="H137" i="39"/>
  <c r="G137" i="39"/>
  <c r="B137" i="39"/>
  <c r="J136" i="39"/>
  <c r="I136" i="39"/>
  <c r="H136" i="39"/>
  <c r="G136" i="39"/>
  <c r="B136" i="39"/>
  <c r="J135" i="39"/>
  <c r="I135" i="39"/>
  <c r="H135" i="39"/>
  <c r="G135" i="39"/>
  <c r="B135" i="39"/>
  <c r="J134" i="39"/>
  <c r="I134" i="39"/>
  <c r="H134" i="39"/>
  <c r="G134" i="39"/>
  <c r="B134" i="39"/>
  <c r="J133" i="39"/>
  <c r="I133" i="39"/>
  <c r="H133" i="39"/>
  <c r="G133" i="39"/>
  <c r="B133" i="39"/>
  <c r="J132" i="39"/>
  <c r="I132" i="39"/>
  <c r="H132" i="39"/>
  <c r="G132" i="39"/>
  <c r="B132" i="39"/>
  <c r="J131" i="39"/>
  <c r="I131" i="39"/>
  <c r="H131" i="39"/>
  <c r="G131" i="39"/>
  <c r="B131" i="39"/>
  <c r="J130" i="39"/>
  <c r="I130" i="39"/>
  <c r="H130" i="39"/>
  <c r="G130" i="39"/>
  <c r="B130" i="39"/>
  <c r="J129" i="39"/>
  <c r="I129" i="39"/>
  <c r="H129" i="39"/>
  <c r="G129" i="39"/>
  <c r="B129" i="39"/>
  <c r="J128" i="39"/>
  <c r="I128" i="39"/>
  <c r="H128" i="39"/>
  <c r="G128" i="39"/>
  <c r="B128" i="39"/>
  <c r="J127" i="39"/>
  <c r="I127" i="39"/>
  <c r="H127" i="39"/>
  <c r="G127" i="39"/>
  <c r="B127" i="39"/>
  <c r="J126" i="39"/>
  <c r="I126" i="39"/>
  <c r="H126" i="39"/>
  <c r="G126" i="39"/>
  <c r="B126" i="39"/>
  <c r="M4" i="39"/>
  <c r="D37" i="38"/>
  <c r="E34" i="38" s="1"/>
  <c r="D4" i="38"/>
  <c r="E11" i="38" l="1"/>
  <c r="E27" i="38"/>
  <c r="E14" i="38"/>
  <c r="E32" i="38"/>
  <c r="E17" i="38"/>
  <c r="E9" i="38"/>
  <c r="E21" i="38"/>
  <c r="E10" i="38"/>
  <c r="E15" i="38"/>
  <c r="E23" i="38"/>
  <c r="E33" i="38"/>
  <c r="E13" i="38"/>
  <c r="E18" i="38"/>
  <c r="E28" i="38"/>
  <c r="E19" i="38"/>
  <c r="E24" i="38"/>
  <c r="E29" i="38"/>
  <c r="E35" i="38"/>
  <c r="E12" i="38"/>
  <c r="E16" i="38"/>
  <c r="E20" i="38"/>
  <c r="E25" i="38"/>
  <c r="E31" i="38"/>
  <c r="E36" i="38"/>
  <c r="E22" i="38"/>
  <c r="E26" i="38"/>
  <c r="E30" i="38"/>
  <c r="E37" i="38" l="1"/>
</calcChain>
</file>

<file path=xl/sharedStrings.xml><?xml version="1.0" encoding="utf-8"?>
<sst xmlns="http://schemas.openxmlformats.org/spreadsheetml/2006/main" count="17393" uniqueCount="812">
  <si>
    <t>20</t>
  </si>
  <si>
    <t>16</t>
  </si>
  <si>
    <t>4</t>
  </si>
  <si>
    <t>ⓒSMART REPORT</t>
    <phoneticPr fontId="3" type="noConversion"/>
  </si>
  <si>
    <t>시험일자</t>
  </si>
  <si>
    <t>11</t>
  </si>
  <si>
    <t>시험일자</t>
    <phoneticPr fontId="4" type="noConversion"/>
  </si>
  <si>
    <t>전체응시인원</t>
    <phoneticPr fontId="4" type="noConversion"/>
  </si>
  <si>
    <t>최고점수</t>
    <phoneticPr fontId="4" type="noConversion"/>
  </si>
  <si>
    <t>전체평균</t>
    <phoneticPr fontId="4" type="noConversion"/>
  </si>
  <si>
    <t>최저점수</t>
    <phoneticPr fontId="4" type="noConversion"/>
  </si>
  <si>
    <t>인원수</t>
    <phoneticPr fontId="4" type="noConversion"/>
  </si>
  <si>
    <t>비율</t>
    <phoneticPr fontId="4" type="noConversion"/>
  </si>
  <si>
    <t>점수</t>
    <phoneticPr fontId="4" type="noConversion"/>
  </si>
  <si>
    <t>파일명</t>
    <phoneticPr fontId="3" type="noConversion"/>
  </si>
  <si>
    <t>경로명</t>
    <phoneticPr fontId="3" type="noConversion"/>
  </si>
  <si>
    <t>경로+파일</t>
    <phoneticPr fontId="3" type="noConversion"/>
  </si>
  <si>
    <t>회차</t>
  </si>
  <si>
    <t>파일명</t>
  </si>
  <si>
    <t>최종수정시간</t>
  </si>
  <si>
    <t>회차</t>
    <phoneticPr fontId="3" type="noConversion"/>
  </si>
  <si>
    <t>DB업로드시간</t>
    <phoneticPr fontId="3" type="noConversion"/>
  </si>
  <si>
    <t>변경구분</t>
  </si>
  <si>
    <t>1</t>
  </si>
  <si>
    <t>2</t>
  </si>
  <si>
    <t>3</t>
  </si>
  <si>
    <t>5</t>
  </si>
  <si>
    <t>6</t>
  </si>
  <si>
    <t>7</t>
  </si>
  <si>
    <t>8</t>
  </si>
  <si>
    <t>9</t>
  </si>
  <si>
    <t>10</t>
  </si>
  <si>
    <t>12</t>
  </si>
  <si>
    <t>13</t>
  </si>
  <si>
    <t>14</t>
  </si>
  <si>
    <t>15</t>
  </si>
  <si>
    <t>17</t>
  </si>
  <si>
    <t>18</t>
  </si>
  <si>
    <t>19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</si>
  <si>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</si>
  <si>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</si>
  <si>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</si>
  <si>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</si>
  <si>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</si>
  <si>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</si>
  <si>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</si>
  <si>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</si>
  <si>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</si>
  <si>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</si>
  <si>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</si>
  <si>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</si>
  <si>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</si>
  <si>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</si>
  <si>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</si>
  <si>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배점</t>
  </si>
  <si>
    <t>문항번호</t>
  </si>
  <si>
    <t>정답</t>
  </si>
  <si>
    <t>답지반응1</t>
  </si>
  <si>
    <t>답지반응2</t>
  </si>
  <si>
    <t>답지반응3</t>
  </si>
  <si>
    <t>답지반응4</t>
  </si>
  <si>
    <t>답지반응5</t>
  </si>
  <si>
    <t>정답률</t>
  </si>
  <si>
    <t>경로명</t>
  </si>
  <si>
    <t>경로+파일</t>
  </si>
  <si>
    <t>회차명</t>
  </si>
  <si>
    <t>36</t>
  </si>
  <si>
    <t>C</t>
  </si>
  <si>
    <t>E</t>
  </si>
  <si>
    <t>A</t>
  </si>
  <si>
    <t>B</t>
  </si>
  <si>
    <t>D</t>
  </si>
  <si>
    <t>과목명</t>
    <phoneticPr fontId="4" type="noConversion"/>
  </si>
  <si>
    <t>점 이상</t>
    <phoneticPr fontId="4" type="noConversion"/>
  </si>
  <si>
    <t>Score</t>
  </si>
  <si>
    <t>English</t>
  </si>
  <si>
    <t>Reading</t>
  </si>
  <si>
    <t>Science</t>
  </si>
  <si>
    <t>Composite</t>
  </si>
  <si>
    <t>G</t>
  </si>
  <si>
    <t>J</t>
  </si>
  <si>
    <t>F</t>
  </si>
  <si>
    <t>Rhetorical Skills</t>
  </si>
  <si>
    <t>H</t>
  </si>
  <si>
    <t>K</t>
  </si>
  <si>
    <t>Combined English / Writing Scale Scores</t>
  </si>
  <si>
    <t>English Test Score</t>
  </si>
  <si>
    <t>Writing Test Subscore</t>
  </si>
  <si>
    <t>Composite Score</t>
  </si>
  <si>
    <t>과목</t>
  </si>
  <si>
    <t>유형구분</t>
  </si>
  <si>
    <t>National Distributions of Cumulation Percent for ACT Test Scores</t>
    <phoneticPr fontId="3" type="noConversion"/>
  </si>
  <si>
    <t>Combined English/Writing</t>
    <phoneticPr fontId="3" type="noConversion"/>
  </si>
  <si>
    <t>Writing</t>
    <phoneticPr fontId="3" type="noConversion"/>
  </si>
  <si>
    <t>36</t>
    <phoneticPr fontId="3" type="noConversion"/>
  </si>
  <si>
    <t>99</t>
    <phoneticPr fontId="3" type="noConversion"/>
  </si>
  <si>
    <t>35</t>
    <phoneticPr fontId="3" type="noConversion"/>
  </si>
  <si>
    <t>34</t>
    <phoneticPr fontId="3" type="noConversion"/>
  </si>
  <si>
    <t>98</t>
    <phoneticPr fontId="3" type="noConversion"/>
  </si>
  <si>
    <t>33</t>
    <phoneticPr fontId="3" type="noConversion"/>
  </si>
  <si>
    <t>97</t>
    <phoneticPr fontId="3" type="noConversion"/>
  </si>
  <si>
    <t>32</t>
    <phoneticPr fontId="3" type="noConversion"/>
  </si>
  <si>
    <t>96</t>
    <phoneticPr fontId="3" type="noConversion"/>
  </si>
  <si>
    <t>95</t>
    <phoneticPr fontId="3" type="noConversion"/>
  </si>
  <si>
    <t>31</t>
    <phoneticPr fontId="3" type="noConversion"/>
  </si>
  <si>
    <t>94</t>
    <phoneticPr fontId="3" type="noConversion"/>
  </si>
  <si>
    <t>93</t>
    <phoneticPr fontId="3" type="noConversion"/>
  </si>
  <si>
    <t>30</t>
    <phoneticPr fontId="3" type="noConversion"/>
  </si>
  <si>
    <t>92</t>
    <phoneticPr fontId="3" type="noConversion"/>
  </si>
  <si>
    <t>91</t>
    <phoneticPr fontId="3" type="noConversion"/>
  </si>
  <si>
    <t>29</t>
    <phoneticPr fontId="3" type="noConversion"/>
  </si>
  <si>
    <t>90</t>
    <phoneticPr fontId="3" type="noConversion"/>
  </si>
  <si>
    <t>88</t>
    <phoneticPr fontId="3" type="noConversion"/>
  </si>
  <si>
    <t>28</t>
    <phoneticPr fontId="3" type="noConversion"/>
  </si>
  <si>
    <t>85</t>
    <phoneticPr fontId="3" type="noConversion"/>
  </si>
  <si>
    <t>27</t>
    <phoneticPr fontId="3" type="noConversion"/>
  </si>
  <si>
    <t>81</t>
    <phoneticPr fontId="3" type="noConversion"/>
  </si>
  <si>
    <t>87</t>
    <phoneticPr fontId="3" type="noConversion"/>
  </si>
  <si>
    <t>26</t>
    <phoneticPr fontId="3" type="noConversion"/>
  </si>
  <si>
    <t>82</t>
    <phoneticPr fontId="3" type="noConversion"/>
  </si>
  <si>
    <t>84</t>
    <phoneticPr fontId="3" type="noConversion"/>
  </si>
  <si>
    <t>78</t>
    <phoneticPr fontId="3" type="noConversion"/>
  </si>
  <si>
    <t>25</t>
    <phoneticPr fontId="3" type="noConversion"/>
  </si>
  <si>
    <t>79</t>
    <phoneticPr fontId="3" type="noConversion"/>
  </si>
  <si>
    <t>74</t>
    <phoneticPr fontId="3" type="noConversion"/>
  </si>
  <si>
    <t>80</t>
    <phoneticPr fontId="3" type="noConversion"/>
  </si>
  <si>
    <t>24</t>
    <phoneticPr fontId="3" type="noConversion"/>
  </si>
  <si>
    <t>73</t>
    <phoneticPr fontId="3" type="noConversion"/>
  </si>
  <si>
    <t>70</t>
    <phoneticPr fontId="3" type="noConversion"/>
  </si>
  <si>
    <t>77</t>
    <phoneticPr fontId="3" type="noConversion"/>
  </si>
  <si>
    <t>23</t>
    <phoneticPr fontId="3" type="noConversion"/>
  </si>
  <si>
    <t>68</t>
    <phoneticPr fontId="3" type="noConversion"/>
  </si>
  <si>
    <t>67</t>
    <phoneticPr fontId="3" type="noConversion"/>
  </si>
  <si>
    <t>66</t>
    <phoneticPr fontId="3" type="noConversion"/>
  </si>
  <si>
    <t>71</t>
    <phoneticPr fontId="3" type="noConversion"/>
  </si>
  <si>
    <t>69</t>
    <phoneticPr fontId="3" type="noConversion"/>
  </si>
  <si>
    <t>22</t>
    <phoneticPr fontId="3" type="noConversion"/>
  </si>
  <si>
    <t>63</t>
    <phoneticPr fontId="3" type="noConversion"/>
  </si>
  <si>
    <t>61</t>
    <phoneticPr fontId="3" type="noConversion"/>
  </si>
  <si>
    <t>60</t>
    <phoneticPr fontId="3" type="noConversion"/>
  </si>
  <si>
    <t>64</t>
    <phoneticPr fontId="3" type="noConversion"/>
  </si>
  <si>
    <t>62</t>
    <phoneticPr fontId="3" type="noConversion"/>
  </si>
  <si>
    <t>21</t>
    <phoneticPr fontId="3" type="noConversion"/>
  </si>
  <si>
    <t>57</t>
    <phoneticPr fontId="3" type="noConversion"/>
  </si>
  <si>
    <t>55</t>
    <phoneticPr fontId="3" type="noConversion"/>
  </si>
  <si>
    <t>54</t>
    <phoneticPr fontId="3" type="noConversion"/>
  </si>
  <si>
    <t>56</t>
    <phoneticPr fontId="3" type="noConversion"/>
  </si>
  <si>
    <t>20</t>
    <phoneticPr fontId="3" type="noConversion"/>
  </si>
  <si>
    <t>50</t>
    <phoneticPr fontId="3" type="noConversion"/>
  </si>
  <si>
    <t>51</t>
    <phoneticPr fontId="3" type="noConversion"/>
  </si>
  <si>
    <t>48</t>
    <phoneticPr fontId="3" type="noConversion"/>
  </si>
  <si>
    <t>46</t>
    <phoneticPr fontId="3" type="noConversion"/>
  </si>
  <si>
    <t>19</t>
    <phoneticPr fontId="3" type="noConversion"/>
  </si>
  <si>
    <t>43</t>
    <phoneticPr fontId="3" type="noConversion"/>
  </si>
  <si>
    <t>41</t>
    <phoneticPr fontId="3" type="noConversion"/>
  </si>
  <si>
    <t>38</t>
    <phoneticPr fontId="3" type="noConversion"/>
  </si>
  <si>
    <t>40</t>
    <phoneticPr fontId="3" type="noConversion"/>
  </si>
  <si>
    <t>18</t>
    <phoneticPr fontId="3" type="noConversion"/>
  </si>
  <si>
    <t>17</t>
    <phoneticPr fontId="3" type="noConversion"/>
  </si>
  <si>
    <t>16</t>
    <phoneticPr fontId="3" type="noConversion"/>
  </si>
  <si>
    <t>15</t>
    <phoneticPr fontId="3" type="noConversion"/>
  </si>
  <si>
    <t>14</t>
    <phoneticPr fontId="3" type="noConversion"/>
  </si>
  <si>
    <t>05</t>
    <phoneticPr fontId="3" type="noConversion"/>
  </si>
  <si>
    <t>10</t>
    <phoneticPr fontId="3" type="noConversion"/>
  </si>
  <si>
    <t>13</t>
    <phoneticPr fontId="3" type="noConversion"/>
  </si>
  <si>
    <t>02</t>
    <phoneticPr fontId="3" type="noConversion"/>
  </si>
  <si>
    <t>07</t>
    <phoneticPr fontId="3" type="noConversion"/>
  </si>
  <si>
    <t>06</t>
    <phoneticPr fontId="3" type="noConversion"/>
  </si>
  <si>
    <t>12</t>
    <phoneticPr fontId="3" type="noConversion"/>
  </si>
  <si>
    <t>01</t>
    <phoneticPr fontId="3" type="noConversion"/>
  </si>
  <si>
    <t>75</t>
    <phoneticPr fontId="3" type="noConversion"/>
  </si>
  <si>
    <t>03</t>
    <phoneticPr fontId="3" type="noConversion"/>
  </si>
  <si>
    <t>11</t>
    <phoneticPr fontId="3" type="noConversion"/>
  </si>
  <si>
    <t>09</t>
    <phoneticPr fontId="3" type="noConversion"/>
  </si>
  <si>
    <t>49</t>
    <phoneticPr fontId="3" type="noConversion"/>
  </si>
  <si>
    <t>52</t>
    <phoneticPr fontId="3" type="noConversion"/>
  </si>
  <si>
    <t>9</t>
    <phoneticPr fontId="3" type="noConversion"/>
  </si>
  <si>
    <t>04</t>
    <phoneticPr fontId="3" type="noConversion"/>
  </si>
  <si>
    <t>37</t>
    <phoneticPr fontId="3" type="noConversion"/>
  </si>
  <si>
    <t>39</t>
    <phoneticPr fontId="3" type="noConversion"/>
  </si>
  <si>
    <t>8</t>
    <phoneticPr fontId="3" type="noConversion"/>
  </si>
  <si>
    <t>7</t>
    <phoneticPr fontId="3" type="noConversion"/>
  </si>
  <si>
    <t>6</t>
    <phoneticPr fontId="3" type="noConversion"/>
  </si>
  <si>
    <t>5</t>
    <phoneticPr fontId="3" type="noConversion"/>
  </si>
  <si>
    <t>4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</si>
  <si>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</si>
  <si>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</si>
  <si>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</si>
  <si>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Scale Score Conversion Table</t>
    <phoneticPr fontId="3" type="noConversion"/>
  </si>
  <si>
    <t>Scale
Score</t>
    <phoneticPr fontId="3" type="noConversion"/>
  </si>
  <si>
    <t>Raw Scores</t>
    <phoneticPr fontId="3" type="noConversion"/>
  </si>
  <si>
    <t>39-40</t>
    <phoneticPr fontId="3" type="noConversion"/>
  </si>
  <si>
    <t>58-59</t>
    <phoneticPr fontId="3" type="noConversion"/>
  </si>
  <si>
    <t>-</t>
    <phoneticPr fontId="3" type="noConversion"/>
  </si>
  <si>
    <t>72</t>
    <phoneticPr fontId="3" type="noConversion"/>
  </si>
  <si>
    <t>53-54</t>
    <phoneticPr fontId="3" type="noConversion"/>
  </si>
  <si>
    <t>67-68</t>
    <phoneticPr fontId="3" type="noConversion"/>
  </si>
  <si>
    <t>50-51</t>
    <phoneticPr fontId="3" type="noConversion"/>
  </si>
  <si>
    <t>48-49</t>
    <phoneticPr fontId="3" type="noConversion"/>
  </si>
  <si>
    <t>64-65</t>
    <phoneticPr fontId="3" type="noConversion"/>
  </si>
  <si>
    <t>46-47</t>
    <phoneticPr fontId="3" type="noConversion"/>
  </si>
  <si>
    <t>33-34</t>
    <phoneticPr fontId="3" type="noConversion"/>
  </si>
  <si>
    <t>44-45</t>
    <phoneticPr fontId="3" type="noConversion"/>
  </si>
  <si>
    <t>28-29</t>
    <phoneticPr fontId="3" type="noConversion"/>
  </si>
  <si>
    <t>61-62</t>
    <phoneticPr fontId="3" type="noConversion"/>
  </si>
  <si>
    <t>41-43</t>
    <phoneticPr fontId="3" type="noConversion"/>
  </si>
  <si>
    <t>30-31</t>
    <phoneticPr fontId="3" type="noConversion"/>
  </si>
  <si>
    <t>59-60</t>
    <phoneticPr fontId="3" type="noConversion"/>
  </si>
  <si>
    <t>57-58</t>
    <phoneticPr fontId="3" type="noConversion"/>
  </si>
  <si>
    <t>37-38</t>
    <phoneticPr fontId="3" type="noConversion"/>
  </si>
  <si>
    <t>27-28</t>
    <phoneticPr fontId="3" type="noConversion"/>
  </si>
  <si>
    <t>54-56</t>
    <phoneticPr fontId="3" type="noConversion"/>
  </si>
  <si>
    <t>35-36</t>
    <phoneticPr fontId="3" type="noConversion"/>
  </si>
  <si>
    <t>23-24</t>
    <phoneticPr fontId="3" type="noConversion"/>
  </si>
  <si>
    <t>52-53</t>
    <phoneticPr fontId="3" type="noConversion"/>
  </si>
  <si>
    <t>24-25</t>
    <phoneticPr fontId="3" type="noConversion"/>
  </si>
  <si>
    <t>49-51</t>
    <phoneticPr fontId="3" type="noConversion"/>
  </si>
  <si>
    <t>30-32</t>
    <phoneticPr fontId="3" type="noConversion"/>
  </si>
  <si>
    <t>22-23</t>
    <phoneticPr fontId="3" type="noConversion"/>
  </si>
  <si>
    <t>46-48</t>
    <phoneticPr fontId="3" type="noConversion"/>
  </si>
  <si>
    <t>27-29</t>
    <phoneticPr fontId="3" type="noConversion"/>
  </si>
  <si>
    <t>43-45</t>
    <phoneticPr fontId="3" type="noConversion"/>
  </si>
  <si>
    <t>24-26</t>
    <phoneticPr fontId="3" type="noConversion"/>
  </si>
  <si>
    <t>18-20</t>
    <phoneticPr fontId="3" type="noConversion"/>
  </si>
  <si>
    <t>40-42</t>
    <phoneticPr fontId="3" type="noConversion"/>
  </si>
  <si>
    <t>20-23</t>
    <phoneticPr fontId="3" type="noConversion"/>
  </si>
  <si>
    <t>38-39</t>
    <phoneticPr fontId="3" type="noConversion"/>
  </si>
  <si>
    <t>17-19</t>
    <phoneticPr fontId="3" type="noConversion"/>
  </si>
  <si>
    <t>15-16</t>
    <phoneticPr fontId="3" type="noConversion"/>
  </si>
  <si>
    <t>35-37</t>
    <phoneticPr fontId="3" type="noConversion"/>
  </si>
  <si>
    <t>14-16</t>
    <phoneticPr fontId="3" type="noConversion"/>
  </si>
  <si>
    <t>12-13</t>
    <phoneticPr fontId="3" type="noConversion"/>
  </si>
  <si>
    <t>31-32</t>
    <phoneticPr fontId="3" type="noConversion"/>
  </si>
  <si>
    <t>9-11</t>
    <phoneticPr fontId="3" type="noConversion"/>
  </si>
  <si>
    <t>29-30</t>
    <phoneticPr fontId="3" type="noConversion"/>
  </si>
  <si>
    <t>26-28</t>
    <phoneticPr fontId="3" type="noConversion"/>
  </si>
  <si>
    <t>6-7</t>
    <phoneticPr fontId="3" type="noConversion"/>
  </si>
  <si>
    <t>8-9</t>
    <phoneticPr fontId="3" type="noConversion"/>
  </si>
  <si>
    <t>21-23</t>
    <phoneticPr fontId="3" type="noConversion"/>
  </si>
  <si>
    <t>17-20</t>
    <phoneticPr fontId="3" type="noConversion"/>
  </si>
  <si>
    <t>11-13</t>
    <phoneticPr fontId="3" type="noConversion"/>
  </si>
  <si>
    <t>9-10</t>
    <phoneticPr fontId="3" type="noConversion"/>
  </si>
  <si>
    <t>6-8</t>
    <phoneticPr fontId="3" type="noConversion"/>
  </si>
  <si>
    <t>3-4</t>
    <phoneticPr fontId="3" type="noConversion"/>
  </si>
  <si>
    <t>0-2</t>
    <phoneticPr fontId="3" type="noConversion"/>
  </si>
  <si>
    <t>0</t>
    <phoneticPr fontId="3" type="noConversion"/>
  </si>
  <si>
    <t>Combined English / Writing Scale Scores</t>
    <phoneticPr fontId="3" type="noConversion"/>
  </si>
  <si>
    <t>English Test Score</t>
    <phoneticPr fontId="3" type="noConversion"/>
  </si>
  <si>
    <t>Writing Test Subscore</t>
    <phoneticPr fontId="3" type="noConversion"/>
  </si>
  <si>
    <t>Intermediate Algebra/Coordinate Geometry</t>
    <phoneticPr fontId="3" type="noConversion"/>
  </si>
  <si>
    <t>Humanities</t>
    <phoneticPr fontId="3" type="noConversion"/>
  </si>
  <si>
    <t>Section</t>
    <phoneticPr fontId="3" type="noConversion"/>
  </si>
  <si>
    <t>R/A</t>
    <phoneticPr fontId="3" type="noConversion"/>
  </si>
  <si>
    <t>W/A</t>
    <phoneticPr fontId="3" type="noConversion"/>
  </si>
  <si>
    <t>%</t>
    <phoneticPr fontId="3" type="noConversion"/>
  </si>
  <si>
    <t>Natural Sciences</t>
    <phoneticPr fontId="3" type="noConversion"/>
  </si>
  <si>
    <t>Usage/Mechanics</t>
  </si>
  <si>
    <t>Pre-Algebra/Elementary Algebra</t>
  </si>
  <si>
    <t>Intermediate Algebra/Coordinate Geometry</t>
  </si>
  <si>
    <t>Humanities</t>
  </si>
  <si>
    <t>응시인원</t>
    <phoneticPr fontId="3" type="noConversion"/>
  </si>
  <si>
    <t>전체평균</t>
    <phoneticPr fontId="3" type="noConversion"/>
  </si>
  <si>
    <t>문항수</t>
    <phoneticPr fontId="3" type="noConversion"/>
  </si>
  <si>
    <t>Name</t>
    <phoneticPr fontId="3" type="noConversion"/>
  </si>
  <si>
    <t>Composite Score</t>
    <phoneticPr fontId="3" type="noConversion"/>
  </si>
  <si>
    <t>N/A</t>
    <phoneticPr fontId="3" type="noConversion"/>
  </si>
  <si>
    <t>문항 분석표</t>
    <phoneticPr fontId="3" type="noConversion"/>
  </si>
  <si>
    <t>시험일자</t>
    <phoneticPr fontId="3" type="noConversion"/>
  </si>
  <si>
    <t>과목명</t>
    <phoneticPr fontId="3" type="noConversion"/>
  </si>
  <si>
    <t>No.</t>
    <phoneticPr fontId="4" type="noConversion"/>
  </si>
  <si>
    <t>Detail Section</t>
    <phoneticPr fontId="4" type="noConversion"/>
  </si>
  <si>
    <t>Answer</t>
    <phoneticPr fontId="4" type="noConversion"/>
  </si>
  <si>
    <t>최다오답
선택지</t>
    <phoneticPr fontId="4" type="noConversion"/>
  </si>
  <si>
    <t>답지반응률(%)</t>
    <phoneticPr fontId="4" type="noConversion"/>
  </si>
  <si>
    <t>정답률
(%)</t>
    <phoneticPr fontId="4" type="noConversion"/>
  </si>
  <si>
    <t>A,F</t>
    <phoneticPr fontId="3" type="noConversion"/>
  </si>
  <si>
    <t>B,G</t>
    <phoneticPr fontId="3" type="noConversion"/>
  </si>
  <si>
    <t>C,H</t>
    <phoneticPr fontId="3" type="noConversion"/>
  </si>
  <si>
    <t>D,J</t>
    <phoneticPr fontId="3" type="noConversion"/>
  </si>
  <si>
    <t>E,K</t>
    <phoneticPr fontId="3" type="noConversion"/>
  </si>
  <si>
    <t>Sentence Structure</t>
  </si>
  <si>
    <t>Strategy</t>
  </si>
  <si>
    <t>Organization</t>
  </si>
  <si>
    <t>Style</t>
  </si>
  <si>
    <t>Plane Geometry/Trigonometry</t>
  </si>
  <si>
    <t>Social Studies</t>
  </si>
  <si>
    <t>Natural Sciences</t>
  </si>
  <si>
    <t>유형구분표</t>
    <phoneticPr fontId="3" type="noConversion"/>
  </si>
  <si>
    <t>유형구분</t>
    <phoneticPr fontId="3" type="noConversion"/>
  </si>
  <si>
    <t>Usage/Mechanics</t>
    <phoneticPr fontId="3" type="noConversion"/>
  </si>
  <si>
    <t>Punctuation</t>
    <phoneticPr fontId="3" type="noConversion"/>
  </si>
  <si>
    <t>Rhetorical Skills</t>
    <phoneticPr fontId="3" type="noConversion"/>
  </si>
  <si>
    <t>Pre-Algebra/Elementary Algebra</t>
    <phoneticPr fontId="3" type="noConversion"/>
  </si>
  <si>
    <t>종류구분</t>
  </si>
  <si>
    <t>No. of Questions</t>
    <phoneticPr fontId="3" type="noConversion"/>
  </si>
  <si>
    <t>Average</t>
    <phoneticPr fontId="3" type="noConversion"/>
  </si>
  <si>
    <t>인증됨 : 2015-07-22 오후 1:30:14</t>
    <phoneticPr fontId="3" type="noConversion"/>
  </si>
  <si>
    <t>종합성적현황</t>
    <phoneticPr fontId="3" type="noConversion"/>
  </si>
  <si>
    <t>회차</t>
    <phoneticPr fontId="3" type="noConversion"/>
  </si>
  <si>
    <t>학생정보</t>
    <phoneticPr fontId="3" type="noConversion"/>
  </si>
  <si>
    <t>Score</t>
    <phoneticPr fontId="3" type="noConversion"/>
  </si>
  <si>
    <t>ID</t>
    <phoneticPr fontId="3" type="noConversion"/>
  </si>
  <si>
    <t>TEST No.</t>
    <phoneticPr fontId="3" type="noConversion"/>
  </si>
  <si>
    <t>Date</t>
    <phoneticPr fontId="3" type="noConversion"/>
  </si>
  <si>
    <t>Essay
Score</t>
    <phoneticPr fontId="3" type="noConversion"/>
  </si>
  <si>
    <t>Math</t>
  </si>
  <si>
    <t>COMBINED English WRITING</t>
  </si>
  <si>
    <t>Composite
Cumulation Percent(%)</t>
    <phoneticPr fontId="3" type="noConversion"/>
  </si>
  <si>
    <t>R/A</t>
    <phoneticPr fontId="3" type="noConversion"/>
  </si>
  <si>
    <t>R/A</t>
    <phoneticPr fontId="3" type="noConversion"/>
  </si>
  <si>
    <t>N/A</t>
    <phoneticPr fontId="3" type="noConversion"/>
  </si>
  <si>
    <t>N/A</t>
    <phoneticPr fontId="3" type="noConversion"/>
  </si>
  <si>
    <t>성적분포도</t>
    <phoneticPr fontId="3" type="noConversion"/>
  </si>
  <si>
    <t>점</t>
    <phoneticPr fontId="4" type="noConversion"/>
  </si>
  <si>
    <t>점 이상</t>
    <phoneticPr fontId="4" type="noConversion"/>
  </si>
  <si>
    <t>합계</t>
    <phoneticPr fontId="4" type="noConversion"/>
  </si>
  <si>
    <t>ⓒSMART REPORT</t>
    <phoneticPr fontId="3" type="noConversion"/>
  </si>
  <si>
    <t>유형분석표</t>
    <phoneticPr fontId="3" type="noConversion"/>
  </si>
  <si>
    <t>TEST No.</t>
    <phoneticPr fontId="3" type="noConversion"/>
  </si>
  <si>
    <t>과목</t>
    <phoneticPr fontId="3" type="noConversion"/>
  </si>
  <si>
    <t>대분류</t>
    <phoneticPr fontId="3" type="noConversion"/>
  </si>
  <si>
    <t>중분류</t>
    <phoneticPr fontId="3" type="noConversion"/>
  </si>
  <si>
    <t>English</t>
    <phoneticPr fontId="3" type="noConversion"/>
  </si>
  <si>
    <t>Punctuation</t>
    <phoneticPr fontId="3" type="noConversion"/>
  </si>
  <si>
    <t>Grammar/Usage</t>
    <phoneticPr fontId="3" type="noConversion"/>
  </si>
  <si>
    <t>Sentence Structure</t>
    <phoneticPr fontId="3" type="noConversion"/>
  </si>
  <si>
    <t>Strategy</t>
    <phoneticPr fontId="3" type="noConversion"/>
  </si>
  <si>
    <t>Organization</t>
    <phoneticPr fontId="3" type="noConversion"/>
  </si>
  <si>
    <t>Style</t>
    <phoneticPr fontId="3" type="noConversion"/>
  </si>
  <si>
    <t>Total</t>
    <phoneticPr fontId="3" type="noConversion"/>
  </si>
  <si>
    <t>Pre-Algebra</t>
    <phoneticPr fontId="3" type="noConversion"/>
  </si>
  <si>
    <t>Elementary Algebra</t>
    <phoneticPr fontId="3" type="noConversion"/>
  </si>
  <si>
    <t>Intermediate Algebra</t>
    <phoneticPr fontId="3" type="noConversion"/>
  </si>
  <si>
    <t>Coordinate Geometry</t>
    <phoneticPr fontId="3" type="noConversion"/>
  </si>
  <si>
    <t>Plane Geometry/Trigonometry</t>
    <phoneticPr fontId="3" type="noConversion"/>
  </si>
  <si>
    <t>Plane Geometry/Trigonometry</t>
    <phoneticPr fontId="3" type="noConversion"/>
  </si>
  <si>
    <t>Plane Geometry</t>
    <phoneticPr fontId="3" type="noConversion"/>
  </si>
  <si>
    <t>Trignometry</t>
    <phoneticPr fontId="3" type="noConversion"/>
  </si>
  <si>
    <t>Reading</t>
    <phoneticPr fontId="3" type="noConversion"/>
  </si>
  <si>
    <t>Reading</t>
    <phoneticPr fontId="3" type="noConversion"/>
  </si>
  <si>
    <t>Social Studies/Sciences</t>
    <phoneticPr fontId="3" type="noConversion"/>
  </si>
  <si>
    <t>Social Studies</t>
    <phoneticPr fontId="3" type="noConversion"/>
  </si>
  <si>
    <t>Arts/Literature</t>
    <phoneticPr fontId="3" type="noConversion"/>
  </si>
  <si>
    <t>Literary Narrative/Prose Fiction</t>
    <phoneticPr fontId="3" type="noConversion"/>
  </si>
  <si>
    <t>Science</t>
    <phoneticPr fontId="3" type="noConversion"/>
  </si>
  <si>
    <t>Data Representation</t>
    <phoneticPr fontId="3" type="noConversion"/>
  </si>
  <si>
    <t>Research Summaries</t>
    <phoneticPr fontId="3" type="noConversion"/>
  </si>
  <si>
    <t>Conflicting Viewpoints</t>
    <phoneticPr fontId="3" type="noConversion"/>
  </si>
  <si>
    <t>ACT TEST Score Analysis Report</t>
  </si>
  <si>
    <t>Name</t>
    <phoneticPr fontId="0" type="noConversion"/>
  </si>
  <si>
    <t>ID</t>
    <phoneticPr fontId="0" type="noConversion"/>
  </si>
  <si>
    <t>Date</t>
    <phoneticPr fontId="0" type="noConversion"/>
  </si>
  <si>
    <t>Test No.</t>
    <phoneticPr fontId="0" type="noConversion"/>
  </si>
  <si>
    <t>Prev. Test No.</t>
    <phoneticPr fontId="3" type="noConversion"/>
  </si>
  <si>
    <t xml:space="preserve"> Section</t>
    <phoneticPr fontId="0" type="noConversion"/>
  </si>
  <si>
    <t>R/A</t>
    <phoneticPr fontId="0" type="noConversion"/>
  </si>
  <si>
    <t>W/A</t>
    <phoneticPr fontId="0" type="noConversion"/>
  </si>
  <si>
    <t>Math</t>
    <phoneticPr fontId="0" type="noConversion"/>
  </si>
  <si>
    <t>Composite Score</t>
    <phoneticPr fontId="3" type="noConversion"/>
  </si>
  <si>
    <t>Essay</t>
    <phoneticPr fontId="0" type="noConversion"/>
  </si>
  <si>
    <t xml:space="preserve">   *Previous Test shows previous percentiles and differences</t>
  </si>
  <si>
    <t>Section</t>
    <phoneticPr fontId="0" type="noConversion"/>
  </si>
  <si>
    <t>Detailed Section</t>
    <phoneticPr fontId="0" type="noConversion"/>
  </si>
  <si>
    <t>Current test</t>
    <phoneticPr fontId="0" type="noConversion"/>
  </si>
  <si>
    <t>Previous Test</t>
  </si>
  <si>
    <t>Cumulative Results</t>
    <phoneticPr fontId="0" type="noConversion"/>
  </si>
  <si>
    <t>Detailed Section</t>
    <phoneticPr fontId="0" type="noConversion"/>
  </si>
  <si>
    <t>Current test</t>
    <phoneticPr fontId="0" type="noConversion"/>
  </si>
  <si>
    <t>Cumulative Results</t>
    <phoneticPr fontId="0" type="noConversion"/>
  </si>
  <si>
    <t># of Q.</t>
    <phoneticPr fontId="0" type="noConversion"/>
  </si>
  <si>
    <t>R/A</t>
  </si>
  <si>
    <t>Percent.
(%)</t>
    <phoneticPr fontId="0" type="noConversion"/>
  </si>
  <si>
    <t>Differ.</t>
    <phoneticPr fontId="0" type="noConversion"/>
  </si>
  <si>
    <t>Punctuation</t>
  </si>
  <si>
    <t>Pre-Algebra</t>
  </si>
  <si>
    <t>Grammar/Usage</t>
  </si>
  <si>
    <t>Elementary Algebra</t>
  </si>
  <si>
    <t>Intermediate Algebra</t>
  </si>
  <si>
    <t>Coordinate Geometry</t>
    <phoneticPr fontId="3" type="noConversion"/>
  </si>
  <si>
    <t>Plane Geometry</t>
  </si>
  <si>
    <t>Trignometry</t>
  </si>
  <si>
    <t>Total</t>
    <phoneticPr fontId="0" type="noConversion"/>
  </si>
  <si>
    <t>Total</t>
    <phoneticPr fontId="0" type="noConversion"/>
  </si>
  <si>
    <t>Total</t>
    <phoneticPr fontId="0" type="noConversion"/>
  </si>
  <si>
    <t>Section</t>
    <phoneticPr fontId="0" type="noConversion"/>
  </si>
  <si>
    <t>Detailed Section</t>
    <phoneticPr fontId="0" type="noConversion"/>
  </si>
  <si>
    <t>Current test</t>
    <phoneticPr fontId="0" type="noConversion"/>
  </si>
  <si>
    <t>Cumulative Results</t>
    <phoneticPr fontId="0" type="noConversion"/>
  </si>
  <si>
    <t>Detailed Section</t>
    <phoneticPr fontId="0" type="noConversion"/>
  </si>
  <si>
    <t>Current test</t>
    <phoneticPr fontId="0" type="noConversion"/>
  </si>
  <si>
    <t>Cumulative Results</t>
    <phoneticPr fontId="0" type="noConversion"/>
  </si>
  <si>
    <t># of Q.</t>
    <phoneticPr fontId="0" type="noConversion"/>
  </si>
  <si>
    <t>Percent.
(%)</t>
    <phoneticPr fontId="0" type="noConversion"/>
  </si>
  <si>
    <t># of Q.</t>
    <phoneticPr fontId="0" type="noConversion"/>
  </si>
  <si>
    <t>Percent.
(%)</t>
    <phoneticPr fontId="0" type="noConversion"/>
  </si>
  <si>
    <t>Social Studies/Sciences</t>
  </si>
  <si>
    <t>Data Representation</t>
  </si>
  <si>
    <t>Research Summaries</t>
  </si>
  <si>
    <t>Conflicting Viewpoints</t>
  </si>
  <si>
    <t>Arts/Literature</t>
  </si>
  <si>
    <t>Literary Narrative/Prose Fiction</t>
  </si>
  <si>
    <t>Total</t>
    <phoneticPr fontId="0" type="noConversion"/>
  </si>
  <si>
    <t>ACT Test Score Detailed History</t>
  </si>
  <si>
    <t>Name</t>
    <phoneticPr fontId="0" type="noConversion"/>
  </si>
  <si>
    <t>ID</t>
    <phoneticPr fontId="0" type="noConversion"/>
  </si>
  <si>
    <t>Date</t>
    <phoneticPr fontId="0" type="noConversion"/>
  </si>
  <si>
    <t>Test No.</t>
    <phoneticPr fontId="0" type="noConversion"/>
  </si>
  <si>
    <t>Prev. Test No.</t>
    <phoneticPr fontId="3" type="noConversion"/>
  </si>
  <si>
    <t>Test No.</t>
    <phoneticPr fontId="3" type="noConversion"/>
  </si>
  <si>
    <t>Test Date</t>
  </si>
  <si>
    <t>English</t>
    <phoneticPr fontId="3" type="noConversion"/>
  </si>
  <si>
    <t>Usage/Mechanics</t>
    <phoneticPr fontId="3" type="noConversion"/>
  </si>
  <si>
    <t>40/</t>
  </si>
  <si>
    <t>35/</t>
  </si>
  <si>
    <t>Raw English</t>
  </si>
  <si>
    <t>75/</t>
  </si>
  <si>
    <t>Scaled English</t>
    <phoneticPr fontId="3" type="noConversion"/>
  </si>
  <si>
    <t>36/</t>
  </si>
  <si>
    <t>Math</t>
    <phoneticPr fontId="3" type="noConversion"/>
  </si>
  <si>
    <t>24/</t>
  </si>
  <si>
    <t>18/</t>
  </si>
  <si>
    <t>Raw Math</t>
  </si>
  <si>
    <t>60/</t>
  </si>
  <si>
    <t>Scaled Math</t>
    <phoneticPr fontId="3" type="noConversion"/>
  </si>
  <si>
    <t>20/</t>
  </si>
  <si>
    <t>Raw Reading</t>
  </si>
  <si>
    <t>Scaled Reading</t>
    <phoneticPr fontId="3" type="noConversion"/>
  </si>
  <si>
    <t>15/</t>
  </si>
  <si>
    <t>7/</t>
  </si>
  <si>
    <t>Raw Science</t>
  </si>
  <si>
    <t>Scaled Science</t>
    <phoneticPr fontId="3" type="noConversion"/>
  </si>
  <si>
    <t>Raw Total</t>
  </si>
  <si>
    <t>215/</t>
  </si>
  <si>
    <t>Scaled Average</t>
    <phoneticPr fontId="3" type="noConversion"/>
  </si>
  <si>
    <t>Essay Score</t>
  </si>
  <si>
    <t>Usage/Mechanics - Punctuation</t>
  </si>
  <si>
    <t>Usage/Mechanics - Grammar/Usage</t>
  </si>
  <si>
    <t>Usage/Mechanics - Sentence Structure</t>
  </si>
  <si>
    <t>Rhetorical Skills - Strategy</t>
  </si>
  <si>
    <t>Rhetorical Skills - Organization</t>
  </si>
  <si>
    <t>Rhetorical Skills - Style</t>
  </si>
  <si>
    <t>Pre-Algebra/Elementary Algebra - Pre-Algebra</t>
  </si>
  <si>
    <t>Pre-Algebra/Elementary Algebra - Elementary Algebra</t>
  </si>
  <si>
    <t>Intermediate Algebra/Coordinate Geometry - Intermediate Algebra</t>
  </si>
  <si>
    <t>Intermediate Algebra/Coordinate Geometry - Coordinate Geometry</t>
  </si>
  <si>
    <t>Plane Geometry/Trigonometry - Plane Geometry</t>
  </si>
  <si>
    <t>Plane Geometry/Trigonometry - Trignometry</t>
  </si>
  <si>
    <t>Social Studies/Sciences - Social Studies</t>
  </si>
  <si>
    <t>Social Studies/Sciences - Natural Sciences</t>
  </si>
  <si>
    <t>Arts/Literature - Literary Narrative/Prose Fiction</t>
  </si>
  <si>
    <t>Arts/Literature - Humanities</t>
  </si>
  <si>
    <t>Conflicting Viewpoints - Conflicting Viewpoints</t>
  </si>
  <si>
    <t>Coordinate Geometry</t>
  </si>
  <si>
    <t xml:space="preserve">Data Representation </t>
  </si>
  <si>
    <t xml:space="preserve">Research Summaries </t>
  </si>
  <si>
    <r>
      <rPr>
        <b/>
        <sz val="10"/>
        <color theme="0"/>
        <rFont val="나눔고딕"/>
        <family val="3"/>
        <charset val="129"/>
      </rPr>
      <t>■</t>
    </r>
    <r>
      <rPr>
        <b/>
        <sz val="10"/>
        <color theme="0"/>
        <rFont val="Arial"/>
        <family val="2"/>
      </rPr>
      <t xml:space="preserve"> Score Analysis</t>
    </r>
    <phoneticPr fontId="0" type="noConversion"/>
  </si>
  <si>
    <r>
      <rPr>
        <sz val="8"/>
        <color theme="0" tint="-0.249977111117893"/>
        <rFont val="나눔고딕"/>
        <family val="3"/>
        <charset val="129"/>
      </rPr>
      <t>최근</t>
    </r>
    <r>
      <rPr>
        <sz val="8"/>
        <color theme="0" tint="-0.249977111117893"/>
        <rFont val="Arial"/>
        <family val="2"/>
      </rPr>
      <t>10</t>
    </r>
    <r>
      <rPr>
        <sz val="8"/>
        <color theme="0" tint="-0.249977111117893"/>
        <rFont val="나눔고딕"/>
        <family val="3"/>
        <charset val="129"/>
      </rPr>
      <t>회</t>
    </r>
  </si>
  <si>
    <r>
      <rPr>
        <sz val="8"/>
        <color theme="0" tint="-0.499984740745262"/>
        <rFont val="나눔고딕"/>
        <family val="3"/>
        <charset val="129"/>
      </rPr>
      <t>♣</t>
    </r>
    <r>
      <rPr>
        <sz val="8"/>
        <color theme="0" tint="-0.499984740745262"/>
        <rFont val="Arial"/>
        <family val="2"/>
      </rPr>
      <t xml:space="preserve"> R/A : number of Right Answers </t>
    </r>
    <r>
      <rPr>
        <sz val="8"/>
        <color theme="0" tint="-0.499984740745262"/>
        <rFont val="나눔고딕"/>
        <family val="3"/>
        <charset val="129"/>
      </rPr>
      <t>♣</t>
    </r>
    <r>
      <rPr>
        <sz val="8"/>
        <color theme="0" tint="-0.499984740745262"/>
        <rFont val="Arial"/>
        <family val="2"/>
      </rPr>
      <t xml:space="preserve"> W/A : number of Wrong Answers</t>
    </r>
  </si>
  <si>
    <r>
      <rPr>
        <b/>
        <sz val="10"/>
        <color theme="0"/>
        <rFont val="나눔고딕"/>
        <family val="3"/>
        <charset val="129"/>
      </rPr>
      <t>■</t>
    </r>
    <r>
      <rPr>
        <b/>
        <sz val="10"/>
        <color theme="0"/>
        <rFont val="Arial"/>
        <family val="2"/>
      </rPr>
      <t xml:space="preserve"> Detailed Section Analysis</t>
    </r>
    <phoneticPr fontId="0" type="noConversion"/>
  </si>
  <si>
    <r>
      <rPr>
        <sz val="10"/>
        <color theme="0" tint="-0.499984740745262"/>
        <rFont val="맑은 고딕"/>
        <family val="2"/>
        <charset val="129"/>
      </rPr>
      <t>ⓒ</t>
    </r>
    <r>
      <rPr>
        <sz val="10"/>
        <color theme="0" tint="-0.499984740745262"/>
        <rFont val="Arial"/>
        <family val="2"/>
      </rPr>
      <t>SMART REPORT</t>
    </r>
    <phoneticPr fontId="3" type="noConversion"/>
  </si>
  <si>
    <t>ⓒSMART REPORT</t>
    <phoneticPr fontId="3" type="noConversion"/>
  </si>
  <si>
    <t>■ Item Analysis</t>
    <phoneticPr fontId="3" type="noConversion"/>
  </si>
  <si>
    <t>ENGLISH</t>
  </si>
  <si>
    <t>No.</t>
    <phoneticPr fontId="3" type="noConversion"/>
  </si>
  <si>
    <t>Answer</t>
    <phoneticPr fontId="3" type="noConversion"/>
  </si>
  <si>
    <t>Student</t>
    <phoneticPr fontId="3" type="noConversion"/>
  </si>
  <si>
    <t>O/X</t>
  </si>
  <si>
    <t>%</t>
  </si>
  <si>
    <t>READING</t>
  </si>
  <si>
    <t>SCIENCE</t>
  </si>
  <si>
    <t>Essay
Score</t>
  </si>
  <si>
    <t>■ Item Analysis</t>
    <phoneticPr fontId="3" type="noConversion"/>
  </si>
  <si>
    <t>ACT Test Item Analysis</t>
    <phoneticPr fontId="3" type="noConversion"/>
  </si>
  <si>
    <t>최다오답선택지</t>
  </si>
  <si>
    <t>O</t>
  </si>
  <si>
    <t>X</t>
  </si>
  <si>
    <t>Data Representation - Data Representation</t>
  </si>
  <si>
    <t>Research Summaries - Research Summaries</t>
  </si>
  <si>
    <t>Percentile
Rank (%)</t>
  </si>
  <si>
    <t>MATHEMATICS</t>
  </si>
  <si>
    <t>Student DB.xlsx</t>
  </si>
  <si>
    <t>Prestige ACT Data.xlsx</t>
  </si>
  <si>
    <t>\</t>
  </si>
  <si>
    <t>\Student DB.xlsx</t>
  </si>
  <si>
    <t>Data</t>
  </si>
  <si>
    <t xml:space="preserve">Data Representation - Data Representation </t>
  </si>
  <si>
    <t xml:space="preserve">Research Summaries - Research Summaries </t>
  </si>
  <si>
    <t>A,C</t>
  </si>
  <si>
    <t>A,B</t>
  </si>
  <si>
    <t>B,D</t>
  </si>
  <si>
    <t>A,D</t>
  </si>
  <si>
    <t>B,C</t>
  </si>
  <si>
    <t>350</t>
  </si>
  <si>
    <t>132</t>
  </si>
  <si>
    <t>Chris Lee (132)</t>
  </si>
  <si>
    <t>Chris Lee</t>
  </si>
  <si>
    <t>Hyeonseok Kim (350)</t>
  </si>
  <si>
    <t>Hyeonseok Kim</t>
  </si>
  <si>
    <t>Prestige ACT 정답 R26.xlsx</t>
  </si>
  <si>
    <t>환산표 R26.xlsx</t>
  </si>
  <si>
    <t>\07-01-2019\</t>
  </si>
  <si>
    <t>\07-01-2019\Prestige ACT Data.xlsx</t>
  </si>
  <si>
    <t>\07-01-2019\Prestige ACT 정답 R26.xlsx</t>
  </si>
  <si>
    <t>\07-01-2019\환산표 R26.xlsx</t>
  </si>
  <si>
    <t>943</t>
  </si>
  <si>
    <t>976</t>
  </si>
  <si>
    <t>913</t>
  </si>
  <si>
    <t>939</t>
  </si>
  <si>
    <t>959</t>
  </si>
  <si>
    <t>845</t>
  </si>
  <si>
    <t>578</t>
  </si>
  <si>
    <t>925</t>
  </si>
  <si>
    <t>891</t>
  </si>
  <si>
    <t>890</t>
  </si>
  <si>
    <t>2019-07-01</t>
  </si>
  <si>
    <t>406</t>
  </si>
  <si>
    <t>Prestige ACT 정답 R37.xlsx</t>
  </si>
  <si>
    <t>환산표 R37.xlsx</t>
  </si>
  <si>
    <t>\07-02-2019\</t>
  </si>
  <si>
    <t>\07-02-2019\Prestige ACT Data.xlsx</t>
  </si>
  <si>
    <t>\07-02-2019\Prestige ACT 정답 R37.xlsx</t>
  </si>
  <si>
    <t>\07-02-2019\환산표 R37.xlsx</t>
  </si>
  <si>
    <t>2019-07-02</t>
  </si>
  <si>
    <t>Prestige ACT 정답 R35.xlsx</t>
  </si>
  <si>
    <t>환산표 R35.xlsx</t>
  </si>
  <si>
    <t>\07-03-2019\</t>
  </si>
  <si>
    <t>\07-03-2019\Prestige ACT Data.xlsx</t>
  </si>
  <si>
    <t>\07-03-2019\Prestige ACT 정답 R35.xlsx</t>
  </si>
  <si>
    <t>\07-03-2019\환산표 R35.xlsx</t>
  </si>
  <si>
    <t>2019-07-03</t>
  </si>
  <si>
    <t>851</t>
  </si>
  <si>
    <t>Prestige ACT 정답 R03.xlsx</t>
  </si>
  <si>
    <t>환산표 R03.xlsx</t>
  </si>
  <si>
    <t>\07-05-2019\</t>
  </si>
  <si>
    <t>\07-05-2019\Prestige ACT Data.xlsx</t>
  </si>
  <si>
    <t>\07-05-2019\Prestige ACT 정답 R03.xlsx</t>
  </si>
  <si>
    <t>\07-05-2019\환산표 R03.xlsx</t>
  </si>
  <si>
    <t>2019-07-05</t>
  </si>
  <si>
    <t>Andrew Lee  (851)</t>
  </si>
  <si>
    <t xml:space="preserve">Andrew Lee </t>
  </si>
  <si>
    <t>Avery Park  (976)</t>
  </si>
  <si>
    <t xml:space="preserve">Avery Park </t>
  </si>
  <si>
    <t>Chloe Nam  (939)</t>
  </si>
  <si>
    <t xml:space="preserve">Chloe Nam </t>
  </si>
  <si>
    <t>Christopher Lee (959)</t>
  </si>
  <si>
    <t>Christopher Lee</t>
  </si>
  <si>
    <t>Elizabeth Choi (406)</t>
  </si>
  <si>
    <t>Elizabeth Choi</t>
  </si>
  <si>
    <t>Erin Yang (913)</t>
  </si>
  <si>
    <t>Erin Yang</t>
  </si>
  <si>
    <t>Hyewon Chung  (891)</t>
  </si>
  <si>
    <t xml:space="preserve">Hyewon Chung </t>
  </si>
  <si>
    <t>Lauren Yu  (578)</t>
  </si>
  <si>
    <t xml:space="preserve">Lauren Yu </t>
  </si>
  <si>
    <t>Sufiyan Garja (943)</t>
  </si>
  <si>
    <t>Sufiyan Garja</t>
  </si>
  <si>
    <t>Trinity Keh  (890)</t>
  </si>
  <si>
    <t xml:space="preserve">Trinity Keh </t>
  </si>
  <si>
    <t>Valeria Villanueva Ruiz (845)</t>
  </si>
  <si>
    <t>Valeria Villanueva Ruiz</t>
  </si>
  <si>
    <t>Yejin Park  (925)</t>
  </si>
  <si>
    <t xml:space="preserve">Yejin Park </t>
  </si>
  <si>
    <t>0 점</t>
  </si>
  <si>
    <t>응시인원</t>
  </si>
  <si>
    <t>Prestige ACT 정답 R29.xlsx</t>
  </si>
  <si>
    <t>환산표 R29.xlsx</t>
  </si>
  <si>
    <t>\07-06-2019\</t>
  </si>
  <si>
    <t>\07-06-2019\Prestige ACT Data.xlsx</t>
  </si>
  <si>
    <t>\07-06-2019\Prestige ACT 정답 R29.xlsx</t>
  </si>
  <si>
    <t>\07-06-2019\환산표 R29.xlsx</t>
  </si>
  <si>
    <t>2019-07-06</t>
  </si>
  <si>
    <t>852</t>
  </si>
  <si>
    <t>972</t>
  </si>
  <si>
    <t>555</t>
  </si>
  <si>
    <t>254</t>
  </si>
  <si>
    <t>Prestige ACT 정답 R32.xlsx</t>
  </si>
  <si>
    <t>환산표 R32.xlsx</t>
  </si>
  <si>
    <t>\07-08-2019\</t>
  </si>
  <si>
    <t>\07-08-2019\Prestige ACT Data.xlsx</t>
  </si>
  <si>
    <t>\07-08-2019\Prestige ACT 정답 R32.xlsx</t>
  </si>
  <si>
    <t>\07-08-2019\환산표 R32.xlsx</t>
  </si>
  <si>
    <t>165</t>
  </si>
  <si>
    <t>908</t>
  </si>
  <si>
    <t>2019-07-08</t>
  </si>
  <si>
    <t>Prestige ACT 정답 R49.xlsx</t>
  </si>
  <si>
    <t>환산표.xlsx</t>
  </si>
  <si>
    <t>\07-09-2019\</t>
  </si>
  <si>
    <t>\07-09-2019\Prestige ACT Data.xlsx</t>
  </si>
  <si>
    <t>\07-09-2019\Prestige ACT 정답 R49.xlsx</t>
  </si>
  <si>
    <t>\07-09-2019\환산표.xlsx</t>
  </si>
  <si>
    <t>2019-07-09</t>
  </si>
  <si>
    <t>581</t>
  </si>
  <si>
    <t>Prestige ACT 정답 R24.xlsx</t>
  </si>
  <si>
    <t>환산표 R24.xlsx</t>
  </si>
  <si>
    <t>\07-10-2019\</t>
  </si>
  <si>
    <t>\07-10-2019\Prestige ACT Data.xlsx</t>
  </si>
  <si>
    <t>\07-10-2019\Prestige ACT 정답 R24.xlsx</t>
  </si>
  <si>
    <t>\07-10-2019\환산표 R24.xlsx</t>
  </si>
  <si>
    <t>982</t>
  </si>
  <si>
    <t>2019-07-10</t>
  </si>
  <si>
    <t>Alexi Lee (972)</t>
  </si>
  <si>
    <t>Alexi Lee</t>
  </si>
  <si>
    <t>Andy Jon  (555)</t>
  </si>
  <si>
    <t xml:space="preserve">Andy Jon </t>
  </si>
  <si>
    <t>Christian Lee (165)</t>
  </si>
  <si>
    <t>Christian Lee</t>
  </si>
  <si>
    <t>Konner Paik  (982)</t>
  </si>
  <si>
    <t xml:space="preserve">Konner Paik </t>
  </si>
  <si>
    <t>Laura Park (254)</t>
  </si>
  <si>
    <t>Laura Park</t>
  </si>
  <si>
    <t>Lauren Ng (852)</t>
  </si>
  <si>
    <t>Lauren Ng</t>
  </si>
  <si>
    <t>Michelle Beon  (581)</t>
  </si>
  <si>
    <t xml:space="preserve">Michelle Beon </t>
  </si>
  <si>
    <t>Rachel Yook (908)</t>
  </si>
  <si>
    <t>Rachel Yook</t>
  </si>
  <si>
    <t>35 점</t>
  </si>
  <si>
    <t>19 점</t>
  </si>
  <si>
    <t>C,D</t>
  </si>
  <si>
    <t>A,B,D</t>
  </si>
  <si>
    <t>918</t>
  </si>
  <si>
    <t>Prestige ACT 정답 R57.xlsx</t>
  </si>
  <si>
    <t>환산표 R57.xlsx</t>
  </si>
  <si>
    <t>\07-11-2019\</t>
  </si>
  <si>
    <t>\07-11-2019\Prestige ACT Data.xlsx</t>
  </si>
  <si>
    <t>\07-11-2019\Prestige ACT 정답 R57.xlsx</t>
  </si>
  <si>
    <t>\07-11-2019\환산표 R57.xlsx</t>
  </si>
  <si>
    <t>2019-07-11</t>
  </si>
  <si>
    <t>변경</t>
  </si>
  <si>
    <t>Prestige ACT 정답 R21.xlsx</t>
  </si>
  <si>
    <t>환산표 R21.xlsx</t>
  </si>
  <si>
    <t>\07-12-2019\</t>
  </si>
  <si>
    <t>\07-12-2019\Prestige ACT Data.xlsx</t>
  </si>
  <si>
    <t>\07-12-2019\Prestige ACT 정답 R21.xlsx</t>
  </si>
  <si>
    <t>\07-12-2019\환산표 R21.xlsx</t>
  </si>
  <si>
    <t>717</t>
  </si>
  <si>
    <t>2019-07-12</t>
  </si>
  <si>
    <t>071519</t>
  </si>
  <si>
    <t>Prestige ACT 정답 R13.xlsx</t>
  </si>
  <si>
    <t>환산표 R13.xlsx</t>
  </si>
  <si>
    <t>\07-15-2019\</t>
  </si>
  <si>
    <t>\07-15-2019\Prestige ACT Data.xlsx</t>
  </si>
  <si>
    <t>\07-15-2019\Prestige ACT 정답 R13.xlsx</t>
  </si>
  <si>
    <t>\07-15-2019\환산표 R13.xlsx</t>
  </si>
  <si>
    <t>924</t>
  </si>
  <si>
    <t>984</t>
  </si>
  <si>
    <t>936</t>
  </si>
  <si>
    <t>985</t>
  </si>
  <si>
    <t>2019-07-15</t>
  </si>
  <si>
    <t>R13</t>
  </si>
  <si>
    <t>Christian Lee (924)</t>
  </si>
  <si>
    <t>Eric Choi (984)</t>
  </si>
  <si>
    <t>Eric Choi</t>
  </si>
  <si>
    <t>Jasmine Lim (936)</t>
  </si>
  <si>
    <t>Jasmine Lim</t>
  </si>
  <si>
    <t>June Lee (918)</t>
  </si>
  <si>
    <t>June Lee</t>
  </si>
  <si>
    <t>Keonho Roh  (717)</t>
  </si>
  <si>
    <t xml:space="preserve">Keonho Roh </t>
  </si>
  <si>
    <t>Oliver Park (985)</t>
  </si>
  <si>
    <t>Oliver Park</t>
  </si>
  <si>
    <t>G,H</t>
  </si>
  <si>
    <t>A,C,E</t>
  </si>
  <si>
    <t>817</t>
  </si>
  <si>
    <t>Elizabeth Her (817)</t>
  </si>
  <si>
    <t>Elizabeth Her</t>
  </si>
  <si>
    <t>897</t>
  </si>
  <si>
    <t>8029</t>
  </si>
  <si>
    <t>8010</t>
  </si>
  <si>
    <t>8025</t>
  </si>
  <si>
    <t>8041</t>
  </si>
  <si>
    <t>8046</t>
  </si>
  <si>
    <t>8050</t>
  </si>
  <si>
    <t>8006</t>
  </si>
  <si>
    <t>8013</t>
  </si>
  <si>
    <t>8034</t>
  </si>
  <si>
    <t>8009</t>
  </si>
  <si>
    <t>3127</t>
  </si>
  <si>
    <t>561</t>
  </si>
  <si>
    <t>3069</t>
  </si>
  <si>
    <t>3059</t>
  </si>
  <si>
    <t>3138</t>
  </si>
  <si>
    <t>3056</t>
  </si>
  <si>
    <t>3068</t>
  </si>
  <si>
    <t>3047</t>
  </si>
  <si>
    <t>779</t>
  </si>
  <si>
    <t>6025</t>
  </si>
  <si>
    <t>6050</t>
  </si>
  <si>
    <t>6047</t>
  </si>
  <si>
    <t>3067</t>
  </si>
  <si>
    <t>Aditya Rajesh  (6050)</t>
  </si>
  <si>
    <t xml:space="preserve">Aditya Rajesh </t>
  </si>
  <si>
    <t>Aleena Bang (8029)</t>
  </si>
  <si>
    <t>Aleena Bang</t>
  </si>
  <si>
    <t>Brian Hyun  (8013)</t>
  </si>
  <si>
    <t xml:space="preserve">Brian Hyun </t>
  </si>
  <si>
    <t>Chloe Sohn  (8010)</t>
  </si>
  <si>
    <t xml:space="preserve">Chloe Sohn </t>
  </si>
  <si>
    <t>Cloudia Kim  (696)</t>
  </si>
  <si>
    <t xml:space="preserve">Cloudia Kim </t>
  </si>
  <si>
    <t>696</t>
  </si>
  <si>
    <t>Daniel Hwang  (3027)</t>
  </si>
  <si>
    <t xml:space="preserve">Daniel Hwang </t>
  </si>
  <si>
    <t>3027</t>
  </si>
  <si>
    <t>Daniel Kim  (3107)</t>
  </si>
  <si>
    <t xml:space="preserve">Daniel Kim </t>
  </si>
  <si>
    <t>3107</t>
  </si>
  <si>
    <t>Daniel Lim  (3069)</t>
  </si>
  <si>
    <t xml:space="preserve">Daniel Lim </t>
  </si>
  <si>
    <t>David Kwon (3068)</t>
  </si>
  <si>
    <t>David Kwon</t>
  </si>
  <si>
    <t>Emily im  (8025)</t>
  </si>
  <si>
    <t xml:space="preserve">Emily im </t>
  </si>
  <si>
    <t>Ereka Lin  (3127)</t>
  </si>
  <si>
    <t xml:space="preserve">Ereka Lin </t>
  </si>
  <si>
    <t>Eunice Park  (8034)</t>
  </si>
  <si>
    <t xml:space="preserve">Eunice Park </t>
  </si>
  <si>
    <t>Gabriel Song  (8050)</t>
  </si>
  <si>
    <t xml:space="preserve">Gabriel Song </t>
  </si>
  <si>
    <t>Howard Haughton  (3056)</t>
  </si>
  <si>
    <t xml:space="preserve">Howard Haughton </t>
  </si>
  <si>
    <t>Isabella Choi (561)</t>
  </si>
  <si>
    <t>Isabella Choi</t>
  </si>
  <si>
    <t>Jieun Oh  (3138)</t>
  </si>
  <si>
    <t xml:space="preserve">Jieun Oh </t>
  </si>
  <si>
    <t>Jonathan Jeong (8002)</t>
  </si>
  <si>
    <t>Jonathan Jeong</t>
  </si>
  <si>
    <t>8002</t>
  </si>
  <si>
    <t>Joseph Lee (6047)</t>
  </si>
  <si>
    <t>Joseph Lee</t>
  </si>
  <si>
    <t>Joyce Choi  (8009)</t>
  </si>
  <si>
    <t xml:space="preserve">Joyce Choi </t>
  </si>
  <si>
    <t>Justin Hwang  (3067)</t>
  </si>
  <si>
    <t xml:space="preserve">Justin Hwang </t>
  </si>
  <si>
    <t>Lindsay Lee  (8022)</t>
  </si>
  <si>
    <t xml:space="preserve">Lindsay Lee </t>
  </si>
  <si>
    <t>8022</t>
  </si>
  <si>
    <t>Michelle Choi (779)</t>
  </si>
  <si>
    <t>Michelle Choi</t>
  </si>
  <si>
    <t>Nick Suh (6025)</t>
  </si>
  <si>
    <t>Nick Suh</t>
  </si>
  <si>
    <t>Steven Lee (8041)</t>
  </si>
  <si>
    <t>Steven Lee</t>
  </si>
  <si>
    <t>Suhyun Kwon (3047)</t>
  </si>
  <si>
    <t>Suhyun Kwon</t>
  </si>
  <si>
    <t>Thomas Chun  (897)</t>
  </si>
  <si>
    <t xml:space="preserve">Thomas Chun </t>
  </si>
  <si>
    <t>Trystan Ng (3059)</t>
  </si>
  <si>
    <t>Trystan Ng</t>
  </si>
  <si>
    <t>Wonjoon Chang  (8006)</t>
  </si>
  <si>
    <t xml:space="preserve">Wonjoon Chang </t>
  </si>
  <si>
    <t>Yin Zheng (8046)</t>
  </si>
  <si>
    <t>Yin Zheng</t>
  </si>
  <si>
    <t>58 명</t>
  </si>
  <si>
    <t>30 점</t>
  </si>
  <si>
    <t>A,C,D</t>
  </si>
  <si>
    <t>B,C,E</t>
  </si>
  <si>
    <t>B,E</t>
  </si>
  <si>
    <t>A,E</t>
  </si>
  <si>
    <t>Prestige ACT 정답 R18.xlsx</t>
  </si>
  <si>
    <t>환산표 R18.xlsx</t>
  </si>
  <si>
    <t>\07-16-2019\</t>
  </si>
  <si>
    <t>\07-16-2019\Prestige ACT Data.xlsx</t>
  </si>
  <si>
    <t>\07-16-2019\Prestige ACT 정답 R18.xlsx</t>
  </si>
  <si>
    <t>\07-16-2019\환산표 R18.xlsx</t>
  </si>
  <si>
    <t>071619</t>
  </si>
  <si>
    <t>2019-07-16</t>
  </si>
  <si>
    <t>37</t>
  </si>
  <si>
    <t>38</t>
  </si>
  <si>
    <t>41</t>
  </si>
  <si>
    <t>42</t>
  </si>
  <si>
    <t>43</t>
  </si>
  <si>
    <t>44</t>
  </si>
  <si>
    <t>45</t>
  </si>
  <si>
    <t>46</t>
  </si>
  <si>
    <t>979</t>
  </si>
  <si>
    <t>1,2</t>
  </si>
  <si>
    <t>844</t>
  </si>
  <si>
    <t>3,4</t>
  </si>
  <si>
    <t>874</t>
  </si>
  <si>
    <t>2,5</t>
  </si>
  <si>
    <t>436</t>
  </si>
  <si>
    <t>197</t>
  </si>
  <si>
    <t>47</t>
  </si>
  <si>
    <t>48</t>
  </si>
  <si>
    <t>53</t>
  </si>
  <si>
    <t>54</t>
  </si>
  <si>
    <t>55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</si>
  <si>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</si>
  <si>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</si>
  <si>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</si>
  <si>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</si>
  <si>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</si>
  <si>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</si>
  <si>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</si>
  <si>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</si>
  <si>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</si>
  <si>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</si>
  <si>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</si>
  <si>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494</t>
  </si>
  <si>
    <t>English2</t>
  </si>
  <si>
    <t>Column3</t>
  </si>
  <si>
    <t>Column4</t>
  </si>
  <si>
    <t>Math5</t>
  </si>
  <si>
    <t>Column6</t>
  </si>
  <si>
    <t>Column7</t>
  </si>
  <si>
    <t>Reading8</t>
  </si>
  <si>
    <t>Column9</t>
  </si>
  <si>
    <t>Column10</t>
  </si>
  <si>
    <t>Science11</t>
  </si>
  <si>
    <t>Column12</t>
  </si>
  <si>
    <t>Column13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</si>
</sst>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(* #,##0_);_(* \(#,##0\);_(* &quot;-&quot;_);_(@_)"/>
    <numFmt numFmtId="164" formatCode="0.0_ "/>
    <numFmt numFmtId="165" formatCode="0_ "/>
    <numFmt numFmtId="166" formatCode="0.0%"/>
    <numFmt numFmtId="167" formatCode="0_);[Red]\(0\)"/>
    <numFmt numFmtId="168" formatCode="_(&quot;₩&quot;* #,##0_);_(&quot;₩&quot;* \(#,##0\);_(&quot;₩&quot;* &quot;-&quot;_);_(@_)"/>
    <numFmt numFmtId="169" formatCode="mm&quot;/&quot;dd&quot;/&quot;yy;@"/>
    <numFmt numFmtId="170" formatCode="m&quot;/&quot;d;@"/>
    <numFmt numFmtId="171" formatCode="mm\/dd\/yyyy"/>
    <numFmt numFmtId="172" formatCode="mm\/dd\/yy"/>
    <numFmt numFmtId="173" formatCode="mm/dd/yyyy"/>
  </numFmts>
  <fonts count="70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8"/>
      <name val="맑은 고딕"/>
      <family val="3"/>
      <charset val="129"/>
    </font>
    <font>
      <sz val="10"/>
      <color theme="1"/>
      <name val="Calibri"/>
      <family val="3"/>
      <charset val="129"/>
      <scheme val="minor"/>
    </font>
    <font>
      <sz val="9"/>
      <color theme="1"/>
      <name val="Calibri"/>
      <family val="3"/>
      <charset val="129"/>
      <scheme val="minor"/>
    </font>
    <font>
      <sz val="10"/>
      <color theme="0" tint="-0.499984740745262"/>
      <name val="Calibri"/>
      <family val="2"/>
      <charset val="129"/>
      <scheme val="minor"/>
    </font>
    <font>
      <sz val="11"/>
      <color indexed="8"/>
      <name val="맑은 고딕"/>
      <family val="3"/>
      <charset val="129"/>
    </font>
    <font>
      <b/>
      <sz val="12"/>
      <name val="Arial"/>
      <family val="2"/>
    </font>
    <font>
      <sz val="11"/>
      <name val="돋움"/>
      <family val="3"/>
      <charset val="129"/>
    </font>
    <font>
      <sz val="10"/>
      <name val="돋움체"/>
      <family val="3"/>
      <charset val="129"/>
    </font>
    <font>
      <sz val="8"/>
      <name val="MS Sans Serif"/>
      <family val="2"/>
    </font>
    <font>
      <sz val="11"/>
      <color theme="0"/>
      <name val="Calibri"/>
      <family val="3"/>
      <charset val="129"/>
      <scheme val="minor"/>
    </font>
    <font>
      <sz val="12"/>
      <color theme="1"/>
      <name val="Calibri"/>
      <family val="3"/>
      <charset val="129"/>
      <scheme val="minor"/>
    </font>
    <font>
      <sz val="11"/>
      <color theme="1"/>
      <name val="Cambria"/>
      <family val="3"/>
      <charset val="129"/>
      <scheme val="major"/>
    </font>
    <font>
      <sz val="9"/>
      <color theme="0" tint="-0.34998626667073579"/>
      <name val="Calibri"/>
      <family val="3"/>
      <charset val="129"/>
      <scheme val="minor"/>
    </font>
    <font>
      <sz val="10"/>
      <color theme="0" tint="-0.249977111117893"/>
      <name val="Calibri"/>
      <family val="3"/>
      <charset val="129"/>
      <scheme val="minor"/>
    </font>
    <font>
      <b/>
      <sz val="10.5"/>
      <color rgb="FF0070C0"/>
      <name val="맑은 고딕"/>
      <family val="3"/>
      <charset val="129"/>
    </font>
    <font>
      <sz val="10.5"/>
      <color theme="1"/>
      <name val="Calibri"/>
      <family val="3"/>
      <charset val="129"/>
      <scheme val="minor"/>
    </font>
    <font>
      <b/>
      <sz val="14"/>
      <color theme="0"/>
      <name val="나눔고딕"/>
      <family val="3"/>
      <charset val="129"/>
    </font>
    <font>
      <b/>
      <sz val="10.5"/>
      <name val="Calibri"/>
      <family val="3"/>
      <charset val="129"/>
      <scheme val="minor"/>
    </font>
    <font>
      <sz val="10"/>
      <name val="Calibri"/>
      <family val="3"/>
      <charset val="129"/>
      <scheme val="minor"/>
    </font>
    <font>
      <sz val="12"/>
      <color theme="0"/>
      <name val="맑은 고딕"/>
      <family val="3"/>
      <charset val="129"/>
    </font>
    <font>
      <b/>
      <sz val="11"/>
      <color theme="0"/>
      <name val="Calibri"/>
      <family val="3"/>
      <charset val="129"/>
      <scheme val="minor"/>
    </font>
    <font>
      <sz val="10"/>
      <name val="맑은 고딕"/>
      <family val="3"/>
      <charset val="129"/>
    </font>
    <font>
      <sz val="11"/>
      <color theme="1"/>
      <name val="나눔고딕"/>
      <family val="3"/>
      <charset val="129"/>
    </font>
    <font>
      <b/>
      <sz val="10"/>
      <color theme="0"/>
      <name val="나눔고딕"/>
      <family val="3"/>
      <charset val="129"/>
    </font>
    <font>
      <b/>
      <sz val="10"/>
      <name val="나눔고딕"/>
      <family val="3"/>
      <charset val="129"/>
    </font>
    <font>
      <sz val="9"/>
      <name val="나눔고딕"/>
      <family val="3"/>
      <charset val="129"/>
    </font>
    <font>
      <sz val="8"/>
      <color theme="0" tint="-0.249977111117893"/>
      <name val="나눔고딕"/>
      <family val="3"/>
      <charset val="129"/>
    </font>
    <font>
      <sz val="10"/>
      <color theme="1"/>
      <name val="나눔고딕"/>
      <family val="3"/>
      <charset val="129"/>
    </font>
    <font>
      <b/>
      <sz val="10"/>
      <color rgb="FF333333"/>
      <name val="나눔고딕"/>
      <family val="3"/>
      <charset val="129"/>
    </font>
    <font>
      <b/>
      <sz val="11"/>
      <color rgb="FF333333"/>
      <name val="나눔고딕"/>
      <family val="3"/>
      <charset val="129"/>
    </font>
    <font>
      <sz val="10"/>
      <color rgb="FF333333"/>
      <name val="나눔고딕"/>
      <family val="3"/>
      <charset val="129"/>
    </font>
    <font>
      <b/>
      <sz val="10"/>
      <color theme="0"/>
      <name val="Inherit"/>
      <family val="2"/>
    </font>
    <font>
      <sz val="10"/>
      <color rgb="FF333333"/>
      <name val="Inherit"/>
      <family val="2"/>
    </font>
    <font>
      <sz val="14"/>
      <color indexed="8"/>
      <name val="나눔고딕"/>
      <family val="3"/>
      <charset val="129"/>
    </font>
    <font>
      <sz val="11"/>
      <color indexed="8"/>
      <name val="나눔고딕"/>
      <family val="3"/>
      <charset val="129"/>
    </font>
    <font>
      <b/>
      <sz val="11"/>
      <color theme="0"/>
      <name val="나눔고딕"/>
      <family val="3"/>
      <charset val="129"/>
    </font>
    <font>
      <b/>
      <sz val="10"/>
      <color theme="0"/>
      <name val="돋움"/>
      <family val="3"/>
      <charset val="129"/>
    </font>
    <font>
      <b/>
      <sz val="10"/>
      <name val="돋움"/>
      <family val="3"/>
      <charset val="129"/>
    </font>
    <font>
      <sz val="8"/>
      <color theme="0" tint="-0.499984740745262"/>
      <name val="나눔고딕"/>
      <family val="3"/>
      <charset val="129"/>
    </font>
    <font>
      <sz val="11"/>
      <color theme="1"/>
      <name val="Calibri"/>
      <family val="2"/>
      <scheme val="minor"/>
    </font>
    <font>
      <sz val="10"/>
      <color rgb="FF333333"/>
      <name val="Calibri"/>
      <family val="3"/>
      <charset val="129"/>
      <scheme val="minor"/>
    </font>
    <font>
      <b/>
      <sz val="10"/>
      <color theme="0"/>
      <name val="Calibri"/>
      <family val="3"/>
      <charset val="129"/>
      <scheme val="minor"/>
    </font>
    <font>
      <sz val="11"/>
      <color theme="1"/>
      <name val="Arial"/>
      <family val="2"/>
    </font>
    <font>
      <sz val="11"/>
      <color theme="0" tint="-4.9989318521683403E-2"/>
      <name val="Arial"/>
      <family val="2"/>
    </font>
    <font>
      <b/>
      <sz val="16"/>
      <color theme="7" tint="-0.249977111117893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 tint="-0.499984740745262"/>
      <name val="Arial"/>
      <family val="2"/>
    </font>
    <font>
      <b/>
      <sz val="10"/>
      <color theme="0"/>
      <name val="Arial"/>
      <family val="2"/>
    </font>
    <font>
      <sz val="8"/>
      <color theme="0" tint="-0.249977111117893"/>
      <name val="Arial"/>
      <family val="2"/>
    </font>
    <font>
      <b/>
      <sz val="10"/>
      <color theme="7" tint="-0.249977111117893"/>
      <name val="Arial"/>
      <family val="2"/>
    </font>
    <font>
      <sz val="8"/>
      <color theme="0" tint="-4.9989318521683403E-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0" tint="-0.499984740745262"/>
      <name val="Arial"/>
      <family val="2"/>
    </font>
    <font>
      <b/>
      <sz val="9"/>
      <color theme="7" tint="-0.249977111117893"/>
      <name val="Arial"/>
      <family val="2"/>
    </font>
    <font>
      <sz val="9"/>
      <color theme="0"/>
      <name val="Arial"/>
      <family val="2"/>
    </font>
    <font>
      <sz val="8"/>
      <color theme="0" tint="-0.14999847407452621"/>
      <name val="Arial"/>
      <family val="2"/>
    </font>
    <font>
      <sz val="11"/>
      <color theme="0" tint="-0.14999847407452621"/>
      <name val="Arial"/>
      <family val="2"/>
    </font>
    <font>
      <sz val="10"/>
      <color theme="0" tint="-0.499984740745262"/>
      <name val="맑은 고딕"/>
      <family val="2"/>
      <charset val="129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sz val="11"/>
      <color theme="0" tint="-4.9989318521683403E-2"/>
      <name val="나눔고딕"/>
      <family val="3"/>
      <charset val="129"/>
    </font>
    <font>
      <sz val="10"/>
      <name val="나눔고딕"/>
      <family val="3"/>
      <charset val="129"/>
    </font>
    <font>
      <b/>
      <sz val="10"/>
      <name val="Cambria"/>
      <family val="3"/>
      <charset val="129"/>
      <scheme val="major"/>
    </font>
    <font>
      <b/>
      <sz val="7"/>
      <color theme="7" tint="-0.249977111117893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0.399975585192419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148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theme="7" tint="-0.24994659260841701"/>
      </right>
      <top style="thick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 style="thin">
        <color theme="7" tint="-0.24994659260841701"/>
      </right>
      <top style="thick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/>
      <top style="thick">
        <color theme="7" tint="-0.24994659260841701"/>
      </top>
      <bottom style="thin">
        <color theme="7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/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/>
      <diagonal/>
    </border>
    <border>
      <left style="thin">
        <color theme="7" tint="-0.24994659260841701"/>
      </left>
      <right/>
      <top style="thin">
        <color theme="7" tint="-0.24994659260841701"/>
      </top>
      <bottom/>
      <diagonal/>
    </border>
    <border>
      <left/>
      <right style="thin">
        <color theme="7" tint="-0.24994659260841701"/>
      </right>
      <top/>
      <bottom style="thin">
        <color theme="7" tint="-0.24994659260841701"/>
      </bottom>
      <diagonal/>
    </border>
    <border>
      <left style="thin">
        <color theme="7" tint="-0.24994659260841701"/>
      </left>
      <right style="thin">
        <color theme="7" tint="-0.24994659260841701"/>
      </right>
      <top/>
      <bottom style="thin">
        <color theme="7" tint="-0.24994659260841701"/>
      </bottom>
      <diagonal/>
    </border>
    <border>
      <left style="thin">
        <color theme="7" tint="-0.24994659260841701"/>
      </left>
      <right/>
      <top/>
      <bottom style="thin">
        <color theme="7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dashed">
        <color theme="1" tint="0.499984740745262"/>
      </top>
      <bottom style="dashed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dotted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dotted">
        <color theme="1" tint="0.499984740745262"/>
      </bottom>
      <diagonal/>
    </border>
    <border>
      <left style="thin">
        <color theme="1" tint="0.499984740745262"/>
      </left>
      <right/>
      <top/>
      <bottom style="dotted">
        <color theme="1" tint="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 style="thin">
        <color rgb="FF0070C0"/>
      </right>
      <top style="thin">
        <color theme="1" tint="0.499984740745262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theme="1" tint="0.499984740745262"/>
      </top>
      <bottom style="thin">
        <color rgb="FF0070C0"/>
      </bottom>
      <diagonal/>
    </border>
    <border>
      <left style="thin">
        <color rgb="FF0070C0"/>
      </left>
      <right style="thin">
        <color theme="1" tint="0.499984740745262"/>
      </right>
      <top style="thin">
        <color theme="1" tint="0.499984740745262"/>
      </top>
      <bottom style="thin">
        <color rgb="FF0070C0"/>
      </bottom>
      <diagonal/>
    </border>
    <border>
      <left style="thin">
        <color theme="1" tint="0.499984740745262"/>
      </left>
      <right/>
      <top/>
      <bottom style="dashed">
        <color theme="1" tint="0.499984740745262"/>
      </bottom>
      <diagonal/>
    </border>
    <border>
      <left/>
      <right style="thin">
        <color theme="1" tint="0.499984740745262"/>
      </right>
      <top/>
      <bottom style="dashed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dashed">
        <color theme="1" tint="0.499984740745262"/>
      </bottom>
      <diagonal/>
    </border>
    <border>
      <left style="thin">
        <color theme="1" tint="0.499984740745262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theme="1" tint="0.499984740745262"/>
      </right>
      <top style="thin">
        <color rgb="FF0070C0"/>
      </top>
      <bottom style="thin">
        <color rgb="FF0070C0"/>
      </bottom>
      <diagonal/>
    </border>
    <border>
      <left style="thin">
        <color theme="1" tint="0.499984740745262"/>
      </left>
      <right/>
      <top style="dashed">
        <color theme="1" tint="0.499984740745262"/>
      </top>
      <bottom style="dashed">
        <color theme="1" tint="0.499984740745262"/>
      </bottom>
      <diagonal/>
    </border>
    <border>
      <left/>
      <right style="thin">
        <color theme="1" tint="0.499984740745262"/>
      </right>
      <top style="dashed">
        <color theme="1" tint="0.499984740745262"/>
      </top>
      <bottom style="dashed">
        <color theme="1" tint="0.499984740745262"/>
      </bottom>
      <diagonal/>
    </border>
    <border>
      <left style="thin">
        <color theme="1" tint="0.499984740745262"/>
      </left>
      <right/>
      <top style="dashed">
        <color theme="1" tint="0.499984740745262"/>
      </top>
      <bottom/>
      <diagonal/>
    </border>
    <border>
      <left/>
      <right style="thin">
        <color theme="1" tint="0.499984740745262"/>
      </right>
      <top style="dashed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dashed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double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rgb="FF0070C0"/>
      </right>
      <top style="thin">
        <color rgb="FF0070C0"/>
      </top>
      <bottom style="thin">
        <color theme="1" tint="0.499984740745262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theme="1" tint="0.499984740745262"/>
      </bottom>
      <diagonal/>
    </border>
    <border>
      <left style="thin">
        <color rgb="FF0070C0"/>
      </left>
      <right style="thin">
        <color theme="1" tint="0.499984740745262"/>
      </right>
      <top style="thin">
        <color rgb="FF0070C0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dashed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dashed">
        <color theme="1" tint="0.499984740745262"/>
      </bottom>
      <diagonal/>
    </border>
    <border>
      <left/>
      <right/>
      <top style="dashed">
        <color theme="1" tint="0.499984740745262"/>
      </top>
      <bottom style="dashed">
        <color theme="1" tint="0.499984740745262"/>
      </bottom>
      <diagonal/>
    </border>
    <border>
      <left style="thin">
        <color theme="1" tint="0.499984740745262"/>
      </left>
      <right/>
      <top style="dashed">
        <color theme="1" tint="0.499984740745262"/>
      </top>
      <bottom style="thin">
        <color theme="1" tint="0.499984740745262"/>
      </bottom>
      <diagonal/>
    </border>
    <border>
      <left/>
      <right/>
      <top style="dashed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dashed">
        <color theme="1" tint="0.499984740745262"/>
      </top>
      <bottom style="thin">
        <color theme="1" tint="0.499984740745262"/>
      </bottom>
      <diagonal/>
    </border>
    <border>
      <left style="medium">
        <color theme="7" tint="0.39985351115451523"/>
      </left>
      <right/>
      <top style="medium">
        <color theme="7" tint="0.39985351115451523"/>
      </top>
      <bottom style="medium">
        <color theme="7" tint="0.39985351115451523"/>
      </bottom>
      <diagonal/>
    </border>
    <border>
      <left/>
      <right/>
      <top style="medium">
        <color theme="7" tint="0.39985351115451523"/>
      </top>
      <bottom style="medium">
        <color theme="7" tint="0.39985351115451523"/>
      </bottom>
      <diagonal/>
    </border>
    <border>
      <left/>
      <right style="medium">
        <color theme="7" tint="0.39985351115451523"/>
      </right>
      <top style="medium">
        <color theme="7" tint="0.39985351115451523"/>
      </top>
      <bottom style="medium">
        <color theme="7" tint="0.39985351115451523"/>
      </bottom>
      <diagonal/>
    </border>
    <border>
      <left/>
      <right/>
      <top style="thick">
        <color theme="7" tint="-0.24994659260841701"/>
      </top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/>
      <diagonal/>
    </border>
    <border>
      <left/>
      <right/>
      <top/>
      <bottom style="thin">
        <color theme="7" tint="-0.24994659260841701"/>
      </bottom>
      <diagonal/>
    </border>
    <border>
      <left/>
      <right/>
      <top/>
      <bottom style="thick">
        <color theme="7" tint="-0.24994659260841701"/>
      </bottom>
      <diagonal/>
    </border>
    <border>
      <left/>
      <right/>
      <top style="thick">
        <color theme="7" tint="-0.24994659260841701"/>
      </top>
      <bottom/>
      <diagonal/>
    </border>
    <border>
      <left/>
      <right style="thin">
        <color theme="7" tint="0.39991454817346722"/>
      </right>
      <top style="thick">
        <color theme="7" tint="-0.24994659260841701"/>
      </top>
      <bottom/>
      <diagonal/>
    </border>
    <border>
      <left style="thin">
        <color theme="7" tint="0.39991454817346722"/>
      </left>
      <right/>
      <top style="thick">
        <color theme="7" tint="-0.24994659260841701"/>
      </top>
      <bottom/>
      <diagonal/>
    </border>
    <border>
      <left/>
      <right style="thin">
        <color theme="7" tint="-0.24994659260841701"/>
      </right>
      <top style="thick">
        <color theme="7" tint="-0.24994659260841701"/>
      </top>
      <bottom/>
      <diagonal/>
    </border>
    <border>
      <left/>
      <right/>
      <top/>
      <bottom style="thin">
        <color theme="7" tint="0.39991454817346722"/>
      </bottom>
      <diagonal/>
    </border>
    <border>
      <left/>
      <right style="thin">
        <color theme="7" tint="0.39991454817346722"/>
      </right>
      <top/>
      <bottom style="thin">
        <color theme="7" tint="0.39991454817346722"/>
      </bottom>
      <diagonal/>
    </border>
    <border>
      <left style="thin">
        <color theme="7" tint="0.39991454817346722"/>
      </left>
      <right/>
      <top/>
      <bottom style="thin">
        <color theme="7" tint="0.39991454817346722"/>
      </bottom>
      <diagonal/>
    </border>
    <border>
      <left/>
      <right style="thin">
        <color theme="7" tint="-0.24994659260841701"/>
      </right>
      <top/>
      <bottom style="thin">
        <color theme="7" tint="0.39991454817346722"/>
      </bottom>
      <diagonal/>
    </border>
    <border>
      <left/>
      <right style="thin">
        <color theme="7" tint="0.39988402966399123"/>
      </right>
      <top style="thin">
        <color theme="7" tint="0.39991454817346722"/>
      </top>
      <bottom style="dashed">
        <color theme="7" tint="0.39988402966399123"/>
      </bottom>
      <diagonal/>
    </border>
    <border>
      <left style="thin">
        <color theme="7" tint="0.39988402966399123"/>
      </left>
      <right style="thin">
        <color theme="7" tint="0.39988402966399123"/>
      </right>
      <top style="thin">
        <color theme="7" tint="0.39991454817346722"/>
      </top>
      <bottom style="dashed">
        <color theme="7" tint="0.39988402966399123"/>
      </bottom>
      <diagonal/>
    </border>
    <border>
      <left style="thin">
        <color theme="7" tint="0.39988402966399123"/>
      </left>
      <right style="thin">
        <color theme="7" tint="-0.24994659260841701"/>
      </right>
      <top style="thin">
        <color theme="7" tint="0.39991454817346722"/>
      </top>
      <bottom style="dashed">
        <color theme="7" tint="0.39988402966399123"/>
      </bottom>
      <diagonal/>
    </border>
    <border>
      <left/>
      <right style="thin">
        <color theme="7" tint="0.39988402966399123"/>
      </right>
      <top style="dashed">
        <color theme="7" tint="0.39988402966399123"/>
      </top>
      <bottom style="dashed">
        <color theme="7" tint="0.39988402966399123"/>
      </bottom>
      <diagonal/>
    </border>
    <border>
      <left style="thin">
        <color theme="7" tint="0.39988402966399123"/>
      </left>
      <right style="thin">
        <color theme="7" tint="0.39988402966399123"/>
      </right>
      <top style="dashed">
        <color theme="7" tint="0.39988402966399123"/>
      </top>
      <bottom style="dashed">
        <color theme="7" tint="0.39988402966399123"/>
      </bottom>
      <diagonal/>
    </border>
    <border>
      <left style="thin">
        <color theme="7" tint="0.39988402966399123"/>
      </left>
      <right style="thin">
        <color theme="7" tint="-0.24994659260841701"/>
      </right>
      <top style="dashed">
        <color theme="7" tint="0.39988402966399123"/>
      </top>
      <bottom style="dashed">
        <color theme="7" tint="0.39988402966399123"/>
      </bottom>
      <diagonal/>
    </border>
    <border>
      <left/>
      <right style="thin">
        <color theme="7" tint="0.39988402966399123"/>
      </right>
      <top style="dashed">
        <color theme="7" tint="0.39988402966399123"/>
      </top>
      <bottom style="thin">
        <color theme="7" tint="0.39991454817346722"/>
      </bottom>
      <diagonal/>
    </border>
    <border>
      <left style="thin">
        <color theme="7" tint="0.39988402966399123"/>
      </left>
      <right style="thin">
        <color theme="7" tint="0.39988402966399123"/>
      </right>
      <top style="dashed">
        <color theme="7" tint="0.39988402966399123"/>
      </top>
      <bottom style="thin">
        <color theme="7" tint="0.39991454817346722"/>
      </bottom>
      <diagonal/>
    </border>
    <border>
      <left style="thin">
        <color theme="7" tint="0.39988402966399123"/>
      </left>
      <right/>
      <top style="dashed">
        <color theme="7" tint="0.39988402966399123"/>
      </top>
      <bottom/>
      <diagonal/>
    </border>
    <border>
      <left/>
      <right/>
      <top style="dashed">
        <color theme="7" tint="0.39988402966399123"/>
      </top>
      <bottom/>
      <diagonal/>
    </border>
    <border>
      <left/>
      <right style="thin">
        <color theme="7" tint="0.39988402966399123"/>
      </right>
      <top style="dashed">
        <color theme="7" tint="0.39988402966399123"/>
      </top>
      <bottom/>
      <diagonal/>
    </border>
    <border>
      <left style="thin">
        <color theme="7" tint="0.39988402966399123"/>
      </left>
      <right style="thin">
        <color theme="7" tint="0.39988402966399123"/>
      </right>
      <top style="dashed">
        <color theme="7" tint="0.39988402966399123"/>
      </top>
      <bottom/>
      <diagonal/>
    </border>
    <border>
      <left style="thin">
        <color theme="7" tint="0.39988402966399123"/>
      </left>
      <right style="thin">
        <color theme="7" tint="-0.24994659260841701"/>
      </right>
      <top style="dashed">
        <color theme="7" tint="0.39988402966399123"/>
      </top>
      <bottom/>
      <diagonal/>
    </border>
    <border>
      <left/>
      <right style="thin">
        <color theme="7" tint="0.39991454817346722"/>
      </right>
      <top style="thin">
        <color theme="7" tint="0.39991454817346722"/>
      </top>
      <bottom style="medium">
        <color theme="7" tint="0.39994506668294322"/>
      </bottom>
      <diagonal/>
    </border>
    <border>
      <left style="thin">
        <color theme="7" tint="0.39991454817346722"/>
      </left>
      <right style="thin">
        <color theme="7" tint="0.39991454817346722"/>
      </right>
      <top style="thin">
        <color theme="7" tint="0.39991454817346722"/>
      </top>
      <bottom style="medium">
        <color theme="7" tint="0.39994506668294322"/>
      </bottom>
      <diagonal/>
    </border>
    <border>
      <left style="thin">
        <color theme="7" tint="0.39991454817346722"/>
      </left>
      <right/>
      <top style="thin">
        <color theme="7" tint="0.39991454817346722"/>
      </top>
      <bottom style="medium">
        <color theme="7" tint="0.39994506668294322"/>
      </bottom>
      <diagonal/>
    </border>
    <border>
      <left style="thick">
        <color theme="7"/>
      </left>
      <right/>
      <top style="thick">
        <color theme="7"/>
      </top>
      <bottom style="thick">
        <color theme="7"/>
      </bottom>
      <diagonal/>
    </border>
    <border>
      <left/>
      <right/>
      <top style="thick">
        <color theme="7"/>
      </top>
      <bottom style="thick">
        <color theme="7"/>
      </bottom>
      <diagonal/>
    </border>
    <border>
      <left/>
      <right style="thick">
        <color theme="7"/>
      </right>
      <top style="thick">
        <color theme="7"/>
      </top>
      <bottom style="thick">
        <color theme="7"/>
      </bottom>
      <diagonal/>
    </border>
    <border>
      <left/>
      <right/>
      <top/>
      <bottom style="medium">
        <color theme="7" tint="0.39994506668294322"/>
      </bottom>
      <diagonal/>
    </border>
    <border>
      <left style="thin">
        <color theme="7" tint="0.39991454817346722"/>
      </left>
      <right/>
      <top style="thick">
        <color theme="7" tint="-0.24994659260841701"/>
      </top>
      <bottom style="thin">
        <color theme="7" tint="0.39988402966399123"/>
      </bottom>
      <diagonal/>
    </border>
    <border>
      <left/>
      <right/>
      <top style="thick">
        <color theme="7" tint="-0.24994659260841701"/>
      </top>
      <bottom style="thin">
        <color theme="7" tint="0.39988402966399123"/>
      </bottom>
      <diagonal/>
    </border>
    <border>
      <left style="thin">
        <color theme="7" tint="0.39991454817346722"/>
      </left>
      <right/>
      <top/>
      <bottom/>
      <diagonal/>
    </border>
    <border>
      <left/>
      <right style="thin">
        <color theme="7" tint="0.39991454817346722"/>
      </right>
      <top/>
      <bottom/>
      <diagonal/>
    </border>
    <border>
      <left style="thin">
        <color theme="7" tint="0.39991454817346722"/>
      </left>
      <right style="thin">
        <color theme="7" tint="0.39991454817346722"/>
      </right>
      <top style="thin">
        <color theme="7" tint="0.39988402966399123"/>
      </top>
      <bottom/>
      <diagonal/>
    </border>
    <border>
      <left style="thin">
        <color theme="7" tint="0.39991454817346722"/>
      </left>
      <right/>
      <top style="thin">
        <color theme="7" tint="0.39988402966399123"/>
      </top>
      <bottom/>
      <diagonal/>
    </border>
    <border>
      <left/>
      <right/>
      <top style="thin">
        <color theme="7" tint="0.39988402966399123"/>
      </top>
      <bottom/>
      <diagonal/>
    </border>
    <border>
      <left/>
      <right/>
      <top style="thin">
        <color theme="7" tint="0.39991454817346722"/>
      </top>
      <bottom/>
      <diagonal/>
    </border>
    <border>
      <left/>
      <right style="thin">
        <color theme="7" tint="0.39991454817346722"/>
      </right>
      <top style="thin">
        <color theme="7" tint="0.39991454817346722"/>
      </top>
      <bottom/>
      <diagonal/>
    </border>
    <border>
      <left style="thin">
        <color theme="7" tint="0.39991454817346722"/>
      </left>
      <right style="thin">
        <color theme="7" tint="0.39988402966399123"/>
      </right>
      <top style="thin">
        <color theme="7" tint="0.39988402966399123"/>
      </top>
      <bottom style="thin">
        <color theme="7" tint="0.39988402966399123"/>
      </bottom>
      <diagonal/>
    </border>
    <border>
      <left style="thin">
        <color theme="7" tint="0.39988402966399123"/>
      </left>
      <right style="thin">
        <color theme="7" tint="0.39988402966399123"/>
      </right>
      <top style="thin">
        <color theme="7" tint="0.39988402966399123"/>
      </top>
      <bottom style="thin">
        <color theme="7" tint="0.39988402966399123"/>
      </bottom>
      <diagonal/>
    </border>
    <border>
      <left style="thin">
        <color theme="7" tint="0.39988402966399123"/>
      </left>
      <right/>
      <top style="thin">
        <color theme="7" tint="0.39988402966399123"/>
      </top>
      <bottom style="thin">
        <color theme="7" tint="0.39988402966399123"/>
      </bottom>
      <diagonal/>
    </border>
    <border>
      <left style="thin">
        <color theme="7" tint="0.39991454817346722"/>
      </left>
      <right/>
      <top style="thin">
        <color theme="7" tint="0.39988402966399123"/>
      </top>
      <bottom style="thin">
        <color theme="7" tint="0.39988402966399123"/>
      </bottom>
      <diagonal/>
    </border>
    <border>
      <left/>
      <right/>
      <top style="thin">
        <color theme="7" tint="0.39988402966399123"/>
      </top>
      <bottom style="thin">
        <color theme="7" tint="0.39988402966399123"/>
      </bottom>
      <diagonal/>
    </border>
    <border>
      <left/>
      <right style="thin">
        <color theme="7" tint="0.39991454817346722"/>
      </right>
      <top style="thin">
        <color theme="7" tint="0.39988402966399123"/>
      </top>
      <bottom style="thin">
        <color theme="7" tint="0.39988402966399123"/>
      </bottom>
      <diagonal/>
    </border>
    <border>
      <left/>
      <right style="thin">
        <color theme="7" tint="0.39988402966399123"/>
      </right>
      <top style="thin">
        <color theme="7" tint="0.39988402966399123"/>
      </top>
      <bottom style="thin">
        <color theme="7" tint="0.39988402966399123"/>
      </bottom>
      <diagonal/>
    </border>
    <border>
      <left/>
      <right style="thin">
        <color theme="7" tint="0.39991454817346722"/>
      </right>
      <top/>
      <bottom style="medium">
        <color theme="7" tint="0.39994506668294322"/>
      </bottom>
      <diagonal/>
    </border>
    <border>
      <left style="thin">
        <color theme="7" tint="0.39991454817346722"/>
      </left>
      <right style="thin">
        <color theme="7" tint="0.39991454817346722"/>
      </right>
      <top/>
      <bottom style="medium">
        <color theme="7" tint="0.39994506668294322"/>
      </bottom>
      <diagonal/>
    </border>
    <border>
      <left style="thin">
        <color theme="7" tint="0.39991454817346722"/>
      </left>
      <right/>
      <top/>
      <bottom style="medium">
        <color theme="7" tint="0.39994506668294322"/>
      </bottom>
      <diagonal/>
    </border>
    <border>
      <left style="thin">
        <color theme="7" tint="0.39991454817346722"/>
      </left>
      <right style="thin">
        <color theme="7" tint="0.39988402966399123"/>
      </right>
      <top style="thin">
        <color theme="7" tint="0.39988402966399123"/>
      </top>
      <bottom style="dashed">
        <color theme="7" tint="0.39988402966399123"/>
      </bottom>
      <diagonal/>
    </border>
    <border>
      <left style="thin">
        <color theme="7" tint="0.39988402966399123"/>
      </left>
      <right style="thin">
        <color theme="7" tint="0.39988402966399123"/>
      </right>
      <top style="thin">
        <color theme="7" tint="0.39988402966399123"/>
      </top>
      <bottom style="dashed">
        <color theme="7" tint="0.39988402966399123"/>
      </bottom>
      <diagonal/>
    </border>
    <border>
      <left style="thin">
        <color theme="7" tint="0.39988402966399123"/>
      </left>
      <right/>
      <top style="thin">
        <color theme="7" tint="0.39988402966399123"/>
      </top>
      <bottom style="dashed">
        <color theme="7" tint="0.39988402966399123"/>
      </bottom>
      <diagonal/>
    </border>
    <border>
      <left style="thin">
        <color theme="7" tint="0.39991454817346722"/>
      </left>
      <right style="thin">
        <color theme="7" tint="0.39988402966399123"/>
      </right>
      <top style="dashed">
        <color theme="7" tint="0.39988402966399123"/>
      </top>
      <bottom style="dashed">
        <color theme="7" tint="0.39988402966399123"/>
      </bottom>
      <diagonal/>
    </border>
    <border>
      <left style="thin">
        <color theme="7" tint="0.39988402966399123"/>
      </left>
      <right/>
      <top style="dashed">
        <color theme="7" tint="0.39988402966399123"/>
      </top>
      <bottom style="dashed">
        <color theme="7" tint="0.39988402966399123"/>
      </bottom>
      <diagonal/>
    </border>
    <border>
      <left style="thin">
        <color theme="7" tint="0.39991454817346722"/>
      </left>
      <right style="thin">
        <color theme="7" tint="0.39988402966399123"/>
      </right>
      <top style="dashed">
        <color theme="7" tint="0.39988402966399123"/>
      </top>
      <bottom style="thin">
        <color theme="7" tint="0.39988402966399123"/>
      </bottom>
      <diagonal/>
    </border>
    <border>
      <left style="thin">
        <color theme="7" tint="0.39988402966399123"/>
      </left>
      <right style="thin">
        <color theme="7" tint="0.39988402966399123"/>
      </right>
      <top style="dashed">
        <color theme="7" tint="0.39988402966399123"/>
      </top>
      <bottom style="thin">
        <color theme="7" tint="0.39988402966399123"/>
      </bottom>
      <diagonal/>
    </border>
    <border>
      <left style="thin">
        <color theme="7" tint="0.39988402966399123"/>
      </left>
      <right/>
      <top style="dashed">
        <color theme="7" tint="0.39988402966399123"/>
      </top>
      <bottom style="thin">
        <color theme="7" tint="0.39988402966399123"/>
      </bottom>
      <diagonal/>
    </border>
    <border>
      <left/>
      <right style="thin">
        <color theme="7"/>
      </right>
      <top style="medium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medium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medium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medium">
        <color theme="7"/>
      </bottom>
      <diagonal/>
    </border>
    <border>
      <left style="thin">
        <color theme="7"/>
      </left>
      <right/>
      <top style="thin">
        <color theme="7"/>
      </top>
      <bottom style="medium">
        <color theme="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 tint="-0.24994659260841701"/>
      </right>
      <top style="thin">
        <color theme="7"/>
      </top>
      <bottom style="thin">
        <color theme="7"/>
      </bottom>
      <diagonal/>
    </border>
    <border>
      <left style="medium">
        <color theme="7" tint="-0.24994659260841701"/>
      </left>
      <right/>
      <top style="medium">
        <color theme="7" tint="-0.24994659260841701"/>
      </top>
      <bottom style="medium">
        <color theme="7" tint="-0.24994659260841701"/>
      </bottom>
      <diagonal/>
    </border>
    <border>
      <left/>
      <right/>
      <top style="medium">
        <color theme="7" tint="-0.24994659260841701"/>
      </top>
      <bottom style="medium">
        <color theme="7" tint="-0.24994659260841701"/>
      </bottom>
      <diagonal/>
    </border>
    <border>
      <left/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/>
      <right style="thin">
        <color rgb="FF0070C0"/>
      </right>
      <top style="medium">
        <color theme="7" tint="-0.24994659260841701"/>
      </top>
      <bottom/>
      <diagonal/>
    </border>
    <border>
      <left style="thin">
        <color theme="7" tint="-0.24994659260841701"/>
      </left>
      <right style="thin">
        <color theme="7" tint="-0.24994659260841701"/>
      </right>
      <top style="medium">
        <color theme="7" tint="-0.24994659260841701"/>
      </top>
      <bottom/>
      <diagonal/>
    </border>
    <border>
      <left/>
      <right/>
      <top style="medium">
        <color theme="7" tint="-0.24994659260841701"/>
      </top>
      <bottom/>
      <diagonal/>
    </border>
    <border>
      <left/>
      <right/>
      <top style="thin">
        <color theme="1" tint="0.499984740745262"/>
      </top>
      <bottom style="dashed">
        <color theme="1" tint="0.4999847407452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7" tint="-0.24994659260841701"/>
      </left>
      <right style="thin">
        <color theme="7" tint="-0.24994659260841701"/>
      </right>
      <top style="dashed">
        <color theme="1" tint="0.499984740745262"/>
      </top>
      <bottom style="dashed">
        <color theme="1" tint="0.499984740745262"/>
      </bottom>
      <diagonal/>
    </border>
    <border>
      <left/>
      <right style="thin">
        <color rgb="FF0070C0"/>
      </right>
      <top/>
      <bottom style="medium">
        <color theme="7" tint="-0.24994659260841701"/>
      </bottom>
      <diagonal/>
    </border>
    <border>
      <left style="thin">
        <color theme="7" tint="-0.24994659260841701"/>
      </left>
      <right style="thin">
        <color theme="7" tint="-0.24994659260841701"/>
      </right>
      <top/>
      <bottom style="medium">
        <color theme="7" tint="-0.24994659260841701"/>
      </bottom>
      <diagonal/>
    </border>
    <border>
      <left/>
      <right/>
      <top/>
      <bottom style="medium">
        <color theme="7" tint="-0.24994659260841701"/>
      </bottom>
      <diagonal/>
    </border>
    <border>
      <left style="thin">
        <color theme="7" tint="-0.24994659260841701"/>
      </left>
      <right/>
      <top style="medium">
        <color theme="7" tint="-0.24994659260841701"/>
      </top>
      <bottom/>
      <diagonal/>
    </border>
    <border>
      <left style="thin">
        <color theme="7" tint="-0.24994659260841701"/>
      </left>
      <right/>
      <top/>
      <bottom/>
      <diagonal/>
    </border>
    <border>
      <left style="thin">
        <color theme="7" tint="-0.24994659260841701"/>
      </left>
      <right/>
      <top/>
      <bottom style="medium">
        <color theme="7" tint="-0.2499465926084170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99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9" fillId="0" borderId="13" applyNumberFormat="0" applyAlignment="0" applyProtection="0">
      <alignment horizontal="left" vertical="center"/>
    </xf>
    <xf numFmtId="0" fontId="9" fillId="0" borderId="14">
      <alignment horizontal="left" vertical="center"/>
    </xf>
    <xf numFmtId="9" fontId="2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0" fontId="2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" fillId="0" borderId="0">
      <alignment vertical="center"/>
    </xf>
    <xf numFmtId="0" fontId="12" fillId="0" borderId="0" applyAlignment="0">
      <alignment vertical="top" wrapText="1"/>
      <protection locked="0"/>
    </xf>
    <xf numFmtId="0" fontId="1" fillId="0" borderId="0">
      <alignment vertical="center"/>
    </xf>
    <xf numFmtId="0" fontId="1" fillId="0" borderId="0">
      <alignment vertical="center"/>
    </xf>
    <xf numFmtId="0" fontId="12" fillId="0" borderId="0" applyAlignment="0">
      <alignment vertical="top" wrapText="1"/>
      <protection locked="0"/>
    </xf>
    <xf numFmtId="0" fontId="1" fillId="0" borderId="0">
      <alignment vertical="center"/>
    </xf>
    <xf numFmtId="0" fontId="12" fillId="0" borderId="0" applyAlignment="0">
      <alignment vertical="top" wrapText="1"/>
      <protection locked="0"/>
    </xf>
    <xf numFmtId="0" fontId="1" fillId="0" borderId="0">
      <alignment vertical="center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1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 applyAlignment="0">
      <alignment vertical="top" wrapText="1"/>
      <protection locked="0"/>
    </xf>
    <xf numFmtId="0" fontId="8" fillId="0" borderId="0">
      <alignment vertical="center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6" fillId="0" borderId="0">
      <alignment vertical="center"/>
    </xf>
    <xf numFmtId="0" fontId="6" fillId="0" borderId="0">
      <alignment vertical="center"/>
    </xf>
    <xf numFmtId="0" fontId="12" fillId="0" borderId="0" applyAlignment="0">
      <alignment vertical="top" wrapText="1"/>
      <protection locked="0"/>
    </xf>
    <xf numFmtId="0" fontId="10" fillId="0" borderId="0"/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0" fillId="0" borderId="0">
      <alignment vertical="center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2" fillId="0" borderId="0" applyAlignment="0">
      <alignment vertical="top" wrapText="1"/>
      <protection locked="0"/>
    </xf>
    <xf numFmtId="0" fontId="1" fillId="0" borderId="0">
      <alignment vertical="center"/>
    </xf>
    <xf numFmtId="0" fontId="12" fillId="0" borderId="0" applyAlignment="0">
      <alignment vertical="top" wrapText="1"/>
      <protection locked="0"/>
    </xf>
    <xf numFmtId="0" fontId="2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2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2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2" fillId="0" borderId="0">
      <alignment vertical="center"/>
    </xf>
    <xf numFmtId="0" fontId="11" fillId="0" borderId="0"/>
    <xf numFmtId="0" fontId="11" fillId="0" borderId="0"/>
    <xf numFmtId="0" fontId="11" fillId="0" borderId="0"/>
    <xf numFmtId="41" fontId="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3" fillId="0" borderId="0"/>
  </cellStyleXfs>
  <cellXfs count="4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167" fontId="0" fillId="0" borderId="0" xfId="0" applyNumberFormat="1">
      <alignment vertical="center"/>
    </xf>
    <xf numFmtId="0" fontId="14" fillId="0" borderId="0" xfId="2" applyFont="1">
      <alignment vertical="center"/>
    </xf>
    <xf numFmtId="0" fontId="2" fillId="0" borderId="0" xfId="11">
      <alignment vertical="center"/>
    </xf>
    <xf numFmtId="0" fontId="13" fillId="0" borderId="0" xfId="11" applyFont="1">
      <alignment vertical="center"/>
    </xf>
    <xf numFmtId="0" fontId="15" fillId="0" borderId="0" xfId="11" applyFont="1">
      <alignment vertical="center"/>
    </xf>
    <xf numFmtId="0" fontId="16" fillId="0" borderId="0" xfId="11" applyFont="1">
      <alignment vertical="center"/>
    </xf>
    <xf numFmtId="0" fontId="17" fillId="0" borderId="0" xfId="11" applyFont="1">
      <alignment vertical="center"/>
    </xf>
    <xf numFmtId="0" fontId="8" fillId="0" borderId="0" xfId="2" applyFont="1" applyBorder="1" applyAlignment="1">
      <alignment horizontal="center" vertical="center"/>
    </xf>
    <xf numFmtId="0" fontId="2" fillId="0" borderId="0" xfId="11" applyFont="1">
      <alignment vertical="center"/>
    </xf>
    <xf numFmtId="166" fontId="2" fillId="0" borderId="0" xfId="11" applyNumberFormat="1" applyFont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8" fillId="5" borderId="16" xfId="2" applyFont="1" applyFill="1" applyBorder="1" applyAlignment="1">
      <alignment horizontal="center" vertical="center" shrinkToFit="1"/>
    </xf>
    <xf numFmtId="0" fontId="2" fillId="0" borderId="16" xfId="2" applyFont="1" applyFill="1" applyBorder="1" applyAlignment="1">
      <alignment horizontal="center" vertical="center" shrinkToFit="1"/>
    </xf>
    <xf numFmtId="166" fontId="19" fillId="0" borderId="16" xfId="2" applyNumberFormat="1" applyFont="1" applyBorder="1" applyAlignment="1">
      <alignment horizontal="center" vertical="center" shrinkToFit="1"/>
    </xf>
    <xf numFmtId="0" fontId="18" fillId="5" borderId="15" xfId="2" applyFont="1" applyFill="1" applyBorder="1" applyAlignment="1">
      <alignment horizontal="center" vertical="center" shrinkToFit="1"/>
    </xf>
    <xf numFmtId="0" fontId="2" fillId="0" borderId="15" xfId="2" applyFont="1" applyFill="1" applyBorder="1" applyAlignment="1">
      <alignment horizontal="center" vertical="center" shrinkToFit="1"/>
    </xf>
    <xf numFmtId="166" fontId="19" fillId="0" borderId="15" xfId="2" applyNumberFormat="1" applyFont="1" applyBorder="1" applyAlignment="1">
      <alignment horizontal="center" vertical="center" shrinkToFit="1"/>
    </xf>
    <xf numFmtId="0" fontId="18" fillId="5" borderId="27" xfId="2" applyFont="1" applyFill="1" applyBorder="1" applyAlignment="1">
      <alignment horizontal="center" vertical="center" shrinkToFit="1"/>
    </xf>
    <xf numFmtId="0" fontId="2" fillId="0" borderId="27" xfId="2" applyFont="1" applyFill="1" applyBorder="1" applyAlignment="1">
      <alignment horizontal="center" vertical="center" shrinkToFit="1"/>
    </xf>
    <xf numFmtId="166" fontId="19" fillId="0" borderId="27" xfId="2" applyNumberFormat="1" applyFont="1" applyBorder="1" applyAlignment="1">
      <alignment horizontal="center" vertical="center" shrinkToFit="1"/>
    </xf>
    <xf numFmtId="0" fontId="21" fillId="2" borderId="16" xfId="2" quotePrefix="1" applyFont="1" applyFill="1" applyBorder="1" applyAlignment="1">
      <alignment horizontal="center" vertical="center" shrinkToFit="1"/>
    </xf>
    <xf numFmtId="0" fontId="21" fillId="2" borderId="15" xfId="2" quotePrefix="1" applyFont="1" applyFill="1" applyBorder="1" applyAlignment="1">
      <alignment horizontal="center" vertical="center" shrinkToFit="1"/>
    </xf>
    <xf numFmtId="167" fontId="14" fillId="0" borderId="34" xfId="7" applyNumberFormat="1" applyFont="1" applyBorder="1">
      <alignment vertical="center"/>
    </xf>
    <xf numFmtId="0" fontId="2" fillId="0" borderId="35" xfId="2" applyFont="1" applyBorder="1">
      <alignment vertical="center"/>
    </xf>
    <xf numFmtId="0" fontId="14" fillId="0" borderId="36" xfId="2" applyFont="1" applyFill="1" applyBorder="1" applyAlignment="1">
      <alignment horizontal="center" vertical="center"/>
    </xf>
    <xf numFmtId="166" fontId="14" fillId="0" borderId="36" xfId="2" applyNumberFormat="1" applyFont="1" applyFill="1" applyBorder="1" applyAlignment="1">
      <alignment horizontal="center" vertical="center"/>
    </xf>
    <xf numFmtId="167" fontId="14" fillId="0" borderId="39" xfId="7" applyNumberFormat="1" applyFont="1" applyBorder="1">
      <alignment vertical="center"/>
    </xf>
    <xf numFmtId="0" fontId="2" fillId="0" borderId="40" xfId="2" applyFont="1" applyBorder="1">
      <alignment vertical="center"/>
    </xf>
    <xf numFmtId="0" fontId="14" fillId="0" borderId="15" xfId="2" applyFont="1" applyFill="1" applyBorder="1" applyAlignment="1">
      <alignment horizontal="center" vertical="center"/>
    </xf>
    <xf numFmtId="166" fontId="14" fillId="0" borderId="15" xfId="2" applyNumberFormat="1" applyFont="1" applyFill="1" applyBorder="1" applyAlignment="1">
      <alignment horizontal="center" vertical="center"/>
    </xf>
    <xf numFmtId="167" fontId="14" fillId="0" borderId="41" xfId="7" applyNumberFormat="1" applyFont="1" applyBorder="1">
      <alignment vertical="center"/>
    </xf>
    <xf numFmtId="0" fontId="2" fillId="0" borderId="42" xfId="2" applyFont="1" applyBorder="1">
      <alignment vertical="center"/>
    </xf>
    <xf numFmtId="0" fontId="14" fillId="0" borderId="43" xfId="2" applyFont="1" applyFill="1" applyBorder="1" applyAlignment="1">
      <alignment horizontal="center" vertical="center"/>
    </xf>
    <xf numFmtId="166" fontId="14" fillId="0" borderId="43" xfId="2" applyNumberFormat="1" applyFont="1" applyFill="1" applyBorder="1" applyAlignment="1">
      <alignment horizontal="center" vertical="center"/>
    </xf>
    <xf numFmtId="166" fontId="14" fillId="10" borderId="44" xfId="5" applyNumberFormat="1" applyFont="1" applyFill="1" applyBorder="1" applyAlignment="1">
      <alignment horizontal="center" vertical="center"/>
    </xf>
    <xf numFmtId="0" fontId="22" fillId="3" borderId="26" xfId="2" applyFont="1" applyFill="1" applyBorder="1" applyAlignment="1">
      <alignment horizontal="center" vertical="center" shrinkToFit="1"/>
    </xf>
    <xf numFmtId="0" fontId="21" fillId="2" borderId="48" xfId="2" quotePrefix="1" applyFont="1" applyFill="1" applyBorder="1" applyAlignment="1">
      <alignment horizontal="center" vertical="center" shrinkToFit="1"/>
    </xf>
    <xf numFmtId="0" fontId="26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9" borderId="21" xfId="0" applyFont="1" applyFill="1" applyBorder="1" applyAlignment="1">
      <alignment horizontal="center" vertical="center" wrapText="1"/>
    </xf>
    <xf numFmtId="0" fontId="28" fillId="7" borderId="21" xfId="0" applyFont="1" applyFill="1" applyBorder="1" applyAlignment="1">
      <alignment horizontal="center" vertical="center" wrapText="1"/>
    </xf>
    <xf numFmtId="0" fontId="29" fillId="10" borderId="21" xfId="0" applyFont="1" applyFill="1" applyBorder="1" applyAlignment="1">
      <alignment horizontal="center" vertical="center" wrapText="1"/>
    </xf>
    <xf numFmtId="49" fontId="33" fillId="11" borderId="21" xfId="0" applyNumberFormat="1" applyFont="1" applyFill="1" applyBorder="1" applyAlignment="1">
      <alignment horizontal="center" vertical="center" wrapText="1"/>
    </xf>
    <xf numFmtId="49" fontId="34" fillId="11" borderId="21" xfId="0" applyNumberFormat="1" applyFont="1" applyFill="1" applyBorder="1" applyAlignment="1">
      <alignment horizontal="center" vertical="center" wrapText="1"/>
    </xf>
    <xf numFmtId="49" fontId="33" fillId="0" borderId="21" xfId="0" applyNumberFormat="1" applyFont="1" applyFill="1" applyBorder="1" applyAlignment="1">
      <alignment horizontal="center" vertical="center" wrapText="1"/>
    </xf>
    <xf numFmtId="49" fontId="34" fillId="0" borderId="21" xfId="0" applyNumberFormat="1" applyFont="1" applyFill="1" applyBorder="1" applyAlignment="1">
      <alignment horizontal="center" vertical="center" wrapText="1"/>
    </xf>
    <xf numFmtId="49" fontId="34" fillId="0" borderId="21" xfId="0" quotePrefix="1" applyNumberFormat="1" applyFont="1" applyFill="1" applyBorder="1" applyAlignment="1">
      <alignment horizontal="center" vertical="center" wrapText="1"/>
    </xf>
    <xf numFmtId="49" fontId="34" fillId="11" borderId="21" xfId="0" quotePrefix="1" applyNumberFormat="1" applyFont="1" applyFill="1" applyBorder="1" applyAlignment="1">
      <alignment horizontal="center" vertical="center" wrapText="1"/>
    </xf>
    <xf numFmtId="49" fontId="34" fillId="12" borderId="21" xfId="0" applyNumberFormat="1" applyFont="1" applyFill="1" applyBorder="1" applyAlignment="1">
      <alignment horizontal="center" vertical="center" wrapText="1"/>
    </xf>
    <xf numFmtId="49" fontId="34" fillId="13" borderId="21" xfId="0" applyNumberFormat="1" applyFont="1" applyFill="1" applyBorder="1" applyAlignment="1">
      <alignment horizontal="center" vertical="center" wrapText="1"/>
    </xf>
    <xf numFmtId="49" fontId="34" fillId="13" borderId="21" xfId="0" quotePrefix="1" applyNumberFormat="1" applyFont="1" applyFill="1" applyBorder="1" applyAlignment="1">
      <alignment horizontal="center" vertical="center" wrapText="1"/>
    </xf>
    <xf numFmtId="49" fontId="34" fillId="14" borderId="21" xfId="0" applyNumberFormat="1" applyFont="1" applyFill="1" applyBorder="1" applyAlignment="1">
      <alignment horizontal="center" vertical="center" wrapText="1"/>
    </xf>
    <xf numFmtId="49" fontId="34" fillId="12" borderId="21" xfId="0" quotePrefix="1" applyNumberFormat="1" applyFont="1" applyFill="1" applyBorder="1" applyAlignment="1">
      <alignment horizontal="center" vertical="center" wrapText="1"/>
    </xf>
    <xf numFmtId="0" fontId="0" fillId="0" borderId="0" xfId="0" applyFill="1">
      <alignment vertical="center"/>
    </xf>
    <xf numFmtId="0" fontId="36" fillId="0" borderId="21" xfId="0" applyFont="1" applyFill="1" applyBorder="1" applyAlignment="1">
      <alignment horizontal="left" vertical="center" wrapText="1"/>
    </xf>
    <xf numFmtId="49" fontId="32" fillId="8" borderId="21" xfId="0" applyNumberFormat="1" applyFont="1" applyFill="1" applyBorder="1" applyAlignment="1">
      <alignment horizontal="center" vertical="center" wrapText="1"/>
    </xf>
    <xf numFmtId="0" fontId="27" fillId="9" borderId="28" xfId="0" applyFont="1" applyFill="1" applyBorder="1" applyAlignment="1">
      <alignment horizontal="center" vertical="center" wrapText="1"/>
    </xf>
    <xf numFmtId="0" fontId="37" fillId="0" borderId="0" xfId="2" applyFont="1" applyBorder="1" applyAlignment="1">
      <alignment horizontal="center" vertical="center"/>
    </xf>
    <xf numFmtId="167" fontId="37" fillId="0" borderId="0" xfId="2" applyNumberFormat="1" applyFont="1" applyBorder="1" applyAlignment="1">
      <alignment horizontal="center" vertical="center"/>
    </xf>
    <xf numFmtId="0" fontId="26" fillId="16" borderId="21" xfId="2" applyFont="1" applyFill="1" applyBorder="1" applyAlignment="1">
      <alignment horizontal="center" vertical="center"/>
    </xf>
    <xf numFmtId="0" fontId="31" fillId="0" borderId="0" xfId="0" applyFont="1">
      <alignment vertical="center"/>
    </xf>
    <xf numFmtId="167" fontId="28" fillId="16" borderId="26" xfId="2" applyNumberFormat="1" applyFont="1" applyFill="1" applyBorder="1" applyAlignment="1">
      <alignment horizontal="center" vertical="center"/>
    </xf>
    <xf numFmtId="49" fontId="26" fillId="0" borderId="22" xfId="2" applyNumberFormat="1" applyFont="1" applyFill="1" applyBorder="1" applyAlignment="1">
      <alignment horizontal="center" vertical="center"/>
    </xf>
    <xf numFmtId="49" fontId="26" fillId="0" borderId="23" xfId="2" applyNumberFormat="1" applyFont="1" applyFill="1" applyBorder="1" applyAlignment="1">
      <alignment horizontal="center" vertical="center"/>
    </xf>
    <xf numFmtId="167" fontId="26" fillId="6" borderId="23" xfId="2" applyNumberFormat="1" applyFont="1" applyFill="1" applyBorder="1" applyAlignment="1">
      <alignment horizontal="center" vertical="center"/>
    </xf>
    <xf numFmtId="167" fontId="26" fillId="0" borderId="23" xfId="2" applyNumberFormat="1" applyFont="1" applyFill="1" applyBorder="1" applyAlignment="1">
      <alignment horizontal="center" vertical="center"/>
    </xf>
    <xf numFmtId="167" fontId="26" fillId="0" borderId="24" xfId="2" applyNumberFormat="1" applyFont="1" applyFill="1" applyBorder="1" applyAlignment="1">
      <alignment horizontal="center" vertical="center"/>
    </xf>
    <xf numFmtId="0" fontId="35" fillId="9" borderId="21" xfId="0" applyFont="1" applyFill="1" applyBorder="1" applyAlignment="1">
      <alignment horizontal="center" vertical="center" wrapText="1"/>
    </xf>
    <xf numFmtId="0" fontId="40" fillId="9" borderId="21" xfId="0" applyFont="1" applyFill="1" applyBorder="1" applyAlignment="1">
      <alignment horizontal="center" vertical="center" wrapText="1"/>
    </xf>
    <xf numFmtId="166" fontId="36" fillId="0" borderId="21" xfId="1" applyNumberFormat="1" applyFont="1" applyFill="1" applyBorder="1" applyAlignment="1">
      <alignment horizontal="center" vertical="center" wrapText="1"/>
    </xf>
    <xf numFmtId="0" fontId="36" fillId="6" borderId="21" xfId="0" applyFont="1" applyFill="1" applyBorder="1" applyAlignment="1">
      <alignment horizontal="center" vertical="center" wrapText="1"/>
    </xf>
    <xf numFmtId="166" fontId="36" fillId="6" borderId="21" xfId="1" applyNumberFormat="1" applyFont="1" applyFill="1" applyBorder="1" applyAlignment="1">
      <alignment horizontal="center" vertical="center" wrapText="1"/>
    </xf>
    <xf numFmtId="0" fontId="36" fillId="18" borderId="21" xfId="0" applyFont="1" applyFill="1" applyBorder="1" applyAlignment="1">
      <alignment horizontal="center" vertical="center" wrapText="1"/>
    </xf>
    <xf numFmtId="166" fontId="36" fillId="18" borderId="21" xfId="1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1" fillId="19" borderId="21" xfId="0" applyFont="1" applyFill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24" fillId="7" borderId="21" xfId="2" applyFont="1" applyFill="1" applyBorder="1" applyAlignment="1">
      <alignment horizontal="center" vertical="center"/>
    </xf>
    <xf numFmtId="0" fontId="14" fillId="10" borderId="44" xfId="2" applyFont="1" applyFill="1" applyBorder="1" applyAlignment="1">
      <alignment horizontal="center" vertical="center"/>
    </xf>
    <xf numFmtId="14" fontId="19" fillId="0" borderId="21" xfId="2" applyNumberFormat="1" applyFont="1" applyFill="1" applyBorder="1" applyAlignment="1">
      <alignment horizontal="center" vertical="center"/>
    </xf>
    <xf numFmtId="49" fontId="19" fillId="2" borderId="21" xfId="2" applyNumberFormat="1" applyFont="1" applyFill="1" applyBorder="1" applyAlignment="1">
      <alignment horizontal="center" vertical="center"/>
    </xf>
    <xf numFmtId="0" fontId="36" fillId="0" borderId="21" xfId="0" applyFont="1" applyFill="1" applyBorder="1" applyAlignment="1">
      <alignment horizontal="center" vertical="center" wrapText="1"/>
    </xf>
    <xf numFmtId="169" fontId="37" fillId="0" borderId="0" xfId="2" applyNumberFormat="1" applyFont="1" applyBorder="1" applyAlignment="1">
      <alignment horizontal="center" vertical="center"/>
    </xf>
    <xf numFmtId="164" fontId="19" fillId="0" borderId="21" xfId="2" applyNumberFormat="1" applyFont="1" applyFill="1" applyBorder="1" applyAlignment="1">
      <alignment horizontal="center" vertical="center"/>
    </xf>
    <xf numFmtId="167" fontId="26" fillId="16" borderId="21" xfId="2" applyNumberFormat="1" applyFont="1" applyFill="1" applyBorder="1" applyAlignment="1">
      <alignment horizontal="center" vertical="center"/>
    </xf>
    <xf numFmtId="0" fontId="44" fillId="0" borderId="127" xfId="0" applyFont="1" applyFill="1" applyBorder="1" applyAlignment="1">
      <alignment horizontal="center" vertical="center" wrapText="1"/>
    </xf>
    <xf numFmtId="0" fontId="5" fillId="0" borderId="127" xfId="0" applyFont="1" applyBorder="1" applyAlignment="1">
      <alignment horizontal="left" vertical="center"/>
    </xf>
    <xf numFmtId="0" fontId="5" fillId="0" borderId="127" xfId="0" applyFont="1" applyFill="1" applyBorder="1" applyAlignment="1">
      <alignment horizontal="left" vertical="center"/>
    </xf>
    <xf numFmtId="0" fontId="45" fillId="25" borderId="127" xfId="0" applyFont="1" applyFill="1" applyBorder="1" applyAlignment="1">
      <alignment horizontal="center" vertical="center"/>
    </xf>
    <xf numFmtId="0" fontId="38" fillId="0" borderId="21" xfId="2" applyNumberFormat="1" applyFont="1" applyBorder="1" applyAlignment="1">
      <alignment horizontal="center" vertical="center"/>
    </xf>
    <xf numFmtId="167" fontId="26" fillId="0" borderId="0" xfId="0" applyNumberFormat="1" applyFont="1" applyAlignment="1">
      <alignment horizontal="center" vertical="center"/>
    </xf>
    <xf numFmtId="167" fontId="26" fillId="0" borderId="0" xfId="0" applyNumberFormat="1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169" fontId="26" fillId="0" borderId="15" xfId="0" applyNumberFormat="1" applyFont="1" applyBorder="1" applyAlignment="1">
      <alignment horizontal="center" vertical="center"/>
    </xf>
    <xf numFmtId="167" fontId="26" fillId="6" borderId="15" xfId="0" applyNumberFormat="1" applyFont="1" applyFill="1" applyBorder="1" applyAlignment="1">
      <alignment horizontal="center" vertical="center"/>
    </xf>
    <xf numFmtId="167" fontId="26" fillId="0" borderId="15" xfId="0" applyNumberFormat="1" applyFont="1" applyBorder="1" applyAlignment="1">
      <alignment horizontal="center" vertical="center"/>
    </xf>
    <xf numFmtId="167" fontId="26" fillId="0" borderId="39" xfId="0" applyNumberFormat="1" applyFont="1" applyBorder="1" applyAlignment="1">
      <alignment horizontal="center" vertical="center"/>
    </xf>
    <xf numFmtId="0" fontId="46" fillId="0" borderId="0" xfId="0" applyFont="1" applyProtection="1">
      <alignment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0" fontId="46" fillId="0" borderId="0" xfId="0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left" vertical="center"/>
      <protection hidden="1"/>
    </xf>
    <xf numFmtId="0" fontId="51" fillId="0" borderId="0" xfId="0" applyFont="1" applyAlignment="1" applyProtection="1">
      <alignment vertical="center" wrapText="1"/>
      <protection hidden="1"/>
    </xf>
    <xf numFmtId="0" fontId="50" fillId="0" borderId="0" xfId="0" applyFont="1" applyAlignment="1" applyProtection="1">
      <alignment horizontal="right" vertical="center"/>
      <protection hidden="1"/>
    </xf>
    <xf numFmtId="164" fontId="53" fillId="0" borderId="0" xfId="0" applyNumberFormat="1" applyFont="1" applyAlignment="1">
      <alignment horizontal="center" vertical="center"/>
    </xf>
    <xf numFmtId="0" fontId="46" fillId="0" borderId="63" xfId="0" applyFont="1" applyBorder="1" applyProtection="1">
      <alignment vertical="center"/>
      <protection hidden="1"/>
    </xf>
    <xf numFmtId="0" fontId="55" fillId="0" borderId="0" xfId="0" applyFont="1" applyAlignment="1" applyProtection="1">
      <alignment horizontal="center" vertical="center"/>
      <protection hidden="1"/>
    </xf>
    <xf numFmtId="165" fontId="53" fillId="0" borderId="0" xfId="0" applyNumberFormat="1" applyFont="1" applyAlignment="1">
      <alignment horizontal="center" vertical="center"/>
    </xf>
    <xf numFmtId="172" fontId="53" fillId="0" borderId="0" xfId="0" applyNumberFormat="1" applyFont="1" applyAlignment="1">
      <alignment horizontal="center" vertical="center"/>
    </xf>
    <xf numFmtId="172" fontId="46" fillId="0" borderId="0" xfId="0" applyNumberFormat="1" applyFont="1" applyAlignment="1" applyProtection="1">
      <alignment horizontal="center" vertical="center"/>
      <protection hidden="1"/>
    </xf>
    <xf numFmtId="173" fontId="46" fillId="0" borderId="0" xfId="0" applyNumberFormat="1" applyFont="1" applyAlignment="1" applyProtection="1">
      <alignment horizontal="center" vertical="center"/>
      <protection hidden="1"/>
    </xf>
    <xf numFmtId="0" fontId="53" fillId="0" borderId="0" xfId="0" applyFont="1" applyAlignment="1" applyProtection="1">
      <alignment horizontal="center" vertical="center"/>
      <protection hidden="1"/>
    </xf>
    <xf numFmtId="164" fontId="55" fillId="0" borderId="0" xfId="0" applyNumberFormat="1" applyFont="1" applyAlignment="1" applyProtection="1">
      <alignment horizontal="center" vertical="center"/>
      <protection hidden="1"/>
    </xf>
    <xf numFmtId="0" fontId="46" fillId="0" borderId="90" xfId="0" applyFont="1" applyBorder="1" applyProtection="1">
      <alignment vertical="center"/>
      <protection hidden="1"/>
    </xf>
    <xf numFmtId="0" fontId="58" fillId="0" borderId="0" xfId="0" applyFont="1" applyAlignment="1" applyProtection="1">
      <alignment horizontal="left" vertical="center"/>
      <protection hidden="1"/>
    </xf>
    <xf numFmtId="0" fontId="59" fillId="2" borderId="95" xfId="0" applyFont="1" applyFill="1" applyBorder="1" applyAlignment="1" applyProtection="1">
      <alignment horizontal="center" vertical="center" wrapText="1"/>
      <protection hidden="1"/>
    </xf>
    <xf numFmtId="167" fontId="60" fillId="4" borderId="101" xfId="0" applyNumberFormat="1" applyFont="1" applyFill="1" applyBorder="1" applyAlignment="1" applyProtection="1">
      <alignment horizontal="center" vertical="center" shrinkToFit="1"/>
      <protection hidden="1"/>
    </xf>
    <xf numFmtId="167" fontId="50" fillId="0" borderId="101" xfId="0" applyNumberFormat="1" applyFont="1" applyFill="1" applyBorder="1" applyAlignment="1" applyProtection="1">
      <alignment horizontal="center" vertical="center" shrinkToFit="1"/>
      <protection hidden="1"/>
    </xf>
    <xf numFmtId="167" fontId="50" fillId="20" borderId="101" xfId="0" applyNumberFormat="1" applyFont="1" applyFill="1" applyBorder="1" applyAlignment="1" applyProtection="1">
      <alignment horizontal="center" vertical="center" shrinkToFit="1"/>
      <protection hidden="1"/>
    </xf>
    <xf numFmtId="165" fontId="50" fillId="20" borderId="108" xfId="0" applyNumberFormat="1" applyFont="1" applyFill="1" applyBorder="1" applyAlignment="1" applyProtection="1">
      <alignment horizontal="center" vertical="center" shrinkToFit="1"/>
      <protection hidden="1"/>
    </xf>
    <xf numFmtId="164" fontId="61" fillId="0" borderId="0" xfId="0" applyNumberFormat="1" applyFont="1" applyAlignment="1" applyProtection="1">
      <alignment horizontal="center" vertical="center"/>
      <protection hidden="1"/>
    </xf>
    <xf numFmtId="0" fontId="62" fillId="0" borderId="0" xfId="0" applyFont="1" applyProtection="1">
      <alignment vertical="center"/>
      <protection hidden="1"/>
    </xf>
    <xf numFmtId="165" fontId="61" fillId="0" borderId="0" xfId="0" applyNumberFormat="1" applyFont="1" applyAlignment="1" applyProtection="1">
      <alignment horizontal="center" vertical="center"/>
      <protection hidden="1"/>
    </xf>
    <xf numFmtId="167" fontId="50" fillId="0" borderId="111" xfId="0" applyNumberFormat="1" applyFont="1" applyFill="1" applyBorder="1" applyAlignment="1" applyProtection="1">
      <alignment horizontal="center" vertical="center" shrinkToFit="1"/>
      <protection hidden="1"/>
    </xf>
    <xf numFmtId="167" fontId="50" fillId="20" borderId="111" xfId="0" applyNumberFormat="1" applyFont="1" applyFill="1" applyBorder="1" applyAlignment="1" applyProtection="1">
      <alignment horizontal="center" vertical="center" shrinkToFit="1"/>
      <protection hidden="1"/>
    </xf>
    <xf numFmtId="167" fontId="50" fillId="0" borderId="75" xfId="0" applyNumberFormat="1" applyFont="1" applyFill="1" applyBorder="1" applyAlignment="1" applyProtection="1">
      <alignment horizontal="center" vertical="center" shrinkToFit="1"/>
      <protection hidden="1"/>
    </xf>
    <xf numFmtId="167" fontId="50" fillId="20" borderId="75" xfId="0" applyNumberFormat="1" applyFont="1" applyFill="1" applyBorder="1" applyAlignment="1" applyProtection="1">
      <alignment horizontal="center" vertical="center" shrinkToFit="1"/>
      <protection hidden="1"/>
    </xf>
    <xf numFmtId="167" fontId="50" fillId="0" borderId="116" xfId="0" applyNumberFormat="1" applyFont="1" applyFill="1" applyBorder="1" applyAlignment="1" applyProtection="1">
      <alignment horizontal="center" vertical="center" shrinkToFit="1"/>
      <protection hidden="1"/>
    </xf>
    <xf numFmtId="167" fontId="50" fillId="20" borderId="116" xfId="0" applyNumberFormat="1" applyFont="1" applyFill="1" applyBorder="1" applyAlignment="1" applyProtection="1">
      <alignment horizontal="center" vertical="center" shrinkToFit="1"/>
      <protection hidden="1"/>
    </xf>
    <xf numFmtId="0" fontId="62" fillId="0" borderId="0" xfId="0" applyFont="1" applyAlignment="1" applyProtection="1">
      <alignment horizontal="center" vertical="center"/>
      <protection hidden="1"/>
    </xf>
    <xf numFmtId="0" fontId="51" fillId="0" borderId="0" xfId="0" applyFont="1" applyAlignment="1">
      <alignment horizontal="right" vertical="center"/>
    </xf>
    <xf numFmtId="0" fontId="46" fillId="0" borderId="0" xfId="0" applyFont="1" applyBorder="1" applyAlignment="1" applyProtection="1">
      <alignment horizontal="center" vertical="center"/>
      <protection hidden="1"/>
    </xf>
    <xf numFmtId="0" fontId="46" fillId="0" borderId="0" xfId="0" applyFont="1" applyBorder="1" applyProtection="1">
      <alignment vertical="center"/>
      <protection hidden="1"/>
    </xf>
    <xf numFmtId="0" fontId="50" fillId="0" borderId="0" xfId="0" applyFont="1" applyBorder="1" applyAlignment="1" applyProtection="1">
      <alignment horizontal="left" vertical="center"/>
      <protection hidden="1"/>
    </xf>
    <xf numFmtId="0" fontId="51" fillId="0" borderId="0" xfId="0" applyFont="1" applyBorder="1" applyAlignment="1" applyProtection="1">
      <alignment vertical="center" wrapText="1"/>
      <protection hidden="1"/>
    </xf>
    <xf numFmtId="0" fontId="57" fillId="20" borderId="119" xfId="98" applyFont="1" applyFill="1" applyBorder="1" applyAlignment="1" applyProtection="1">
      <alignment horizontal="center" vertical="center" shrinkToFit="1"/>
      <protection hidden="1"/>
    </xf>
    <xf numFmtId="0" fontId="57" fillId="20" borderId="120" xfId="98" applyFont="1" applyFill="1" applyBorder="1" applyAlignment="1" applyProtection="1">
      <alignment horizontal="center" vertical="center" shrinkToFit="1"/>
      <protection hidden="1"/>
    </xf>
    <xf numFmtId="0" fontId="46" fillId="0" borderId="122" xfId="98" applyFont="1" applyFill="1" applyBorder="1" applyAlignment="1" applyProtection="1">
      <alignment horizontal="center" vertical="center" shrinkToFit="1"/>
      <protection locked="0" hidden="1"/>
    </xf>
    <xf numFmtId="0" fontId="46" fillId="0" borderId="123" xfId="98" applyFont="1" applyFill="1" applyBorder="1" applyAlignment="1" applyProtection="1">
      <alignment horizontal="center" vertical="center" shrinkToFit="1"/>
      <protection locked="0" hidden="1"/>
    </xf>
    <xf numFmtId="170" fontId="64" fillId="0" borderId="125" xfId="0" applyNumberFormat="1" applyFont="1" applyFill="1" applyBorder="1" applyAlignment="1" applyProtection="1">
      <alignment horizontal="center" vertical="center" shrinkToFit="1"/>
      <protection hidden="1"/>
    </xf>
    <xf numFmtId="170" fontId="64" fillId="0" borderId="126" xfId="0" applyNumberFormat="1" applyFont="1" applyFill="1" applyBorder="1" applyAlignment="1" applyProtection="1">
      <alignment horizontal="center" vertical="center" shrinkToFit="1"/>
      <protection hidden="1"/>
    </xf>
    <xf numFmtId="0" fontId="46" fillId="0" borderId="0" xfId="0" applyFont="1" applyBorder="1" applyAlignment="1" applyProtection="1">
      <alignment vertical="center" shrinkToFit="1"/>
      <protection hidden="1"/>
    </xf>
    <xf numFmtId="0" fontId="46" fillId="0" borderId="0" xfId="0" applyFont="1" applyBorder="1" applyAlignment="1" applyProtection="1">
      <alignment horizontal="center" vertical="center" shrinkToFit="1"/>
      <protection hidden="1"/>
    </xf>
    <xf numFmtId="0" fontId="46" fillId="0" borderId="119" xfId="0" applyFont="1" applyBorder="1" applyAlignment="1" applyProtection="1">
      <alignment horizontal="center" vertical="center" shrinkToFit="1"/>
      <protection hidden="1"/>
    </xf>
    <xf numFmtId="0" fontId="46" fillId="0" borderId="120" xfId="0" applyFont="1" applyBorder="1" applyAlignment="1" applyProtection="1">
      <alignment horizontal="center" vertical="center" shrinkToFit="1"/>
      <protection hidden="1"/>
    </xf>
    <xf numFmtId="0" fontId="46" fillId="0" borderId="122" xfId="0" applyFont="1" applyBorder="1" applyAlignment="1" applyProtection="1">
      <alignment horizontal="center" vertical="center" shrinkToFit="1"/>
      <protection hidden="1"/>
    </xf>
    <xf numFmtId="0" fontId="46" fillId="0" borderId="123" xfId="0" applyFont="1" applyBorder="1" applyAlignment="1" applyProtection="1">
      <alignment horizontal="center" vertical="center" shrinkToFit="1"/>
      <protection hidden="1"/>
    </xf>
    <xf numFmtId="0" fontId="46" fillId="22" borderId="122" xfId="98" applyFont="1" applyFill="1" applyBorder="1" applyAlignment="1" applyProtection="1">
      <alignment horizontal="center" vertical="center" shrinkToFit="1"/>
      <protection hidden="1"/>
    </xf>
    <xf numFmtId="0" fontId="46" fillId="22" borderId="123" xfId="98" applyFont="1" applyFill="1" applyBorder="1" applyAlignment="1" applyProtection="1">
      <alignment horizontal="center" vertical="center" shrinkToFit="1"/>
      <protection hidden="1"/>
    </xf>
    <xf numFmtId="0" fontId="56" fillId="23" borderId="125" xfId="98" applyFont="1" applyFill="1" applyBorder="1" applyAlignment="1" applyProtection="1">
      <alignment horizontal="center" vertical="center" shrinkToFit="1"/>
      <protection hidden="1"/>
    </xf>
    <xf numFmtId="0" fontId="56" fillId="23" borderId="126" xfId="98" applyFont="1" applyFill="1" applyBorder="1" applyAlignment="1" applyProtection="1">
      <alignment horizontal="center" vertical="center" shrinkToFit="1"/>
      <protection hidden="1"/>
    </xf>
    <xf numFmtId="0" fontId="46" fillId="22" borderId="122" xfId="0" applyFont="1" applyFill="1" applyBorder="1" applyAlignment="1" applyProtection="1">
      <alignment horizontal="center" vertical="center" shrinkToFit="1"/>
      <protection hidden="1"/>
    </xf>
    <xf numFmtId="0" fontId="46" fillId="22" borderId="123" xfId="0" applyFont="1" applyFill="1" applyBorder="1" applyAlignment="1" applyProtection="1">
      <alignment horizontal="center" vertical="center" shrinkToFit="1"/>
      <protection hidden="1"/>
    </xf>
    <xf numFmtId="0" fontId="46" fillId="22" borderId="119" xfId="0" applyFont="1" applyFill="1" applyBorder="1" applyAlignment="1" applyProtection="1">
      <alignment horizontal="center" vertical="center" shrinkToFit="1"/>
      <protection hidden="1"/>
    </xf>
    <xf numFmtId="0" fontId="46" fillId="22" borderId="120" xfId="0" applyFont="1" applyFill="1" applyBorder="1" applyAlignment="1" applyProtection="1">
      <alignment horizontal="center" vertical="center" shrinkToFit="1"/>
      <protection hidden="1"/>
    </xf>
    <xf numFmtId="0" fontId="64" fillId="0" borderId="125" xfId="0" applyFont="1" applyBorder="1" applyAlignment="1" applyProtection="1">
      <alignment horizontal="center" vertical="center" shrinkToFit="1"/>
      <protection hidden="1"/>
    </xf>
    <xf numFmtId="0" fontId="64" fillId="0" borderId="126" xfId="0" applyFont="1" applyBorder="1" applyAlignment="1" applyProtection="1">
      <alignment horizontal="center" vertical="center" shrinkToFit="1"/>
      <protection hidden="1"/>
    </xf>
    <xf numFmtId="0" fontId="26" fillId="0" borderId="0" xfId="0" applyFont="1" applyProtection="1">
      <alignment vertical="center"/>
      <protection hidden="1"/>
    </xf>
    <xf numFmtId="0" fontId="66" fillId="0" borderId="0" xfId="0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8" fillId="8" borderId="133" xfId="2" applyFont="1" applyFill="1" applyBorder="1" applyAlignment="1">
      <alignment horizontal="center" vertical="center"/>
    </xf>
    <xf numFmtId="0" fontId="28" fillId="8" borderId="134" xfId="2" applyFont="1" applyFill="1" applyBorder="1" applyAlignment="1">
      <alignment horizontal="center" vertical="center"/>
    </xf>
    <xf numFmtId="0" fontId="28" fillId="8" borderId="135" xfId="2" applyFont="1" applyFill="1" applyBorder="1" applyAlignment="1">
      <alignment horizontal="center" vertical="center"/>
    </xf>
    <xf numFmtId="0" fontId="29" fillId="8" borderId="136" xfId="2" applyFont="1" applyFill="1" applyBorder="1" applyAlignment="1">
      <alignment horizontal="center" vertical="center"/>
    </xf>
    <xf numFmtId="0" fontId="67" fillId="0" borderId="137" xfId="2" applyFont="1" applyFill="1" applyBorder="1" applyAlignment="1">
      <alignment horizontal="center" vertical="center"/>
    </xf>
    <xf numFmtId="0" fontId="67" fillId="0" borderId="137" xfId="2" applyFont="1" applyBorder="1" applyAlignment="1">
      <alignment horizontal="center" vertical="center"/>
    </xf>
    <xf numFmtId="0" fontId="67" fillId="0" borderId="138" xfId="2" applyFont="1" applyFill="1" applyBorder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29" fillId="8" borderId="52" xfId="2" applyFont="1" applyFill="1" applyBorder="1" applyAlignment="1">
      <alignment horizontal="center" vertical="center"/>
    </xf>
    <xf numFmtId="0" fontId="67" fillId="0" borderId="139" xfId="2" applyFont="1" applyFill="1" applyBorder="1" applyAlignment="1">
      <alignment horizontal="center" vertical="center"/>
    </xf>
    <xf numFmtId="0" fontId="67" fillId="0" borderId="139" xfId="2" applyFont="1" applyBorder="1" applyAlignment="1">
      <alignment horizontal="center" vertical="center"/>
    </xf>
    <xf numFmtId="0" fontId="67" fillId="0" borderId="52" xfId="2" applyFont="1" applyFill="1" applyBorder="1" applyAlignment="1">
      <alignment horizontal="center" vertical="center"/>
    </xf>
    <xf numFmtId="0" fontId="29" fillId="8" borderId="40" xfId="2" applyFont="1" applyFill="1" applyBorder="1" applyAlignment="1">
      <alignment horizontal="center" vertical="center"/>
    </xf>
    <xf numFmtId="164" fontId="67" fillId="0" borderId="139" xfId="2" applyNumberFormat="1" applyFont="1" applyFill="1" applyBorder="1" applyAlignment="1">
      <alignment horizontal="center" vertical="center"/>
    </xf>
    <xf numFmtId="164" fontId="67" fillId="0" borderId="139" xfId="2" applyNumberFormat="1" applyFont="1" applyBorder="1" applyAlignment="1">
      <alignment horizontal="center" vertical="center"/>
    </xf>
    <xf numFmtId="164" fontId="67" fillId="0" borderId="52" xfId="2" applyNumberFormat="1" applyFont="1" applyFill="1" applyBorder="1" applyAlignment="1">
      <alignment horizontal="center" vertical="center"/>
    </xf>
    <xf numFmtId="0" fontId="29" fillId="8" borderId="140" xfId="2" applyFont="1" applyFill="1" applyBorder="1" applyAlignment="1">
      <alignment horizontal="center" vertical="center"/>
    </xf>
    <xf numFmtId="9" fontId="29" fillId="0" borderId="141" xfId="2" applyNumberFormat="1" applyFont="1" applyFill="1" applyBorder="1" applyAlignment="1">
      <alignment horizontal="center" vertical="center" shrinkToFit="1"/>
    </xf>
    <xf numFmtId="9" fontId="29" fillId="0" borderId="141" xfId="2" applyNumberFormat="1" applyFont="1" applyBorder="1" applyAlignment="1">
      <alignment horizontal="center" vertical="center" shrinkToFit="1"/>
    </xf>
    <xf numFmtId="9" fontId="29" fillId="0" borderId="142" xfId="2" applyNumberFormat="1" applyFont="1" applyFill="1" applyBorder="1" applyAlignment="1">
      <alignment horizontal="center" vertical="center" shrinkToFit="1"/>
    </xf>
    <xf numFmtId="0" fontId="66" fillId="0" borderId="0" xfId="0" applyFont="1">
      <alignment vertical="center"/>
    </xf>
    <xf numFmtId="0" fontId="28" fillId="16" borderId="146" xfId="2" applyFont="1" applyFill="1" applyBorder="1" applyAlignment="1">
      <alignment horizontal="center" vertical="center"/>
    </xf>
    <xf numFmtId="0" fontId="28" fillId="16" borderId="147" xfId="2" applyFont="1" applyFill="1" applyBorder="1" applyAlignment="1">
      <alignment horizontal="center" vertical="center"/>
    </xf>
    <xf numFmtId="169" fontId="28" fillId="16" borderId="147" xfId="2" applyNumberFormat="1" applyFont="1" applyFill="1" applyBorder="1" applyAlignment="1">
      <alignment horizontal="center" vertical="center"/>
    </xf>
    <xf numFmtId="0" fontId="28" fillId="16" borderId="147" xfId="2" applyFont="1" applyFill="1" applyBorder="1" applyAlignment="1">
      <alignment horizontal="center" vertical="center" wrapText="1"/>
    </xf>
    <xf numFmtId="167" fontId="28" fillId="16" borderId="147" xfId="2" applyNumberFormat="1" applyFont="1" applyFill="1" applyBorder="1" applyAlignment="1">
      <alignment horizontal="center" vertical="center" wrapText="1"/>
    </xf>
    <xf numFmtId="167" fontId="28" fillId="16" borderId="147" xfId="2" applyNumberFormat="1" applyFont="1" applyFill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169" fontId="26" fillId="0" borderId="43" xfId="0" applyNumberFormat="1" applyFont="1" applyBorder="1" applyAlignment="1">
      <alignment horizontal="center" vertical="center"/>
    </xf>
    <xf numFmtId="167" fontId="26" fillId="6" borderId="43" xfId="0" applyNumberFormat="1" applyFont="1" applyFill="1" applyBorder="1" applyAlignment="1">
      <alignment horizontal="center" vertical="center"/>
    </xf>
    <xf numFmtId="167" fontId="26" fillId="0" borderId="43" xfId="0" applyNumberFormat="1" applyFont="1" applyBorder="1" applyAlignment="1">
      <alignment horizontal="center" vertical="center"/>
    </xf>
    <xf numFmtId="167" fontId="26" fillId="0" borderId="41" xfId="0" applyNumberFormat="1" applyFont="1" applyBorder="1" applyAlignment="1">
      <alignment horizontal="center" vertical="center"/>
    </xf>
    <xf numFmtId="167" fontId="28" fillId="16" borderId="11" xfId="2" applyNumberFormat="1" applyFont="1" applyFill="1" applyBorder="1" applyAlignment="1">
      <alignment horizontal="center" vertical="center" wrapText="1"/>
    </xf>
    <xf numFmtId="167" fontId="28" fillId="16" borderId="26" xfId="2" applyNumberFormat="1" applyFont="1" applyFill="1" applyBorder="1" applyAlignment="1">
      <alignment horizontal="center" vertical="center" wrapText="1"/>
    </xf>
    <xf numFmtId="0" fontId="28" fillId="16" borderId="11" xfId="2" applyFont="1" applyFill="1" applyBorder="1" applyAlignment="1">
      <alignment horizontal="center" vertical="center"/>
    </xf>
    <xf numFmtId="0" fontId="28" fillId="16" borderId="26" xfId="2" applyFont="1" applyFill="1" applyBorder="1" applyAlignment="1">
      <alignment horizontal="center" vertical="center"/>
    </xf>
    <xf numFmtId="169" fontId="28" fillId="16" borderId="11" xfId="2" applyNumberFormat="1" applyFont="1" applyFill="1" applyBorder="1" applyAlignment="1">
      <alignment horizontal="center" vertical="center"/>
    </xf>
    <xf numFmtId="169" fontId="28" fillId="16" borderId="26" xfId="2" applyNumberFormat="1" applyFont="1" applyFill="1" applyBorder="1" applyAlignment="1">
      <alignment horizontal="center" vertical="center"/>
    </xf>
    <xf numFmtId="0" fontId="28" fillId="16" borderId="11" xfId="2" applyFont="1" applyFill="1" applyBorder="1" applyAlignment="1">
      <alignment horizontal="center" vertical="center" wrapText="1"/>
    </xf>
    <xf numFmtId="167" fontId="28" fillId="16" borderId="11" xfId="2" applyNumberFormat="1" applyFont="1" applyFill="1" applyBorder="1" applyAlignment="1">
      <alignment horizontal="center" vertical="center"/>
    </xf>
    <xf numFmtId="0" fontId="20" fillId="15" borderId="0" xfId="0" applyFont="1" applyFill="1" applyBorder="1" applyAlignment="1">
      <alignment horizontal="center" vertical="center"/>
    </xf>
    <xf numFmtId="167" fontId="26" fillId="16" borderId="21" xfId="2" applyNumberFormat="1" applyFont="1" applyFill="1" applyBorder="1" applyAlignment="1">
      <alignment horizontal="center" vertical="center"/>
    </xf>
    <xf numFmtId="171" fontId="38" fillId="0" borderId="21" xfId="2" applyNumberFormat="1" applyFont="1" applyBorder="1" applyAlignment="1">
      <alignment horizontal="center" vertical="center"/>
    </xf>
    <xf numFmtId="164" fontId="38" fillId="0" borderId="21" xfId="2" applyNumberFormat="1" applyFont="1" applyBorder="1" applyAlignment="1">
      <alignment horizontal="center" vertical="center"/>
    </xf>
    <xf numFmtId="171" fontId="38" fillId="0" borderId="28" xfId="2" applyNumberFormat="1" applyFont="1" applyBorder="1" applyAlignment="1">
      <alignment horizontal="center" vertical="center"/>
    </xf>
    <xf numFmtId="171" fontId="38" fillId="0" borderId="29" xfId="2" applyNumberFormat="1" applyFont="1" applyBorder="1" applyAlignment="1">
      <alignment horizontal="center" vertical="center"/>
    </xf>
    <xf numFmtId="0" fontId="38" fillId="0" borderId="21" xfId="2" applyNumberFormat="1" applyFont="1" applyBorder="1" applyAlignment="1">
      <alignment horizontal="center" vertical="center"/>
    </xf>
    <xf numFmtId="167" fontId="26" fillId="16" borderId="28" xfId="2" applyNumberFormat="1" applyFont="1" applyFill="1" applyBorder="1" applyAlignment="1">
      <alignment horizontal="center" vertical="center"/>
    </xf>
    <xf numFmtId="167" fontId="26" fillId="16" borderId="29" xfId="2" applyNumberFormat="1" applyFont="1" applyFill="1" applyBorder="1" applyAlignment="1">
      <alignment horizontal="center" vertical="center"/>
    </xf>
    <xf numFmtId="0" fontId="39" fillId="17" borderId="20" xfId="2" applyFont="1" applyFill="1" applyBorder="1" applyAlignment="1">
      <alignment horizontal="center" vertical="center"/>
    </xf>
    <xf numFmtId="0" fontId="39" fillId="17" borderId="17" xfId="2" applyFont="1" applyFill="1" applyBorder="1" applyAlignment="1">
      <alignment horizontal="center" vertical="center"/>
    </xf>
    <xf numFmtId="0" fontId="39" fillId="17" borderId="18" xfId="2" applyFont="1" applyFill="1" applyBorder="1" applyAlignment="1">
      <alignment horizontal="center" vertical="center"/>
    </xf>
    <xf numFmtId="0" fontId="39" fillId="17" borderId="19" xfId="2" applyFont="1" applyFill="1" applyBorder="1" applyAlignment="1">
      <alignment horizontal="center" vertical="center"/>
    </xf>
    <xf numFmtId="167" fontId="39" fillId="17" borderId="18" xfId="2" applyNumberFormat="1" applyFont="1" applyFill="1" applyBorder="1" applyAlignment="1">
      <alignment horizontal="center" vertical="center"/>
    </xf>
    <xf numFmtId="167" fontId="39" fillId="17" borderId="19" xfId="2" applyNumberFormat="1" applyFont="1" applyFill="1" applyBorder="1" applyAlignment="1">
      <alignment horizontal="center" vertical="center"/>
    </xf>
    <xf numFmtId="167" fontId="39" fillId="17" borderId="20" xfId="2" applyNumberFormat="1" applyFont="1" applyFill="1" applyBorder="1" applyAlignment="1">
      <alignment horizontal="center" vertical="center"/>
    </xf>
    <xf numFmtId="0" fontId="28" fillId="16" borderId="12" xfId="2" applyFont="1" applyFill="1" applyBorder="1" applyAlignment="1">
      <alignment horizontal="center" vertical="center"/>
    </xf>
    <xf numFmtId="0" fontId="28" fillId="16" borderId="25" xfId="2" applyFont="1" applyFill="1" applyBorder="1" applyAlignment="1">
      <alignment horizontal="center" vertical="center"/>
    </xf>
    <xf numFmtId="0" fontId="23" fillId="9" borderId="21" xfId="2" applyFont="1" applyFill="1" applyBorder="1" applyAlignment="1">
      <alignment horizontal="center" vertical="center"/>
    </xf>
    <xf numFmtId="0" fontId="14" fillId="0" borderId="21" xfId="2" applyFont="1" applyFill="1" applyBorder="1" applyAlignment="1">
      <alignment horizontal="center" vertical="center"/>
    </xf>
    <xf numFmtId="14" fontId="14" fillId="0" borderId="21" xfId="2" applyNumberFormat="1" applyFont="1" applyFill="1" applyBorder="1" applyAlignment="1">
      <alignment horizontal="center" vertical="center"/>
    </xf>
    <xf numFmtId="0" fontId="14" fillId="0" borderId="21" xfId="2" applyNumberFormat="1" applyFont="1" applyFill="1" applyBorder="1" applyAlignment="1">
      <alignment horizontal="center" vertical="center"/>
    </xf>
    <xf numFmtId="0" fontId="24" fillId="7" borderId="21" xfId="2" applyFont="1" applyFill="1" applyBorder="1" applyAlignment="1">
      <alignment horizontal="center" vertical="center"/>
    </xf>
    <xf numFmtId="0" fontId="14" fillId="0" borderId="31" xfId="2" applyFont="1" applyBorder="1">
      <alignment vertical="center"/>
    </xf>
    <xf numFmtId="0" fontId="14" fillId="0" borderId="32" xfId="2" applyFont="1" applyBorder="1">
      <alignment vertical="center"/>
    </xf>
    <xf numFmtId="0" fontId="14" fillId="0" borderId="33" xfId="2" applyFont="1" applyBorder="1">
      <alignment vertical="center"/>
    </xf>
    <xf numFmtId="0" fontId="14" fillId="0" borderId="37" xfId="2" applyFont="1" applyBorder="1">
      <alignment vertical="center"/>
    </xf>
    <xf numFmtId="0" fontId="14" fillId="0" borderId="1" xfId="2" applyFont="1" applyBorder="1">
      <alignment vertical="center"/>
    </xf>
    <xf numFmtId="0" fontId="14" fillId="0" borderId="38" xfId="2" applyFont="1" applyBorder="1">
      <alignment vertical="center"/>
    </xf>
    <xf numFmtId="0" fontId="14" fillId="0" borderId="45" xfId="2" applyFont="1" applyBorder="1">
      <alignment vertical="center"/>
    </xf>
    <xf numFmtId="0" fontId="14" fillId="0" borderId="46" xfId="2" applyFont="1" applyBorder="1">
      <alignment vertical="center"/>
    </xf>
    <xf numFmtId="0" fontId="14" fillId="0" borderId="47" xfId="2" applyFont="1" applyBorder="1">
      <alignment vertical="center"/>
    </xf>
    <xf numFmtId="0" fontId="14" fillId="10" borderId="44" xfId="2" applyFont="1" applyFill="1" applyBorder="1" applyAlignment="1">
      <alignment horizontal="center" vertical="center"/>
    </xf>
    <xf numFmtId="0" fontId="5" fillId="0" borderId="39" xfId="2" applyFont="1" applyFill="1" applyBorder="1" applyAlignment="1">
      <alignment horizontal="left" vertical="center" shrinkToFit="1"/>
    </xf>
    <xf numFmtId="0" fontId="5" fillId="0" borderId="52" xfId="2" applyFont="1" applyFill="1" applyBorder="1" applyAlignment="1">
      <alignment horizontal="left" vertical="center" shrinkToFit="1"/>
    </xf>
    <xf numFmtId="0" fontId="5" fillId="0" borderId="40" xfId="2" applyFont="1" applyFill="1" applyBorder="1" applyAlignment="1">
      <alignment horizontal="left" vertical="center" shrinkToFit="1"/>
    </xf>
    <xf numFmtId="49" fontId="19" fillId="2" borderId="21" xfId="2" applyNumberFormat="1" applyFont="1" applyFill="1" applyBorder="1" applyAlignment="1">
      <alignment horizontal="center" vertical="center"/>
    </xf>
    <xf numFmtId="14" fontId="19" fillId="0" borderId="21" xfId="2" applyNumberFormat="1" applyFont="1" applyFill="1" applyBorder="1" applyAlignment="1">
      <alignment horizontal="center" vertical="center"/>
    </xf>
    <xf numFmtId="0" fontId="19" fillId="0" borderId="21" xfId="2" applyNumberFormat="1" applyFont="1" applyFill="1" applyBorder="1" applyAlignment="1">
      <alignment horizontal="center" vertical="center"/>
    </xf>
    <xf numFmtId="164" fontId="19" fillId="0" borderId="21" xfId="2" applyNumberFormat="1" applyFont="1" applyFill="1" applyBorder="1" applyAlignment="1">
      <alignment horizontal="center" vertical="center"/>
    </xf>
    <xf numFmtId="0" fontId="25" fillId="3" borderId="28" xfId="2" applyFont="1" applyFill="1" applyBorder="1" applyAlignment="1">
      <alignment horizontal="center" vertical="center" shrinkToFit="1"/>
    </xf>
    <xf numFmtId="0" fontId="25" fillId="3" borderId="30" xfId="2" applyFont="1" applyFill="1" applyBorder="1" applyAlignment="1">
      <alignment horizontal="center" vertical="center" shrinkToFit="1"/>
    </xf>
    <xf numFmtId="0" fontId="25" fillId="3" borderId="26" xfId="2" applyFont="1" applyFill="1" applyBorder="1" applyAlignment="1">
      <alignment horizontal="center" vertical="center" shrinkToFit="1"/>
    </xf>
    <xf numFmtId="0" fontId="25" fillId="3" borderId="30" xfId="2" applyFont="1" applyFill="1" applyBorder="1" applyAlignment="1">
      <alignment horizontal="center" vertical="center" wrapText="1"/>
    </xf>
    <xf numFmtId="0" fontId="25" fillId="3" borderId="26" xfId="2" applyFont="1" applyFill="1" applyBorder="1" applyAlignment="1">
      <alignment horizontal="center" vertical="center"/>
    </xf>
    <xf numFmtId="9" fontId="25" fillId="3" borderId="29" xfId="2" applyNumberFormat="1" applyFont="1" applyFill="1" applyBorder="1" applyAlignment="1">
      <alignment horizontal="center" vertical="center" wrapText="1" shrinkToFit="1"/>
    </xf>
    <xf numFmtId="9" fontId="25" fillId="3" borderId="29" xfId="2" applyNumberFormat="1" applyFont="1" applyFill="1" applyBorder="1" applyAlignment="1">
      <alignment horizontal="center" vertical="center" shrinkToFit="1"/>
    </xf>
    <xf numFmtId="0" fontId="5" fillId="0" borderId="51" xfId="2" applyFont="1" applyFill="1" applyBorder="1" applyAlignment="1">
      <alignment horizontal="left" vertical="center" shrinkToFit="1"/>
    </xf>
    <xf numFmtId="0" fontId="5" fillId="0" borderId="51" xfId="2" quotePrefix="1" applyFont="1" applyFill="1" applyBorder="1" applyAlignment="1">
      <alignment horizontal="left" vertical="center" shrinkToFit="1"/>
    </xf>
    <xf numFmtId="171" fontId="19" fillId="0" borderId="28" xfId="2" applyNumberFormat="1" applyFont="1" applyFill="1" applyBorder="1" applyAlignment="1">
      <alignment horizontal="center" vertical="center"/>
    </xf>
    <xf numFmtId="171" fontId="19" fillId="0" borderId="29" xfId="2" applyNumberFormat="1" applyFont="1" applyFill="1" applyBorder="1" applyAlignment="1">
      <alignment horizontal="center" vertical="center"/>
    </xf>
    <xf numFmtId="0" fontId="5" fillId="0" borderId="53" xfId="2" applyFont="1" applyFill="1" applyBorder="1" applyAlignment="1">
      <alignment horizontal="left" vertical="center" shrinkToFit="1"/>
    </xf>
    <xf numFmtId="0" fontId="5" fillId="0" borderId="54" xfId="2" applyFont="1" applyFill="1" applyBorder="1" applyAlignment="1">
      <alignment horizontal="left" vertical="center" shrinkToFit="1"/>
    </xf>
    <xf numFmtId="0" fontId="5" fillId="0" borderId="55" xfId="2" applyFont="1" applyFill="1" applyBorder="1" applyAlignment="1">
      <alignment horizontal="left" vertical="center" shrinkToFit="1"/>
    </xf>
    <xf numFmtId="0" fontId="36" fillId="0" borderId="21" xfId="0" applyFont="1" applyFill="1" applyBorder="1" applyAlignment="1">
      <alignment horizontal="center" vertical="center" wrapText="1"/>
    </xf>
    <xf numFmtId="0" fontId="36" fillId="18" borderId="21" xfId="0" applyFont="1" applyFill="1" applyBorder="1" applyAlignment="1">
      <alignment horizontal="center" vertical="center" wrapText="1"/>
    </xf>
    <xf numFmtId="0" fontId="48" fillId="0" borderId="56" xfId="0" applyFont="1" applyBorder="1" applyAlignment="1" applyProtection="1">
      <alignment horizontal="center" vertical="center"/>
      <protection hidden="1"/>
    </xf>
    <xf numFmtId="0" fontId="48" fillId="0" borderId="57" xfId="0" applyFont="1" applyBorder="1" applyAlignment="1" applyProtection="1">
      <alignment horizontal="center" vertical="center"/>
      <protection hidden="1"/>
    </xf>
    <xf numFmtId="0" fontId="48" fillId="0" borderId="58" xfId="0" applyFont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3" xfId="0" applyFont="1" applyFill="1" applyBorder="1" applyAlignment="1" applyProtection="1">
      <alignment horizontal="center" vertical="center"/>
      <protection hidden="1"/>
    </xf>
    <xf numFmtId="0" fontId="49" fillId="3" borderId="4" xfId="0" applyFont="1" applyFill="1" applyBorder="1" applyAlignment="1" applyProtection="1">
      <alignment horizontal="center" vertical="center"/>
      <protection hidden="1"/>
    </xf>
    <xf numFmtId="0" fontId="49" fillId="3" borderId="59" xfId="0" applyFont="1" applyFill="1" applyBorder="1" applyAlignment="1" applyProtection="1">
      <alignment horizontal="center" vertical="center"/>
      <protection hidden="1"/>
    </xf>
    <xf numFmtId="0" fontId="46" fillId="6" borderId="5" xfId="0" applyFont="1" applyFill="1" applyBorder="1" applyAlignment="1" applyProtection="1">
      <alignment horizontal="center" vertical="center" shrinkToFit="1"/>
      <protection hidden="1"/>
    </xf>
    <xf numFmtId="0" fontId="46" fillId="6" borderId="6" xfId="0" applyFont="1" applyFill="1" applyBorder="1" applyAlignment="1" applyProtection="1">
      <alignment horizontal="center" vertical="center" shrinkToFit="1"/>
      <protection hidden="1"/>
    </xf>
    <xf numFmtId="0" fontId="46" fillId="6" borderId="8" xfId="0" applyFont="1" applyFill="1" applyBorder="1" applyAlignment="1" applyProtection="1">
      <alignment horizontal="center" vertical="center" shrinkToFit="1"/>
      <protection hidden="1"/>
    </xf>
    <xf numFmtId="0" fontId="46" fillId="6" borderId="9" xfId="0" applyFont="1" applyFill="1" applyBorder="1" applyAlignment="1" applyProtection="1">
      <alignment horizontal="center" vertical="center" shrinkToFit="1"/>
      <protection hidden="1"/>
    </xf>
    <xf numFmtId="0" fontId="46" fillId="6" borderId="6" xfId="0" applyNumberFormat="1" applyFont="1" applyFill="1" applyBorder="1" applyAlignment="1" applyProtection="1">
      <alignment horizontal="center" vertical="center" shrinkToFit="1"/>
      <protection locked="0" hidden="1"/>
    </xf>
    <xf numFmtId="0" fontId="46" fillId="6" borderId="9" xfId="0" applyNumberFormat="1" applyFont="1" applyFill="1" applyBorder="1" applyAlignment="1" applyProtection="1">
      <alignment horizontal="center" vertical="center" shrinkToFit="1"/>
      <protection locked="0" hidden="1"/>
    </xf>
    <xf numFmtId="169" fontId="46" fillId="6" borderId="7" xfId="0" applyNumberFormat="1" applyFont="1" applyFill="1" applyBorder="1" applyAlignment="1" applyProtection="1">
      <alignment horizontal="center" vertical="center" shrinkToFit="1"/>
      <protection hidden="1"/>
    </xf>
    <xf numFmtId="169" fontId="46" fillId="6" borderId="60" xfId="0" applyNumberFormat="1" applyFont="1" applyFill="1" applyBorder="1" applyAlignment="1" applyProtection="1">
      <alignment horizontal="center" vertical="center" shrinkToFit="1"/>
      <protection hidden="1"/>
    </xf>
    <xf numFmtId="169" fontId="46" fillId="6" borderId="5" xfId="0" applyNumberFormat="1" applyFont="1" applyFill="1" applyBorder="1" applyAlignment="1" applyProtection="1">
      <alignment horizontal="center" vertical="center" shrinkToFit="1"/>
      <protection hidden="1"/>
    </xf>
    <xf numFmtId="169" fontId="46" fillId="6" borderId="10" xfId="0" applyNumberFormat="1" applyFont="1" applyFill="1" applyBorder="1" applyAlignment="1" applyProtection="1">
      <alignment horizontal="center" vertical="center" shrinkToFit="1"/>
      <protection hidden="1"/>
    </xf>
    <xf numFmtId="169" fontId="46" fillId="6" borderId="61" xfId="0" applyNumberFormat="1" applyFont="1" applyFill="1" applyBorder="1" applyAlignment="1" applyProtection="1">
      <alignment horizontal="center" vertical="center" shrinkToFit="1"/>
      <protection hidden="1"/>
    </xf>
    <xf numFmtId="169" fontId="46" fillId="6" borderId="8" xfId="0" applyNumberFormat="1" applyFont="1" applyFill="1" applyBorder="1" applyAlignment="1" applyProtection="1">
      <alignment horizontal="center" vertical="center" shrinkToFit="1"/>
      <protection hidden="1"/>
    </xf>
    <xf numFmtId="49" fontId="46" fillId="6" borderId="6" xfId="0" applyNumberFormat="1" applyFont="1" applyFill="1" applyBorder="1" applyAlignment="1" applyProtection="1">
      <alignment horizontal="center" vertical="center" shrinkToFit="1"/>
      <protection locked="0" hidden="1"/>
    </xf>
    <xf numFmtId="49" fontId="46" fillId="6" borderId="7" xfId="0" applyNumberFormat="1" applyFont="1" applyFill="1" applyBorder="1" applyAlignment="1" applyProtection="1">
      <alignment horizontal="center" vertical="center" shrinkToFit="1"/>
      <protection locked="0" hidden="1"/>
    </xf>
    <xf numFmtId="49" fontId="46" fillId="6" borderId="9" xfId="0" applyNumberFormat="1" applyFont="1" applyFill="1" applyBorder="1" applyAlignment="1" applyProtection="1">
      <alignment horizontal="center" vertical="center" shrinkToFit="1"/>
      <protection locked="0" hidden="1"/>
    </xf>
    <xf numFmtId="49" fontId="46" fillId="6" borderId="10" xfId="0" applyNumberFormat="1" applyFont="1" applyFill="1" applyBorder="1" applyAlignment="1" applyProtection="1">
      <alignment horizontal="center" vertical="center" shrinkToFit="1"/>
      <protection locked="0" hidden="1"/>
    </xf>
    <xf numFmtId="0" fontId="27" fillId="4" borderId="130" xfId="0" applyFont="1" applyFill="1" applyBorder="1" applyAlignment="1">
      <alignment horizontal="left" vertical="center"/>
    </xf>
    <xf numFmtId="0" fontId="27" fillId="4" borderId="131" xfId="0" applyFont="1" applyFill="1" applyBorder="1" applyAlignment="1">
      <alignment horizontal="left" vertical="center"/>
    </xf>
    <xf numFmtId="0" fontId="27" fillId="4" borderId="132" xfId="0" applyFont="1" applyFill="1" applyBorder="1" applyAlignment="1">
      <alignment horizontal="left" vertical="center"/>
    </xf>
    <xf numFmtId="0" fontId="68" fillId="0" borderId="130" xfId="0" applyFont="1" applyFill="1" applyBorder="1" applyAlignment="1">
      <alignment horizontal="center" vertical="center"/>
    </xf>
    <xf numFmtId="0" fontId="68" fillId="0" borderId="131" xfId="0" applyFont="1" applyFill="1" applyBorder="1" applyAlignment="1">
      <alignment horizontal="center" vertical="center"/>
    </xf>
    <xf numFmtId="0" fontId="68" fillId="0" borderId="132" xfId="0" applyFont="1" applyFill="1" applyBorder="1" applyAlignment="1">
      <alignment horizontal="center" vertical="center"/>
    </xf>
    <xf numFmtId="0" fontId="28" fillId="0" borderId="143" xfId="2" applyFont="1" applyFill="1" applyBorder="1" applyAlignment="1">
      <alignment horizontal="center" vertical="center"/>
    </xf>
    <xf numFmtId="0" fontId="28" fillId="0" borderId="135" xfId="2" applyFont="1" applyFill="1" applyBorder="1" applyAlignment="1">
      <alignment horizontal="center" vertical="center"/>
    </xf>
    <xf numFmtId="0" fontId="28" fillId="0" borderId="144" xfId="2" applyFont="1" applyFill="1" applyBorder="1" applyAlignment="1">
      <alignment horizontal="center" vertical="center"/>
    </xf>
    <xf numFmtId="0" fontId="28" fillId="0" borderId="0" xfId="2" applyFont="1" applyFill="1" applyBorder="1" applyAlignment="1">
      <alignment horizontal="center" vertical="center"/>
    </xf>
    <xf numFmtId="0" fontId="28" fillId="0" borderId="145" xfId="2" applyFont="1" applyFill="1" applyBorder="1" applyAlignment="1">
      <alignment horizontal="center" vertical="center"/>
    </xf>
    <xf numFmtId="0" fontId="28" fillId="0" borderId="142" xfId="2" applyFont="1" applyFill="1" applyBorder="1" applyAlignment="1">
      <alignment horizontal="center" vertical="center"/>
    </xf>
    <xf numFmtId="0" fontId="52" fillId="4" borderId="62" xfId="0" applyFont="1" applyFill="1" applyBorder="1" applyAlignment="1" applyProtection="1">
      <alignment horizontal="left" vertical="center"/>
      <protection hidden="1"/>
    </xf>
    <xf numFmtId="0" fontId="54" fillId="2" borderId="63" xfId="0" applyFont="1" applyFill="1" applyBorder="1" applyAlignment="1" applyProtection="1">
      <alignment horizontal="center" vertical="center"/>
      <protection hidden="1"/>
    </xf>
    <xf numFmtId="0" fontId="54" fillId="2" borderId="64" xfId="0" applyFont="1" applyFill="1" applyBorder="1" applyAlignment="1" applyProtection="1">
      <alignment horizontal="center" vertical="center"/>
      <protection hidden="1"/>
    </xf>
    <xf numFmtId="0" fontId="54" fillId="2" borderId="67" xfId="0" applyFont="1" applyFill="1" applyBorder="1" applyAlignment="1" applyProtection="1">
      <alignment horizontal="center" vertical="center"/>
      <protection hidden="1"/>
    </xf>
    <xf numFmtId="0" fontId="54" fillId="2" borderId="68" xfId="0" applyFont="1" applyFill="1" applyBorder="1" applyAlignment="1" applyProtection="1">
      <alignment horizontal="center" vertical="center"/>
      <protection hidden="1"/>
    </xf>
    <xf numFmtId="0" fontId="54" fillId="2" borderId="65" xfId="0" applyFont="1" applyFill="1" applyBorder="1" applyAlignment="1" applyProtection="1">
      <alignment horizontal="center" vertical="center"/>
      <protection hidden="1"/>
    </xf>
    <xf numFmtId="0" fontId="54" fillId="2" borderId="69" xfId="0" applyFont="1" applyFill="1" applyBorder="1" applyAlignment="1" applyProtection="1">
      <alignment horizontal="center" vertical="center"/>
      <protection hidden="1"/>
    </xf>
    <xf numFmtId="0" fontId="69" fillId="2" borderId="65" xfId="0" applyFont="1" applyFill="1" applyBorder="1" applyAlignment="1" applyProtection="1">
      <alignment horizontal="center" vertical="center" wrapText="1" shrinkToFit="1"/>
      <protection hidden="1"/>
    </xf>
    <xf numFmtId="0" fontId="69" fillId="2" borderId="66" xfId="0" applyFont="1" applyFill="1" applyBorder="1" applyAlignment="1" applyProtection="1">
      <alignment horizontal="center" vertical="center" shrinkToFit="1"/>
      <protection hidden="1"/>
    </xf>
    <xf numFmtId="0" fontId="69" fillId="2" borderId="69" xfId="0" applyFont="1" applyFill="1" applyBorder="1" applyAlignment="1" applyProtection="1">
      <alignment horizontal="center" vertical="center" shrinkToFit="1"/>
      <protection hidden="1"/>
    </xf>
    <xf numFmtId="0" fontId="69" fillId="2" borderId="70" xfId="0" applyFont="1" applyFill="1" applyBorder="1" applyAlignment="1" applyProtection="1">
      <alignment horizontal="center" vertical="center" shrinkToFit="1"/>
      <protection hidden="1"/>
    </xf>
    <xf numFmtId="0" fontId="54" fillId="6" borderId="71" xfId="0" applyFont="1" applyFill="1" applyBorder="1" applyAlignment="1" applyProtection="1">
      <alignment horizontal="center" vertical="center"/>
      <protection hidden="1"/>
    </xf>
    <xf numFmtId="0" fontId="54" fillId="6" borderId="72" xfId="0" applyFont="1" applyFill="1" applyBorder="1" applyAlignment="1" applyProtection="1">
      <alignment horizontal="center" vertical="center"/>
      <protection hidden="1"/>
    </xf>
    <xf numFmtId="165" fontId="49" fillId="0" borderId="72" xfId="0" applyNumberFormat="1" applyFont="1" applyFill="1" applyBorder="1" applyAlignment="1" applyProtection="1">
      <alignment horizontal="center" vertical="center"/>
      <protection hidden="1"/>
    </xf>
    <xf numFmtId="165" fontId="56" fillId="6" borderId="72" xfId="0" applyNumberFormat="1" applyFont="1" applyFill="1" applyBorder="1" applyAlignment="1" applyProtection="1">
      <alignment horizontal="center" vertical="center"/>
      <protection hidden="1"/>
    </xf>
    <xf numFmtId="165" fontId="49" fillId="6" borderId="72" xfId="0" applyNumberFormat="1" applyFont="1" applyFill="1" applyBorder="1" applyAlignment="1" applyProtection="1">
      <alignment horizontal="center" vertical="center"/>
      <protection hidden="1"/>
    </xf>
    <xf numFmtId="166" fontId="49" fillId="6" borderId="72" xfId="0" applyNumberFormat="1" applyFont="1" applyFill="1" applyBorder="1" applyAlignment="1" applyProtection="1">
      <alignment horizontal="center" vertical="center"/>
      <protection hidden="1"/>
    </xf>
    <xf numFmtId="166" fontId="49" fillId="6" borderId="73" xfId="0" applyNumberFormat="1" applyFont="1" applyFill="1" applyBorder="1" applyAlignment="1" applyProtection="1">
      <alignment horizontal="center" vertical="center"/>
      <protection hidden="1"/>
    </xf>
    <xf numFmtId="0" fontId="54" fillId="6" borderId="74" xfId="0" applyFont="1" applyFill="1" applyBorder="1" applyAlignment="1" applyProtection="1">
      <alignment horizontal="center" vertical="center"/>
      <protection hidden="1"/>
    </xf>
    <xf numFmtId="0" fontId="54" fillId="6" borderId="75" xfId="0" applyFont="1" applyFill="1" applyBorder="1" applyAlignment="1" applyProtection="1">
      <alignment horizontal="center" vertical="center"/>
      <protection hidden="1"/>
    </xf>
    <xf numFmtId="165" fontId="49" fillId="0" borderId="75" xfId="0" applyNumberFormat="1" applyFont="1" applyFill="1" applyBorder="1" applyAlignment="1" applyProtection="1">
      <alignment horizontal="center" vertical="center"/>
      <protection hidden="1"/>
    </xf>
    <xf numFmtId="165" fontId="56" fillId="6" borderId="75" xfId="0" applyNumberFormat="1" applyFont="1" applyFill="1" applyBorder="1" applyAlignment="1" applyProtection="1">
      <alignment horizontal="center" vertical="center"/>
      <protection hidden="1"/>
    </xf>
    <xf numFmtId="165" fontId="49" fillId="6" borderId="75" xfId="0" applyNumberFormat="1" applyFont="1" applyFill="1" applyBorder="1" applyAlignment="1" applyProtection="1">
      <alignment horizontal="center" vertical="center"/>
      <protection hidden="1"/>
    </xf>
    <xf numFmtId="166" fontId="49" fillId="6" borderId="75" xfId="0" applyNumberFormat="1" applyFont="1" applyFill="1" applyBorder="1" applyAlignment="1" applyProtection="1">
      <alignment horizontal="center" vertical="center"/>
      <protection hidden="1"/>
    </xf>
    <xf numFmtId="166" fontId="49" fillId="6" borderId="76" xfId="0" applyNumberFormat="1" applyFont="1" applyFill="1" applyBorder="1" applyAlignment="1" applyProtection="1">
      <alignment horizontal="center" vertical="center"/>
      <protection hidden="1"/>
    </xf>
    <xf numFmtId="0" fontId="54" fillId="6" borderId="77" xfId="0" applyFont="1" applyFill="1" applyBorder="1" applyAlignment="1" applyProtection="1">
      <alignment horizontal="center" vertical="center"/>
      <protection hidden="1"/>
    </xf>
    <xf numFmtId="0" fontId="54" fillId="6" borderId="78" xfId="0" applyFont="1" applyFill="1" applyBorder="1" applyAlignment="1" applyProtection="1">
      <alignment horizontal="center" vertical="center"/>
      <protection hidden="1"/>
    </xf>
    <xf numFmtId="0" fontId="49" fillId="0" borderId="79" xfId="0" applyFont="1" applyBorder="1" applyAlignment="1" applyProtection="1">
      <alignment horizontal="center" vertical="center"/>
      <protection hidden="1"/>
    </xf>
    <xf numFmtId="0" fontId="49" fillId="0" borderId="80" xfId="0" applyFont="1" applyBorder="1" applyAlignment="1" applyProtection="1">
      <alignment horizontal="center" vertical="center"/>
      <protection hidden="1"/>
    </xf>
    <xf numFmtId="0" fontId="49" fillId="0" borderId="81" xfId="0" applyFont="1" applyBorder="1" applyAlignment="1" applyProtection="1">
      <alignment horizontal="center" vertical="center"/>
      <protection hidden="1"/>
    </xf>
    <xf numFmtId="165" fontId="56" fillId="6" borderId="82" xfId="0" applyNumberFormat="1" applyFont="1" applyFill="1" applyBorder="1" applyAlignment="1" applyProtection="1">
      <alignment horizontal="center" vertical="center"/>
      <protection hidden="1"/>
    </xf>
    <xf numFmtId="165" fontId="49" fillId="6" borderId="82" xfId="0" applyNumberFormat="1" applyFont="1" applyFill="1" applyBorder="1" applyAlignment="1" applyProtection="1">
      <alignment horizontal="center" vertical="center"/>
      <protection hidden="1"/>
    </xf>
    <xf numFmtId="166" fontId="49" fillId="6" borderId="82" xfId="0" applyNumberFormat="1" applyFont="1" applyFill="1" applyBorder="1" applyAlignment="1" applyProtection="1">
      <alignment horizontal="center" vertical="center"/>
      <protection hidden="1"/>
    </xf>
    <xf numFmtId="166" fontId="49" fillId="6" borderId="83" xfId="0" applyNumberFormat="1" applyFont="1" applyFill="1" applyBorder="1" applyAlignment="1" applyProtection="1">
      <alignment horizontal="center" vertical="center"/>
      <protection hidden="1"/>
    </xf>
    <xf numFmtId="0" fontId="54" fillId="20" borderId="84" xfId="0" applyFont="1" applyFill="1" applyBorder="1" applyAlignment="1" applyProtection="1">
      <alignment horizontal="center" vertical="center"/>
      <protection hidden="1"/>
    </xf>
    <xf numFmtId="0" fontId="54" fillId="20" borderId="85" xfId="0" applyFont="1" applyFill="1" applyBorder="1" applyAlignment="1" applyProtection="1">
      <alignment horizontal="center" vertical="center"/>
      <protection hidden="1"/>
    </xf>
    <xf numFmtId="0" fontId="54" fillId="20" borderId="86" xfId="0" applyFont="1" applyFill="1" applyBorder="1" applyAlignment="1" applyProtection="1">
      <alignment horizontal="center" vertical="center"/>
      <protection hidden="1"/>
    </xf>
    <xf numFmtId="165" fontId="57" fillId="0" borderId="87" xfId="0" applyNumberFormat="1" applyFont="1" applyFill="1" applyBorder="1" applyAlignment="1" applyProtection="1">
      <alignment horizontal="center" vertical="center"/>
      <protection hidden="1"/>
    </xf>
    <xf numFmtId="165" fontId="57" fillId="0" borderId="88" xfId="0" applyNumberFormat="1" applyFont="1" applyFill="1" applyBorder="1" applyAlignment="1" applyProtection="1">
      <alignment horizontal="center" vertical="center"/>
      <protection hidden="1"/>
    </xf>
    <xf numFmtId="165" fontId="57" fillId="0" borderId="89" xfId="0" applyNumberFormat="1" applyFont="1" applyFill="1" applyBorder="1" applyAlignment="1" applyProtection="1">
      <alignment horizontal="center" vertical="center"/>
      <protection hidden="1"/>
    </xf>
    <xf numFmtId="166" fontId="49" fillId="6" borderId="128" xfId="0" applyNumberFormat="1" applyFont="1" applyFill="1" applyBorder="1" applyAlignment="1" applyProtection="1">
      <alignment horizontal="center" vertical="center"/>
      <protection hidden="1"/>
    </xf>
    <xf numFmtId="166" fontId="49" fillId="6" borderId="129" xfId="0" applyNumberFormat="1" applyFont="1" applyFill="1" applyBorder="1" applyAlignment="1" applyProtection="1">
      <alignment horizontal="center" vertical="center"/>
      <protection hidden="1"/>
    </xf>
    <xf numFmtId="0" fontId="59" fillId="2" borderId="63" xfId="0" applyFont="1" applyFill="1" applyBorder="1" applyAlignment="1" applyProtection="1">
      <alignment horizontal="center" vertical="center"/>
      <protection hidden="1"/>
    </xf>
    <xf numFmtId="0" fontId="59" fillId="2" borderId="64" xfId="0" applyFont="1" applyFill="1" applyBorder="1" applyAlignment="1" applyProtection="1">
      <alignment horizontal="center" vertical="center"/>
      <protection hidden="1"/>
    </xf>
    <xf numFmtId="0" fontId="59" fillId="2" borderId="67" xfId="0" applyFont="1" applyFill="1" applyBorder="1" applyAlignment="1" applyProtection="1">
      <alignment horizontal="center" vertical="center"/>
      <protection hidden="1"/>
    </xf>
    <xf numFmtId="0" fontId="59" fillId="2" borderId="68" xfId="0" applyFont="1" applyFill="1" applyBorder="1" applyAlignment="1" applyProtection="1">
      <alignment horizontal="center" vertical="center"/>
      <protection hidden="1"/>
    </xf>
    <xf numFmtId="0" fontId="59" fillId="2" borderId="65" xfId="0" applyFont="1" applyFill="1" applyBorder="1" applyAlignment="1" applyProtection="1">
      <alignment horizontal="center" vertical="center"/>
      <protection hidden="1"/>
    </xf>
    <xf numFmtId="0" fontId="59" fillId="2" borderId="93" xfId="0" applyFont="1" applyFill="1" applyBorder="1" applyAlignment="1" applyProtection="1">
      <alignment horizontal="center" vertical="center"/>
      <protection hidden="1"/>
    </xf>
    <xf numFmtId="0" fontId="59" fillId="2" borderId="0" xfId="0" applyFont="1" applyFill="1" applyBorder="1" applyAlignment="1" applyProtection="1">
      <alignment horizontal="center" vertical="center"/>
      <protection hidden="1"/>
    </xf>
    <xf numFmtId="0" fontId="59" fillId="2" borderId="94" xfId="0" applyFont="1" applyFill="1" applyBorder="1" applyAlignment="1" applyProtection="1">
      <alignment horizontal="center" vertical="center"/>
      <protection hidden="1"/>
    </xf>
    <xf numFmtId="0" fontId="59" fillId="2" borderId="91" xfId="0" applyFont="1" applyFill="1" applyBorder="1" applyAlignment="1" applyProtection="1">
      <alignment horizontal="center" vertical="center"/>
      <protection hidden="1"/>
    </xf>
    <xf numFmtId="0" fontId="59" fillId="2" borderId="92" xfId="0" applyFont="1" applyFill="1" applyBorder="1" applyAlignment="1" applyProtection="1">
      <alignment horizontal="center" vertical="center"/>
      <protection hidden="1"/>
    </xf>
    <xf numFmtId="0" fontId="59" fillId="2" borderId="95" xfId="0" applyFont="1" applyFill="1" applyBorder="1" applyAlignment="1" applyProtection="1">
      <alignment horizontal="center" vertical="center" wrapText="1"/>
      <protection hidden="1"/>
    </xf>
    <xf numFmtId="0" fontId="59" fillId="2" borderId="95" xfId="0" applyFont="1" applyFill="1" applyBorder="1" applyAlignment="1" applyProtection="1">
      <alignment horizontal="center" vertical="center"/>
      <protection hidden="1"/>
    </xf>
    <xf numFmtId="0" fontId="59" fillId="2" borderId="96" xfId="0" applyFont="1" applyFill="1" applyBorder="1" applyAlignment="1" applyProtection="1">
      <alignment horizontal="center" vertical="center" wrapText="1"/>
      <protection hidden="1"/>
    </xf>
    <xf numFmtId="0" fontId="59" fillId="2" borderId="97" xfId="0" applyFont="1" applyFill="1" applyBorder="1" applyAlignment="1" applyProtection="1">
      <alignment horizontal="center" vertical="center"/>
      <protection hidden="1"/>
    </xf>
    <xf numFmtId="166" fontId="50" fillId="0" borderId="101" xfId="1" applyNumberFormat="1" applyFont="1" applyFill="1" applyBorder="1" applyAlignment="1" applyProtection="1">
      <alignment horizontal="center" vertical="center"/>
      <protection hidden="1"/>
    </xf>
    <xf numFmtId="166" fontId="50" fillId="0" borderId="102" xfId="1" applyNumberFormat="1" applyFont="1" applyFill="1" applyBorder="1" applyAlignment="1" applyProtection="1">
      <alignment horizontal="center" vertical="center"/>
      <protection hidden="1"/>
    </xf>
    <xf numFmtId="0" fontId="59" fillId="6" borderId="98" xfId="0" applyFont="1" applyFill="1" applyBorder="1" applyAlignment="1" applyProtection="1">
      <alignment horizontal="center" vertical="center" wrapText="1"/>
      <protection hidden="1"/>
    </xf>
    <xf numFmtId="0" fontId="59" fillId="6" borderId="99" xfId="0" applyFont="1" applyFill="1" applyBorder="1" applyAlignment="1" applyProtection="1">
      <alignment horizontal="center" vertical="center"/>
      <protection hidden="1"/>
    </xf>
    <xf numFmtId="0" fontId="59" fillId="6" borderId="0" xfId="0" applyFont="1" applyFill="1" applyBorder="1" applyAlignment="1" applyProtection="1">
      <alignment horizontal="center" vertical="center" wrapText="1"/>
      <protection hidden="1"/>
    </xf>
    <xf numFmtId="0" fontId="59" fillId="6" borderId="94" xfId="0" applyFont="1" applyFill="1" applyBorder="1" applyAlignment="1" applyProtection="1">
      <alignment horizontal="center" vertical="center"/>
      <protection hidden="1"/>
    </xf>
    <xf numFmtId="0" fontId="59" fillId="6" borderId="0" xfId="0" applyFont="1" applyFill="1" applyBorder="1" applyAlignment="1" applyProtection="1">
      <alignment horizontal="center" vertical="center"/>
      <protection hidden="1"/>
    </xf>
    <xf numFmtId="0" fontId="59" fillId="6" borderId="67" xfId="0" applyFont="1" applyFill="1" applyBorder="1" applyAlignment="1" applyProtection="1">
      <alignment horizontal="center" vertical="center"/>
      <protection hidden="1"/>
    </xf>
    <xf numFmtId="0" fontId="59" fillId="6" borderId="68" xfId="0" applyFont="1" applyFill="1" applyBorder="1" applyAlignment="1" applyProtection="1">
      <alignment horizontal="center" vertical="center"/>
      <protection hidden="1"/>
    </xf>
    <xf numFmtId="0" fontId="52" fillId="4" borderId="100" xfId="0" applyNumberFormat="1" applyFont="1" applyFill="1" applyBorder="1" applyAlignment="1" applyProtection="1">
      <alignment horizontal="left" vertical="center" shrinkToFit="1"/>
      <protection hidden="1"/>
    </xf>
    <xf numFmtId="0" fontId="52" fillId="4" borderId="101" xfId="0" applyNumberFormat="1" applyFont="1" applyFill="1" applyBorder="1" applyAlignment="1" applyProtection="1">
      <alignment horizontal="left" vertical="center" shrinkToFit="1"/>
      <protection hidden="1"/>
    </xf>
    <xf numFmtId="166" fontId="60" fillId="4" borderId="101" xfId="1" applyNumberFormat="1" applyFont="1" applyFill="1" applyBorder="1" applyAlignment="1" applyProtection="1">
      <alignment horizontal="center" vertical="center"/>
      <protection hidden="1"/>
    </xf>
    <xf numFmtId="166" fontId="60" fillId="4" borderId="102" xfId="1" applyNumberFormat="1" applyFont="1" applyFill="1" applyBorder="1" applyAlignment="1" applyProtection="1">
      <alignment horizontal="center" vertical="center"/>
      <protection hidden="1"/>
    </xf>
    <xf numFmtId="0" fontId="59" fillId="0" borderId="100" xfId="0" applyNumberFormat="1" applyFont="1" applyFill="1" applyBorder="1" applyAlignment="1" applyProtection="1">
      <alignment horizontal="left" vertical="center" indent="1" shrinkToFit="1"/>
      <protection hidden="1"/>
    </xf>
    <xf numFmtId="0" fontId="59" fillId="0" borderId="101" xfId="0" applyNumberFormat="1" applyFont="1" applyFill="1" applyBorder="1" applyAlignment="1" applyProtection="1">
      <alignment horizontal="left" vertical="center" indent="1" shrinkToFit="1"/>
      <protection hidden="1"/>
    </xf>
    <xf numFmtId="0" fontId="59" fillId="20" borderId="90" xfId="0" applyFont="1" applyFill="1" applyBorder="1" applyAlignment="1" applyProtection="1">
      <alignment horizontal="center" vertical="center"/>
      <protection hidden="1"/>
    </xf>
    <xf numFmtId="0" fontId="59" fillId="20" borderId="107" xfId="0" applyFont="1" applyFill="1" applyBorder="1" applyAlignment="1" applyProtection="1">
      <alignment horizontal="center" vertical="center"/>
      <protection hidden="1"/>
    </xf>
    <xf numFmtId="166" fontId="50" fillId="20" borderId="109" xfId="1" applyNumberFormat="1" applyFont="1" applyFill="1" applyBorder="1" applyAlignment="1" applyProtection="1">
      <alignment horizontal="center" vertical="center"/>
      <protection hidden="1"/>
    </xf>
    <xf numFmtId="166" fontId="50" fillId="20" borderId="90" xfId="1" applyNumberFormat="1" applyFont="1" applyFill="1" applyBorder="1" applyAlignment="1" applyProtection="1">
      <alignment horizontal="center" vertical="center"/>
      <protection hidden="1"/>
    </xf>
    <xf numFmtId="166" fontId="50" fillId="20" borderId="108" xfId="1" applyNumberFormat="1" applyFont="1" applyFill="1" applyBorder="1" applyAlignment="1" applyProtection="1">
      <alignment horizontal="center" vertical="center"/>
      <protection hidden="1"/>
    </xf>
    <xf numFmtId="0" fontId="59" fillId="0" borderId="103" xfId="0" applyNumberFormat="1" applyFont="1" applyFill="1" applyBorder="1" applyAlignment="1" applyProtection="1">
      <alignment horizontal="left" vertical="center" indent="1" shrinkToFit="1"/>
      <protection hidden="1"/>
    </xf>
    <xf numFmtId="0" fontId="59" fillId="0" borderId="104" xfId="0" applyNumberFormat="1" applyFont="1" applyFill="1" applyBorder="1" applyAlignment="1" applyProtection="1">
      <alignment horizontal="left" vertical="center" indent="1" shrinkToFit="1"/>
      <protection hidden="1"/>
    </xf>
    <xf numFmtId="0" fontId="59" fillId="0" borderId="105" xfId="0" applyNumberFormat="1" applyFont="1" applyFill="1" applyBorder="1" applyAlignment="1" applyProtection="1">
      <alignment horizontal="left" vertical="center" indent="1" shrinkToFit="1"/>
      <protection hidden="1"/>
    </xf>
    <xf numFmtId="166" fontId="50" fillId="0" borderId="106" xfId="1" applyNumberFormat="1" applyFont="1" applyFill="1" applyBorder="1" applyAlignment="1" applyProtection="1">
      <alignment horizontal="center" vertical="center"/>
      <protection hidden="1"/>
    </xf>
    <xf numFmtId="166" fontId="50" fillId="0" borderId="104" xfId="1" applyNumberFormat="1" applyFont="1" applyFill="1" applyBorder="1" applyAlignment="1" applyProtection="1">
      <alignment horizontal="center" vertical="center"/>
      <protection hidden="1"/>
    </xf>
    <xf numFmtId="0" fontId="59" fillId="0" borderId="110" xfId="0" applyNumberFormat="1" applyFont="1" applyFill="1" applyBorder="1" applyAlignment="1" applyProtection="1">
      <alignment horizontal="left" vertical="center" shrinkToFit="1"/>
      <protection hidden="1"/>
    </xf>
    <xf numFmtId="0" fontId="59" fillId="0" borderId="111" xfId="0" applyNumberFormat="1" applyFont="1" applyFill="1" applyBorder="1" applyAlignment="1" applyProtection="1">
      <alignment horizontal="left" vertical="center" shrinkToFit="1"/>
      <protection hidden="1"/>
    </xf>
    <xf numFmtId="166" fontId="50" fillId="0" borderId="111" xfId="1" applyNumberFormat="1" applyFont="1" applyFill="1" applyBorder="1" applyAlignment="1" applyProtection="1">
      <alignment horizontal="center" vertical="center"/>
      <protection hidden="1"/>
    </xf>
    <xf numFmtId="166" fontId="50" fillId="0" borderId="112" xfId="1" applyNumberFormat="1" applyFont="1" applyFill="1" applyBorder="1" applyAlignment="1" applyProtection="1">
      <alignment horizontal="center" vertical="center"/>
      <protection hidden="1"/>
    </xf>
    <xf numFmtId="0" fontId="59" fillId="0" borderId="113" xfId="0" applyNumberFormat="1" applyFont="1" applyFill="1" applyBorder="1" applyAlignment="1" applyProtection="1">
      <alignment horizontal="left" vertical="center" shrinkToFit="1"/>
      <protection hidden="1"/>
    </xf>
    <xf numFmtId="0" fontId="59" fillId="0" borderId="75" xfId="0" applyNumberFormat="1" applyFont="1" applyFill="1" applyBorder="1" applyAlignment="1" applyProtection="1">
      <alignment horizontal="left" vertical="center" shrinkToFit="1"/>
      <protection hidden="1"/>
    </xf>
    <xf numFmtId="166" fontId="50" fillId="0" borderId="75" xfId="1" applyNumberFormat="1" applyFont="1" applyFill="1" applyBorder="1" applyAlignment="1" applyProtection="1">
      <alignment horizontal="center" vertical="center"/>
      <protection hidden="1"/>
    </xf>
    <xf numFmtId="166" fontId="50" fillId="0" borderId="114" xfId="1" applyNumberFormat="1" applyFont="1" applyFill="1" applyBorder="1" applyAlignment="1" applyProtection="1">
      <alignment horizontal="center" vertical="center"/>
      <protection hidden="1"/>
    </xf>
    <xf numFmtId="166" fontId="50" fillId="0" borderId="116" xfId="1" applyNumberFormat="1" applyFont="1" applyFill="1" applyBorder="1" applyAlignment="1" applyProtection="1">
      <alignment horizontal="center" vertical="center"/>
      <protection hidden="1"/>
    </xf>
    <xf numFmtId="166" fontId="50" fillId="0" borderId="117" xfId="1" applyNumberFormat="1" applyFont="1" applyFill="1" applyBorder="1" applyAlignment="1" applyProtection="1">
      <alignment horizontal="center" vertical="center"/>
      <protection hidden="1"/>
    </xf>
    <xf numFmtId="0" fontId="59" fillId="0" borderId="115" xfId="0" applyNumberFormat="1" applyFont="1" applyFill="1" applyBorder="1" applyAlignment="1" applyProtection="1">
      <alignment horizontal="left" vertical="center" shrinkToFit="1"/>
      <protection hidden="1"/>
    </xf>
    <xf numFmtId="0" fontId="59" fillId="0" borderId="116" xfId="0" applyNumberFormat="1" applyFont="1" applyFill="1" applyBorder="1" applyAlignment="1" applyProtection="1">
      <alignment horizontal="left" vertical="center" shrinkToFit="1"/>
      <protection hidden="1"/>
    </xf>
    <xf numFmtId="0" fontId="56" fillId="0" borderId="121" xfId="98" applyFont="1" applyFill="1" applyBorder="1" applyAlignment="1" applyProtection="1">
      <alignment horizontal="left" vertical="center" indent="3" shrinkToFit="1"/>
      <protection hidden="1"/>
    </xf>
    <xf numFmtId="0" fontId="56" fillId="0" borderId="122" xfId="98" applyFont="1" applyFill="1" applyBorder="1" applyAlignment="1" applyProtection="1">
      <alignment horizontal="left" vertical="center" indent="3" shrinkToFit="1"/>
      <protection hidden="1"/>
    </xf>
    <xf numFmtId="0" fontId="56" fillId="0" borderId="124" xfId="98" applyFont="1" applyFill="1" applyBorder="1" applyAlignment="1" applyProtection="1">
      <alignment horizontal="left" vertical="center" indent="3" shrinkToFit="1"/>
      <protection hidden="1"/>
    </xf>
    <xf numFmtId="0" fontId="56" fillId="0" borderId="125" xfId="98" applyFont="1" applyFill="1" applyBorder="1" applyAlignment="1" applyProtection="1">
      <alignment horizontal="left" vertical="center" indent="3" shrinkToFit="1"/>
      <protection hidden="1"/>
    </xf>
    <xf numFmtId="0" fontId="57" fillId="21" borderId="118" xfId="98" applyFont="1" applyFill="1" applyBorder="1" applyAlignment="1" applyProtection="1">
      <alignment horizontal="center" vertical="center" shrinkToFit="1"/>
      <protection hidden="1"/>
    </xf>
    <xf numFmtId="0" fontId="57" fillId="21" borderId="119" xfId="98" applyFont="1" applyFill="1" applyBorder="1" applyAlignment="1" applyProtection="1">
      <alignment horizontal="center" vertical="center" shrinkToFit="1"/>
      <protection hidden="1"/>
    </xf>
    <xf numFmtId="0" fontId="57" fillId="21" borderId="121" xfId="98" applyFont="1" applyFill="1" applyBorder="1" applyAlignment="1" applyProtection="1">
      <alignment horizontal="center" vertical="center" shrinkToFit="1"/>
      <protection hidden="1"/>
    </xf>
    <xf numFmtId="0" fontId="57" fillId="21" borderId="122" xfId="98" applyFont="1" applyFill="1" applyBorder="1" applyAlignment="1" applyProtection="1">
      <alignment horizontal="center" vertical="center" shrinkToFit="1"/>
      <protection hidden="1"/>
    </xf>
    <xf numFmtId="0" fontId="49" fillId="0" borderId="119" xfId="0" applyFont="1" applyBorder="1" applyAlignment="1" applyProtection="1">
      <alignment horizontal="center" vertical="center" shrinkToFit="1"/>
      <protection hidden="1"/>
    </xf>
    <xf numFmtId="0" fontId="46" fillId="0" borderId="119" xfId="0" applyFont="1" applyBorder="1" applyAlignment="1" applyProtection="1">
      <alignment horizontal="center" vertical="center" shrinkToFit="1"/>
      <protection hidden="1"/>
    </xf>
    <xf numFmtId="0" fontId="49" fillId="0" borderId="122" xfId="0" applyFont="1" applyBorder="1" applyAlignment="1" applyProtection="1">
      <alignment horizontal="center" vertical="center" shrinkToFit="1"/>
      <protection hidden="1"/>
    </xf>
    <xf numFmtId="0" fontId="46" fillId="0" borderId="122" xfId="0" applyFont="1" applyBorder="1" applyAlignment="1" applyProtection="1">
      <alignment horizontal="center" vertical="center" shrinkToFit="1"/>
      <protection hidden="1"/>
    </xf>
    <xf numFmtId="0" fontId="56" fillId="20" borderId="118" xfId="98" applyFont="1" applyFill="1" applyBorder="1" applyAlignment="1" applyProtection="1">
      <alignment horizontal="left" vertical="center" indent="2" shrinkToFit="1"/>
      <protection hidden="1"/>
    </xf>
    <xf numFmtId="0" fontId="56" fillId="20" borderId="119" xfId="98" applyFont="1" applyFill="1" applyBorder="1" applyAlignment="1" applyProtection="1">
      <alignment horizontal="left" vertical="center" indent="2" shrinkToFit="1"/>
      <protection hidden="1"/>
    </xf>
    <xf numFmtId="0" fontId="56" fillId="22" borderId="121" xfId="98" applyFont="1" applyFill="1" applyBorder="1" applyAlignment="1" applyProtection="1">
      <alignment horizontal="center" vertical="center" shrinkToFit="1"/>
      <protection hidden="1"/>
    </xf>
    <xf numFmtId="0" fontId="56" fillId="22" borderId="122" xfId="98" applyFont="1" applyFill="1" applyBorder="1" applyAlignment="1" applyProtection="1">
      <alignment horizontal="center" vertical="center" shrinkToFit="1"/>
      <protection hidden="1"/>
    </xf>
    <xf numFmtId="0" fontId="56" fillId="23" borderId="124" xfId="98" applyFont="1" applyFill="1" applyBorder="1" applyAlignment="1" applyProtection="1">
      <alignment horizontal="center" vertical="center" shrinkToFit="1"/>
      <protection hidden="1"/>
    </xf>
    <xf numFmtId="0" fontId="56" fillId="23" borderId="125" xfId="98" applyFont="1" applyFill="1" applyBorder="1" applyAlignment="1" applyProtection="1">
      <alignment horizontal="center" vertical="center" shrinkToFit="1"/>
      <protection hidden="1"/>
    </xf>
    <xf numFmtId="0" fontId="57" fillId="24" borderId="118" xfId="98" applyFont="1" applyFill="1" applyBorder="1" applyAlignment="1" applyProtection="1">
      <alignment horizontal="center" vertical="center" shrinkToFit="1"/>
      <protection hidden="1"/>
    </xf>
    <xf numFmtId="0" fontId="57" fillId="24" borderId="119" xfId="98" applyFont="1" applyFill="1" applyBorder="1" applyAlignment="1" applyProtection="1">
      <alignment horizontal="center" vertical="center" shrinkToFit="1"/>
      <protection hidden="1"/>
    </xf>
    <xf numFmtId="0" fontId="57" fillId="24" borderId="121" xfId="98" applyFont="1" applyFill="1" applyBorder="1" applyAlignment="1" applyProtection="1">
      <alignment horizontal="center" vertical="center" shrinkToFit="1"/>
      <protection hidden="1"/>
    </xf>
    <xf numFmtId="0" fontId="57" fillId="24" borderId="122" xfId="98" applyFont="1" applyFill="1" applyBorder="1" applyAlignment="1" applyProtection="1">
      <alignment horizontal="center" vertical="center" shrinkToFit="1"/>
      <protection hidden="1"/>
    </xf>
    <xf numFmtId="0" fontId="65" fillId="20" borderId="118" xfId="98" applyFont="1" applyFill="1" applyBorder="1" applyAlignment="1" applyProtection="1">
      <alignment horizontal="center" vertical="center" shrinkToFit="1"/>
      <protection hidden="1"/>
    </xf>
    <xf numFmtId="0" fontId="65" fillId="20" borderId="119" xfId="98" applyFont="1" applyFill="1" applyBorder="1" applyAlignment="1" applyProtection="1">
      <alignment horizontal="center" vertical="center" shrinkToFit="1"/>
      <protection hidden="1"/>
    </xf>
    <xf numFmtId="0" fontId="56" fillId="0" borderId="124" xfId="0" applyFont="1" applyBorder="1" applyAlignment="1" applyProtection="1">
      <alignment horizontal="left" vertical="center" indent="3" shrinkToFit="1"/>
      <protection hidden="1"/>
    </xf>
    <xf numFmtId="0" fontId="56" fillId="0" borderId="125" xfId="0" applyFont="1" applyBorder="1" applyAlignment="1" applyProtection="1">
      <alignment horizontal="left" vertical="center" indent="3" shrinkToFit="1"/>
      <protection hidden="1"/>
    </xf>
    <xf numFmtId="0" fontId="56" fillId="22" borderId="118" xfId="98" applyFont="1" applyFill="1" applyBorder="1" applyAlignment="1" applyProtection="1">
      <alignment horizontal="center" vertical="center" shrinkToFit="1"/>
      <protection hidden="1"/>
    </xf>
    <xf numFmtId="0" fontId="56" fillId="22" borderId="119" xfId="98" applyFont="1" applyFill="1" applyBorder="1" applyAlignment="1" applyProtection="1">
      <alignment horizontal="center" vertical="center" shrinkToFit="1"/>
      <protection hidden="1"/>
    </xf>
    <xf numFmtId="0" fontId="56" fillId="22" borderId="119" xfId="0" applyFont="1" applyFill="1" applyBorder="1" applyAlignment="1" applyProtection="1">
      <alignment horizontal="center" vertical="center" shrinkToFit="1"/>
      <protection hidden="1"/>
    </xf>
    <xf numFmtId="0" fontId="26" fillId="0" borderId="49" xfId="0" applyFont="1" applyBorder="1" applyAlignment="1">
      <alignment horizontal="center" vertical="center"/>
    </xf>
    <xf numFmtId="0" fontId="27" fillId="9" borderId="16" xfId="0" applyFont="1" applyFill="1" applyBorder="1" applyAlignment="1">
      <alignment horizontal="center" vertical="center" wrapText="1"/>
    </xf>
    <xf numFmtId="0" fontId="27" fillId="9" borderId="27" xfId="0" applyFont="1" applyFill="1" applyBorder="1" applyAlignment="1">
      <alignment horizontal="center" vertical="center" wrapText="1"/>
    </xf>
    <xf numFmtId="0" fontId="27" fillId="9" borderId="28" xfId="0" applyFont="1" applyFill="1" applyBorder="1" applyAlignment="1">
      <alignment horizontal="center" vertical="center" wrapText="1"/>
    </xf>
    <xf numFmtId="0" fontId="27" fillId="9" borderId="50" xfId="0" applyFont="1" applyFill="1" applyBorder="1" applyAlignment="1">
      <alignment horizontal="center" vertical="center" wrapText="1"/>
    </xf>
    <xf numFmtId="0" fontId="27" fillId="9" borderId="29" xfId="0" applyFont="1" applyFill="1" applyBorder="1" applyAlignment="1">
      <alignment horizontal="center" vertical="center" wrapText="1"/>
    </xf>
  </cellXfs>
  <cellStyles count="99">
    <cellStyle name="Header1" xfId="3" xr:uid="{00000000-0005-0000-0000-000000000000}"/>
    <cellStyle name="Header2" xfId="4" xr:uid="{00000000-0005-0000-0000-000001000000}"/>
    <cellStyle name="Normal" xfId="0" builtinId="0"/>
    <cellStyle name="Normal 2" xfId="98" xr:uid="{00000000-0005-0000-0000-000003000000}"/>
    <cellStyle name="Percent" xfId="1" builtinId="5"/>
    <cellStyle name="백분율 2" xfId="5" xr:uid="{00000000-0005-0000-0000-000005000000}"/>
    <cellStyle name="백분율 3" xfId="6" xr:uid="{00000000-0005-0000-0000-000006000000}"/>
    <cellStyle name="쉼표 [0] 2" xfId="7" xr:uid="{00000000-0005-0000-0000-000007000000}"/>
    <cellStyle name="쉼표 [0] 3" xfId="8" xr:uid="{00000000-0005-0000-0000-000008000000}"/>
    <cellStyle name="쉼표 [0] 4" xfId="9" xr:uid="{00000000-0005-0000-0000-000009000000}"/>
    <cellStyle name="쉼표 [0] 5" xfId="91" xr:uid="{00000000-0005-0000-0000-00000A000000}"/>
    <cellStyle name="쉼표 [0] 6" xfId="97" xr:uid="{00000000-0005-0000-0000-00000B000000}"/>
    <cellStyle name="통화 [0] 2" xfId="10" xr:uid="{00000000-0005-0000-0000-00000C000000}"/>
    <cellStyle name="표준 10" xfId="11" xr:uid="{00000000-0005-0000-0000-00000D000000}"/>
    <cellStyle name="표준 10 2" xfId="12" xr:uid="{00000000-0005-0000-0000-00000E000000}"/>
    <cellStyle name="표준 10 3" xfId="13" xr:uid="{00000000-0005-0000-0000-00000F000000}"/>
    <cellStyle name="표준 10 4" xfId="14" xr:uid="{00000000-0005-0000-0000-000010000000}"/>
    <cellStyle name="표준 11" xfId="15" xr:uid="{00000000-0005-0000-0000-000011000000}"/>
    <cellStyle name="표준 11 2" xfId="16" xr:uid="{00000000-0005-0000-0000-000012000000}"/>
    <cellStyle name="표준 11 3" xfId="17" xr:uid="{00000000-0005-0000-0000-000013000000}"/>
    <cellStyle name="표준 12" xfId="18" xr:uid="{00000000-0005-0000-0000-000014000000}"/>
    <cellStyle name="표준 12 2" xfId="19" xr:uid="{00000000-0005-0000-0000-000015000000}"/>
    <cellStyle name="표준 13" xfId="20" xr:uid="{00000000-0005-0000-0000-000016000000}"/>
    <cellStyle name="표준 13 2" xfId="21" xr:uid="{00000000-0005-0000-0000-000017000000}"/>
    <cellStyle name="표준 14" xfId="22" xr:uid="{00000000-0005-0000-0000-000018000000}"/>
    <cellStyle name="표준 14 2" xfId="23" xr:uid="{00000000-0005-0000-0000-000019000000}"/>
    <cellStyle name="표준 15 2" xfId="24" xr:uid="{00000000-0005-0000-0000-00001A000000}"/>
    <cellStyle name="표준 16 2" xfId="25" xr:uid="{00000000-0005-0000-0000-00001B000000}"/>
    <cellStyle name="표준 17 2" xfId="26" xr:uid="{00000000-0005-0000-0000-00001C000000}"/>
    <cellStyle name="표준 18 2" xfId="27" xr:uid="{00000000-0005-0000-0000-00001D000000}"/>
    <cellStyle name="표준 19 2" xfId="28" xr:uid="{00000000-0005-0000-0000-00001E000000}"/>
    <cellStyle name="표준 2" xfId="29" xr:uid="{00000000-0005-0000-0000-00001F000000}"/>
    <cellStyle name="표준 2 10" xfId="30" xr:uid="{00000000-0005-0000-0000-000020000000}"/>
    <cellStyle name="표준 2 11" xfId="31" xr:uid="{00000000-0005-0000-0000-000021000000}"/>
    <cellStyle name="표준 2 2" xfId="2" xr:uid="{00000000-0005-0000-0000-000022000000}"/>
    <cellStyle name="표준 2 2 2" xfId="32" xr:uid="{00000000-0005-0000-0000-000023000000}"/>
    <cellStyle name="표준 2 2 3" xfId="33" xr:uid="{00000000-0005-0000-0000-000024000000}"/>
    <cellStyle name="표준 2 3" xfId="34" xr:uid="{00000000-0005-0000-0000-000025000000}"/>
    <cellStyle name="표준 2 3 2" xfId="35" xr:uid="{00000000-0005-0000-0000-000026000000}"/>
    <cellStyle name="표준 2 4" xfId="36" xr:uid="{00000000-0005-0000-0000-000027000000}"/>
    <cellStyle name="표준 2 5" xfId="37" xr:uid="{00000000-0005-0000-0000-000028000000}"/>
    <cellStyle name="표준 2 6" xfId="38" xr:uid="{00000000-0005-0000-0000-000029000000}"/>
    <cellStyle name="표준 2 7" xfId="39" xr:uid="{00000000-0005-0000-0000-00002A000000}"/>
    <cellStyle name="표준 2 8" xfId="40" xr:uid="{00000000-0005-0000-0000-00002B000000}"/>
    <cellStyle name="표준 2 9" xfId="41" xr:uid="{00000000-0005-0000-0000-00002C000000}"/>
    <cellStyle name="표준 2_국민대법대 결과리포트 Ver1.2(최종)" xfId="42" xr:uid="{00000000-0005-0000-0000-00002D000000}"/>
    <cellStyle name="표준 20 2" xfId="43" xr:uid="{00000000-0005-0000-0000-00002E000000}"/>
    <cellStyle name="표준 21 2" xfId="44" xr:uid="{00000000-0005-0000-0000-00002F000000}"/>
    <cellStyle name="표준 22 2" xfId="45" xr:uid="{00000000-0005-0000-0000-000030000000}"/>
    <cellStyle name="표준 23 2" xfId="46" xr:uid="{00000000-0005-0000-0000-000031000000}"/>
    <cellStyle name="표준 24 2" xfId="47" xr:uid="{00000000-0005-0000-0000-000032000000}"/>
    <cellStyle name="표준 25 2" xfId="48" xr:uid="{00000000-0005-0000-0000-000033000000}"/>
    <cellStyle name="표준 26 2" xfId="49" xr:uid="{00000000-0005-0000-0000-000034000000}"/>
    <cellStyle name="표준 27 2" xfId="50" xr:uid="{00000000-0005-0000-0000-000035000000}"/>
    <cellStyle name="표준 28 2" xfId="51" xr:uid="{00000000-0005-0000-0000-000036000000}"/>
    <cellStyle name="표준 28 3" xfId="52" xr:uid="{00000000-0005-0000-0000-000037000000}"/>
    <cellStyle name="표준 28 4" xfId="53" xr:uid="{00000000-0005-0000-0000-000038000000}"/>
    <cellStyle name="표준 29" xfId="54" xr:uid="{00000000-0005-0000-0000-000039000000}"/>
    <cellStyle name="표준 3" xfId="55" xr:uid="{00000000-0005-0000-0000-00003A000000}"/>
    <cellStyle name="표준 3 2" xfId="56" xr:uid="{00000000-0005-0000-0000-00003B000000}"/>
    <cellStyle name="표준 3 3" xfId="57" xr:uid="{00000000-0005-0000-0000-00003C000000}"/>
    <cellStyle name="표준 3 4" xfId="58" xr:uid="{00000000-0005-0000-0000-00003D000000}"/>
    <cellStyle name="표준 3 5" xfId="92" xr:uid="{00000000-0005-0000-0000-00003E000000}"/>
    <cellStyle name="표준 3 6" xfId="93" xr:uid="{00000000-0005-0000-0000-00003F000000}"/>
    <cellStyle name="표준 30" xfId="59" xr:uid="{00000000-0005-0000-0000-000040000000}"/>
    <cellStyle name="표준 31" xfId="60" xr:uid="{00000000-0005-0000-0000-000041000000}"/>
    <cellStyle name="표준 32 2" xfId="61" xr:uid="{00000000-0005-0000-0000-000042000000}"/>
    <cellStyle name="표준 32 3" xfId="62" xr:uid="{00000000-0005-0000-0000-000043000000}"/>
    <cellStyle name="표준 33" xfId="63" xr:uid="{00000000-0005-0000-0000-000044000000}"/>
    <cellStyle name="표준 34" xfId="64" xr:uid="{00000000-0005-0000-0000-000045000000}"/>
    <cellStyle name="표준 35 2" xfId="65" xr:uid="{00000000-0005-0000-0000-000046000000}"/>
    <cellStyle name="표준 35 3" xfId="66" xr:uid="{00000000-0005-0000-0000-000047000000}"/>
    <cellStyle name="표준 36 2" xfId="67" xr:uid="{00000000-0005-0000-0000-000048000000}"/>
    <cellStyle name="표준 36 3" xfId="68" xr:uid="{00000000-0005-0000-0000-000049000000}"/>
    <cellStyle name="표준 4" xfId="69" xr:uid="{00000000-0005-0000-0000-00004A000000}"/>
    <cellStyle name="표준 4 2" xfId="70" xr:uid="{00000000-0005-0000-0000-00004B000000}"/>
    <cellStyle name="표준 4 2 2" xfId="94" xr:uid="{00000000-0005-0000-0000-00004C000000}"/>
    <cellStyle name="표준 47 2" xfId="71" xr:uid="{00000000-0005-0000-0000-00004D000000}"/>
    <cellStyle name="표준 47 3" xfId="72" xr:uid="{00000000-0005-0000-0000-00004E000000}"/>
    <cellStyle name="표준 5" xfId="73" xr:uid="{00000000-0005-0000-0000-00004F000000}"/>
    <cellStyle name="표준 5 2" xfId="74" xr:uid="{00000000-0005-0000-0000-000050000000}"/>
    <cellStyle name="표준 5 3" xfId="95" xr:uid="{00000000-0005-0000-0000-000051000000}"/>
    <cellStyle name="표준 6" xfId="75" xr:uid="{00000000-0005-0000-0000-000052000000}"/>
    <cellStyle name="표준 6 2" xfId="76" xr:uid="{00000000-0005-0000-0000-000053000000}"/>
    <cellStyle name="표준 6 3" xfId="77" xr:uid="{00000000-0005-0000-0000-000054000000}"/>
    <cellStyle name="표준 6 4" xfId="78" xr:uid="{00000000-0005-0000-0000-000055000000}"/>
    <cellStyle name="표준 6 5" xfId="96" xr:uid="{00000000-0005-0000-0000-000056000000}"/>
    <cellStyle name="표준 7" xfId="79" xr:uid="{00000000-0005-0000-0000-000057000000}"/>
    <cellStyle name="표준 7 2" xfId="80" xr:uid="{00000000-0005-0000-0000-000058000000}"/>
    <cellStyle name="표준 7 3" xfId="81" xr:uid="{00000000-0005-0000-0000-000059000000}"/>
    <cellStyle name="표준 7 4" xfId="82" xr:uid="{00000000-0005-0000-0000-00005A000000}"/>
    <cellStyle name="표준 8" xfId="83" xr:uid="{00000000-0005-0000-0000-00005B000000}"/>
    <cellStyle name="표준 8 2" xfId="84" xr:uid="{00000000-0005-0000-0000-00005C000000}"/>
    <cellStyle name="표준 8 3" xfId="85" xr:uid="{00000000-0005-0000-0000-00005D000000}"/>
    <cellStyle name="표준 8 4" xfId="86" xr:uid="{00000000-0005-0000-0000-00005E000000}"/>
    <cellStyle name="표준 9" xfId="87" xr:uid="{00000000-0005-0000-0000-00005F000000}"/>
    <cellStyle name="표준 9 2" xfId="88" xr:uid="{00000000-0005-0000-0000-000060000000}"/>
    <cellStyle name="표준 9 3" xfId="89" xr:uid="{00000000-0005-0000-0000-000061000000}"/>
    <cellStyle name="표준 9 4" xfId="90" xr:uid="{00000000-0005-0000-0000-000062000000}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/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7" formatCode="0_);[Red]\(0\)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numFmt numFmtId="169" formatCode="mm&quot;/&quot;dd&quot;/&quot;yy;@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1" tint="0.499984740745262"/>
        </right>
        <top style="dashed">
          <color theme="1" tint="0.499984740745262"/>
        </top>
        <bottom style="dashed">
          <color theme="1" tint="0.499984740745262"/>
        </bottom>
        <vertical/>
        <horizontal/>
      </border>
    </dxf>
    <dxf>
      <border outline="0">
        <top style="thin">
          <color theme="0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나눔고딕"/>
        <family val="3"/>
        <charset val="129"/>
        <scheme val="none"/>
      </font>
      <numFmt numFmtId="167" formatCode="0_);[Red]\(0\)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colors>
    <mruColors>
      <color rgb="FF7B7A7A"/>
      <color rgb="FFF6C20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61489920142971"/>
          <c:y val="2.7914145249610296E-2"/>
          <c:w val="0.84548215161048135"/>
          <c:h val="0.93354021610242954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numRef>
              <c:f>과목성적분포도!$B$9:$B$36</c:f>
              <c:numCache>
                <c:formatCode>0_);[Red]\(0\)</c:formatCode>
                <c:ptCount val="28"/>
                <c:pt idx="0">
                  <c:v>36</c:v>
                </c:pt>
                <c:pt idx="1">
                  <c:v>35</c:v>
                </c:pt>
                <c:pt idx="2">
                  <c:v>34</c:v>
                </c:pt>
                <c:pt idx="3">
                  <c:v>33</c:v>
                </c:pt>
                <c:pt idx="4">
                  <c:v>32</c:v>
                </c:pt>
                <c:pt idx="5">
                  <c:v>31</c:v>
                </c:pt>
                <c:pt idx="6">
                  <c:v>30</c:v>
                </c:pt>
                <c:pt idx="7">
                  <c:v>29</c:v>
                </c:pt>
                <c:pt idx="8">
                  <c:v>28</c:v>
                </c:pt>
                <c:pt idx="9">
                  <c:v>27</c:v>
                </c:pt>
                <c:pt idx="10">
                  <c:v>26</c:v>
                </c:pt>
                <c:pt idx="11">
                  <c:v>25</c:v>
                </c:pt>
                <c:pt idx="12">
                  <c:v>24</c:v>
                </c:pt>
                <c:pt idx="13">
                  <c:v>23</c:v>
                </c:pt>
                <c:pt idx="14">
                  <c:v>22</c:v>
                </c:pt>
                <c:pt idx="15">
                  <c:v>21</c:v>
                </c:pt>
                <c:pt idx="16">
                  <c:v>20</c:v>
                </c:pt>
                <c:pt idx="17">
                  <c:v>19</c:v>
                </c:pt>
                <c:pt idx="18">
                  <c:v>18</c:v>
                </c:pt>
                <c:pt idx="19">
                  <c:v>17</c:v>
                </c:pt>
                <c:pt idx="20">
                  <c:v>16</c:v>
                </c:pt>
                <c:pt idx="21">
                  <c:v>15</c:v>
                </c:pt>
                <c:pt idx="22">
                  <c:v>14</c:v>
                </c:pt>
                <c:pt idx="23">
                  <c:v>13</c:v>
                </c:pt>
                <c:pt idx="24">
                  <c:v>12</c:v>
                </c:pt>
                <c:pt idx="25">
                  <c:v>11</c:v>
                </c:pt>
                <c:pt idx="26">
                  <c:v>10</c:v>
                </c:pt>
                <c:pt idx="27">
                  <c:v>0</c:v>
                </c:pt>
              </c:numCache>
            </c:numRef>
          </c:cat>
          <c:val>
            <c:numRef>
              <c:f>과목성적분포도!$D$9:$D$36</c:f>
              <c:numCache>
                <c:formatCode>General</c:formatCode>
                <c:ptCount val="28"/>
                <c:pt idx="0">
                  <c:v>0</c:v>
                </c:pt>
                <c:pt idx="1">
                  <c:v>6</c:v>
                </c:pt>
                <c:pt idx="2">
                  <c:v>15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8</c:v>
                </c:pt>
                <c:pt idx="13">
                  <c:v>0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F-7140-8ACE-1625657B3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937216"/>
        <c:axId val="93008640"/>
      </c:barChart>
      <c:catAx>
        <c:axId val="92937216"/>
        <c:scaling>
          <c:orientation val="maxMin"/>
        </c:scaling>
        <c:delete val="0"/>
        <c:axPos val="l"/>
        <c:majorGridlines/>
        <c:minorGridlines/>
        <c:numFmt formatCode="0_);[Red]\(0\)" sourceLinked="1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US"/>
          </a:p>
        </c:txPr>
        <c:crossAx val="93008640"/>
        <c:crosses val="autoZero"/>
        <c:auto val="0"/>
        <c:lblAlgn val="ctr"/>
        <c:lblOffset val="100"/>
        <c:noMultiLvlLbl val="0"/>
      </c:catAx>
      <c:valAx>
        <c:axId val="93008640"/>
        <c:scaling>
          <c:orientation val="minMax"/>
        </c:scaling>
        <c:delete val="0"/>
        <c:axPos val="t"/>
        <c:majorGridlines/>
        <c:numFmt formatCode="General" sourceLinked="1"/>
        <c:majorTickMark val="out"/>
        <c:minorTickMark val="none"/>
        <c:tickLblPos val="nextTo"/>
        <c:crossAx val="9293721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486767394064823E-2"/>
          <c:y val="0.20014593175853021"/>
          <c:w val="0.89959847076802468"/>
          <c:h val="0.65988451443569551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개인성적표!$AT$10</c:f>
              <c:strCache>
                <c:ptCount val="1"/>
                <c:pt idx="0">
                  <c:v>English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개인성적표!$AU$9:$BD$9</c:f>
              <c:numCache>
                <c:formatCode>mm\/dd\/yy</c:formatCode>
                <c:ptCount val="10"/>
              </c:numCache>
            </c:numRef>
          </c:cat>
          <c:val>
            <c:numRef>
              <c:f>개인성적표!$AU$10:$BD$10</c:f>
              <c:numCache>
                <c:formatCode>0_ 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2091-0B40-A4D7-336BA264C23B}"/>
            </c:ext>
          </c:extLst>
        </c:ser>
        <c:ser>
          <c:idx val="3"/>
          <c:order val="1"/>
          <c:tx>
            <c:strRef>
              <c:f>개인성적표!$AT$11</c:f>
              <c:strCache>
                <c:ptCount val="1"/>
                <c:pt idx="0">
                  <c:v>Math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</c:spPr>
          <c:invertIfNegative val="0"/>
          <c:cat>
            <c:numRef>
              <c:f>개인성적표!$AU$9:$BD$9</c:f>
              <c:numCache>
                <c:formatCode>mm\/dd\/yy</c:formatCode>
                <c:ptCount val="10"/>
              </c:numCache>
            </c:numRef>
          </c:cat>
          <c:val>
            <c:numRef>
              <c:f>개인성적표!$AU$11:$BD$11</c:f>
              <c:numCache>
                <c:formatCode>0_ 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2091-0B40-A4D7-336BA264C23B}"/>
            </c:ext>
          </c:extLst>
        </c:ser>
        <c:ser>
          <c:idx val="4"/>
          <c:order val="2"/>
          <c:tx>
            <c:strRef>
              <c:f>개인성적표!$AT$12</c:f>
              <c:strCache>
                <c:ptCount val="1"/>
                <c:pt idx="0">
                  <c:v>Reading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2700">
              <a:solidFill>
                <a:schemeClr val="tx1"/>
              </a:solidFill>
            </a:ln>
          </c:spPr>
          <c:invertIfNegative val="0"/>
          <c:cat>
            <c:numRef>
              <c:f>개인성적표!$AU$9:$BD$9</c:f>
              <c:numCache>
                <c:formatCode>mm\/dd\/yy</c:formatCode>
                <c:ptCount val="10"/>
              </c:numCache>
            </c:numRef>
          </c:cat>
          <c:val>
            <c:numRef>
              <c:f>개인성적표!$AU$12:$BD$12</c:f>
              <c:numCache>
                <c:formatCode>0_ 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2091-0B40-A4D7-336BA264C23B}"/>
            </c:ext>
          </c:extLst>
        </c:ser>
        <c:ser>
          <c:idx val="0"/>
          <c:order val="3"/>
          <c:tx>
            <c:strRef>
              <c:f>개인성적표!$AT$13</c:f>
              <c:strCache>
                <c:ptCount val="1"/>
                <c:pt idx="0">
                  <c:v>Science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개인성적표!$AU$9:$BD$9</c:f>
              <c:numCache>
                <c:formatCode>mm\/dd\/yy</c:formatCode>
                <c:ptCount val="10"/>
              </c:numCache>
            </c:numRef>
          </c:cat>
          <c:val>
            <c:numRef>
              <c:f>개인성적표!$AU$13:$BD$13</c:f>
              <c:numCache>
                <c:formatCode>0_ 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2091-0B40-A4D7-336BA264C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958528"/>
        <c:axId val="95960448"/>
      </c:barChart>
      <c:lineChart>
        <c:grouping val="standard"/>
        <c:varyColors val="0"/>
        <c:ser>
          <c:idx val="5"/>
          <c:order val="4"/>
          <c:tx>
            <c:strRef>
              <c:f>개인성적표!$AT$14</c:f>
              <c:strCache>
                <c:ptCount val="1"/>
                <c:pt idx="0">
                  <c:v>Composite Score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7"/>
            <c:spPr>
              <a:solidFill>
                <a:srgbClr val="FFC000"/>
              </a:solidFill>
              <a:ln>
                <a:solidFill>
                  <a:srgbClr val="FF0000"/>
                </a:solidFill>
              </a:ln>
            </c:spPr>
          </c:marker>
          <c:cat>
            <c:numRef>
              <c:f>개인성적표!$AU$9:$BD$9</c:f>
              <c:numCache>
                <c:formatCode>mm\/dd\/yy</c:formatCode>
                <c:ptCount val="10"/>
              </c:numCache>
            </c:numRef>
          </c:cat>
          <c:val>
            <c:numRef>
              <c:f>개인성적표!$AU$14:$BD$14</c:f>
              <c:numCache>
                <c:formatCode>0_ 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91-0B40-A4D7-336BA264C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958528"/>
        <c:axId val="95960448"/>
      </c:lineChart>
      <c:catAx>
        <c:axId val="95958528"/>
        <c:scaling>
          <c:orientation val="minMax"/>
        </c:scaling>
        <c:delete val="0"/>
        <c:axPos val="b"/>
        <c:minorGridlines/>
        <c:numFmt formatCode="mm\/dd\/yy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5960448"/>
        <c:crosses val="autoZero"/>
        <c:auto val="0"/>
        <c:lblAlgn val="ctr"/>
        <c:lblOffset val="100"/>
        <c:noMultiLvlLbl val="0"/>
      </c:catAx>
      <c:valAx>
        <c:axId val="95960448"/>
        <c:scaling>
          <c:orientation val="minMax"/>
          <c:max val="36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_ " sourceLinked="1"/>
        <c:majorTickMark val="in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95958528"/>
        <c:crosses val="autoZero"/>
        <c:crossBetween val="between"/>
        <c:majorUnit val="4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4.5145616339942241E-2"/>
          <c:y val="9.4446194225721765E-3"/>
          <c:w val="0.93154394128103513"/>
          <c:h val="0.1118975719432920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 orientation="portrait"/>
  </c:printSettings>
</c:chartSpace>
</file>

<file path=xl/ctrlProps/ctrlProp1.xml><?xml version="1.0" encoding="utf-8"?>
<formControlPr xmlns="http://schemas.microsoft.com/office/spreadsheetml/2009/9/main" objectType="Drop" dropLines="10" dropStyle="combo" dx="16" fmlaLink="$O$3" fmlaRange="$O$4:$O$8" noThreeD="1" sel="1" val="0"/>
</file>

<file path=xl/ctrlProps/ctrlProp2.xml><?xml version="1.0" encoding="utf-8"?>
<formControlPr xmlns="http://schemas.microsoft.com/office/spreadsheetml/2009/9/main" objectType="Drop" dropLines="10" dropStyle="combo" dx="16" fmlaLink="$P$3" fmlaRange="$P$4:$P$7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7</xdr:row>
      <xdr:rowOff>76201</xdr:rowOff>
    </xdr:from>
    <xdr:to>
      <xdr:col>10</xdr:col>
      <xdr:colOff>619125</xdr:colOff>
      <xdr:row>37</xdr:row>
      <xdr:rowOff>57151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6</xdr:col>
          <xdr:colOff>0</xdr:colOff>
          <xdr:row>3</xdr:row>
          <xdr:rowOff>304800</xdr:rowOff>
        </xdr:to>
        <xdr:sp macro="" textlink="">
          <xdr:nvSpPr>
            <xdr:cNvPr id="26625" name="Drop문항분석표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12700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7649" name="Drop문항분석표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</xdr:row>
      <xdr:rowOff>133729</xdr:rowOff>
    </xdr:from>
    <xdr:to>
      <xdr:col>6</xdr:col>
      <xdr:colOff>85725</xdr:colOff>
      <xdr:row>5</xdr:row>
      <xdr:rowOff>95250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657604"/>
          <a:ext cx="1581150" cy="485396"/>
        </a:xfrm>
        <a:prstGeom prst="rect">
          <a:avLst/>
        </a:prstGeom>
      </xdr:spPr>
    </xdr:pic>
    <xdr:clientData fLocksWithSheet="0"/>
  </xdr:twoCellAnchor>
  <xdr:twoCellAnchor>
    <xdr:from>
      <xdr:col>6</xdr:col>
      <xdr:colOff>114300</xdr:colOff>
      <xdr:row>2</xdr:row>
      <xdr:rowOff>76200</xdr:rowOff>
    </xdr:from>
    <xdr:to>
      <xdr:col>18</xdr:col>
      <xdr:colOff>257175</xdr:colOff>
      <xdr:row>6</xdr:row>
      <xdr:rowOff>47625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943100" y="600075"/>
          <a:ext cx="3914775" cy="657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Prestige Institute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101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Broad Ave, Palisades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NJ 07650</a:t>
          </a:r>
          <a:endParaRPr lang="en-US">
            <a:effectLst/>
          </a:endParaRPr>
        </a:p>
        <a:p>
          <a:r>
            <a:rPr lang="en-US" sz="1100"/>
            <a:t>T. 201.840.7737         E. info@prestigei.com</a:t>
          </a:r>
        </a:p>
      </xdr:txBody>
    </xdr:sp>
    <xdr:clientData/>
  </xdr:twoCellAnchor>
  <xdr:twoCellAnchor>
    <xdr:from>
      <xdr:col>14</xdr:col>
      <xdr:colOff>76199</xdr:colOff>
      <xdr:row>8</xdr:row>
      <xdr:rowOff>19050</xdr:rowOff>
    </xdr:from>
    <xdr:to>
      <xdr:col>42</xdr:col>
      <xdr:colOff>9524</xdr:colOff>
      <xdr:row>15</xdr:row>
      <xdr:rowOff>257175</xdr:rowOff>
    </xdr:to>
    <xdr:graphicFrame macro="">
      <xdr:nvGraphicFramePr>
        <xdr:cNvPr id="4" name="차트 7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43</xdr:row>
      <xdr:rowOff>152779</xdr:rowOff>
    </xdr:from>
    <xdr:to>
      <xdr:col>6</xdr:col>
      <xdr:colOff>85725</xdr:colOff>
      <xdr:row>46</xdr:row>
      <xdr:rowOff>66675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10573129"/>
          <a:ext cx="1581150" cy="485396"/>
        </a:xfrm>
        <a:prstGeom prst="rect">
          <a:avLst/>
        </a:prstGeom>
      </xdr:spPr>
    </xdr:pic>
    <xdr:clientData fLocksWithSheet="0"/>
  </xdr:twoCellAnchor>
  <xdr:twoCellAnchor>
    <xdr:from>
      <xdr:col>6</xdr:col>
      <xdr:colOff>114300</xdr:colOff>
      <xdr:row>43</xdr:row>
      <xdr:rowOff>76200</xdr:rowOff>
    </xdr:from>
    <xdr:to>
      <xdr:col>18</xdr:col>
      <xdr:colOff>257175</xdr:colOff>
      <xdr:row>47</xdr:row>
      <xdr:rowOff>47625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1943100" y="10496550"/>
          <a:ext cx="3914775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Prestige Institute</a:t>
          </a:r>
        </a:p>
        <a:p>
          <a:r>
            <a:rPr lang="en-US" sz="1100"/>
            <a:t>A. 725 Grand Ave. #301, Ridgefield, NJ 07657</a:t>
          </a:r>
        </a:p>
        <a:p>
          <a:r>
            <a:rPr lang="en-US" sz="1100"/>
            <a:t>T. 201.840.7737         E. info@prestigei.com</a:t>
          </a:r>
        </a:p>
      </xdr:txBody>
    </xdr:sp>
    <xdr:clientData/>
  </xdr:twoCellAnchor>
  <xdr:twoCellAnchor>
    <xdr:from>
      <xdr:col>1</xdr:col>
      <xdr:colOff>76200</xdr:colOff>
      <xdr:row>81</xdr:row>
      <xdr:rowOff>152779</xdr:rowOff>
    </xdr:from>
    <xdr:to>
      <xdr:col>6</xdr:col>
      <xdr:colOff>85725</xdr:colOff>
      <xdr:row>84</xdr:row>
      <xdr:rowOff>66675</xdr:rowOff>
    </xdr:to>
    <xdr:pic>
      <xdr:nvPicPr>
        <xdr:cNvPr id="7" name="Picture 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10573129"/>
          <a:ext cx="1762125" cy="485396"/>
        </a:xfrm>
        <a:prstGeom prst="rect">
          <a:avLst/>
        </a:prstGeom>
      </xdr:spPr>
    </xdr:pic>
    <xdr:clientData fLocksWithSheet="0"/>
  </xdr:twoCellAnchor>
  <xdr:twoCellAnchor>
    <xdr:from>
      <xdr:col>6</xdr:col>
      <xdr:colOff>114300</xdr:colOff>
      <xdr:row>81</xdr:row>
      <xdr:rowOff>76200</xdr:rowOff>
    </xdr:from>
    <xdr:to>
      <xdr:col>18</xdr:col>
      <xdr:colOff>257175</xdr:colOff>
      <xdr:row>85</xdr:row>
      <xdr:rowOff>47625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2124075" y="10496550"/>
          <a:ext cx="3914775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Prestige Institute</a:t>
          </a:r>
        </a:p>
        <a:p>
          <a:r>
            <a:rPr lang="en-US" sz="1100"/>
            <a:t>A. 725 Grand Ave. #301, Ridgefield, NJ 07657</a:t>
          </a:r>
        </a:p>
        <a:p>
          <a:r>
            <a:rPr lang="en-US" sz="1100"/>
            <a:t>T. 201.840.7737         E. info@prestigei.com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AE2462-1C34-3147-ACF4-2318E5913AC7}" name="Table1" displayName="Table1" ref="A1:X59" totalsRowShown="0" headerRowDxfId="27" dataDxfId="25" headerRowBorderDxfId="26" tableBorderDxfId="24" headerRowCellStyle="표준 2 2">
  <autoFilter ref="A1:X59" xr:uid="{EA625222-8619-2A43-9305-9D40597D6F07}"/>
  <tableColumns count="24">
    <tableColumn id="1" xr3:uid="{892F67AB-8A55-1244-9CEE-AC7305CC6954}" name="Name" dataDxfId="23"/>
    <tableColumn id="2" xr3:uid="{574DE8DA-DC28-A047-BFE2-36A513BA1200}" name="ID" dataDxfId="22"/>
    <tableColumn id="3" xr3:uid="{16754584-C0E3-CF42-BE03-5E810D0AB5A8}" name="TEST No." dataDxfId="21"/>
    <tableColumn id="4" xr3:uid="{B2F27C1B-66EA-844E-A485-AEFEA06B2F22}" name="Date" dataDxfId="20"/>
    <tableColumn id="5" xr3:uid="{81475B43-284C-1849-8484-5A654704E8A0}" name="Essay_x000a_Score" dataDxfId="19"/>
    <tableColumn id="6" xr3:uid="{438B892F-5B7D-A14C-A596-014BC1DE218D}" name="English" dataDxfId="18"/>
    <tableColumn id="7" xr3:uid="{78A01DC9-9451-624D-9647-7582EF9ADD49}" name="Math" dataDxfId="17"/>
    <tableColumn id="8" xr3:uid="{6EA45D17-E699-1244-9585-D8B89F784BCC}" name="Reading" dataDxfId="16"/>
    <tableColumn id="9" xr3:uid="{0B2FBDA7-B23B-CE49-997E-E38F646CFF10}" name="Science" dataDxfId="15"/>
    <tableColumn id="10" xr3:uid="{C818E212-1016-2F46-B866-D0D52EA69751}" name="Composite Score" dataDxfId="14"/>
    <tableColumn id="11" xr3:uid="{3AB2974B-78E1-9D4F-B1F8-F7BF4F9E958B}" name="COMBINED English WRITING" dataDxfId="13"/>
    <tableColumn id="12" xr3:uid="{D142684B-4F75-5241-8FA0-7F9987DDF1ED}" name="Composite_x000a_Cumulation Percent(%)" dataDxfId="12"/>
    <tableColumn id="13" xr3:uid="{2E51D4A3-ADA8-E740-813A-F1A71A4406CB}" name="English2" dataDxfId="11"/>
    <tableColumn id="14" xr3:uid="{416FC62B-E3CD-1D46-9DF5-F23EBF65B3FD}" name="Column3" dataDxfId="10"/>
    <tableColumn id="15" xr3:uid="{5ED4865F-D234-8E4E-B991-03526A803A72}" name="Column4" dataDxfId="9"/>
    <tableColumn id="16" xr3:uid="{AE653A35-231C-2E43-AA32-F2FCE292B734}" name="Math5" dataDxfId="8"/>
    <tableColumn id="17" xr3:uid="{683DB29C-145C-584A-A782-4412EDEA1D26}" name="Column6" dataDxfId="7"/>
    <tableColumn id="18" xr3:uid="{16354137-1734-4248-9BA8-A912FA34A984}" name="Column7" dataDxfId="6"/>
    <tableColumn id="19" xr3:uid="{149ACF48-07AB-ED4F-949A-F46EC1A7A06E}" name="Reading8" dataDxfId="5"/>
    <tableColumn id="20" xr3:uid="{7BEF6CEB-30A4-7745-8D34-CA91C1717F80}" name="Column9" dataDxfId="4"/>
    <tableColumn id="21" xr3:uid="{BFF9EBBE-0132-E94D-AD0E-F25FD03B4DE1}" name="Column10" dataDxfId="3"/>
    <tableColumn id="22" xr3:uid="{4FBD5D79-0E7A-E84F-BFBC-A81F7B9A1518}" name="Science11" dataDxfId="2"/>
    <tableColumn id="23" xr3:uid="{4ADA7740-9C00-404D-AC1A-9F897196FC6D}" name="Column12" dataDxfId="1"/>
    <tableColumn id="24" xr3:uid="{4B44ECFC-9F2A-2148-9314-14BEF1613AD3}" name="Column1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종합성적현황">
    <tabColor theme="3"/>
    <pageSetUpPr fitToPage="1"/>
  </sheetPr>
  <dimension ref="A1:AT66"/>
  <sheetViews>
    <sheetView showGridLines="0" zoomScale="85" zoomScaleNormal="85" workbookViewId="0">
      <selection activeCell="B7" sqref="B7:Y66"/>
    </sheetView>
  </sheetViews>
  <sheetFormatPr baseColWidth="10" defaultColWidth="8.83203125" defaultRowHeight="15"/>
  <cols>
    <col min="1" max="1" width="2.5" style="42" customWidth="1"/>
    <col min="2" max="2" width="18.5" style="97" customWidth="1"/>
    <col min="3" max="4" width="10.33203125" style="98" customWidth="1"/>
    <col min="5" max="5" width="10.5" style="99" customWidth="1"/>
    <col min="6" max="6" width="7.6640625" style="98" customWidth="1"/>
    <col min="7" max="7" width="10.5" style="100" customWidth="1"/>
    <col min="8" max="8" width="10.5" style="101" customWidth="1"/>
    <col min="9" max="9" width="10.5" style="100" customWidth="1"/>
    <col min="10" max="10" width="10.5" style="101" customWidth="1"/>
    <col min="11" max="11" width="10.5" style="100" customWidth="1"/>
    <col min="12" max="12" width="10.5" style="101" customWidth="1"/>
    <col min="13" max="13" width="10.5" style="100" customWidth="1"/>
    <col min="14" max="24" width="5.5" style="101" customWidth="1"/>
    <col min="25" max="25" width="5.5" style="102" customWidth="1"/>
  </cols>
  <sheetData>
    <row r="1" spans="1:46">
      <c r="A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46" ht="18">
      <c r="B2" s="206" t="s">
        <v>297</v>
      </c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</row>
    <row r="3" spans="1:46" ht="9.75" customHeight="1">
      <c r="B3" s="62"/>
      <c r="C3" s="62"/>
      <c r="D3" s="62"/>
      <c r="E3" s="87"/>
      <c r="F3" s="62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</row>
    <row r="4" spans="1:46">
      <c r="B4" s="64" t="s">
        <v>4</v>
      </c>
      <c r="C4" s="210">
        <v>43661</v>
      </c>
      <c r="D4" s="211"/>
      <c r="E4" s="207" t="s">
        <v>298</v>
      </c>
      <c r="F4" s="207"/>
      <c r="G4" s="208">
        <v>43661</v>
      </c>
      <c r="H4" s="208"/>
      <c r="I4" s="213" t="s">
        <v>408</v>
      </c>
      <c r="J4" s="214"/>
      <c r="K4" s="94" t="s">
        <v>649</v>
      </c>
      <c r="L4" s="89" t="s">
        <v>260</v>
      </c>
      <c r="M4" s="212" t="s">
        <v>753</v>
      </c>
      <c r="N4" s="212"/>
      <c r="O4" s="207" t="s">
        <v>261</v>
      </c>
      <c r="P4" s="207"/>
      <c r="Q4" s="209" t="s">
        <v>562</v>
      </c>
      <c r="R4" s="209"/>
      <c r="S4" s="209"/>
      <c r="T4" s="95"/>
      <c r="U4" s="95"/>
      <c r="V4" s="95"/>
      <c r="W4" s="95"/>
      <c r="X4" s="95"/>
      <c r="Y4" s="96"/>
      <c r="AQ4" s="4"/>
      <c r="AR4" s="4"/>
      <c r="AS4" s="4"/>
      <c r="AT4" s="3"/>
    </row>
    <row r="5" spans="1:46" ht="10.5" customHeight="1">
      <c r="B5" s="62"/>
      <c r="C5" s="62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</row>
    <row r="6" spans="1:46" s="2" customFormat="1" ht="21.75" customHeight="1">
      <c r="A6" s="65"/>
      <c r="B6" s="215" t="s">
        <v>299</v>
      </c>
      <c r="C6" s="216"/>
      <c r="D6" s="216"/>
      <c r="E6" s="216"/>
      <c r="F6" s="216"/>
      <c r="G6" s="217" t="s">
        <v>300</v>
      </c>
      <c r="H6" s="218"/>
      <c r="I6" s="218"/>
      <c r="J6" s="218"/>
      <c r="K6" s="218"/>
      <c r="L6" s="218"/>
      <c r="M6" s="215"/>
      <c r="N6" s="219" t="s">
        <v>262</v>
      </c>
      <c r="O6" s="220"/>
      <c r="P6" s="220"/>
      <c r="Q6" s="220"/>
      <c r="R6" s="220"/>
      <c r="S6" s="220"/>
      <c r="T6" s="220"/>
      <c r="U6" s="220"/>
      <c r="V6" s="220"/>
      <c r="W6" s="220"/>
      <c r="X6" s="220"/>
      <c r="Y6" s="221"/>
    </row>
    <row r="7" spans="1:46" s="2" customFormat="1" ht="22.5" customHeight="1">
      <c r="A7" s="65"/>
      <c r="B7" s="222" t="s">
        <v>263</v>
      </c>
      <c r="C7" s="200" t="s">
        <v>301</v>
      </c>
      <c r="D7" s="200" t="s">
        <v>302</v>
      </c>
      <c r="E7" s="202" t="s">
        <v>303</v>
      </c>
      <c r="F7" s="204" t="s">
        <v>304</v>
      </c>
      <c r="G7" s="198" t="s">
        <v>75</v>
      </c>
      <c r="H7" s="198" t="s">
        <v>305</v>
      </c>
      <c r="I7" s="198" t="s">
        <v>76</v>
      </c>
      <c r="J7" s="198" t="s">
        <v>77</v>
      </c>
      <c r="K7" s="198" t="s">
        <v>264</v>
      </c>
      <c r="L7" s="198" t="s">
        <v>306</v>
      </c>
      <c r="M7" s="198" t="s">
        <v>307</v>
      </c>
      <c r="N7" s="205" t="s">
        <v>75</v>
      </c>
      <c r="O7" s="205"/>
      <c r="P7" s="205"/>
      <c r="Q7" s="198" t="s">
        <v>305</v>
      </c>
      <c r="R7" s="198"/>
      <c r="S7" s="198"/>
      <c r="T7" s="198" t="s">
        <v>76</v>
      </c>
      <c r="U7" s="198"/>
      <c r="V7" s="198"/>
      <c r="W7" s="198" t="s">
        <v>77</v>
      </c>
      <c r="X7" s="198"/>
      <c r="Y7" s="198"/>
    </row>
    <row r="8" spans="1:46" s="2" customFormat="1" ht="22.5" customHeight="1">
      <c r="A8" s="65"/>
      <c r="B8" s="223"/>
      <c r="C8" s="201"/>
      <c r="D8" s="201"/>
      <c r="E8" s="203"/>
      <c r="F8" s="201"/>
      <c r="G8" s="199"/>
      <c r="H8" s="199"/>
      <c r="I8" s="199"/>
      <c r="J8" s="199"/>
      <c r="K8" s="199"/>
      <c r="L8" s="199"/>
      <c r="M8" s="199"/>
      <c r="N8" s="66" t="s">
        <v>308</v>
      </c>
      <c r="O8" s="66" t="s">
        <v>253</v>
      </c>
      <c r="P8" s="66" t="s">
        <v>265</v>
      </c>
      <c r="Q8" s="66" t="s">
        <v>309</v>
      </c>
      <c r="R8" s="66" t="s">
        <v>253</v>
      </c>
      <c r="S8" s="66" t="s">
        <v>265</v>
      </c>
      <c r="T8" s="66" t="s">
        <v>252</v>
      </c>
      <c r="U8" s="66" t="s">
        <v>253</v>
      </c>
      <c r="V8" s="66" t="s">
        <v>310</v>
      </c>
      <c r="W8" s="66" t="s">
        <v>252</v>
      </c>
      <c r="X8" s="66" t="s">
        <v>253</v>
      </c>
      <c r="Y8" s="66" t="s">
        <v>311</v>
      </c>
      <c r="AJ8" s="2" t="s">
        <v>470</v>
      </c>
      <c r="AK8" s="2" t="s">
        <v>75</v>
      </c>
      <c r="AL8" s="2" t="s">
        <v>305</v>
      </c>
      <c r="AM8" s="2" t="s">
        <v>76</v>
      </c>
      <c r="AN8" s="2" t="s">
        <v>77</v>
      </c>
      <c r="AO8" s="2" t="s">
        <v>88</v>
      </c>
    </row>
    <row r="9" spans="1:46">
      <c r="B9" s="67" t="s">
        <v>748</v>
      </c>
      <c r="C9" s="68" t="s">
        <v>680</v>
      </c>
      <c r="D9" s="68" t="s">
        <v>33</v>
      </c>
      <c r="E9" s="99" t="s">
        <v>637</v>
      </c>
      <c r="F9" s="68"/>
      <c r="G9" s="69">
        <v>35</v>
      </c>
      <c r="H9" s="70">
        <v>35</v>
      </c>
      <c r="I9" s="69">
        <v>31</v>
      </c>
      <c r="J9" s="70">
        <v>33</v>
      </c>
      <c r="K9" s="69">
        <v>34</v>
      </c>
      <c r="L9" s="70"/>
      <c r="M9" s="69">
        <v>99</v>
      </c>
      <c r="N9" s="70">
        <v>74</v>
      </c>
      <c r="O9" s="70">
        <v>1</v>
      </c>
      <c r="P9" s="70">
        <v>0</v>
      </c>
      <c r="Q9" s="70">
        <v>58</v>
      </c>
      <c r="R9" s="70">
        <v>2</v>
      </c>
      <c r="S9" s="70">
        <v>0</v>
      </c>
      <c r="T9" s="70">
        <v>36</v>
      </c>
      <c r="U9" s="70">
        <v>4</v>
      </c>
      <c r="V9" s="70">
        <v>0</v>
      </c>
      <c r="W9" s="70">
        <v>37</v>
      </c>
      <c r="X9" s="70">
        <v>3</v>
      </c>
      <c r="Y9" s="71">
        <v>0</v>
      </c>
      <c r="AD9">
        <v>74</v>
      </c>
      <c r="AE9">
        <v>58</v>
      </c>
      <c r="AF9">
        <v>36</v>
      </c>
      <c r="AG9">
        <v>37</v>
      </c>
      <c r="AK9">
        <v>1</v>
      </c>
      <c r="AL9">
        <v>6</v>
      </c>
      <c r="AM9">
        <v>15</v>
      </c>
      <c r="AN9">
        <v>7</v>
      </c>
      <c r="AO9">
        <v>1</v>
      </c>
    </row>
    <row r="10" spans="1:46">
      <c r="B10" s="97" t="s">
        <v>724</v>
      </c>
      <c r="C10" s="98" t="s">
        <v>681</v>
      </c>
      <c r="D10" s="98" t="s">
        <v>33</v>
      </c>
      <c r="E10" s="99" t="s">
        <v>637</v>
      </c>
      <c r="G10" s="100">
        <v>34</v>
      </c>
      <c r="H10" s="101">
        <v>30</v>
      </c>
      <c r="I10" s="100">
        <v>35</v>
      </c>
      <c r="J10" s="101">
        <v>30</v>
      </c>
      <c r="K10" s="100">
        <v>32</v>
      </c>
      <c r="M10" s="100">
        <v>98</v>
      </c>
      <c r="N10" s="101">
        <v>71</v>
      </c>
      <c r="O10" s="101">
        <v>4</v>
      </c>
      <c r="P10" s="101">
        <v>0</v>
      </c>
      <c r="Q10" s="101">
        <v>51</v>
      </c>
      <c r="R10" s="101">
        <v>9</v>
      </c>
      <c r="S10" s="101">
        <v>0</v>
      </c>
      <c r="T10" s="101">
        <v>39</v>
      </c>
      <c r="U10" s="101">
        <v>1</v>
      </c>
      <c r="V10" s="101">
        <v>0</v>
      </c>
      <c r="W10" s="101">
        <v>35</v>
      </c>
      <c r="X10" s="101">
        <v>5</v>
      </c>
      <c r="Y10" s="102">
        <v>0</v>
      </c>
      <c r="AD10">
        <v>71</v>
      </c>
      <c r="AE10">
        <v>51</v>
      </c>
      <c r="AF10">
        <v>39</v>
      </c>
      <c r="AG10">
        <v>35</v>
      </c>
      <c r="AK10">
        <v>7</v>
      </c>
      <c r="AL10">
        <v>40</v>
      </c>
      <c r="AM10">
        <v>1</v>
      </c>
      <c r="AN10">
        <v>11</v>
      </c>
      <c r="AO10">
        <v>10</v>
      </c>
    </row>
    <row r="11" spans="1:46">
      <c r="B11" s="97" t="s">
        <v>720</v>
      </c>
      <c r="C11" s="98" t="s">
        <v>682</v>
      </c>
      <c r="D11" s="98" t="s">
        <v>33</v>
      </c>
      <c r="E11" s="99" t="s">
        <v>637</v>
      </c>
      <c r="G11" s="100">
        <v>34</v>
      </c>
      <c r="H11" s="101">
        <v>36</v>
      </c>
      <c r="I11" s="100">
        <v>32</v>
      </c>
      <c r="J11" s="101">
        <v>34</v>
      </c>
      <c r="K11" s="100">
        <v>34</v>
      </c>
      <c r="M11" s="100">
        <v>99</v>
      </c>
      <c r="N11" s="101">
        <v>70</v>
      </c>
      <c r="O11" s="101">
        <v>5</v>
      </c>
      <c r="P11" s="101">
        <v>0</v>
      </c>
      <c r="Q11" s="101">
        <v>59</v>
      </c>
      <c r="R11" s="101">
        <v>1</v>
      </c>
      <c r="S11" s="101">
        <v>0</v>
      </c>
      <c r="T11" s="101">
        <v>37</v>
      </c>
      <c r="U11" s="101">
        <v>3</v>
      </c>
      <c r="V11" s="101">
        <v>0</v>
      </c>
      <c r="W11" s="101">
        <v>38</v>
      </c>
      <c r="X11" s="101">
        <v>2</v>
      </c>
      <c r="Y11" s="102">
        <v>0</v>
      </c>
      <c r="AD11">
        <v>70</v>
      </c>
      <c r="AE11">
        <v>59</v>
      </c>
      <c r="AF11">
        <v>37</v>
      </c>
      <c r="AG11">
        <v>38</v>
      </c>
      <c r="AK11">
        <v>7</v>
      </c>
      <c r="AL11">
        <v>1</v>
      </c>
      <c r="AM11">
        <v>8</v>
      </c>
      <c r="AN11">
        <v>3</v>
      </c>
      <c r="AO11">
        <v>1</v>
      </c>
    </row>
    <row r="12" spans="1:46">
      <c r="B12" s="97" t="s">
        <v>699</v>
      </c>
      <c r="C12" s="98" t="s">
        <v>700</v>
      </c>
      <c r="D12" s="98" t="s">
        <v>33</v>
      </c>
      <c r="E12" s="99" t="s">
        <v>637</v>
      </c>
      <c r="G12" s="100">
        <v>31</v>
      </c>
      <c r="H12" s="101">
        <v>31</v>
      </c>
      <c r="I12" s="100">
        <v>28</v>
      </c>
      <c r="J12" s="101">
        <v>25</v>
      </c>
      <c r="K12" s="100">
        <v>29</v>
      </c>
      <c r="M12" s="100">
        <v>94</v>
      </c>
      <c r="N12" s="101">
        <v>67</v>
      </c>
      <c r="O12" s="101">
        <v>8</v>
      </c>
      <c r="P12" s="101">
        <v>0</v>
      </c>
      <c r="Q12" s="101">
        <v>52</v>
      </c>
      <c r="R12" s="101">
        <v>8</v>
      </c>
      <c r="S12" s="101">
        <v>0</v>
      </c>
      <c r="T12" s="101">
        <v>33</v>
      </c>
      <c r="U12" s="101">
        <v>7</v>
      </c>
      <c r="V12" s="101">
        <v>0</v>
      </c>
      <c r="W12" s="101">
        <v>29</v>
      </c>
      <c r="X12" s="101">
        <v>11</v>
      </c>
      <c r="Y12" s="102">
        <v>0</v>
      </c>
      <c r="AD12">
        <v>67</v>
      </c>
      <c r="AE12">
        <v>52</v>
      </c>
      <c r="AF12">
        <v>33</v>
      </c>
      <c r="AG12">
        <v>29</v>
      </c>
      <c r="AK12">
        <v>30</v>
      </c>
      <c r="AL12">
        <v>35</v>
      </c>
      <c r="AM12">
        <v>26</v>
      </c>
      <c r="AN12">
        <v>35</v>
      </c>
      <c r="AO12">
        <v>33</v>
      </c>
    </row>
    <row r="13" spans="1:46">
      <c r="B13" s="97" t="s">
        <v>702</v>
      </c>
      <c r="C13" s="98" t="s">
        <v>703</v>
      </c>
      <c r="D13" s="98" t="s">
        <v>33</v>
      </c>
      <c r="E13" s="99" t="s">
        <v>637</v>
      </c>
      <c r="G13" s="100">
        <v>24</v>
      </c>
      <c r="H13" s="101">
        <v>35</v>
      </c>
      <c r="I13" s="100">
        <v>24</v>
      </c>
      <c r="J13" s="101">
        <v>28</v>
      </c>
      <c r="K13" s="100">
        <v>28</v>
      </c>
      <c r="M13" s="100">
        <v>91</v>
      </c>
      <c r="N13" s="101">
        <v>55</v>
      </c>
      <c r="O13" s="101">
        <v>20</v>
      </c>
      <c r="P13" s="101">
        <v>0</v>
      </c>
      <c r="Q13" s="101">
        <v>57</v>
      </c>
      <c r="R13" s="101">
        <v>3</v>
      </c>
      <c r="S13" s="101">
        <v>0</v>
      </c>
      <c r="T13" s="101">
        <v>28</v>
      </c>
      <c r="U13" s="101">
        <v>12</v>
      </c>
      <c r="V13" s="101">
        <v>0</v>
      </c>
      <c r="W13" s="101">
        <v>33</v>
      </c>
      <c r="X13" s="101">
        <v>6</v>
      </c>
      <c r="Y13" s="102">
        <v>1</v>
      </c>
      <c r="AD13">
        <v>55</v>
      </c>
      <c r="AE13">
        <v>57</v>
      </c>
      <c r="AF13">
        <v>28</v>
      </c>
      <c r="AG13">
        <v>33</v>
      </c>
      <c r="AK13">
        <v>46</v>
      </c>
      <c r="AL13">
        <v>6</v>
      </c>
      <c r="AM13">
        <v>39</v>
      </c>
      <c r="AN13">
        <v>21</v>
      </c>
      <c r="AO13">
        <v>36</v>
      </c>
    </row>
    <row r="14" spans="1:46">
      <c r="B14" s="97" t="s">
        <v>710</v>
      </c>
      <c r="C14" s="98" t="s">
        <v>683</v>
      </c>
      <c r="D14" s="98" t="s">
        <v>33</v>
      </c>
      <c r="E14" s="99" t="s">
        <v>637</v>
      </c>
      <c r="G14" s="100">
        <v>34</v>
      </c>
      <c r="H14" s="101">
        <v>35</v>
      </c>
      <c r="I14" s="100">
        <v>33</v>
      </c>
      <c r="J14" s="101">
        <v>34</v>
      </c>
      <c r="K14" s="100">
        <v>34</v>
      </c>
      <c r="M14" s="100">
        <v>99</v>
      </c>
      <c r="N14" s="101">
        <v>71</v>
      </c>
      <c r="O14" s="101">
        <v>4</v>
      </c>
      <c r="P14" s="101">
        <v>0</v>
      </c>
      <c r="Q14" s="101">
        <v>57</v>
      </c>
      <c r="R14" s="101">
        <v>3</v>
      </c>
      <c r="S14" s="101">
        <v>0</v>
      </c>
      <c r="T14" s="101">
        <v>38</v>
      </c>
      <c r="U14" s="101">
        <v>2</v>
      </c>
      <c r="V14" s="101">
        <v>0</v>
      </c>
      <c r="W14" s="101">
        <v>38</v>
      </c>
      <c r="X14" s="101">
        <v>2</v>
      </c>
      <c r="Y14" s="102">
        <v>0</v>
      </c>
      <c r="AD14">
        <v>71</v>
      </c>
      <c r="AE14">
        <v>57</v>
      </c>
      <c r="AF14">
        <v>38</v>
      </c>
      <c r="AG14">
        <v>38</v>
      </c>
      <c r="AK14">
        <v>7</v>
      </c>
      <c r="AL14">
        <v>6</v>
      </c>
      <c r="AM14">
        <v>4</v>
      </c>
      <c r="AN14">
        <v>3</v>
      </c>
      <c r="AO14">
        <v>1</v>
      </c>
    </row>
    <row r="15" spans="1:46">
      <c r="B15" s="97" t="s">
        <v>744</v>
      </c>
      <c r="C15" s="98" t="s">
        <v>684</v>
      </c>
      <c r="D15" s="98" t="s">
        <v>33</v>
      </c>
      <c r="E15" s="99" t="s">
        <v>637</v>
      </c>
      <c r="G15" s="100">
        <v>32</v>
      </c>
      <c r="H15" s="101">
        <v>35</v>
      </c>
      <c r="I15" s="100">
        <v>27</v>
      </c>
      <c r="J15" s="101">
        <v>30</v>
      </c>
      <c r="K15" s="100">
        <v>31</v>
      </c>
      <c r="M15" s="100">
        <v>97</v>
      </c>
      <c r="N15" s="101">
        <v>68</v>
      </c>
      <c r="O15" s="101">
        <v>7</v>
      </c>
      <c r="P15" s="101">
        <v>0</v>
      </c>
      <c r="Q15" s="101">
        <v>58</v>
      </c>
      <c r="R15" s="101">
        <v>2</v>
      </c>
      <c r="S15" s="101">
        <v>0</v>
      </c>
      <c r="T15" s="101">
        <v>31</v>
      </c>
      <c r="U15" s="101">
        <v>9</v>
      </c>
      <c r="V15" s="101">
        <v>0</v>
      </c>
      <c r="W15" s="101">
        <v>35</v>
      </c>
      <c r="X15" s="101">
        <v>5</v>
      </c>
      <c r="Y15" s="102">
        <v>0</v>
      </c>
      <c r="AD15">
        <v>68</v>
      </c>
      <c r="AE15">
        <v>58</v>
      </c>
      <c r="AF15">
        <v>31</v>
      </c>
      <c r="AG15">
        <v>35</v>
      </c>
      <c r="AK15">
        <v>26</v>
      </c>
      <c r="AL15">
        <v>6</v>
      </c>
      <c r="AM15">
        <v>31</v>
      </c>
      <c r="AN15">
        <v>11</v>
      </c>
      <c r="AO15">
        <v>17</v>
      </c>
    </row>
    <row r="16" spans="1:46">
      <c r="B16" s="97" t="s">
        <v>738</v>
      </c>
      <c r="C16" s="98" t="s">
        <v>685</v>
      </c>
      <c r="D16" s="98" t="s">
        <v>33</v>
      </c>
      <c r="E16" s="99" t="s">
        <v>637</v>
      </c>
      <c r="G16" s="100">
        <v>34</v>
      </c>
      <c r="H16" s="101">
        <v>32</v>
      </c>
      <c r="I16" s="100">
        <v>28</v>
      </c>
      <c r="J16" s="101">
        <v>34</v>
      </c>
      <c r="K16" s="100">
        <v>32</v>
      </c>
      <c r="M16" s="100">
        <v>98</v>
      </c>
      <c r="N16" s="101">
        <v>71</v>
      </c>
      <c r="O16" s="101">
        <v>4</v>
      </c>
      <c r="P16" s="101">
        <v>0</v>
      </c>
      <c r="Q16" s="101">
        <v>53</v>
      </c>
      <c r="R16" s="101">
        <v>7</v>
      </c>
      <c r="S16" s="101">
        <v>0</v>
      </c>
      <c r="T16" s="101">
        <v>33</v>
      </c>
      <c r="U16" s="101">
        <v>7</v>
      </c>
      <c r="V16" s="101">
        <v>0</v>
      </c>
      <c r="W16" s="101">
        <v>38</v>
      </c>
      <c r="X16" s="101">
        <v>2</v>
      </c>
      <c r="Y16" s="102">
        <v>0</v>
      </c>
      <c r="AD16">
        <v>71</v>
      </c>
      <c r="AE16">
        <v>53</v>
      </c>
      <c r="AF16">
        <v>33</v>
      </c>
      <c r="AG16">
        <v>38</v>
      </c>
      <c r="AK16">
        <v>7</v>
      </c>
      <c r="AL16">
        <v>31</v>
      </c>
      <c r="AM16">
        <v>26</v>
      </c>
      <c r="AN16">
        <v>3</v>
      </c>
      <c r="AO16">
        <v>10</v>
      </c>
    </row>
    <row r="17" spans="2:41">
      <c r="B17" s="97" t="s">
        <v>733</v>
      </c>
      <c r="C17" s="98" t="s">
        <v>689</v>
      </c>
      <c r="D17" s="98" t="s">
        <v>33</v>
      </c>
      <c r="E17" s="99" t="s">
        <v>637</v>
      </c>
      <c r="G17" s="100">
        <v>33</v>
      </c>
      <c r="H17" s="101">
        <v>33</v>
      </c>
      <c r="I17" s="100">
        <v>32</v>
      </c>
      <c r="J17" s="101">
        <v>31</v>
      </c>
      <c r="K17" s="100">
        <v>32</v>
      </c>
      <c r="M17" s="100">
        <v>98</v>
      </c>
      <c r="N17" s="101">
        <v>69</v>
      </c>
      <c r="O17" s="101">
        <v>6</v>
      </c>
      <c r="P17" s="101">
        <v>0</v>
      </c>
      <c r="Q17" s="101">
        <v>54</v>
      </c>
      <c r="R17" s="101">
        <v>6</v>
      </c>
      <c r="S17" s="101">
        <v>0</v>
      </c>
      <c r="T17" s="101">
        <v>37</v>
      </c>
      <c r="U17" s="101">
        <v>3</v>
      </c>
      <c r="V17" s="101">
        <v>0</v>
      </c>
      <c r="W17" s="101">
        <v>36</v>
      </c>
      <c r="X17" s="101">
        <v>4</v>
      </c>
      <c r="Y17" s="102">
        <v>0</v>
      </c>
      <c r="AD17">
        <v>69</v>
      </c>
      <c r="AE17">
        <v>54</v>
      </c>
      <c r="AF17">
        <v>37</v>
      </c>
      <c r="AG17">
        <v>36</v>
      </c>
      <c r="AK17">
        <v>22</v>
      </c>
      <c r="AL17">
        <v>26</v>
      </c>
      <c r="AM17">
        <v>8</v>
      </c>
      <c r="AN17">
        <v>10</v>
      </c>
      <c r="AO17">
        <v>10</v>
      </c>
    </row>
    <row r="18" spans="2:41">
      <c r="B18" s="97" t="s">
        <v>740</v>
      </c>
      <c r="C18" s="98" t="s">
        <v>686</v>
      </c>
      <c r="D18" s="98" t="s">
        <v>33</v>
      </c>
      <c r="E18" s="99" t="s">
        <v>637</v>
      </c>
      <c r="G18" s="100">
        <v>24</v>
      </c>
      <c r="H18" s="101">
        <v>25</v>
      </c>
      <c r="I18" s="100">
        <v>19</v>
      </c>
      <c r="J18" s="101">
        <v>24</v>
      </c>
      <c r="K18" s="100">
        <v>23</v>
      </c>
      <c r="M18" s="100">
        <v>69</v>
      </c>
      <c r="N18" s="101">
        <v>53</v>
      </c>
      <c r="O18" s="101">
        <v>22</v>
      </c>
      <c r="P18" s="101">
        <v>0</v>
      </c>
      <c r="Q18" s="101">
        <v>41</v>
      </c>
      <c r="R18" s="101">
        <v>18</v>
      </c>
      <c r="S18" s="101">
        <v>1</v>
      </c>
      <c r="T18" s="101">
        <v>21</v>
      </c>
      <c r="U18" s="101">
        <v>19</v>
      </c>
      <c r="V18" s="101">
        <v>0</v>
      </c>
      <c r="W18" s="101">
        <v>27</v>
      </c>
      <c r="X18" s="101">
        <v>13</v>
      </c>
      <c r="Y18" s="102">
        <v>0</v>
      </c>
      <c r="AD18">
        <v>53</v>
      </c>
      <c r="AE18">
        <v>41</v>
      </c>
      <c r="AF18">
        <v>21</v>
      </c>
      <c r="AG18">
        <v>27</v>
      </c>
      <c r="AK18">
        <v>46</v>
      </c>
      <c r="AL18">
        <v>53</v>
      </c>
      <c r="AM18">
        <v>52</v>
      </c>
      <c r="AN18">
        <v>46</v>
      </c>
      <c r="AO18">
        <v>51</v>
      </c>
    </row>
    <row r="19" spans="2:41">
      <c r="B19" s="97" t="s">
        <v>691</v>
      </c>
      <c r="C19" s="98" t="s">
        <v>687</v>
      </c>
      <c r="D19" s="98" t="s">
        <v>33</v>
      </c>
      <c r="E19" s="99" t="s">
        <v>637</v>
      </c>
      <c r="G19" s="100">
        <v>24</v>
      </c>
      <c r="H19" s="101">
        <v>23</v>
      </c>
      <c r="I19" s="100">
        <v>23</v>
      </c>
      <c r="J19" s="101">
        <v>24</v>
      </c>
      <c r="K19" s="100">
        <v>24</v>
      </c>
      <c r="M19" s="100">
        <v>74</v>
      </c>
      <c r="N19" s="101">
        <v>54</v>
      </c>
      <c r="O19" s="101">
        <v>21</v>
      </c>
      <c r="P19" s="101">
        <v>0</v>
      </c>
      <c r="Q19" s="101">
        <v>35</v>
      </c>
      <c r="R19" s="101">
        <v>25</v>
      </c>
      <c r="S19" s="101">
        <v>0</v>
      </c>
      <c r="T19" s="101">
        <v>26</v>
      </c>
      <c r="U19" s="101">
        <v>14</v>
      </c>
      <c r="V19" s="101">
        <v>0</v>
      </c>
      <c r="W19" s="101">
        <v>27</v>
      </c>
      <c r="X19" s="101">
        <v>13</v>
      </c>
      <c r="Y19" s="102">
        <v>0</v>
      </c>
      <c r="AD19">
        <v>54</v>
      </c>
      <c r="AE19">
        <v>35</v>
      </c>
      <c r="AF19">
        <v>26</v>
      </c>
      <c r="AG19">
        <v>27</v>
      </c>
      <c r="AK19">
        <v>46</v>
      </c>
      <c r="AL19">
        <v>56</v>
      </c>
      <c r="AM19">
        <v>40</v>
      </c>
      <c r="AN19">
        <v>46</v>
      </c>
      <c r="AO19">
        <v>47</v>
      </c>
    </row>
    <row r="20" spans="2:41">
      <c r="B20" s="97" t="s">
        <v>729</v>
      </c>
      <c r="C20" s="98" t="s">
        <v>688</v>
      </c>
      <c r="D20" s="98" t="s">
        <v>33</v>
      </c>
      <c r="E20" s="99" t="s">
        <v>637</v>
      </c>
      <c r="G20" s="100">
        <v>22</v>
      </c>
      <c r="H20" s="101">
        <v>35</v>
      </c>
      <c r="I20" s="100">
        <v>15</v>
      </c>
      <c r="J20" s="101">
        <v>25</v>
      </c>
      <c r="K20" s="100">
        <v>24</v>
      </c>
      <c r="M20" s="100">
        <v>74</v>
      </c>
      <c r="N20" s="101">
        <v>48</v>
      </c>
      <c r="O20" s="101">
        <v>27</v>
      </c>
      <c r="P20" s="101">
        <v>0</v>
      </c>
      <c r="Q20" s="101">
        <v>57</v>
      </c>
      <c r="R20" s="101">
        <v>3</v>
      </c>
      <c r="S20" s="101">
        <v>0</v>
      </c>
      <c r="T20" s="101">
        <v>16</v>
      </c>
      <c r="U20" s="101">
        <v>24</v>
      </c>
      <c r="V20" s="101">
        <v>0</v>
      </c>
      <c r="W20" s="101">
        <v>29</v>
      </c>
      <c r="X20" s="101">
        <v>11</v>
      </c>
      <c r="Y20" s="102">
        <v>0</v>
      </c>
      <c r="AD20">
        <v>48</v>
      </c>
      <c r="AE20">
        <v>57</v>
      </c>
      <c r="AF20">
        <v>16</v>
      </c>
      <c r="AG20">
        <v>29</v>
      </c>
      <c r="AK20">
        <v>54</v>
      </c>
      <c r="AL20">
        <v>6</v>
      </c>
      <c r="AM20">
        <v>56</v>
      </c>
      <c r="AN20">
        <v>35</v>
      </c>
      <c r="AO20">
        <v>47</v>
      </c>
    </row>
    <row r="21" spans="2:41">
      <c r="B21" s="97" t="s">
        <v>557</v>
      </c>
      <c r="C21" s="98" t="s">
        <v>513</v>
      </c>
      <c r="D21" s="98" t="s">
        <v>33</v>
      </c>
      <c r="E21" s="99" t="s">
        <v>637</v>
      </c>
      <c r="G21" s="100">
        <v>34</v>
      </c>
      <c r="H21" s="101">
        <v>33</v>
      </c>
      <c r="I21" s="100">
        <v>27</v>
      </c>
      <c r="J21" s="101">
        <v>28</v>
      </c>
      <c r="K21" s="100">
        <v>30</v>
      </c>
      <c r="M21" s="100">
        <v>96</v>
      </c>
      <c r="N21" s="101">
        <v>70</v>
      </c>
      <c r="O21" s="101">
        <v>5</v>
      </c>
      <c r="P21" s="101">
        <v>0</v>
      </c>
      <c r="Q21" s="101">
        <v>55</v>
      </c>
      <c r="R21" s="101">
        <v>5</v>
      </c>
      <c r="S21" s="101">
        <v>0</v>
      </c>
      <c r="T21" s="101">
        <v>31</v>
      </c>
      <c r="U21" s="101">
        <v>9</v>
      </c>
      <c r="V21" s="101">
        <v>0</v>
      </c>
      <c r="W21" s="101">
        <v>33</v>
      </c>
      <c r="X21" s="101">
        <v>7</v>
      </c>
      <c r="Y21" s="102">
        <v>0</v>
      </c>
      <c r="AD21">
        <v>70</v>
      </c>
      <c r="AE21">
        <v>55</v>
      </c>
      <c r="AF21">
        <v>31</v>
      </c>
      <c r="AG21">
        <v>33</v>
      </c>
      <c r="AK21">
        <v>7</v>
      </c>
      <c r="AL21">
        <v>26</v>
      </c>
      <c r="AM21">
        <v>31</v>
      </c>
      <c r="AN21">
        <v>21</v>
      </c>
      <c r="AO21">
        <v>23</v>
      </c>
    </row>
    <row r="22" spans="2:41">
      <c r="B22" s="97" t="s">
        <v>553</v>
      </c>
      <c r="C22" s="98" t="s">
        <v>510</v>
      </c>
      <c r="D22" s="98" t="s">
        <v>33</v>
      </c>
      <c r="E22" s="99" t="s">
        <v>637</v>
      </c>
      <c r="G22" s="100">
        <v>22</v>
      </c>
      <c r="H22" s="101">
        <v>16</v>
      </c>
      <c r="I22" s="100">
        <v>20</v>
      </c>
      <c r="J22" s="101">
        <v>19</v>
      </c>
      <c r="K22" s="100">
        <v>19</v>
      </c>
      <c r="M22" s="100">
        <v>41</v>
      </c>
      <c r="N22" s="101">
        <v>50</v>
      </c>
      <c r="O22" s="101">
        <v>25</v>
      </c>
      <c r="P22" s="101">
        <v>0</v>
      </c>
      <c r="Q22" s="101">
        <v>19</v>
      </c>
      <c r="R22" s="101">
        <v>40</v>
      </c>
      <c r="S22" s="101">
        <v>1</v>
      </c>
      <c r="T22" s="101">
        <v>22</v>
      </c>
      <c r="U22" s="101">
        <v>18</v>
      </c>
      <c r="V22" s="101">
        <v>0</v>
      </c>
      <c r="W22" s="101">
        <v>18</v>
      </c>
      <c r="X22" s="101">
        <v>22</v>
      </c>
      <c r="Y22" s="102">
        <v>0</v>
      </c>
      <c r="AD22">
        <v>50</v>
      </c>
      <c r="AE22">
        <v>19</v>
      </c>
      <c r="AF22">
        <v>22</v>
      </c>
      <c r="AG22">
        <v>18</v>
      </c>
      <c r="AK22">
        <v>54</v>
      </c>
      <c r="AL22">
        <v>58</v>
      </c>
      <c r="AM22">
        <v>51</v>
      </c>
      <c r="AN22">
        <v>58</v>
      </c>
      <c r="AO22">
        <v>58</v>
      </c>
    </row>
    <row r="23" spans="2:41">
      <c r="B23" s="97" t="s">
        <v>561</v>
      </c>
      <c r="C23" s="98" t="s">
        <v>511</v>
      </c>
      <c r="D23" s="98" t="s">
        <v>33</v>
      </c>
      <c r="E23" s="99" t="s">
        <v>637</v>
      </c>
      <c r="G23" s="100">
        <v>35</v>
      </c>
      <c r="H23" s="101">
        <v>35</v>
      </c>
      <c r="I23" s="100">
        <v>28</v>
      </c>
      <c r="J23" s="101">
        <v>26</v>
      </c>
      <c r="K23" s="100">
        <v>31</v>
      </c>
      <c r="M23" s="100">
        <v>97</v>
      </c>
      <c r="N23" s="101">
        <v>74</v>
      </c>
      <c r="O23" s="101">
        <v>1</v>
      </c>
      <c r="P23" s="101">
        <v>0</v>
      </c>
      <c r="Q23" s="101">
        <v>57</v>
      </c>
      <c r="R23" s="101">
        <v>2</v>
      </c>
      <c r="S23" s="101">
        <v>1</v>
      </c>
      <c r="T23" s="101">
        <v>33</v>
      </c>
      <c r="U23" s="101">
        <v>7</v>
      </c>
      <c r="V23" s="101">
        <v>0</v>
      </c>
      <c r="W23" s="101">
        <v>30</v>
      </c>
      <c r="X23" s="101">
        <v>9</v>
      </c>
      <c r="Y23" s="102">
        <v>1</v>
      </c>
      <c r="AD23">
        <v>74</v>
      </c>
      <c r="AE23">
        <v>57</v>
      </c>
      <c r="AF23">
        <v>33</v>
      </c>
      <c r="AG23">
        <v>30</v>
      </c>
      <c r="AK23">
        <v>1</v>
      </c>
      <c r="AL23">
        <v>6</v>
      </c>
      <c r="AM23">
        <v>26</v>
      </c>
      <c r="AN23">
        <v>27</v>
      </c>
      <c r="AO23">
        <v>17</v>
      </c>
    </row>
    <row r="24" spans="2:41">
      <c r="B24" s="97" t="s">
        <v>656</v>
      </c>
      <c r="C24" s="98" t="s">
        <v>620</v>
      </c>
      <c r="D24" s="98" t="s">
        <v>33</v>
      </c>
      <c r="E24" s="99" t="s">
        <v>637</v>
      </c>
      <c r="G24" s="100">
        <v>34</v>
      </c>
      <c r="H24" s="101">
        <v>35</v>
      </c>
      <c r="I24" s="100">
        <v>29</v>
      </c>
      <c r="J24" s="101">
        <v>27</v>
      </c>
      <c r="K24" s="100">
        <v>31</v>
      </c>
      <c r="M24" s="100">
        <v>97</v>
      </c>
      <c r="N24" s="101">
        <v>71</v>
      </c>
      <c r="O24" s="101">
        <v>4</v>
      </c>
      <c r="P24" s="101">
        <v>0</v>
      </c>
      <c r="Q24" s="101">
        <v>58</v>
      </c>
      <c r="R24" s="101">
        <v>2</v>
      </c>
      <c r="S24" s="101">
        <v>0</v>
      </c>
      <c r="T24" s="101">
        <v>34</v>
      </c>
      <c r="U24" s="101">
        <v>6</v>
      </c>
      <c r="V24" s="101">
        <v>0</v>
      </c>
      <c r="W24" s="101">
        <v>32</v>
      </c>
      <c r="X24" s="101">
        <v>6</v>
      </c>
      <c r="Y24" s="102">
        <v>2</v>
      </c>
      <c r="AD24">
        <v>71</v>
      </c>
      <c r="AE24">
        <v>58</v>
      </c>
      <c r="AF24">
        <v>34</v>
      </c>
      <c r="AG24">
        <v>32</v>
      </c>
      <c r="AK24">
        <v>7</v>
      </c>
      <c r="AL24">
        <v>6</v>
      </c>
      <c r="AM24">
        <v>22</v>
      </c>
      <c r="AN24">
        <v>25</v>
      </c>
      <c r="AO24">
        <v>17</v>
      </c>
    </row>
    <row r="25" spans="2:41">
      <c r="B25" s="97" t="s">
        <v>611</v>
      </c>
      <c r="C25" s="98" t="s">
        <v>571</v>
      </c>
      <c r="D25" s="98" t="s">
        <v>33</v>
      </c>
      <c r="E25" s="99" t="s">
        <v>637</v>
      </c>
      <c r="G25" s="100">
        <v>32</v>
      </c>
      <c r="H25" s="101">
        <v>34</v>
      </c>
      <c r="I25" s="100">
        <v>25</v>
      </c>
      <c r="J25" s="101">
        <v>29</v>
      </c>
      <c r="K25" s="100">
        <v>30</v>
      </c>
      <c r="M25" s="100">
        <v>96</v>
      </c>
      <c r="N25" s="101">
        <v>68</v>
      </c>
      <c r="O25" s="101">
        <v>7</v>
      </c>
      <c r="P25" s="101">
        <v>0</v>
      </c>
      <c r="Q25" s="101">
        <v>56</v>
      </c>
      <c r="R25" s="101">
        <v>4</v>
      </c>
      <c r="S25" s="101">
        <v>0</v>
      </c>
      <c r="T25" s="101">
        <v>29</v>
      </c>
      <c r="U25" s="101">
        <v>11</v>
      </c>
      <c r="V25" s="101">
        <v>0</v>
      </c>
      <c r="W25" s="101">
        <v>34</v>
      </c>
      <c r="X25" s="101">
        <v>6</v>
      </c>
      <c r="Y25" s="102">
        <v>0</v>
      </c>
      <c r="AD25">
        <v>68</v>
      </c>
      <c r="AE25">
        <v>56</v>
      </c>
      <c r="AF25">
        <v>29</v>
      </c>
      <c r="AG25">
        <v>34</v>
      </c>
      <c r="AK25">
        <v>26</v>
      </c>
      <c r="AL25">
        <v>23</v>
      </c>
      <c r="AM25">
        <v>38</v>
      </c>
      <c r="AN25">
        <v>20</v>
      </c>
      <c r="AO25">
        <v>23</v>
      </c>
    </row>
    <row r="26" spans="2:41">
      <c r="B26" s="97" t="s">
        <v>605</v>
      </c>
      <c r="C26" s="98" t="s">
        <v>644</v>
      </c>
      <c r="D26" s="98" t="s">
        <v>33</v>
      </c>
      <c r="E26" s="99" t="s">
        <v>637</v>
      </c>
      <c r="G26" s="100">
        <v>19</v>
      </c>
      <c r="H26" s="101">
        <v>28</v>
      </c>
      <c r="I26" s="100">
        <v>23</v>
      </c>
      <c r="J26" s="101">
        <v>22</v>
      </c>
      <c r="K26" s="100">
        <v>23</v>
      </c>
      <c r="M26" s="100">
        <v>69</v>
      </c>
      <c r="N26" s="101">
        <v>40</v>
      </c>
      <c r="O26" s="101">
        <v>20</v>
      </c>
      <c r="P26" s="101">
        <v>15</v>
      </c>
      <c r="Q26" s="101">
        <v>46</v>
      </c>
      <c r="R26" s="101">
        <v>14</v>
      </c>
      <c r="S26" s="101">
        <v>0</v>
      </c>
      <c r="T26" s="101">
        <v>27</v>
      </c>
      <c r="U26" s="101">
        <v>13</v>
      </c>
      <c r="V26" s="101">
        <v>0</v>
      </c>
      <c r="W26" s="101">
        <v>24</v>
      </c>
      <c r="X26" s="101">
        <v>12</v>
      </c>
      <c r="Y26" s="102">
        <v>4</v>
      </c>
      <c r="AD26">
        <v>40</v>
      </c>
      <c r="AE26">
        <v>46</v>
      </c>
      <c r="AF26">
        <v>27</v>
      </c>
      <c r="AG26">
        <v>24</v>
      </c>
      <c r="AK26">
        <v>58</v>
      </c>
      <c r="AL26">
        <v>47</v>
      </c>
      <c r="AM26">
        <v>40</v>
      </c>
      <c r="AN26">
        <v>52</v>
      </c>
      <c r="AO26">
        <v>51</v>
      </c>
    </row>
    <row r="27" spans="2:41">
      <c r="B27" s="97" t="s">
        <v>605</v>
      </c>
      <c r="C27" s="98" t="s">
        <v>581</v>
      </c>
      <c r="D27" s="98" t="s">
        <v>33</v>
      </c>
      <c r="E27" s="99" t="s">
        <v>637</v>
      </c>
      <c r="G27" s="100">
        <v>31</v>
      </c>
      <c r="H27" s="101">
        <v>35</v>
      </c>
      <c r="I27" s="100">
        <v>23</v>
      </c>
      <c r="J27" s="101">
        <v>28</v>
      </c>
      <c r="K27" s="100">
        <v>29</v>
      </c>
      <c r="M27" s="100">
        <v>94</v>
      </c>
      <c r="N27" s="101">
        <v>67</v>
      </c>
      <c r="O27" s="101">
        <v>8</v>
      </c>
      <c r="P27" s="101">
        <v>0</v>
      </c>
      <c r="Q27" s="101">
        <v>58</v>
      </c>
      <c r="R27" s="101">
        <v>2</v>
      </c>
      <c r="S27" s="101">
        <v>0</v>
      </c>
      <c r="T27" s="101">
        <v>27</v>
      </c>
      <c r="U27" s="101">
        <v>12</v>
      </c>
      <c r="V27" s="101">
        <v>1</v>
      </c>
      <c r="W27" s="101">
        <v>33</v>
      </c>
      <c r="X27" s="101">
        <v>6</v>
      </c>
      <c r="Y27" s="102">
        <v>1</v>
      </c>
      <c r="AD27">
        <v>67</v>
      </c>
      <c r="AE27">
        <v>58</v>
      </c>
      <c r="AF27">
        <v>27</v>
      </c>
      <c r="AG27">
        <v>33</v>
      </c>
      <c r="AK27">
        <v>30</v>
      </c>
      <c r="AL27">
        <v>6</v>
      </c>
      <c r="AM27">
        <v>40</v>
      </c>
      <c r="AN27">
        <v>21</v>
      </c>
      <c r="AO27">
        <v>33</v>
      </c>
    </row>
    <row r="28" spans="2:41">
      <c r="B28" s="97" t="s">
        <v>652</v>
      </c>
      <c r="C28" s="98" t="s">
        <v>645</v>
      </c>
      <c r="D28" s="98" t="s">
        <v>33</v>
      </c>
      <c r="E28" s="99" t="s">
        <v>637</v>
      </c>
      <c r="G28" s="100">
        <v>22</v>
      </c>
      <c r="H28" s="101">
        <v>27</v>
      </c>
      <c r="I28" s="100">
        <v>21</v>
      </c>
      <c r="J28" s="101">
        <v>20</v>
      </c>
      <c r="K28" s="100">
        <v>22</v>
      </c>
      <c r="M28" s="100">
        <v>62</v>
      </c>
      <c r="N28" s="101">
        <v>50</v>
      </c>
      <c r="O28" s="101">
        <v>24</v>
      </c>
      <c r="P28" s="101">
        <v>1</v>
      </c>
      <c r="Q28" s="101">
        <v>45</v>
      </c>
      <c r="R28" s="101">
        <v>15</v>
      </c>
      <c r="S28" s="101">
        <v>0</v>
      </c>
      <c r="T28" s="101">
        <v>24</v>
      </c>
      <c r="U28" s="101">
        <v>16</v>
      </c>
      <c r="V28" s="101">
        <v>0</v>
      </c>
      <c r="W28" s="101">
        <v>21</v>
      </c>
      <c r="X28" s="101">
        <v>19</v>
      </c>
      <c r="Y28" s="102">
        <v>0</v>
      </c>
      <c r="AD28">
        <v>50</v>
      </c>
      <c r="AE28">
        <v>45</v>
      </c>
      <c r="AF28">
        <v>24</v>
      </c>
      <c r="AG28">
        <v>21</v>
      </c>
      <c r="AK28">
        <v>54</v>
      </c>
      <c r="AL28">
        <v>49</v>
      </c>
      <c r="AM28">
        <v>49</v>
      </c>
      <c r="AN28">
        <v>54</v>
      </c>
      <c r="AO28">
        <v>55</v>
      </c>
    </row>
    <row r="29" spans="2:41">
      <c r="B29" s="97" t="s">
        <v>541</v>
      </c>
      <c r="C29" s="98" t="s">
        <v>505</v>
      </c>
      <c r="D29" s="98" t="s">
        <v>33</v>
      </c>
      <c r="E29" s="99" t="s">
        <v>637</v>
      </c>
      <c r="G29" s="100">
        <v>31</v>
      </c>
      <c r="H29" s="101">
        <v>27</v>
      </c>
      <c r="I29" s="100">
        <v>32</v>
      </c>
      <c r="J29" s="101">
        <v>30</v>
      </c>
      <c r="K29" s="100">
        <v>30</v>
      </c>
      <c r="M29" s="100">
        <v>96</v>
      </c>
      <c r="N29" s="101">
        <v>67</v>
      </c>
      <c r="O29" s="101">
        <v>8</v>
      </c>
      <c r="P29" s="101">
        <v>0</v>
      </c>
      <c r="Q29" s="101">
        <v>44</v>
      </c>
      <c r="R29" s="101">
        <v>13</v>
      </c>
      <c r="S29" s="101">
        <v>3</v>
      </c>
      <c r="T29" s="101">
        <v>37</v>
      </c>
      <c r="U29" s="101">
        <v>2</v>
      </c>
      <c r="V29" s="101">
        <v>1</v>
      </c>
      <c r="W29" s="101">
        <v>35</v>
      </c>
      <c r="X29" s="101">
        <v>5</v>
      </c>
      <c r="Y29" s="102">
        <v>0</v>
      </c>
      <c r="AD29">
        <v>67</v>
      </c>
      <c r="AE29">
        <v>44</v>
      </c>
      <c r="AF29">
        <v>37</v>
      </c>
      <c r="AG29">
        <v>35</v>
      </c>
      <c r="AK29">
        <v>30</v>
      </c>
      <c r="AL29">
        <v>49</v>
      </c>
      <c r="AM29">
        <v>8</v>
      </c>
      <c r="AN29">
        <v>11</v>
      </c>
      <c r="AO29">
        <v>23</v>
      </c>
    </row>
    <row r="30" spans="2:41">
      <c r="B30" s="97" t="s">
        <v>555</v>
      </c>
      <c r="C30" s="98" t="s">
        <v>504</v>
      </c>
      <c r="D30" s="98" t="s">
        <v>33</v>
      </c>
      <c r="E30" s="99" t="s">
        <v>637</v>
      </c>
      <c r="G30" s="100">
        <v>32</v>
      </c>
      <c r="H30" s="101">
        <v>36</v>
      </c>
      <c r="I30" s="100">
        <v>31</v>
      </c>
      <c r="J30" s="101">
        <v>26</v>
      </c>
      <c r="K30" s="100">
        <v>31</v>
      </c>
      <c r="M30" s="100">
        <v>97</v>
      </c>
      <c r="N30" s="101">
        <v>68</v>
      </c>
      <c r="O30" s="101">
        <v>7</v>
      </c>
      <c r="P30" s="101">
        <v>0</v>
      </c>
      <c r="Q30" s="101">
        <v>59</v>
      </c>
      <c r="R30" s="101">
        <v>1</v>
      </c>
      <c r="S30" s="101">
        <v>0</v>
      </c>
      <c r="T30" s="101">
        <v>36</v>
      </c>
      <c r="U30" s="101">
        <v>4</v>
      </c>
      <c r="V30" s="101">
        <v>0</v>
      </c>
      <c r="W30" s="101">
        <v>31</v>
      </c>
      <c r="X30" s="101">
        <v>9</v>
      </c>
      <c r="Y30" s="102">
        <v>0</v>
      </c>
      <c r="AD30">
        <v>68</v>
      </c>
      <c r="AE30">
        <v>59</v>
      </c>
      <c r="AF30">
        <v>36</v>
      </c>
      <c r="AG30">
        <v>31</v>
      </c>
      <c r="AK30">
        <v>26</v>
      </c>
      <c r="AL30">
        <v>1</v>
      </c>
      <c r="AM30">
        <v>15</v>
      </c>
      <c r="AN30">
        <v>27</v>
      </c>
      <c r="AO30">
        <v>17</v>
      </c>
    </row>
    <row r="31" spans="2:41">
      <c r="B31" s="97" t="s">
        <v>539</v>
      </c>
      <c r="C31" s="98" t="s">
        <v>530</v>
      </c>
      <c r="D31" s="98" t="s">
        <v>33</v>
      </c>
      <c r="E31" s="99" t="s">
        <v>637</v>
      </c>
      <c r="G31" s="100">
        <v>29</v>
      </c>
      <c r="H31" s="101">
        <v>35</v>
      </c>
      <c r="I31" s="100">
        <v>35</v>
      </c>
      <c r="J31" s="101">
        <v>33</v>
      </c>
      <c r="K31" s="100">
        <v>33</v>
      </c>
      <c r="M31" s="100">
        <v>99</v>
      </c>
      <c r="N31" s="101">
        <v>64</v>
      </c>
      <c r="O31" s="101">
        <v>11</v>
      </c>
      <c r="P31" s="101">
        <v>0</v>
      </c>
      <c r="Q31" s="101">
        <v>57</v>
      </c>
      <c r="R31" s="101">
        <v>2</v>
      </c>
      <c r="S31" s="101">
        <v>1</v>
      </c>
      <c r="T31" s="101">
        <v>39</v>
      </c>
      <c r="U31" s="101">
        <v>1</v>
      </c>
      <c r="V31" s="101">
        <v>0</v>
      </c>
      <c r="W31" s="101">
        <v>37</v>
      </c>
      <c r="X31" s="101">
        <v>3</v>
      </c>
      <c r="Y31" s="102">
        <v>0</v>
      </c>
      <c r="AD31">
        <v>64</v>
      </c>
      <c r="AE31">
        <v>57</v>
      </c>
      <c r="AF31">
        <v>39</v>
      </c>
      <c r="AG31">
        <v>37</v>
      </c>
      <c r="AK31">
        <v>37</v>
      </c>
      <c r="AL31">
        <v>6</v>
      </c>
      <c r="AM31">
        <v>1</v>
      </c>
      <c r="AN31">
        <v>7</v>
      </c>
      <c r="AO31">
        <v>7</v>
      </c>
    </row>
    <row r="32" spans="2:41">
      <c r="B32" s="97" t="s">
        <v>658</v>
      </c>
      <c r="C32" s="98" t="s">
        <v>635</v>
      </c>
      <c r="D32" s="98" t="s">
        <v>33</v>
      </c>
      <c r="E32" s="99" t="s">
        <v>637</v>
      </c>
      <c r="G32" s="100">
        <v>33</v>
      </c>
      <c r="H32" s="101">
        <v>36</v>
      </c>
      <c r="I32" s="100">
        <v>32</v>
      </c>
      <c r="J32" s="101">
        <v>34</v>
      </c>
      <c r="K32" s="100">
        <v>34</v>
      </c>
      <c r="M32" s="100">
        <v>99</v>
      </c>
      <c r="N32" s="101">
        <v>69</v>
      </c>
      <c r="O32" s="101">
        <v>6</v>
      </c>
      <c r="P32" s="101">
        <v>0</v>
      </c>
      <c r="Q32" s="101">
        <v>60</v>
      </c>
      <c r="R32" s="101">
        <v>0</v>
      </c>
      <c r="S32" s="101">
        <v>0</v>
      </c>
      <c r="T32" s="101">
        <v>37</v>
      </c>
      <c r="U32" s="101">
        <v>3</v>
      </c>
      <c r="V32" s="101">
        <v>0</v>
      </c>
      <c r="W32" s="101">
        <v>38</v>
      </c>
      <c r="X32" s="101">
        <v>2</v>
      </c>
      <c r="Y32" s="102">
        <v>0</v>
      </c>
      <c r="AD32">
        <v>69</v>
      </c>
      <c r="AE32">
        <v>60</v>
      </c>
      <c r="AF32">
        <v>37</v>
      </c>
      <c r="AG32">
        <v>38</v>
      </c>
      <c r="AK32">
        <v>22</v>
      </c>
      <c r="AL32">
        <v>1</v>
      </c>
      <c r="AM32">
        <v>8</v>
      </c>
      <c r="AN32">
        <v>3</v>
      </c>
      <c r="AO32">
        <v>1</v>
      </c>
    </row>
    <row r="33" spans="2:41">
      <c r="B33" s="97" t="s">
        <v>495</v>
      </c>
      <c r="C33" s="98" t="s">
        <v>493</v>
      </c>
      <c r="D33" s="98" t="s">
        <v>33</v>
      </c>
      <c r="E33" s="99" t="s">
        <v>637</v>
      </c>
      <c r="G33" s="100">
        <v>24</v>
      </c>
      <c r="H33" s="101">
        <v>35</v>
      </c>
      <c r="I33" s="100">
        <v>9</v>
      </c>
      <c r="J33" s="101">
        <v>25</v>
      </c>
      <c r="K33" s="100">
        <v>23</v>
      </c>
      <c r="M33" s="100">
        <v>69</v>
      </c>
      <c r="N33" s="101">
        <v>54</v>
      </c>
      <c r="O33" s="101">
        <v>19</v>
      </c>
      <c r="P33" s="101">
        <v>2</v>
      </c>
      <c r="Q33" s="101">
        <v>58</v>
      </c>
      <c r="R33" s="101">
        <v>2</v>
      </c>
      <c r="S33" s="101">
        <v>0</v>
      </c>
      <c r="T33" s="101">
        <v>7</v>
      </c>
      <c r="U33" s="101">
        <v>33</v>
      </c>
      <c r="V33" s="101">
        <v>0</v>
      </c>
      <c r="W33" s="101">
        <v>28</v>
      </c>
      <c r="X33" s="101">
        <v>12</v>
      </c>
      <c r="Y33" s="102">
        <v>0</v>
      </c>
      <c r="AD33">
        <v>54</v>
      </c>
      <c r="AE33">
        <v>58</v>
      </c>
      <c r="AF33">
        <v>7</v>
      </c>
      <c r="AG33">
        <v>28</v>
      </c>
      <c r="AK33">
        <v>46</v>
      </c>
      <c r="AL33">
        <v>6</v>
      </c>
      <c r="AM33">
        <v>57</v>
      </c>
      <c r="AN33">
        <v>35</v>
      </c>
      <c r="AO33">
        <v>51</v>
      </c>
    </row>
    <row r="34" spans="2:41">
      <c r="B34" s="97" t="s">
        <v>559</v>
      </c>
      <c r="C34" s="98" t="s">
        <v>509</v>
      </c>
      <c r="D34" s="98" t="s">
        <v>33</v>
      </c>
      <c r="E34" s="99" t="s">
        <v>637</v>
      </c>
      <c r="G34" s="100">
        <v>30</v>
      </c>
      <c r="H34" s="101">
        <v>30</v>
      </c>
      <c r="I34" s="100">
        <v>29</v>
      </c>
      <c r="J34" s="101">
        <v>30</v>
      </c>
      <c r="K34" s="100">
        <v>30</v>
      </c>
      <c r="M34" s="100">
        <v>96</v>
      </c>
      <c r="N34" s="101">
        <v>66</v>
      </c>
      <c r="O34" s="101">
        <v>9</v>
      </c>
      <c r="P34" s="101">
        <v>0</v>
      </c>
      <c r="Q34" s="101">
        <v>50</v>
      </c>
      <c r="R34" s="101">
        <v>9</v>
      </c>
      <c r="S34" s="101">
        <v>1</v>
      </c>
      <c r="T34" s="101">
        <v>34</v>
      </c>
      <c r="U34" s="101">
        <v>6</v>
      </c>
      <c r="V34" s="101">
        <v>0</v>
      </c>
      <c r="W34" s="101">
        <v>35</v>
      </c>
      <c r="X34" s="101">
        <v>5</v>
      </c>
      <c r="Y34" s="102">
        <v>0</v>
      </c>
      <c r="AD34">
        <v>66</v>
      </c>
      <c r="AE34">
        <v>50</v>
      </c>
      <c r="AF34">
        <v>34</v>
      </c>
      <c r="AG34">
        <v>35</v>
      </c>
      <c r="AK34">
        <v>34</v>
      </c>
      <c r="AL34">
        <v>40</v>
      </c>
      <c r="AM34">
        <v>22</v>
      </c>
      <c r="AN34">
        <v>11</v>
      </c>
      <c r="AO34">
        <v>23</v>
      </c>
    </row>
    <row r="35" spans="2:41">
      <c r="B35" s="97" t="s">
        <v>609</v>
      </c>
      <c r="C35" s="98" t="s">
        <v>574</v>
      </c>
      <c r="D35" s="98" t="s">
        <v>33</v>
      </c>
      <c r="E35" s="99" t="s">
        <v>637</v>
      </c>
      <c r="G35" s="100">
        <v>33</v>
      </c>
      <c r="H35" s="101">
        <v>35</v>
      </c>
      <c r="I35" s="100">
        <v>28</v>
      </c>
      <c r="J35" s="101">
        <v>26</v>
      </c>
      <c r="K35" s="100">
        <v>30</v>
      </c>
      <c r="M35" s="100">
        <v>96</v>
      </c>
      <c r="N35" s="101">
        <v>69</v>
      </c>
      <c r="O35" s="101">
        <v>6</v>
      </c>
      <c r="P35" s="101">
        <v>0</v>
      </c>
      <c r="Q35" s="101">
        <v>58</v>
      </c>
      <c r="R35" s="101">
        <v>2</v>
      </c>
      <c r="S35" s="101">
        <v>0</v>
      </c>
      <c r="T35" s="101">
        <v>32</v>
      </c>
      <c r="U35" s="101">
        <v>8</v>
      </c>
      <c r="V35" s="101">
        <v>0</v>
      </c>
      <c r="W35" s="101">
        <v>31</v>
      </c>
      <c r="X35" s="101">
        <v>9</v>
      </c>
      <c r="Y35" s="102">
        <v>0</v>
      </c>
      <c r="AD35">
        <v>69</v>
      </c>
      <c r="AE35">
        <v>58</v>
      </c>
      <c r="AF35">
        <v>32</v>
      </c>
      <c r="AG35">
        <v>31</v>
      </c>
      <c r="AK35">
        <v>22</v>
      </c>
      <c r="AL35">
        <v>6</v>
      </c>
      <c r="AM35">
        <v>26</v>
      </c>
      <c r="AN35">
        <v>27</v>
      </c>
      <c r="AO35">
        <v>23</v>
      </c>
    </row>
    <row r="36" spans="2:41">
      <c r="B36" s="97" t="s">
        <v>549</v>
      </c>
      <c r="C36" s="98" t="s">
        <v>506</v>
      </c>
      <c r="D36" s="98" t="s">
        <v>33</v>
      </c>
      <c r="E36" s="99" t="s">
        <v>637</v>
      </c>
      <c r="G36" s="100">
        <v>29</v>
      </c>
      <c r="H36" s="101">
        <v>28</v>
      </c>
      <c r="I36" s="100">
        <v>26</v>
      </c>
      <c r="J36" s="101">
        <v>25</v>
      </c>
      <c r="K36" s="100">
        <v>27</v>
      </c>
      <c r="M36" s="100">
        <v>88</v>
      </c>
      <c r="N36" s="101">
        <v>64</v>
      </c>
      <c r="O36" s="101">
        <v>11</v>
      </c>
      <c r="P36" s="101">
        <v>0</v>
      </c>
      <c r="Q36" s="101">
        <v>47</v>
      </c>
      <c r="R36" s="101">
        <v>13</v>
      </c>
      <c r="S36" s="101">
        <v>0</v>
      </c>
      <c r="T36" s="101">
        <v>30</v>
      </c>
      <c r="U36" s="101">
        <v>10</v>
      </c>
      <c r="V36" s="101">
        <v>0</v>
      </c>
      <c r="W36" s="101">
        <v>29</v>
      </c>
      <c r="X36" s="101">
        <v>11</v>
      </c>
      <c r="Y36" s="102">
        <v>0</v>
      </c>
      <c r="AD36">
        <v>64</v>
      </c>
      <c r="AE36">
        <v>47</v>
      </c>
      <c r="AF36">
        <v>30</v>
      </c>
      <c r="AG36">
        <v>29</v>
      </c>
      <c r="AK36">
        <v>37</v>
      </c>
      <c r="AL36">
        <v>47</v>
      </c>
      <c r="AM36">
        <v>34</v>
      </c>
      <c r="AN36">
        <v>35</v>
      </c>
      <c r="AO36">
        <v>41</v>
      </c>
    </row>
    <row r="37" spans="2:41">
      <c r="B37" s="97" t="s">
        <v>551</v>
      </c>
      <c r="C37" s="98" t="s">
        <v>512</v>
      </c>
      <c r="D37" s="98" t="s">
        <v>33</v>
      </c>
      <c r="E37" s="99" t="s">
        <v>637</v>
      </c>
      <c r="G37" s="100">
        <v>29</v>
      </c>
      <c r="H37" s="101">
        <v>30</v>
      </c>
      <c r="I37" s="100">
        <v>31</v>
      </c>
      <c r="J37" s="101">
        <v>24</v>
      </c>
      <c r="K37" s="100">
        <v>28</v>
      </c>
      <c r="M37" s="100">
        <v>91</v>
      </c>
      <c r="N37" s="101">
        <v>63</v>
      </c>
      <c r="O37" s="101">
        <v>12</v>
      </c>
      <c r="P37" s="101">
        <v>0</v>
      </c>
      <c r="Q37" s="101">
        <v>50</v>
      </c>
      <c r="R37" s="101">
        <v>10</v>
      </c>
      <c r="S37" s="101">
        <v>0</v>
      </c>
      <c r="T37" s="101">
        <v>36</v>
      </c>
      <c r="U37" s="101">
        <v>4</v>
      </c>
      <c r="V37" s="101">
        <v>0</v>
      </c>
      <c r="W37" s="101">
        <v>27</v>
      </c>
      <c r="X37" s="101">
        <v>12</v>
      </c>
      <c r="Y37" s="102">
        <v>1</v>
      </c>
      <c r="AD37">
        <v>63</v>
      </c>
      <c r="AE37">
        <v>50</v>
      </c>
      <c r="AF37">
        <v>36</v>
      </c>
      <c r="AG37">
        <v>27</v>
      </c>
      <c r="AK37">
        <v>37</v>
      </c>
      <c r="AL37">
        <v>40</v>
      </c>
      <c r="AM37">
        <v>15</v>
      </c>
      <c r="AN37">
        <v>46</v>
      </c>
      <c r="AO37">
        <v>36</v>
      </c>
    </row>
    <row r="38" spans="2:41">
      <c r="B38" s="97" t="s">
        <v>613</v>
      </c>
      <c r="C38" s="98" t="s">
        <v>591</v>
      </c>
      <c r="D38" s="98" t="s">
        <v>33</v>
      </c>
      <c r="E38" s="99" t="s">
        <v>637</v>
      </c>
      <c r="G38" s="100">
        <v>24</v>
      </c>
      <c r="H38" s="101">
        <v>31</v>
      </c>
      <c r="I38" s="100">
        <v>23</v>
      </c>
      <c r="J38" s="101">
        <v>25</v>
      </c>
      <c r="K38" s="100">
        <v>26</v>
      </c>
      <c r="M38" s="100">
        <v>84</v>
      </c>
      <c r="N38" s="101">
        <v>54</v>
      </c>
      <c r="O38" s="101">
        <v>21</v>
      </c>
      <c r="P38" s="101">
        <v>0</v>
      </c>
      <c r="Q38" s="101">
        <v>52</v>
      </c>
      <c r="R38" s="101">
        <v>8</v>
      </c>
      <c r="S38" s="101">
        <v>0</v>
      </c>
      <c r="T38" s="101">
        <v>26</v>
      </c>
      <c r="U38" s="101">
        <v>14</v>
      </c>
      <c r="V38" s="101">
        <v>0</v>
      </c>
      <c r="W38" s="101">
        <v>29</v>
      </c>
      <c r="X38" s="101">
        <v>11</v>
      </c>
      <c r="Y38" s="102">
        <v>0</v>
      </c>
      <c r="AD38">
        <v>54</v>
      </c>
      <c r="AE38">
        <v>52</v>
      </c>
      <c r="AF38">
        <v>26</v>
      </c>
      <c r="AG38">
        <v>29</v>
      </c>
      <c r="AK38">
        <v>46</v>
      </c>
      <c r="AL38">
        <v>35</v>
      </c>
      <c r="AM38">
        <v>40</v>
      </c>
      <c r="AN38">
        <v>35</v>
      </c>
      <c r="AO38">
        <v>43</v>
      </c>
    </row>
    <row r="39" spans="2:41">
      <c r="B39" s="97" t="s">
        <v>543</v>
      </c>
      <c r="C39" s="98" t="s">
        <v>507</v>
      </c>
      <c r="D39" s="98" t="s">
        <v>33</v>
      </c>
      <c r="E39" s="99" t="s">
        <v>637</v>
      </c>
      <c r="G39" s="100">
        <v>35</v>
      </c>
      <c r="H39" s="101">
        <v>35</v>
      </c>
      <c r="I39" s="100">
        <v>33</v>
      </c>
      <c r="J39" s="101">
        <v>30</v>
      </c>
      <c r="K39" s="100">
        <v>33</v>
      </c>
      <c r="M39" s="100">
        <v>99</v>
      </c>
      <c r="N39" s="101">
        <v>72</v>
      </c>
      <c r="O39" s="101">
        <v>3</v>
      </c>
      <c r="P39" s="101">
        <v>0</v>
      </c>
      <c r="Q39" s="101">
        <v>58</v>
      </c>
      <c r="R39" s="101">
        <v>2</v>
      </c>
      <c r="S39" s="101">
        <v>0</v>
      </c>
      <c r="T39" s="101">
        <v>38</v>
      </c>
      <c r="U39" s="101">
        <v>2</v>
      </c>
      <c r="V39" s="101">
        <v>0</v>
      </c>
      <c r="W39" s="101">
        <v>35</v>
      </c>
      <c r="X39" s="101">
        <v>5</v>
      </c>
      <c r="Y39" s="102">
        <v>0</v>
      </c>
      <c r="AD39">
        <v>72</v>
      </c>
      <c r="AE39">
        <v>58</v>
      </c>
      <c r="AF39">
        <v>38</v>
      </c>
      <c r="AG39">
        <v>35</v>
      </c>
      <c r="AK39">
        <v>1</v>
      </c>
      <c r="AL39">
        <v>6</v>
      </c>
      <c r="AM39">
        <v>4</v>
      </c>
      <c r="AN39">
        <v>11</v>
      </c>
      <c r="AO39">
        <v>7</v>
      </c>
    </row>
    <row r="40" spans="2:41">
      <c r="B40" s="97" t="s">
        <v>601</v>
      </c>
      <c r="C40" s="98" t="s">
        <v>572</v>
      </c>
      <c r="D40" s="98" t="s">
        <v>33</v>
      </c>
      <c r="E40" s="99" t="s">
        <v>637</v>
      </c>
      <c r="G40" s="100">
        <v>35</v>
      </c>
      <c r="H40" s="101">
        <v>34</v>
      </c>
      <c r="I40" s="100">
        <v>32</v>
      </c>
      <c r="J40" s="101">
        <v>36</v>
      </c>
      <c r="K40" s="100">
        <v>34</v>
      </c>
      <c r="M40" s="100">
        <v>99</v>
      </c>
      <c r="N40" s="101">
        <v>72</v>
      </c>
      <c r="O40" s="101">
        <v>3</v>
      </c>
      <c r="P40" s="101">
        <v>0</v>
      </c>
      <c r="Q40" s="101">
        <v>56</v>
      </c>
      <c r="R40" s="101">
        <v>4</v>
      </c>
      <c r="S40" s="101">
        <v>0</v>
      </c>
      <c r="T40" s="101">
        <v>37</v>
      </c>
      <c r="U40" s="101">
        <v>3</v>
      </c>
      <c r="V40" s="101">
        <v>0</v>
      </c>
      <c r="W40" s="101">
        <v>40</v>
      </c>
      <c r="X40" s="101">
        <v>0</v>
      </c>
      <c r="Y40" s="102">
        <v>0</v>
      </c>
      <c r="AD40">
        <v>72</v>
      </c>
      <c r="AE40">
        <v>56</v>
      </c>
      <c r="AF40">
        <v>37</v>
      </c>
      <c r="AG40">
        <v>40</v>
      </c>
      <c r="AK40">
        <v>1</v>
      </c>
      <c r="AL40">
        <v>23</v>
      </c>
      <c r="AM40">
        <v>8</v>
      </c>
      <c r="AN40">
        <v>1</v>
      </c>
      <c r="AO40">
        <v>1</v>
      </c>
    </row>
    <row r="41" spans="2:41">
      <c r="B41" s="97" t="s">
        <v>615</v>
      </c>
      <c r="C41" s="98" t="s">
        <v>582</v>
      </c>
      <c r="D41" s="98" t="s">
        <v>33</v>
      </c>
      <c r="E41" s="99" t="s">
        <v>637</v>
      </c>
      <c r="G41" s="100">
        <v>31</v>
      </c>
      <c r="H41" s="101">
        <v>33</v>
      </c>
      <c r="I41" s="100">
        <v>23</v>
      </c>
      <c r="J41" s="101">
        <v>26</v>
      </c>
      <c r="K41" s="100">
        <v>28</v>
      </c>
      <c r="M41" s="100">
        <v>91</v>
      </c>
      <c r="N41" s="101">
        <v>67</v>
      </c>
      <c r="O41" s="101">
        <v>8</v>
      </c>
      <c r="P41" s="101">
        <v>0</v>
      </c>
      <c r="Q41" s="101">
        <v>54</v>
      </c>
      <c r="R41" s="101">
        <v>6</v>
      </c>
      <c r="S41" s="101">
        <v>0</v>
      </c>
      <c r="T41" s="101">
        <v>27</v>
      </c>
      <c r="U41" s="101">
        <v>13</v>
      </c>
      <c r="V41" s="101">
        <v>0</v>
      </c>
      <c r="W41" s="101">
        <v>30</v>
      </c>
      <c r="X41" s="101">
        <v>10</v>
      </c>
      <c r="Y41" s="102">
        <v>0</v>
      </c>
      <c r="AD41">
        <v>67</v>
      </c>
      <c r="AE41">
        <v>54</v>
      </c>
      <c r="AF41">
        <v>27</v>
      </c>
      <c r="AG41">
        <v>30</v>
      </c>
      <c r="AK41">
        <v>30</v>
      </c>
      <c r="AL41">
        <v>26</v>
      </c>
      <c r="AM41">
        <v>40</v>
      </c>
      <c r="AN41">
        <v>27</v>
      </c>
      <c r="AO41">
        <v>36</v>
      </c>
    </row>
    <row r="42" spans="2:41">
      <c r="B42" s="97" t="s">
        <v>497</v>
      </c>
      <c r="C42" s="98" t="s">
        <v>492</v>
      </c>
      <c r="D42" s="98" t="s">
        <v>33</v>
      </c>
      <c r="E42" s="99" t="s">
        <v>637</v>
      </c>
      <c r="G42" s="100">
        <v>30</v>
      </c>
      <c r="H42" s="101">
        <v>35</v>
      </c>
      <c r="I42" s="100">
        <v>23</v>
      </c>
      <c r="J42" s="101">
        <v>33</v>
      </c>
      <c r="K42" s="100">
        <v>30</v>
      </c>
      <c r="M42" s="100">
        <v>96</v>
      </c>
      <c r="N42" s="101">
        <v>65</v>
      </c>
      <c r="O42" s="101">
        <v>10</v>
      </c>
      <c r="P42" s="101">
        <v>0</v>
      </c>
      <c r="Q42" s="101">
        <v>58</v>
      </c>
      <c r="R42" s="101">
        <v>2</v>
      </c>
      <c r="S42" s="101">
        <v>0</v>
      </c>
      <c r="T42" s="101">
        <v>26</v>
      </c>
      <c r="U42" s="101">
        <v>13</v>
      </c>
      <c r="V42" s="101">
        <v>1</v>
      </c>
      <c r="W42" s="101">
        <v>37</v>
      </c>
      <c r="X42" s="101">
        <v>3</v>
      </c>
      <c r="Y42" s="102">
        <v>0</v>
      </c>
      <c r="AD42">
        <v>65</v>
      </c>
      <c r="AE42">
        <v>58</v>
      </c>
      <c r="AF42">
        <v>26</v>
      </c>
      <c r="AG42">
        <v>37</v>
      </c>
      <c r="AK42">
        <v>34</v>
      </c>
      <c r="AL42">
        <v>6</v>
      </c>
      <c r="AM42">
        <v>40</v>
      </c>
      <c r="AN42">
        <v>7</v>
      </c>
      <c r="AO42">
        <v>23</v>
      </c>
    </row>
    <row r="43" spans="2:41">
      <c r="B43" s="97" t="s">
        <v>545</v>
      </c>
      <c r="C43" s="98" t="s">
        <v>508</v>
      </c>
      <c r="D43" s="98" t="s">
        <v>33</v>
      </c>
      <c r="E43" s="99" t="s">
        <v>637</v>
      </c>
      <c r="G43" s="100">
        <v>34</v>
      </c>
      <c r="H43" s="101">
        <v>35</v>
      </c>
      <c r="I43" s="100">
        <v>31</v>
      </c>
      <c r="J43" s="101">
        <v>35</v>
      </c>
      <c r="K43" s="100">
        <v>34</v>
      </c>
      <c r="M43" s="100">
        <v>99</v>
      </c>
      <c r="N43" s="101">
        <v>71</v>
      </c>
      <c r="O43" s="101">
        <v>4</v>
      </c>
      <c r="P43" s="101">
        <v>0</v>
      </c>
      <c r="Q43" s="101">
        <v>58</v>
      </c>
      <c r="R43" s="101">
        <v>2</v>
      </c>
      <c r="S43" s="101">
        <v>0</v>
      </c>
      <c r="T43" s="101">
        <v>36</v>
      </c>
      <c r="U43" s="101">
        <v>4</v>
      </c>
      <c r="V43" s="101">
        <v>0</v>
      </c>
      <c r="W43" s="101">
        <v>39</v>
      </c>
      <c r="X43" s="101">
        <v>1</v>
      </c>
      <c r="Y43" s="102">
        <v>0</v>
      </c>
      <c r="AD43">
        <v>71</v>
      </c>
      <c r="AE43">
        <v>58</v>
      </c>
      <c r="AF43">
        <v>36</v>
      </c>
      <c r="AG43">
        <v>39</v>
      </c>
      <c r="AK43">
        <v>7</v>
      </c>
      <c r="AL43">
        <v>6</v>
      </c>
      <c r="AM43">
        <v>15</v>
      </c>
      <c r="AN43">
        <v>2</v>
      </c>
      <c r="AO43">
        <v>1</v>
      </c>
    </row>
    <row r="44" spans="2:41">
      <c r="B44" s="97" t="s">
        <v>654</v>
      </c>
      <c r="C44" s="98" t="s">
        <v>646</v>
      </c>
      <c r="D44" s="98" t="s">
        <v>33</v>
      </c>
      <c r="E44" s="99" t="s">
        <v>637</v>
      </c>
      <c r="G44" s="100">
        <v>34</v>
      </c>
      <c r="H44" s="101">
        <v>25</v>
      </c>
      <c r="I44" s="100">
        <v>32</v>
      </c>
      <c r="J44" s="101">
        <v>26</v>
      </c>
      <c r="K44" s="100">
        <v>29</v>
      </c>
      <c r="M44" s="100">
        <v>94</v>
      </c>
      <c r="N44" s="101">
        <v>71</v>
      </c>
      <c r="O44" s="101">
        <v>4</v>
      </c>
      <c r="P44" s="101">
        <v>0</v>
      </c>
      <c r="Q44" s="101">
        <v>41</v>
      </c>
      <c r="R44" s="101">
        <v>19</v>
      </c>
      <c r="S44" s="101">
        <v>0</v>
      </c>
      <c r="T44" s="101">
        <v>37</v>
      </c>
      <c r="U44" s="101">
        <v>3</v>
      </c>
      <c r="V44" s="101">
        <v>0</v>
      </c>
      <c r="W44" s="101">
        <v>30</v>
      </c>
      <c r="X44" s="101">
        <v>10</v>
      </c>
      <c r="Y44" s="102">
        <v>0</v>
      </c>
      <c r="AD44">
        <v>71</v>
      </c>
      <c r="AE44">
        <v>41</v>
      </c>
      <c r="AF44">
        <v>37</v>
      </c>
      <c r="AG44">
        <v>30</v>
      </c>
      <c r="AK44">
        <v>7</v>
      </c>
      <c r="AL44">
        <v>53</v>
      </c>
      <c r="AM44">
        <v>8</v>
      </c>
      <c r="AN44">
        <v>27</v>
      </c>
      <c r="AO44">
        <v>33</v>
      </c>
    </row>
    <row r="45" spans="2:41">
      <c r="B45" s="97" t="s">
        <v>607</v>
      </c>
      <c r="C45" s="98" t="s">
        <v>598</v>
      </c>
      <c r="D45" s="98" t="s">
        <v>33</v>
      </c>
      <c r="E45" s="99" t="s">
        <v>637</v>
      </c>
      <c r="G45" s="100">
        <v>21</v>
      </c>
      <c r="H45" s="101">
        <v>26</v>
      </c>
      <c r="I45" s="100">
        <v>18</v>
      </c>
      <c r="J45" s="101">
        <v>25</v>
      </c>
      <c r="K45" s="100">
        <v>22</v>
      </c>
      <c r="M45" s="100">
        <v>62</v>
      </c>
      <c r="N45" s="101">
        <v>45</v>
      </c>
      <c r="O45" s="101">
        <v>30</v>
      </c>
      <c r="P45" s="101">
        <v>0</v>
      </c>
      <c r="Q45" s="101">
        <v>42</v>
      </c>
      <c r="R45" s="101">
        <v>18</v>
      </c>
      <c r="S45" s="101">
        <v>0</v>
      </c>
      <c r="T45" s="101">
        <v>20</v>
      </c>
      <c r="U45" s="101">
        <v>20</v>
      </c>
      <c r="V45" s="101">
        <v>0</v>
      </c>
      <c r="W45" s="101">
        <v>29</v>
      </c>
      <c r="X45" s="101">
        <v>11</v>
      </c>
      <c r="Y45" s="102">
        <v>0</v>
      </c>
      <c r="AD45">
        <v>45</v>
      </c>
      <c r="AE45">
        <v>42</v>
      </c>
      <c r="AF45">
        <v>20</v>
      </c>
      <c r="AG45">
        <v>29</v>
      </c>
      <c r="AK45">
        <v>57</v>
      </c>
      <c r="AL45">
        <v>52</v>
      </c>
      <c r="AM45">
        <v>53</v>
      </c>
      <c r="AN45">
        <v>35</v>
      </c>
      <c r="AO45">
        <v>55</v>
      </c>
    </row>
    <row r="46" spans="2:41">
      <c r="B46" s="97" t="s">
        <v>603</v>
      </c>
      <c r="C46" s="98" t="s">
        <v>573</v>
      </c>
      <c r="D46" s="98" t="s">
        <v>33</v>
      </c>
      <c r="E46" s="99" t="s">
        <v>637</v>
      </c>
      <c r="G46" s="100">
        <v>24</v>
      </c>
      <c r="H46" s="101">
        <v>35</v>
      </c>
      <c r="I46" s="100">
        <v>8</v>
      </c>
      <c r="J46" s="101">
        <v>21</v>
      </c>
      <c r="K46" s="100">
        <v>22</v>
      </c>
      <c r="M46" s="100">
        <v>62</v>
      </c>
      <c r="N46" s="101">
        <v>55</v>
      </c>
      <c r="O46" s="101">
        <v>20</v>
      </c>
      <c r="P46" s="101">
        <v>0</v>
      </c>
      <c r="Q46" s="101">
        <v>58</v>
      </c>
      <c r="R46" s="101">
        <v>2</v>
      </c>
      <c r="S46" s="101">
        <v>0</v>
      </c>
      <c r="T46" s="101">
        <v>6</v>
      </c>
      <c r="U46" s="101">
        <v>34</v>
      </c>
      <c r="V46" s="101">
        <v>0</v>
      </c>
      <c r="W46" s="101">
        <v>22</v>
      </c>
      <c r="X46" s="101">
        <v>18</v>
      </c>
      <c r="Y46" s="102">
        <v>0</v>
      </c>
      <c r="AD46">
        <v>55</v>
      </c>
      <c r="AE46">
        <v>58</v>
      </c>
      <c r="AF46">
        <v>6</v>
      </c>
      <c r="AG46">
        <v>22</v>
      </c>
      <c r="AK46">
        <v>46</v>
      </c>
      <c r="AL46">
        <v>6</v>
      </c>
      <c r="AM46">
        <v>58</v>
      </c>
      <c r="AN46">
        <v>53</v>
      </c>
      <c r="AO46">
        <v>55</v>
      </c>
    </row>
    <row r="47" spans="2:41">
      <c r="B47" s="97" t="s">
        <v>547</v>
      </c>
      <c r="C47" s="98" t="s">
        <v>515</v>
      </c>
      <c r="D47" s="98" t="s">
        <v>33</v>
      </c>
      <c r="E47" s="99" t="s">
        <v>637</v>
      </c>
      <c r="G47" s="100">
        <v>24</v>
      </c>
      <c r="H47" s="101">
        <v>29</v>
      </c>
      <c r="I47" s="100">
        <v>22</v>
      </c>
      <c r="J47" s="101">
        <v>20</v>
      </c>
      <c r="K47" s="100">
        <v>24</v>
      </c>
      <c r="M47" s="100">
        <v>74</v>
      </c>
      <c r="N47" s="101">
        <v>55</v>
      </c>
      <c r="O47" s="101">
        <v>20</v>
      </c>
      <c r="P47" s="101">
        <v>0</v>
      </c>
      <c r="Q47" s="101">
        <v>49</v>
      </c>
      <c r="R47" s="101">
        <v>11</v>
      </c>
      <c r="S47" s="101">
        <v>0</v>
      </c>
      <c r="T47" s="101">
        <v>25</v>
      </c>
      <c r="U47" s="101">
        <v>15</v>
      </c>
      <c r="V47" s="101">
        <v>0</v>
      </c>
      <c r="W47" s="101">
        <v>20</v>
      </c>
      <c r="X47" s="101">
        <v>20</v>
      </c>
      <c r="Y47" s="102">
        <v>0</v>
      </c>
      <c r="AD47">
        <v>55</v>
      </c>
      <c r="AE47">
        <v>49</v>
      </c>
      <c r="AF47">
        <v>25</v>
      </c>
      <c r="AG47">
        <v>20</v>
      </c>
      <c r="AK47">
        <v>46</v>
      </c>
      <c r="AL47">
        <v>44</v>
      </c>
      <c r="AM47">
        <v>48</v>
      </c>
      <c r="AN47">
        <v>54</v>
      </c>
      <c r="AO47">
        <v>47</v>
      </c>
    </row>
    <row r="48" spans="2:41">
      <c r="B48" s="97" t="s">
        <v>660</v>
      </c>
      <c r="C48" s="98" t="s">
        <v>647</v>
      </c>
      <c r="D48" s="98" t="s">
        <v>33</v>
      </c>
      <c r="E48" s="99" t="s">
        <v>637</v>
      </c>
      <c r="G48" s="100">
        <v>29</v>
      </c>
      <c r="H48" s="101">
        <v>34</v>
      </c>
      <c r="I48" s="100">
        <v>32</v>
      </c>
      <c r="J48" s="101">
        <v>23</v>
      </c>
      <c r="K48" s="100">
        <v>30</v>
      </c>
      <c r="M48" s="100">
        <v>96</v>
      </c>
      <c r="N48" s="101">
        <v>63</v>
      </c>
      <c r="O48" s="101">
        <v>11</v>
      </c>
      <c r="P48" s="101">
        <v>1</v>
      </c>
      <c r="Q48" s="101">
        <v>56</v>
      </c>
      <c r="R48" s="101">
        <v>4</v>
      </c>
      <c r="S48" s="101">
        <v>0</v>
      </c>
      <c r="T48" s="101">
        <v>37</v>
      </c>
      <c r="U48" s="101">
        <v>3</v>
      </c>
      <c r="V48" s="101">
        <v>0</v>
      </c>
      <c r="W48" s="101">
        <v>25</v>
      </c>
      <c r="X48" s="101">
        <v>15</v>
      </c>
      <c r="Y48" s="102">
        <v>0</v>
      </c>
      <c r="AD48">
        <v>63</v>
      </c>
      <c r="AE48">
        <v>56</v>
      </c>
      <c r="AF48">
        <v>37</v>
      </c>
      <c r="AG48">
        <v>25</v>
      </c>
      <c r="AK48">
        <v>37</v>
      </c>
      <c r="AL48">
        <v>23</v>
      </c>
      <c r="AM48">
        <v>8</v>
      </c>
      <c r="AN48">
        <v>50</v>
      </c>
      <c r="AO48">
        <v>23</v>
      </c>
    </row>
    <row r="49" spans="2:41">
      <c r="B49" s="97" t="s">
        <v>746</v>
      </c>
      <c r="C49" s="98" t="s">
        <v>666</v>
      </c>
      <c r="D49" s="98" t="s">
        <v>33</v>
      </c>
      <c r="E49" s="99" t="s">
        <v>637</v>
      </c>
      <c r="G49" s="100">
        <v>35</v>
      </c>
      <c r="H49" s="101">
        <v>36</v>
      </c>
      <c r="I49" s="100">
        <v>30</v>
      </c>
      <c r="J49" s="101">
        <v>26</v>
      </c>
      <c r="K49" s="100">
        <v>32</v>
      </c>
      <c r="M49" s="100">
        <v>98</v>
      </c>
      <c r="N49" s="101">
        <v>72</v>
      </c>
      <c r="O49" s="101">
        <v>3</v>
      </c>
      <c r="P49" s="101">
        <v>0</v>
      </c>
      <c r="Q49" s="101">
        <v>59</v>
      </c>
      <c r="R49" s="101">
        <v>1</v>
      </c>
      <c r="S49" s="101">
        <v>0</v>
      </c>
      <c r="T49" s="101">
        <v>35</v>
      </c>
      <c r="U49" s="101">
        <v>5</v>
      </c>
      <c r="V49" s="101">
        <v>0</v>
      </c>
      <c r="W49" s="101">
        <v>30</v>
      </c>
      <c r="X49" s="101">
        <v>10</v>
      </c>
      <c r="Y49" s="102">
        <v>0</v>
      </c>
      <c r="AD49">
        <v>72</v>
      </c>
      <c r="AE49">
        <v>59</v>
      </c>
      <c r="AF49">
        <v>35</v>
      </c>
      <c r="AG49">
        <v>30</v>
      </c>
      <c r="AK49">
        <v>1</v>
      </c>
      <c r="AL49">
        <v>1</v>
      </c>
      <c r="AM49">
        <v>21</v>
      </c>
      <c r="AN49">
        <v>27</v>
      </c>
      <c r="AO49">
        <v>10</v>
      </c>
    </row>
    <row r="50" spans="2:41">
      <c r="B50" s="97" t="s">
        <v>735</v>
      </c>
      <c r="C50" s="98" t="s">
        <v>736</v>
      </c>
      <c r="D50" s="98" t="s">
        <v>33</v>
      </c>
      <c r="E50" s="99" t="s">
        <v>637</v>
      </c>
      <c r="G50" s="100">
        <v>30</v>
      </c>
      <c r="H50" s="101">
        <v>29</v>
      </c>
      <c r="I50" s="100">
        <v>26</v>
      </c>
      <c r="J50" s="101">
        <v>25</v>
      </c>
      <c r="K50" s="100">
        <v>28</v>
      </c>
      <c r="M50" s="100">
        <v>91</v>
      </c>
      <c r="N50" s="101">
        <v>65</v>
      </c>
      <c r="O50" s="101">
        <v>10</v>
      </c>
      <c r="P50" s="101">
        <v>0</v>
      </c>
      <c r="Q50" s="101">
        <v>48</v>
      </c>
      <c r="R50" s="101">
        <v>6</v>
      </c>
      <c r="S50" s="101">
        <v>6</v>
      </c>
      <c r="T50" s="101">
        <v>30</v>
      </c>
      <c r="U50" s="101">
        <v>10</v>
      </c>
      <c r="V50" s="101">
        <v>0</v>
      </c>
      <c r="W50" s="101">
        <v>28</v>
      </c>
      <c r="X50" s="101">
        <v>9</v>
      </c>
      <c r="Y50" s="102">
        <v>3</v>
      </c>
      <c r="AD50">
        <v>65</v>
      </c>
      <c r="AE50">
        <v>48</v>
      </c>
      <c r="AF50">
        <v>30</v>
      </c>
      <c r="AG50">
        <v>28</v>
      </c>
      <c r="AK50">
        <v>34</v>
      </c>
      <c r="AL50">
        <v>44</v>
      </c>
      <c r="AM50">
        <v>34</v>
      </c>
      <c r="AN50">
        <v>35</v>
      </c>
      <c r="AO50">
        <v>36</v>
      </c>
    </row>
    <row r="51" spans="2:41">
      <c r="B51" s="97" t="s">
        <v>693</v>
      </c>
      <c r="C51" s="98" t="s">
        <v>667</v>
      </c>
      <c r="D51" s="98" t="s">
        <v>33</v>
      </c>
      <c r="E51" s="99" t="s">
        <v>637</v>
      </c>
      <c r="G51" s="100">
        <v>27</v>
      </c>
      <c r="H51" s="101">
        <v>25</v>
      </c>
      <c r="I51" s="100">
        <v>26</v>
      </c>
      <c r="J51" s="101">
        <v>25</v>
      </c>
      <c r="K51" s="100">
        <v>26</v>
      </c>
      <c r="M51" s="100">
        <v>84</v>
      </c>
      <c r="N51" s="101">
        <v>61</v>
      </c>
      <c r="O51" s="101">
        <v>14</v>
      </c>
      <c r="P51" s="101">
        <v>0</v>
      </c>
      <c r="Q51" s="101">
        <v>40</v>
      </c>
      <c r="R51" s="101">
        <v>20</v>
      </c>
      <c r="S51" s="101">
        <v>0</v>
      </c>
      <c r="T51" s="101">
        <v>30</v>
      </c>
      <c r="U51" s="101">
        <v>10</v>
      </c>
      <c r="V51" s="101">
        <v>0</v>
      </c>
      <c r="W51" s="101">
        <v>28</v>
      </c>
      <c r="X51" s="101">
        <v>12</v>
      </c>
      <c r="Y51" s="102">
        <v>0</v>
      </c>
      <c r="AD51">
        <v>61</v>
      </c>
      <c r="AE51">
        <v>40</v>
      </c>
      <c r="AF51">
        <v>30</v>
      </c>
      <c r="AG51">
        <v>28</v>
      </c>
      <c r="AK51">
        <v>42</v>
      </c>
      <c r="AL51">
        <v>53</v>
      </c>
      <c r="AM51">
        <v>34</v>
      </c>
      <c r="AN51">
        <v>35</v>
      </c>
      <c r="AO51">
        <v>43</v>
      </c>
    </row>
    <row r="52" spans="2:41">
      <c r="B52" s="97" t="s">
        <v>697</v>
      </c>
      <c r="C52" s="98" t="s">
        <v>668</v>
      </c>
      <c r="D52" s="98" t="s">
        <v>33</v>
      </c>
      <c r="E52" s="99" t="s">
        <v>637</v>
      </c>
      <c r="G52" s="100">
        <v>34</v>
      </c>
      <c r="H52" s="101">
        <v>31</v>
      </c>
      <c r="I52" s="100">
        <v>33</v>
      </c>
      <c r="J52" s="101">
        <v>30</v>
      </c>
      <c r="K52" s="100">
        <v>32</v>
      </c>
      <c r="M52" s="100">
        <v>98</v>
      </c>
      <c r="N52" s="101">
        <v>70</v>
      </c>
      <c r="O52" s="101">
        <v>5</v>
      </c>
      <c r="P52" s="101">
        <v>0</v>
      </c>
      <c r="Q52" s="101">
        <v>52</v>
      </c>
      <c r="R52" s="101">
        <v>8</v>
      </c>
      <c r="S52" s="101">
        <v>0</v>
      </c>
      <c r="T52" s="101">
        <v>38</v>
      </c>
      <c r="U52" s="101">
        <v>2</v>
      </c>
      <c r="V52" s="101">
        <v>0</v>
      </c>
      <c r="W52" s="101">
        <v>35</v>
      </c>
      <c r="X52" s="101">
        <v>5</v>
      </c>
      <c r="Y52" s="102">
        <v>0</v>
      </c>
      <c r="AD52">
        <v>70</v>
      </c>
      <c r="AE52">
        <v>52</v>
      </c>
      <c r="AF52">
        <v>38</v>
      </c>
      <c r="AG52">
        <v>35</v>
      </c>
      <c r="AK52">
        <v>7</v>
      </c>
      <c r="AL52">
        <v>35</v>
      </c>
      <c r="AM52">
        <v>4</v>
      </c>
      <c r="AN52">
        <v>11</v>
      </c>
      <c r="AO52">
        <v>10</v>
      </c>
    </row>
    <row r="53" spans="2:41">
      <c r="B53" s="97" t="s">
        <v>712</v>
      </c>
      <c r="C53" s="98" t="s">
        <v>669</v>
      </c>
      <c r="D53" s="98" t="s">
        <v>33</v>
      </c>
      <c r="E53" s="99" t="s">
        <v>637</v>
      </c>
      <c r="G53" s="100">
        <v>34</v>
      </c>
      <c r="H53" s="101">
        <v>29</v>
      </c>
      <c r="I53" s="100">
        <v>29</v>
      </c>
      <c r="J53" s="101">
        <v>26</v>
      </c>
      <c r="K53" s="100">
        <v>30</v>
      </c>
      <c r="M53" s="100">
        <v>96</v>
      </c>
      <c r="N53" s="101">
        <v>70</v>
      </c>
      <c r="O53" s="101">
        <v>5</v>
      </c>
      <c r="P53" s="101">
        <v>0</v>
      </c>
      <c r="Q53" s="101">
        <v>49</v>
      </c>
      <c r="R53" s="101">
        <v>11</v>
      </c>
      <c r="S53" s="101">
        <v>0</v>
      </c>
      <c r="T53" s="101">
        <v>34</v>
      </c>
      <c r="U53" s="101">
        <v>6</v>
      </c>
      <c r="V53" s="101">
        <v>0</v>
      </c>
      <c r="W53" s="101">
        <v>31</v>
      </c>
      <c r="X53" s="101">
        <v>9</v>
      </c>
      <c r="Y53" s="102">
        <v>0</v>
      </c>
      <c r="AD53">
        <v>70</v>
      </c>
      <c r="AE53">
        <v>49</v>
      </c>
      <c r="AF53">
        <v>34</v>
      </c>
      <c r="AG53">
        <v>31</v>
      </c>
      <c r="AK53">
        <v>7</v>
      </c>
      <c r="AL53">
        <v>44</v>
      </c>
      <c r="AM53">
        <v>22</v>
      </c>
      <c r="AN53">
        <v>27</v>
      </c>
      <c r="AO53">
        <v>23</v>
      </c>
    </row>
    <row r="54" spans="2:41">
      <c r="B54" s="97" t="s">
        <v>742</v>
      </c>
      <c r="C54" s="98" t="s">
        <v>670</v>
      </c>
      <c r="D54" s="98" t="s">
        <v>33</v>
      </c>
      <c r="E54" s="99" t="s">
        <v>637</v>
      </c>
      <c r="G54" s="100">
        <v>33</v>
      </c>
      <c r="H54" s="101">
        <v>36</v>
      </c>
      <c r="I54" s="100">
        <v>28</v>
      </c>
      <c r="J54" s="101">
        <v>30</v>
      </c>
      <c r="K54" s="100">
        <v>32</v>
      </c>
      <c r="M54" s="100">
        <v>98</v>
      </c>
      <c r="N54" s="101">
        <v>69</v>
      </c>
      <c r="O54" s="101">
        <v>6</v>
      </c>
      <c r="P54" s="101">
        <v>0</v>
      </c>
      <c r="Q54" s="101">
        <v>59</v>
      </c>
      <c r="R54" s="101">
        <v>1</v>
      </c>
      <c r="S54" s="101">
        <v>0</v>
      </c>
      <c r="T54" s="101">
        <v>32</v>
      </c>
      <c r="U54" s="101">
        <v>8</v>
      </c>
      <c r="V54" s="101">
        <v>0</v>
      </c>
      <c r="W54" s="101">
        <v>35</v>
      </c>
      <c r="X54" s="101">
        <v>5</v>
      </c>
      <c r="Y54" s="102">
        <v>0</v>
      </c>
      <c r="AD54">
        <v>69</v>
      </c>
      <c r="AE54">
        <v>59</v>
      </c>
      <c r="AF54">
        <v>32</v>
      </c>
      <c r="AG54">
        <v>35</v>
      </c>
      <c r="AK54">
        <v>22</v>
      </c>
      <c r="AL54">
        <v>1</v>
      </c>
      <c r="AM54">
        <v>26</v>
      </c>
      <c r="AN54">
        <v>11</v>
      </c>
      <c r="AO54">
        <v>10</v>
      </c>
    </row>
    <row r="55" spans="2:41">
      <c r="B55" s="97" t="s">
        <v>752</v>
      </c>
      <c r="C55" s="98" t="s">
        <v>671</v>
      </c>
      <c r="D55" s="98" t="s">
        <v>33</v>
      </c>
      <c r="E55" s="99" t="s">
        <v>637</v>
      </c>
      <c r="G55" s="100">
        <v>24</v>
      </c>
      <c r="H55" s="101">
        <v>33</v>
      </c>
      <c r="I55" s="100">
        <v>21</v>
      </c>
      <c r="J55" s="101">
        <v>25</v>
      </c>
      <c r="K55" s="100">
        <v>26</v>
      </c>
      <c r="M55" s="100">
        <v>84</v>
      </c>
      <c r="N55" s="101">
        <v>54</v>
      </c>
      <c r="O55" s="101">
        <v>21</v>
      </c>
      <c r="P55" s="101">
        <v>0</v>
      </c>
      <c r="Q55" s="101">
        <v>55</v>
      </c>
      <c r="R55" s="101">
        <v>5</v>
      </c>
      <c r="S55" s="101">
        <v>0</v>
      </c>
      <c r="T55" s="101">
        <v>24</v>
      </c>
      <c r="U55" s="101">
        <v>16</v>
      </c>
      <c r="V55" s="101">
        <v>0</v>
      </c>
      <c r="W55" s="101">
        <v>29</v>
      </c>
      <c r="X55" s="101">
        <v>11</v>
      </c>
      <c r="Y55" s="102">
        <v>0</v>
      </c>
      <c r="AD55">
        <v>54</v>
      </c>
      <c r="AE55">
        <v>55</v>
      </c>
      <c r="AF55">
        <v>24</v>
      </c>
      <c r="AG55">
        <v>29</v>
      </c>
      <c r="AK55">
        <v>46</v>
      </c>
      <c r="AL55">
        <v>26</v>
      </c>
      <c r="AM55">
        <v>49</v>
      </c>
      <c r="AN55">
        <v>35</v>
      </c>
      <c r="AO55">
        <v>43</v>
      </c>
    </row>
    <row r="56" spans="2:41">
      <c r="B56" s="97" t="s">
        <v>718</v>
      </c>
      <c r="C56" s="98" t="s">
        <v>672</v>
      </c>
      <c r="D56" s="98" t="s">
        <v>33</v>
      </c>
      <c r="E56" s="99" t="s">
        <v>637</v>
      </c>
      <c r="G56" s="100">
        <v>29</v>
      </c>
      <c r="H56" s="101">
        <v>32</v>
      </c>
      <c r="I56" s="100">
        <v>31</v>
      </c>
      <c r="J56" s="101">
        <v>26</v>
      </c>
      <c r="K56" s="100">
        <v>30</v>
      </c>
      <c r="M56" s="100">
        <v>96</v>
      </c>
      <c r="N56" s="101">
        <v>63</v>
      </c>
      <c r="O56" s="101">
        <v>12</v>
      </c>
      <c r="P56" s="101">
        <v>0</v>
      </c>
      <c r="Q56" s="101">
        <v>53</v>
      </c>
      <c r="R56" s="101">
        <v>7</v>
      </c>
      <c r="S56" s="101">
        <v>0</v>
      </c>
      <c r="T56" s="101">
        <v>36</v>
      </c>
      <c r="U56" s="101">
        <v>4</v>
      </c>
      <c r="V56" s="101">
        <v>0</v>
      </c>
      <c r="W56" s="101">
        <v>31</v>
      </c>
      <c r="X56" s="101">
        <v>9</v>
      </c>
      <c r="Y56" s="102">
        <v>0</v>
      </c>
      <c r="AD56">
        <v>63</v>
      </c>
      <c r="AE56">
        <v>53</v>
      </c>
      <c r="AF56">
        <v>36</v>
      </c>
      <c r="AG56">
        <v>31</v>
      </c>
      <c r="AK56">
        <v>37</v>
      </c>
      <c r="AL56">
        <v>31</v>
      </c>
      <c r="AM56">
        <v>15</v>
      </c>
      <c r="AN56">
        <v>27</v>
      </c>
      <c r="AO56">
        <v>23</v>
      </c>
    </row>
    <row r="57" spans="2:41">
      <c r="B57" s="97" t="s">
        <v>726</v>
      </c>
      <c r="C57" s="98" t="s">
        <v>727</v>
      </c>
      <c r="D57" s="98" t="s">
        <v>33</v>
      </c>
      <c r="E57" s="99" t="s">
        <v>637</v>
      </c>
      <c r="G57" s="100">
        <v>25</v>
      </c>
      <c r="H57" s="101">
        <v>31</v>
      </c>
      <c r="I57" s="100">
        <v>18</v>
      </c>
      <c r="J57" s="101">
        <v>20</v>
      </c>
      <c r="K57" s="100">
        <v>24</v>
      </c>
      <c r="M57" s="100">
        <v>74</v>
      </c>
      <c r="N57" s="101">
        <v>57</v>
      </c>
      <c r="O57" s="101">
        <v>18</v>
      </c>
      <c r="P57" s="101">
        <v>0</v>
      </c>
      <c r="Q57" s="101">
        <v>52</v>
      </c>
      <c r="R57" s="101">
        <v>8</v>
      </c>
      <c r="S57" s="101">
        <v>0</v>
      </c>
      <c r="T57" s="101">
        <v>20</v>
      </c>
      <c r="U57" s="101">
        <v>12</v>
      </c>
      <c r="V57" s="101">
        <v>8</v>
      </c>
      <c r="W57" s="101">
        <v>20</v>
      </c>
      <c r="X57" s="101">
        <v>17</v>
      </c>
      <c r="Y57" s="102">
        <v>3</v>
      </c>
      <c r="AD57">
        <v>57</v>
      </c>
      <c r="AE57">
        <v>52</v>
      </c>
      <c r="AF57">
        <v>20</v>
      </c>
      <c r="AG57">
        <v>20</v>
      </c>
      <c r="AK57">
        <v>45</v>
      </c>
      <c r="AL57">
        <v>35</v>
      </c>
      <c r="AM57">
        <v>53</v>
      </c>
      <c r="AN57">
        <v>54</v>
      </c>
      <c r="AO57">
        <v>47</v>
      </c>
    </row>
    <row r="58" spans="2:41">
      <c r="B58" s="97" t="s">
        <v>750</v>
      </c>
      <c r="C58" s="98" t="s">
        <v>673</v>
      </c>
      <c r="D58" s="98" t="s">
        <v>33</v>
      </c>
      <c r="E58" s="99" t="s">
        <v>637</v>
      </c>
      <c r="G58" s="100">
        <v>35</v>
      </c>
      <c r="H58" s="101">
        <v>32</v>
      </c>
      <c r="I58" s="100">
        <v>27</v>
      </c>
      <c r="J58" s="101">
        <v>30</v>
      </c>
      <c r="K58" s="100">
        <v>31</v>
      </c>
      <c r="M58" s="100">
        <v>97</v>
      </c>
      <c r="N58" s="101">
        <v>73</v>
      </c>
      <c r="O58" s="101">
        <v>2</v>
      </c>
      <c r="P58" s="101">
        <v>0</v>
      </c>
      <c r="Q58" s="101">
        <v>53</v>
      </c>
      <c r="R58" s="101">
        <v>7</v>
      </c>
      <c r="S58" s="101">
        <v>0</v>
      </c>
      <c r="T58" s="101">
        <v>31</v>
      </c>
      <c r="U58" s="101">
        <v>9</v>
      </c>
      <c r="V58" s="101">
        <v>0</v>
      </c>
      <c r="W58" s="101">
        <v>35</v>
      </c>
      <c r="X58" s="101">
        <v>5</v>
      </c>
      <c r="Y58" s="102">
        <v>0</v>
      </c>
      <c r="AD58">
        <v>73</v>
      </c>
      <c r="AE58">
        <v>53</v>
      </c>
      <c r="AF58">
        <v>31</v>
      </c>
      <c r="AG58">
        <v>35</v>
      </c>
      <c r="AK58">
        <v>1</v>
      </c>
      <c r="AL58">
        <v>31</v>
      </c>
      <c r="AM58">
        <v>31</v>
      </c>
      <c r="AN58">
        <v>11</v>
      </c>
      <c r="AO58">
        <v>17</v>
      </c>
    </row>
    <row r="59" spans="2:41">
      <c r="B59" s="97" t="s">
        <v>695</v>
      </c>
      <c r="C59" s="98" t="s">
        <v>674</v>
      </c>
      <c r="D59" s="98" t="s">
        <v>33</v>
      </c>
      <c r="E59" s="99" t="s">
        <v>637</v>
      </c>
      <c r="G59" s="100">
        <v>26</v>
      </c>
      <c r="H59" s="101">
        <v>30</v>
      </c>
      <c r="I59" s="100">
        <v>23</v>
      </c>
      <c r="J59" s="101">
        <v>25</v>
      </c>
      <c r="K59" s="100">
        <v>26</v>
      </c>
      <c r="M59" s="100">
        <v>84</v>
      </c>
      <c r="N59" s="101">
        <v>58</v>
      </c>
      <c r="O59" s="101">
        <v>17</v>
      </c>
      <c r="P59" s="101">
        <v>0</v>
      </c>
      <c r="Q59" s="101">
        <v>51</v>
      </c>
      <c r="R59" s="101">
        <v>9</v>
      </c>
      <c r="S59" s="101">
        <v>0</v>
      </c>
      <c r="T59" s="101">
        <v>27</v>
      </c>
      <c r="U59" s="101">
        <v>13</v>
      </c>
      <c r="V59" s="101">
        <v>0</v>
      </c>
      <c r="W59" s="101">
        <v>29</v>
      </c>
      <c r="X59" s="101">
        <v>11</v>
      </c>
      <c r="Y59" s="102">
        <v>0</v>
      </c>
      <c r="AD59">
        <v>58</v>
      </c>
      <c r="AE59">
        <v>51</v>
      </c>
      <c r="AF59">
        <v>27</v>
      </c>
      <c r="AG59">
        <v>29</v>
      </c>
      <c r="AK59">
        <v>44</v>
      </c>
      <c r="AL59">
        <v>40</v>
      </c>
      <c r="AM59">
        <v>40</v>
      </c>
      <c r="AN59">
        <v>35</v>
      </c>
      <c r="AO59">
        <v>43</v>
      </c>
    </row>
    <row r="60" spans="2:41">
      <c r="B60" s="97" t="s">
        <v>716</v>
      </c>
      <c r="C60" s="98" t="s">
        <v>675</v>
      </c>
      <c r="D60" s="98" t="s">
        <v>33</v>
      </c>
      <c r="E60" s="99" t="s">
        <v>637</v>
      </c>
      <c r="G60" s="100">
        <v>27</v>
      </c>
      <c r="H60" s="101">
        <v>22</v>
      </c>
      <c r="I60" s="100">
        <v>23</v>
      </c>
      <c r="J60" s="101">
        <v>20</v>
      </c>
      <c r="K60" s="100">
        <v>23</v>
      </c>
      <c r="M60" s="100">
        <v>69</v>
      </c>
      <c r="N60" s="101">
        <v>61</v>
      </c>
      <c r="O60" s="101">
        <v>11</v>
      </c>
      <c r="P60" s="101">
        <v>3</v>
      </c>
      <c r="Q60" s="101">
        <v>34</v>
      </c>
      <c r="R60" s="101">
        <v>25</v>
      </c>
      <c r="S60" s="101">
        <v>1</v>
      </c>
      <c r="T60" s="101">
        <v>27</v>
      </c>
      <c r="U60" s="101">
        <v>9</v>
      </c>
      <c r="V60" s="101">
        <v>4</v>
      </c>
      <c r="W60" s="101">
        <v>20</v>
      </c>
      <c r="X60" s="101">
        <v>20</v>
      </c>
      <c r="Y60" s="102">
        <v>0</v>
      </c>
      <c r="AD60">
        <v>61</v>
      </c>
      <c r="AE60">
        <v>34</v>
      </c>
      <c r="AF60">
        <v>27</v>
      </c>
      <c r="AG60">
        <v>20</v>
      </c>
      <c r="AK60">
        <v>42</v>
      </c>
      <c r="AL60">
        <v>57</v>
      </c>
      <c r="AM60">
        <v>40</v>
      </c>
      <c r="AN60">
        <v>54</v>
      </c>
      <c r="AO60">
        <v>51</v>
      </c>
    </row>
    <row r="61" spans="2:41">
      <c r="B61" s="97" t="s">
        <v>731</v>
      </c>
      <c r="C61" s="98" t="s">
        <v>676</v>
      </c>
      <c r="D61" s="98" t="s">
        <v>33</v>
      </c>
      <c r="E61" s="99" t="s">
        <v>637</v>
      </c>
      <c r="G61" s="100">
        <v>34</v>
      </c>
      <c r="H61" s="101">
        <v>27</v>
      </c>
      <c r="I61" s="100">
        <v>26</v>
      </c>
      <c r="J61" s="101">
        <v>25</v>
      </c>
      <c r="K61" s="100">
        <v>28</v>
      </c>
      <c r="M61" s="100">
        <v>91</v>
      </c>
      <c r="N61" s="101">
        <v>70</v>
      </c>
      <c r="O61" s="101">
        <v>4</v>
      </c>
      <c r="P61" s="101">
        <v>1</v>
      </c>
      <c r="Q61" s="101">
        <v>45</v>
      </c>
      <c r="R61" s="101">
        <v>15</v>
      </c>
      <c r="S61" s="101">
        <v>0</v>
      </c>
      <c r="T61" s="101">
        <v>30</v>
      </c>
      <c r="U61" s="101">
        <v>10</v>
      </c>
      <c r="V61" s="101">
        <v>0</v>
      </c>
      <c r="W61" s="101">
        <v>29</v>
      </c>
      <c r="X61" s="101">
        <v>11</v>
      </c>
      <c r="Y61" s="102">
        <v>0</v>
      </c>
      <c r="AD61">
        <v>70</v>
      </c>
      <c r="AE61">
        <v>45</v>
      </c>
      <c r="AF61">
        <v>30</v>
      </c>
      <c r="AG61">
        <v>29</v>
      </c>
      <c r="AK61">
        <v>7</v>
      </c>
      <c r="AL61">
        <v>49</v>
      </c>
      <c r="AM61">
        <v>34</v>
      </c>
      <c r="AN61">
        <v>35</v>
      </c>
      <c r="AO61">
        <v>36</v>
      </c>
    </row>
    <row r="62" spans="2:41">
      <c r="B62" s="97" t="s">
        <v>665</v>
      </c>
      <c r="C62" s="98" t="s">
        <v>663</v>
      </c>
      <c r="D62" s="98" t="s">
        <v>33</v>
      </c>
      <c r="E62" s="99" t="s">
        <v>637</v>
      </c>
      <c r="G62" s="100">
        <v>34</v>
      </c>
      <c r="H62" s="101">
        <v>33</v>
      </c>
      <c r="I62" s="100">
        <v>17</v>
      </c>
      <c r="J62" s="101">
        <v>23</v>
      </c>
      <c r="K62" s="100">
        <v>27</v>
      </c>
      <c r="M62" s="100">
        <v>88</v>
      </c>
      <c r="N62" s="101">
        <v>70</v>
      </c>
      <c r="O62" s="101">
        <v>5</v>
      </c>
      <c r="P62" s="101">
        <v>0</v>
      </c>
      <c r="Q62" s="101">
        <v>54</v>
      </c>
      <c r="R62" s="101">
        <v>5</v>
      </c>
      <c r="S62" s="101">
        <v>1</v>
      </c>
      <c r="T62" s="101">
        <v>19</v>
      </c>
      <c r="U62" s="101">
        <v>21</v>
      </c>
      <c r="V62" s="101">
        <v>0</v>
      </c>
      <c r="W62" s="101">
        <v>25</v>
      </c>
      <c r="X62" s="101">
        <v>15</v>
      </c>
      <c r="Y62" s="102">
        <v>0</v>
      </c>
      <c r="AD62">
        <v>70</v>
      </c>
      <c r="AE62">
        <v>54</v>
      </c>
      <c r="AF62">
        <v>19</v>
      </c>
      <c r="AG62">
        <v>25</v>
      </c>
      <c r="AK62">
        <v>7</v>
      </c>
      <c r="AL62">
        <v>26</v>
      </c>
      <c r="AM62">
        <v>55</v>
      </c>
      <c r="AN62">
        <v>50</v>
      </c>
      <c r="AO62">
        <v>41</v>
      </c>
    </row>
    <row r="63" spans="2:41">
      <c r="B63" s="97" t="s">
        <v>705</v>
      </c>
      <c r="C63" s="98" t="s">
        <v>706</v>
      </c>
      <c r="D63" s="98" t="s">
        <v>33</v>
      </c>
      <c r="E63" s="99" t="s">
        <v>637</v>
      </c>
      <c r="G63" s="100">
        <v>34</v>
      </c>
      <c r="H63" s="101">
        <v>35</v>
      </c>
      <c r="I63" s="100">
        <v>35</v>
      </c>
      <c r="J63" s="101">
        <v>27</v>
      </c>
      <c r="K63" s="100">
        <v>33</v>
      </c>
      <c r="M63" s="100">
        <v>99</v>
      </c>
      <c r="N63" s="101">
        <v>70</v>
      </c>
      <c r="O63" s="101">
        <v>5</v>
      </c>
      <c r="P63" s="101">
        <v>0</v>
      </c>
      <c r="Q63" s="101">
        <v>58</v>
      </c>
      <c r="R63" s="101">
        <v>2</v>
      </c>
      <c r="S63" s="101">
        <v>0</v>
      </c>
      <c r="T63" s="101">
        <v>39</v>
      </c>
      <c r="U63" s="101">
        <v>1</v>
      </c>
      <c r="V63" s="101">
        <v>0</v>
      </c>
      <c r="W63" s="101">
        <v>32</v>
      </c>
      <c r="X63" s="101">
        <v>8</v>
      </c>
      <c r="Y63" s="102">
        <v>0</v>
      </c>
      <c r="AD63">
        <v>70</v>
      </c>
      <c r="AE63">
        <v>58</v>
      </c>
      <c r="AF63">
        <v>39</v>
      </c>
      <c r="AG63">
        <v>32</v>
      </c>
      <c r="AK63">
        <v>7</v>
      </c>
      <c r="AL63">
        <v>6</v>
      </c>
      <c r="AM63">
        <v>1</v>
      </c>
      <c r="AN63">
        <v>25</v>
      </c>
      <c r="AO63">
        <v>7</v>
      </c>
    </row>
    <row r="64" spans="2:41">
      <c r="B64" s="97" t="s">
        <v>714</v>
      </c>
      <c r="C64" s="98" t="s">
        <v>677</v>
      </c>
      <c r="D64" s="98" t="s">
        <v>33</v>
      </c>
      <c r="E64" s="99" t="s">
        <v>637</v>
      </c>
      <c r="G64" s="100">
        <v>34</v>
      </c>
      <c r="H64" s="101">
        <v>32</v>
      </c>
      <c r="I64" s="100">
        <v>31</v>
      </c>
      <c r="J64" s="101">
        <v>28</v>
      </c>
      <c r="K64" s="100">
        <v>31</v>
      </c>
      <c r="M64" s="100">
        <v>97</v>
      </c>
      <c r="N64" s="101">
        <v>70</v>
      </c>
      <c r="O64" s="101">
        <v>5</v>
      </c>
      <c r="P64" s="101">
        <v>0</v>
      </c>
      <c r="Q64" s="101">
        <v>53</v>
      </c>
      <c r="R64" s="101">
        <v>7</v>
      </c>
      <c r="S64" s="101">
        <v>0</v>
      </c>
      <c r="T64" s="101">
        <v>36</v>
      </c>
      <c r="U64" s="101">
        <v>4</v>
      </c>
      <c r="V64" s="101">
        <v>0</v>
      </c>
      <c r="W64" s="101">
        <v>33</v>
      </c>
      <c r="X64" s="101">
        <v>7</v>
      </c>
      <c r="Y64" s="102">
        <v>0</v>
      </c>
      <c r="AD64">
        <v>70</v>
      </c>
      <c r="AE64">
        <v>53</v>
      </c>
      <c r="AF64">
        <v>36</v>
      </c>
      <c r="AG64">
        <v>33</v>
      </c>
      <c r="AK64">
        <v>7</v>
      </c>
      <c r="AL64">
        <v>31</v>
      </c>
      <c r="AM64">
        <v>15</v>
      </c>
      <c r="AN64">
        <v>21</v>
      </c>
      <c r="AO64">
        <v>17</v>
      </c>
    </row>
    <row r="65" spans="2:41">
      <c r="B65" s="97" t="s">
        <v>722</v>
      </c>
      <c r="C65" s="98" t="s">
        <v>678</v>
      </c>
      <c r="D65" s="98" t="s">
        <v>33</v>
      </c>
      <c r="E65" s="99" t="s">
        <v>637</v>
      </c>
      <c r="G65" s="100">
        <v>34</v>
      </c>
      <c r="H65" s="101">
        <v>31</v>
      </c>
      <c r="I65" s="100">
        <v>33</v>
      </c>
      <c r="J65" s="101">
        <v>24</v>
      </c>
      <c r="K65" s="100">
        <v>30</v>
      </c>
      <c r="M65" s="100">
        <v>96</v>
      </c>
      <c r="N65" s="101">
        <v>71</v>
      </c>
      <c r="O65" s="101">
        <v>4</v>
      </c>
      <c r="P65" s="101">
        <v>0</v>
      </c>
      <c r="Q65" s="101">
        <v>52</v>
      </c>
      <c r="R65" s="101">
        <v>8</v>
      </c>
      <c r="S65" s="101">
        <v>0</v>
      </c>
      <c r="T65" s="101">
        <v>38</v>
      </c>
      <c r="U65" s="101">
        <v>2</v>
      </c>
      <c r="V65" s="101">
        <v>0</v>
      </c>
      <c r="W65" s="101">
        <v>27</v>
      </c>
      <c r="X65" s="101">
        <v>13</v>
      </c>
      <c r="Y65" s="102">
        <v>0</v>
      </c>
      <c r="AD65">
        <v>71</v>
      </c>
      <c r="AE65">
        <v>52</v>
      </c>
      <c r="AF65">
        <v>38</v>
      </c>
      <c r="AG65">
        <v>27</v>
      </c>
      <c r="AK65">
        <v>7</v>
      </c>
      <c r="AL65">
        <v>35</v>
      </c>
      <c r="AM65">
        <v>4</v>
      </c>
      <c r="AN65">
        <v>46</v>
      </c>
      <c r="AO65">
        <v>23</v>
      </c>
    </row>
    <row r="66" spans="2:41">
      <c r="B66" s="97" t="s">
        <v>708</v>
      </c>
      <c r="C66" s="98" t="s">
        <v>679</v>
      </c>
      <c r="D66" s="98" t="s">
        <v>33</v>
      </c>
      <c r="E66" s="99" t="s">
        <v>637</v>
      </c>
      <c r="G66" s="100">
        <v>32</v>
      </c>
      <c r="H66" s="101">
        <v>35</v>
      </c>
      <c r="I66" s="100">
        <v>29</v>
      </c>
      <c r="J66" s="101">
        <v>30</v>
      </c>
      <c r="K66" s="100">
        <v>32</v>
      </c>
      <c r="M66" s="100">
        <v>98</v>
      </c>
      <c r="N66" s="101">
        <v>68</v>
      </c>
      <c r="O66" s="101">
        <v>7</v>
      </c>
      <c r="P66" s="101">
        <v>0</v>
      </c>
      <c r="Q66" s="101">
        <v>58</v>
      </c>
      <c r="R66" s="101">
        <v>2</v>
      </c>
      <c r="S66" s="101">
        <v>0</v>
      </c>
      <c r="T66" s="101">
        <v>34</v>
      </c>
      <c r="U66" s="101">
        <v>6</v>
      </c>
      <c r="V66" s="101">
        <v>0</v>
      </c>
      <c r="W66" s="101">
        <v>35</v>
      </c>
      <c r="X66" s="101">
        <v>4</v>
      </c>
      <c r="Y66" s="102">
        <v>1</v>
      </c>
      <c r="AD66">
        <v>68</v>
      </c>
      <c r="AE66">
        <v>58</v>
      </c>
      <c r="AF66">
        <v>34</v>
      </c>
      <c r="AG66">
        <v>35</v>
      </c>
      <c r="AK66">
        <v>26</v>
      </c>
      <c r="AL66">
        <v>6</v>
      </c>
      <c r="AM66">
        <v>22</v>
      </c>
      <c r="AN66">
        <v>11</v>
      </c>
      <c r="AO66">
        <v>10</v>
      </c>
    </row>
  </sheetData>
  <autoFilter ref="A8:AT8" xr:uid="{00000000-0009-0000-0000-000000000000}"/>
  <mergeCells count="27">
    <mergeCell ref="B6:F6"/>
    <mergeCell ref="G6:M6"/>
    <mergeCell ref="N6:Y6"/>
    <mergeCell ref="B7:B8"/>
    <mergeCell ref="C7:C8"/>
    <mergeCell ref="B2:Y2"/>
    <mergeCell ref="E4:F4"/>
    <mergeCell ref="G4:H4"/>
    <mergeCell ref="O4:P4"/>
    <mergeCell ref="Q4:S4"/>
    <mergeCell ref="C4:D4"/>
    <mergeCell ref="M4:N4"/>
    <mergeCell ref="I4:J4"/>
    <mergeCell ref="D7:D8"/>
    <mergeCell ref="E7:E8"/>
    <mergeCell ref="F7:F8"/>
    <mergeCell ref="G7:G8"/>
    <mergeCell ref="H7:H8"/>
    <mergeCell ref="Q7:S7"/>
    <mergeCell ref="T7:V7"/>
    <mergeCell ref="W7:Y7"/>
    <mergeCell ref="I7:I8"/>
    <mergeCell ref="J7:J8"/>
    <mergeCell ref="K7:K8"/>
    <mergeCell ref="L7:L8"/>
    <mergeCell ref="M7:M8"/>
    <mergeCell ref="N7:P7"/>
  </mergeCells>
  <phoneticPr fontId="3" type="noConversion"/>
  <pageMargins left="0.19685039370078741" right="0.19685039370078741" top="0.39370078740157483" bottom="0.31496062992125984" header="0.31496062992125984" footer="0.27559055118110237"/>
  <pageSetup scale="68" fitToHeight="5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235F-D406-B945-99CF-E67930D899A0}">
  <sheetPr>
    <tabColor theme="3"/>
  </sheetPr>
  <dimension ref="A1:X59"/>
  <sheetViews>
    <sheetView tabSelected="1" workbookViewId="0">
      <selection activeCell="F1" sqref="F1"/>
    </sheetView>
  </sheetViews>
  <sheetFormatPr baseColWidth="10" defaultRowHeight="15"/>
  <cols>
    <col min="10" max="10" width="16.33203125" customWidth="1"/>
    <col min="11" max="11" width="25.33203125" customWidth="1"/>
    <col min="21" max="21" width="11.5" customWidth="1"/>
    <col min="22" max="22" width="11" customWidth="1"/>
    <col min="23" max="24" width="11.5" customWidth="1"/>
  </cols>
  <sheetData>
    <row r="1" spans="1:24" ht="42">
      <c r="A1" s="186" t="s">
        <v>263</v>
      </c>
      <c r="B1" s="187" t="s">
        <v>301</v>
      </c>
      <c r="C1" s="187" t="s">
        <v>302</v>
      </c>
      <c r="D1" s="188" t="s">
        <v>303</v>
      </c>
      <c r="E1" s="189" t="s">
        <v>304</v>
      </c>
      <c r="F1" s="190" t="s">
        <v>75</v>
      </c>
      <c r="G1" s="190" t="s">
        <v>305</v>
      </c>
      <c r="H1" s="190" t="s">
        <v>76</v>
      </c>
      <c r="I1" s="190" t="s">
        <v>77</v>
      </c>
      <c r="J1" s="190" t="s">
        <v>264</v>
      </c>
      <c r="K1" s="190" t="s">
        <v>306</v>
      </c>
      <c r="L1" s="190" t="s">
        <v>307</v>
      </c>
      <c r="M1" s="191" t="s">
        <v>800</v>
      </c>
      <c r="N1" s="191" t="s">
        <v>801</v>
      </c>
      <c r="O1" s="191" t="s">
        <v>802</v>
      </c>
      <c r="P1" s="190" t="s">
        <v>803</v>
      </c>
      <c r="Q1" s="190" t="s">
        <v>804</v>
      </c>
      <c r="R1" s="190" t="s">
        <v>805</v>
      </c>
      <c r="S1" s="190" t="s">
        <v>806</v>
      </c>
      <c r="T1" s="190" t="s">
        <v>807</v>
      </c>
      <c r="U1" s="190" t="s">
        <v>808</v>
      </c>
      <c r="V1" s="190" t="s">
        <v>809</v>
      </c>
      <c r="W1" s="190" t="s">
        <v>810</v>
      </c>
      <c r="X1" s="190" t="s">
        <v>811</v>
      </c>
    </row>
    <row r="2" spans="1:24">
      <c r="A2" s="67" t="s">
        <v>748</v>
      </c>
      <c r="B2" s="68" t="s">
        <v>680</v>
      </c>
      <c r="C2" s="68" t="s">
        <v>33</v>
      </c>
      <c r="D2" s="99" t="s">
        <v>637</v>
      </c>
      <c r="E2" s="68"/>
      <c r="F2" s="69">
        <v>35</v>
      </c>
      <c r="G2" s="70">
        <v>35</v>
      </c>
      <c r="H2" s="69">
        <v>31</v>
      </c>
      <c r="I2" s="70">
        <v>33</v>
      </c>
      <c r="J2" s="69">
        <v>34</v>
      </c>
      <c r="K2" s="70"/>
      <c r="L2" s="69">
        <v>99</v>
      </c>
      <c r="M2" s="70">
        <v>74</v>
      </c>
      <c r="N2" s="70">
        <v>1</v>
      </c>
      <c r="O2" s="70">
        <v>0</v>
      </c>
      <c r="P2" s="70">
        <v>58</v>
      </c>
      <c r="Q2" s="70">
        <v>2</v>
      </c>
      <c r="R2" s="70">
        <v>0</v>
      </c>
      <c r="S2" s="70">
        <v>36</v>
      </c>
      <c r="T2" s="70">
        <v>4</v>
      </c>
      <c r="U2" s="70">
        <v>0</v>
      </c>
      <c r="V2" s="70">
        <v>37</v>
      </c>
      <c r="W2" s="70">
        <v>3</v>
      </c>
      <c r="X2" s="71">
        <v>0</v>
      </c>
    </row>
    <row r="3" spans="1:24">
      <c r="A3" s="97" t="s">
        <v>724</v>
      </c>
      <c r="B3" s="98" t="s">
        <v>681</v>
      </c>
      <c r="C3" s="98" t="s">
        <v>33</v>
      </c>
      <c r="D3" s="99" t="s">
        <v>637</v>
      </c>
      <c r="E3" s="98"/>
      <c r="F3" s="100">
        <v>34</v>
      </c>
      <c r="G3" s="101">
        <v>30</v>
      </c>
      <c r="H3" s="100">
        <v>35</v>
      </c>
      <c r="I3" s="101">
        <v>30</v>
      </c>
      <c r="J3" s="100">
        <v>32</v>
      </c>
      <c r="K3" s="101"/>
      <c r="L3" s="100">
        <v>98</v>
      </c>
      <c r="M3" s="101">
        <v>71</v>
      </c>
      <c r="N3" s="101">
        <v>4</v>
      </c>
      <c r="O3" s="101">
        <v>0</v>
      </c>
      <c r="P3" s="101">
        <v>51</v>
      </c>
      <c r="Q3" s="101">
        <v>9</v>
      </c>
      <c r="R3" s="101">
        <v>0</v>
      </c>
      <c r="S3" s="101">
        <v>39</v>
      </c>
      <c r="T3" s="101">
        <v>1</v>
      </c>
      <c r="U3" s="101">
        <v>0</v>
      </c>
      <c r="V3" s="101">
        <v>35</v>
      </c>
      <c r="W3" s="101">
        <v>5</v>
      </c>
      <c r="X3" s="102">
        <v>0</v>
      </c>
    </row>
    <row r="4" spans="1:24">
      <c r="A4" s="97" t="s">
        <v>720</v>
      </c>
      <c r="B4" s="98" t="s">
        <v>682</v>
      </c>
      <c r="C4" s="98" t="s">
        <v>33</v>
      </c>
      <c r="D4" s="99" t="s">
        <v>637</v>
      </c>
      <c r="E4" s="98"/>
      <c r="F4" s="100">
        <v>34</v>
      </c>
      <c r="G4" s="101">
        <v>36</v>
      </c>
      <c r="H4" s="100">
        <v>32</v>
      </c>
      <c r="I4" s="101">
        <v>34</v>
      </c>
      <c r="J4" s="100">
        <v>34</v>
      </c>
      <c r="K4" s="101"/>
      <c r="L4" s="100">
        <v>99</v>
      </c>
      <c r="M4" s="101">
        <v>70</v>
      </c>
      <c r="N4" s="101">
        <v>5</v>
      </c>
      <c r="O4" s="101">
        <v>0</v>
      </c>
      <c r="P4" s="101">
        <v>59</v>
      </c>
      <c r="Q4" s="101">
        <v>1</v>
      </c>
      <c r="R4" s="101">
        <v>0</v>
      </c>
      <c r="S4" s="101">
        <v>37</v>
      </c>
      <c r="T4" s="101">
        <v>3</v>
      </c>
      <c r="U4" s="101">
        <v>0</v>
      </c>
      <c r="V4" s="101">
        <v>38</v>
      </c>
      <c r="W4" s="101">
        <v>2</v>
      </c>
      <c r="X4" s="102">
        <v>0</v>
      </c>
    </row>
    <row r="5" spans="1:24">
      <c r="A5" s="97" t="s">
        <v>699</v>
      </c>
      <c r="B5" s="98" t="s">
        <v>700</v>
      </c>
      <c r="C5" s="98" t="s">
        <v>33</v>
      </c>
      <c r="D5" s="99" t="s">
        <v>637</v>
      </c>
      <c r="E5" s="98"/>
      <c r="F5" s="100">
        <v>31</v>
      </c>
      <c r="G5" s="101">
        <v>31</v>
      </c>
      <c r="H5" s="100">
        <v>28</v>
      </c>
      <c r="I5" s="101">
        <v>25</v>
      </c>
      <c r="J5" s="100">
        <v>29</v>
      </c>
      <c r="K5" s="101"/>
      <c r="L5" s="100">
        <v>94</v>
      </c>
      <c r="M5" s="101">
        <v>67</v>
      </c>
      <c r="N5" s="101">
        <v>8</v>
      </c>
      <c r="O5" s="101">
        <v>0</v>
      </c>
      <c r="P5" s="101">
        <v>52</v>
      </c>
      <c r="Q5" s="101">
        <v>8</v>
      </c>
      <c r="R5" s="101">
        <v>0</v>
      </c>
      <c r="S5" s="101">
        <v>33</v>
      </c>
      <c r="T5" s="101">
        <v>7</v>
      </c>
      <c r="U5" s="101">
        <v>0</v>
      </c>
      <c r="V5" s="101">
        <v>29</v>
      </c>
      <c r="W5" s="101">
        <v>11</v>
      </c>
      <c r="X5" s="102">
        <v>0</v>
      </c>
    </row>
    <row r="6" spans="1:24">
      <c r="A6" s="97" t="s">
        <v>702</v>
      </c>
      <c r="B6" s="98" t="s">
        <v>703</v>
      </c>
      <c r="C6" s="98" t="s">
        <v>33</v>
      </c>
      <c r="D6" s="99" t="s">
        <v>637</v>
      </c>
      <c r="E6" s="98"/>
      <c r="F6" s="100">
        <v>24</v>
      </c>
      <c r="G6" s="101">
        <v>35</v>
      </c>
      <c r="H6" s="100">
        <v>24</v>
      </c>
      <c r="I6" s="101">
        <v>28</v>
      </c>
      <c r="J6" s="100">
        <v>28</v>
      </c>
      <c r="K6" s="101"/>
      <c r="L6" s="100">
        <v>91</v>
      </c>
      <c r="M6" s="101">
        <v>55</v>
      </c>
      <c r="N6" s="101">
        <v>20</v>
      </c>
      <c r="O6" s="101">
        <v>0</v>
      </c>
      <c r="P6" s="101">
        <v>57</v>
      </c>
      <c r="Q6" s="101">
        <v>3</v>
      </c>
      <c r="R6" s="101">
        <v>0</v>
      </c>
      <c r="S6" s="101">
        <v>28</v>
      </c>
      <c r="T6" s="101">
        <v>12</v>
      </c>
      <c r="U6" s="101">
        <v>0</v>
      </c>
      <c r="V6" s="101">
        <v>33</v>
      </c>
      <c r="W6" s="101">
        <v>6</v>
      </c>
      <c r="X6" s="102">
        <v>1</v>
      </c>
    </row>
    <row r="7" spans="1:24">
      <c r="A7" s="97" t="s">
        <v>710</v>
      </c>
      <c r="B7" s="98" t="s">
        <v>683</v>
      </c>
      <c r="C7" s="98" t="s">
        <v>33</v>
      </c>
      <c r="D7" s="99" t="s">
        <v>637</v>
      </c>
      <c r="E7" s="98"/>
      <c r="F7" s="100">
        <v>34</v>
      </c>
      <c r="G7" s="101">
        <v>35</v>
      </c>
      <c r="H7" s="100">
        <v>33</v>
      </c>
      <c r="I7" s="101">
        <v>34</v>
      </c>
      <c r="J7" s="100">
        <v>34</v>
      </c>
      <c r="K7" s="101"/>
      <c r="L7" s="100">
        <v>99</v>
      </c>
      <c r="M7" s="101">
        <v>71</v>
      </c>
      <c r="N7" s="101">
        <v>4</v>
      </c>
      <c r="O7" s="101">
        <v>0</v>
      </c>
      <c r="P7" s="101">
        <v>57</v>
      </c>
      <c r="Q7" s="101">
        <v>3</v>
      </c>
      <c r="R7" s="101">
        <v>0</v>
      </c>
      <c r="S7" s="101">
        <v>38</v>
      </c>
      <c r="T7" s="101">
        <v>2</v>
      </c>
      <c r="U7" s="101">
        <v>0</v>
      </c>
      <c r="V7" s="101">
        <v>38</v>
      </c>
      <c r="W7" s="101">
        <v>2</v>
      </c>
      <c r="X7" s="102">
        <v>0</v>
      </c>
    </row>
    <row r="8" spans="1:24">
      <c r="A8" s="97" t="s">
        <v>744</v>
      </c>
      <c r="B8" s="98" t="s">
        <v>684</v>
      </c>
      <c r="C8" s="98" t="s">
        <v>33</v>
      </c>
      <c r="D8" s="99" t="s">
        <v>637</v>
      </c>
      <c r="E8" s="98"/>
      <c r="F8" s="100">
        <v>32</v>
      </c>
      <c r="G8" s="101">
        <v>35</v>
      </c>
      <c r="H8" s="100">
        <v>27</v>
      </c>
      <c r="I8" s="101">
        <v>30</v>
      </c>
      <c r="J8" s="100">
        <v>31</v>
      </c>
      <c r="K8" s="101"/>
      <c r="L8" s="100">
        <v>97</v>
      </c>
      <c r="M8" s="101">
        <v>68</v>
      </c>
      <c r="N8" s="101">
        <v>7</v>
      </c>
      <c r="O8" s="101">
        <v>0</v>
      </c>
      <c r="P8" s="101">
        <v>58</v>
      </c>
      <c r="Q8" s="101">
        <v>2</v>
      </c>
      <c r="R8" s="101">
        <v>0</v>
      </c>
      <c r="S8" s="101">
        <v>31</v>
      </c>
      <c r="T8" s="101">
        <v>9</v>
      </c>
      <c r="U8" s="101">
        <v>0</v>
      </c>
      <c r="V8" s="101">
        <v>35</v>
      </c>
      <c r="W8" s="101">
        <v>5</v>
      </c>
      <c r="X8" s="102">
        <v>0</v>
      </c>
    </row>
    <row r="9" spans="1:24">
      <c r="A9" s="97" t="s">
        <v>738</v>
      </c>
      <c r="B9" s="98" t="s">
        <v>685</v>
      </c>
      <c r="C9" s="98" t="s">
        <v>33</v>
      </c>
      <c r="D9" s="99" t="s">
        <v>637</v>
      </c>
      <c r="E9" s="98"/>
      <c r="F9" s="100">
        <v>34</v>
      </c>
      <c r="G9" s="101">
        <v>32</v>
      </c>
      <c r="H9" s="100">
        <v>28</v>
      </c>
      <c r="I9" s="101">
        <v>34</v>
      </c>
      <c r="J9" s="100">
        <v>32</v>
      </c>
      <c r="K9" s="101"/>
      <c r="L9" s="100">
        <v>98</v>
      </c>
      <c r="M9" s="101">
        <v>71</v>
      </c>
      <c r="N9" s="101">
        <v>4</v>
      </c>
      <c r="O9" s="101">
        <v>0</v>
      </c>
      <c r="P9" s="101">
        <v>53</v>
      </c>
      <c r="Q9" s="101">
        <v>7</v>
      </c>
      <c r="R9" s="101">
        <v>0</v>
      </c>
      <c r="S9" s="101">
        <v>33</v>
      </c>
      <c r="T9" s="101">
        <v>7</v>
      </c>
      <c r="U9" s="101">
        <v>0</v>
      </c>
      <c r="V9" s="101">
        <v>38</v>
      </c>
      <c r="W9" s="101">
        <v>2</v>
      </c>
      <c r="X9" s="102">
        <v>0</v>
      </c>
    </row>
    <row r="10" spans="1:24">
      <c r="A10" s="97" t="s">
        <v>733</v>
      </c>
      <c r="B10" s="98" t="s">
        <v>689</v>
      </c>
      <c r="C10" s="98" t="s">
        <v>33</v>
      </c>
      <c r="D10" s="99" t="s">
        <v>637</v>
      </c>
      <c r="E10" s="98"/>
      <c r="F10" s="100">
        <v>33</v>
      </c>
      <c r="G10" s="101">
        <v>33</v>
      </c>
      <c r="H10" s="100">
        <v>32</v>
      </c>
      <c r="I10" s="101">
        <v>31</v>
      </c>
      <c r="J10" s="100">
        <v>32</v>
      </c>
      <c r="K10" s="101"/>
      <c r="L10" s="100">
        <v>98</v>
      </c>
      <c r="M10" s="101">
        <v>69</v>
      </c>
      <c r="N10" s="101">
        <v>6</v>
      </c>
      <c r="O10" s="101">
        <v>0</v>
      </c>
      <c r="P10" s="101">
        <v>54</v>
      </c>
      <c r="Q10" s="101">
        <v>6</v>
      </c>
      <c r="R10" s="101">
        <v>0</v>
      </c>
      <c r="S10" s="101">
        <v>37</v>
      </c>
      <c r="T10" s="101">
        <v>3</v>
      </c>
      <c r="U10" s="101">
        <v>0</v>
      </c>
      <c r="V10" s="101">
        <v>36</v>
      </c>
      <c r="W10" s="101">
        <v>4</v>
      </c>
      <c r="X10" s="102">
        <v>0</v>
      </c>
    </row>
    <row r="11" spans="1:24">
      <c r="A11" s="97" t="s">
        <v>740</v>
      </c>
      <c r="B11" s="98" t="s">
        <v>686</v>
      </c>
      <c r="C11" s="98" t="s">
        <v>33</v>
      </c>
      <c r="D11" s="99" t="s">
        <v>637</v>
      </c>
      <c r="E11" s="98"/>
      <c r="F11" s="100">
        <v>24</v>
      </c>
      <c r="G11" s="101">
        <v>25</v>
      </c>
      <c r="H11" s="100">
        <v>19</v>
      </c>
      <c r="I11" s="101">
        <v>24</v>
      </c>
      <c r="J11" s="100">
        <v>23</v>
      </c>
      <c r="K11" s="101"/>
      <c r="L11" s="100">
        <v>69</v>
      </c>
      <c r="M11" s="101">
        <v>53</v>
      </c>
      <c r="N11" s="101">
        <v>22</v>
      </c>
      <c r="O11" s="101">
        <v>0</v>
      </c>
      <c r="P11" s="101">
        <v>41</v>
      </c>
      <c r="Q11" s="101">
        <v>18</v>
      </c>
      <c r="R11" s="101">
        <v>1</v>
      </c>
      <c r="S11" s="101">
        <v>21</v>
      </c>
      <c r="T11" s="101">
        <v>19</v>
      </c>
      <c r="U11" s="101">
        <v>0</v>
      </c>
      <c r="V11" s="101">
        <v>27</v>
      </c>
      <c r="W11" s="101">
        <v>13</v>
      </c>
      <c r="X11" s="102">
        <v>0</v>
      </c>
    </row>
    <row r="12" spans="1:24">
      <c r="A12" s="97" t="s">
        <v>691</v>
      </c>
      <c r="B12" s="98" t="s">
        <v>687</v>
      </c>
      <c r="C12" s="98" t="s">
        <v>33</v>
      </c>
      <c r="D12" s="99" t="s">
        <v>637</v>
      </c>
      <c r="E12" s="98"/>
      <c r="F12" s="100">
        <v>24</v>
      </c>
      <c r="G12" s="101">
        <v>23</v>
      </c>
      <c r="H12" s="100">
        <v>23</v>
      </c>
      <c r="I12" s="101">
        <v>24</v>
      </c>
      <c r="J12" s="100">
        <v>24</v>
      </c>
      <c r="K12" s="101"/>
      <c r="L12" s="100">
        <v>74</v>
      </c>
      <c r="M12" s="101">
        <v>54</v>
      </c>
      <c r="N12" s="101">
        <v>21</v>
      </c>
      <c r="O12" s="101">
        <v>0</v>
      </c>
      <c r="P12" s="101">
        <v>35</v>
      </c>
      <c r="Q12" s="101">
        <v>25</v>
      </c>
      <c r="R12" s="101">
        <v>0</v>
      </c>
      <c r="S12" s="101">
        <v>26</v>
      </c>
      <c r="T12" s="101">
        <v>14</v>
      </c>
      <c r="U12" s="101">
        <v>0</v>
      </c>
      <c r="V12" s="101">
        <v>27</v>
      </c>
      <c r="W12" s="101">
        <v>13</v>
      </c>
      <c r="X12" s="102">
        <v>0</v>
      </c>
    </row>
    <row r="13" spans="1:24">
      <c r="A13" s="97" t="s">
        <v>729</v>
      </c>
      <c r="B13" s="98" t="s">
        <v>688</v>
      </c>
      <c r="C13" s="98" t="s">
        <v>33</v>
      </c>
      <c r="D13" s="99" t="s">
        <v>637</v>
      </c>
      <c r="E13" s="98"/>
      <c r="F13" s="100">
        <v>22</v>
      </c>
      <c r="G13" s="101">
        <v>35</v>
      </c>
      <c r="H13" s="100">
        <v>15</v>
      </c>
      <c r="I13" s="101">
        <v>25</v>
      </c>
      <c r="J13" s="100">
        <v>24</v>
      </c>
      <c r="K13" s="101"/>
      <c r="L13" s="100">
        <v>74</v>
      </c>
      <c r="M13" s="101">
        <v>48</v>
      </c>
      <c r="N13" s="101">
        <v>27</v>
      </c>
      <c r="O13" s="101">
        <v>0</v>
      </c>
      <c r="P13" s="101">
        <v>57</v>
      </c>
      <c r="Q13" s="101">
        <v>3</v>
      </c>
      <c r="R13" s="101">
        <v>0</v>
      </c>
      <c r="S13" s="101">
        <v>16</v>
      </c>
      <c r="T13" s="101">
        <v>24</v>
      </c>
      <c r="U13" s="101">
        <v>0</v>
      </c>
      <c r="V13" s="101">
        <v>29</v>
      </c>
      <c r="W13" s="101">
        <v>11</v>
      </c>
      <c r="X13" s="102">
        <v>0</v>
      </c>
    </row>
    <row r="14" spans="1:24">
      <c r="A14" s="97" t="s">
        <v>557</v>
      </c>
      <c r="B14" s="98" t="s">
        <v>513</v>
      </c>
      <c r="C14" s="98" t="s">
        <v>33</v>
      </c>
      <c r="D14" s="99" t="s">
        <v>637</v>
      </c>
      <c r="E14" s="98"/>
      <c r="F14" s="100">
        <v>34</v>
      </c>
      <c r="G14" s="101">
        <v>33</v>
      </c>
      <c r="H14" s="100">
        <v>27</v>
      </c>
      <c r="I14" s="101">
        <v>28</v>
      </c>
      <c r="J14" s="100">
        <v>30</v>
      </c>
      <c r="K14" s="101"/>
      <c r="L14" s="100">
        <v>96</v>
      </c>
      <c r="M14" s="101">
        <v>70</v>
      </c>
      <c r="N14" s="101">
        <v>5</v>
      </c>
      <c r="O14" s="101">
        <v>0</v>
      </c>
      <c r="P14" s="101">
        <v>55</v>
      </c>
      <c r="Q14" s="101">
        <v>5</v>
      </c>
      <c r="R14" s="101">
        <v>0</v>
      </c>
      <c r="S14" s="101">
        <v>31</v>
      </c>
      <c r="T14" s="101">
        <v>9</v>
      </c>
      <c r="U14" s="101">
        <v>0</v>
      </c>
      <c r="V14" s="101">
        <v>33</v>
      </c>
      <c r="W14" s="101">
        <v>7</v>
      </c>
      <c r="X14" s="102">
        <v>0</v>
      </c>
    </row>
    <row r="15" spans="1:24">
      <c r="A15" s="97" t="s">
        <v>553</v>
      </c>
      <c r="B15" s="98" t="s">
        <v>510</v>
      </c>
      <c r="C15" s="98" t="s">
        <v>33</v>
      </c>
      <c r="D15" s="99" t="s">
        <v>637</v>
      </c>
      <c r="E15" s="98"/>
      <c r="F15" s="100">
        <v>22</v>
      </c>
      <c r="G15" s="101">
        <v>16</v>
      </c>
      <c r="H15" s="100">
        <v>20</v>
      </c>
      <c r="I15" s="101">
        <v>19</v>
      </c>
      <c r="J15" s="100">
        <v>19</v>
      </c>
      <c r="K15" s="101"/>
      <c r="L15" s="100">
        <v>41</v>
      </c>
      <c r="M15" s="101">
        <v>50</v>
      </c>
      <c r="N15" s="101">
        <v>25</v>
      </c>
      <c r="O15" s="101">
        <v>0</v>
      </c>
      <c r="P15" s="101">
        <v>19</v>
      </c>
      <c r="Q15" s="101">
        <v>40</v>
      </c>
      <c r="R15" s="101">
        <v>1</v>
      </c>
      <c r="S15" s="101">
        <v>22</v>
      </c>
      <c r="T15" s="101">
        <v>18</v>
      </c>
      <c r="U15" s="101">
        <v>0</v>
      </c>
      <c r="V15" s="101">
        <v>18</v>
      </c>
      <c r="W15" s="101">
        <v>22</v>
      </c>
      <c r="X15" s="102">
        <v>0</v>
      </c>
    </row>
    <row r="16" spans="1:24">
      <c r="A16" s="97" t="s">
        <v>561</v>
      </c>
      <c r="B16" s="98" t="s">
        <v>511</v>
      </c>
      <c r="C16" s="98" t="s">
        <v>33</v>
      </c>
      <c r="D16" s="99" t="s">
        <v>637</v>
      </c>
      <c r="E16" s="98"/>
      <c r="F16" s="100">
        <v>35</v>
      </c>
      <c r="G16" s="101">
        <v>35</v>
      </c>
      <c r="H16" s="100">
        <v>28</v>
      </c>
      <c r="I16" s="101">
        <v>26</v>
      </c>
      <c r="J16" s="100">
        <v>31</v>
      </c>
      <c r="K16" s="101"/>
      <c r="L16" s="100">
        <v>97</v>
      </c>
      <c r="M16" s="101">
        <v>74</v>
      </c>
      <c r="N16" s="101">
        <v>1</v>
      </c>
      <c r="O16" s="101">
        <v>0</v>
      </c>
      <c r="P16" s="101">
        <v>57</v>
      </c>
      <c r="Q16" s="101">
        <v>2</v>
      </c>
      <c r="R16" s="101">
        <v>1</v>
      </c>
      <c r="S16" s="101">
        <v>33</v>
      </c>
      <c r="T16" s="101">
        <v>7</v>
      </c>
      <c r="U16" s="101">
        <v>0</v>
      </c>
      <c r="V16" s="101">
        <v>30</v>
      </c>
      <c r="W16" s="101">
        <v>9</v>
      </c>
      <c r="X16" s="102">
        <v>1</v>
      </c>
    </row>
    <row r="17" spans="1:24">
      <c r="A17" s="97" t="s">
        <v>656</v>
      </c>
      <c r="B17" s="98" t="s">
        <v>620</v>
      </c>
      <c r="C17" s="98" t="s">
        <v>33</v>
      </c>
      <c r="D17" s="99" t="s">
        <v>637</v>
      </c>
      <c r="E17" s="98"/>
      <c r="F17" s="100">
        <v>34</v>
      </c>
      <c r="G17" s="101">
        <v>35</v>
      </c>
      <c r="H17" s="100">
        <v>29</v>
      </c>
      <c r="I17" s="101">
        <v>27</v>
      </c>
      <c r="J17" s="100">
        <v>31</v>
      </c>
      <c r="K17" s="101"/>
      <c r="L17" s="100">
        <v>97</v>
      </c>
      <c r="M17" s="101">
        <v>71</v>
      </c>
      <c r="N17" s="101">
        <v>4</v>
      </c>
      <c r="O17" s="101">
        <v>0</v>
      </c>
      <c r="P17" s="101">
        <v>58</v>
      </c>
      <c r="Q17" s="101">
        <v>2</v>
      </c>
      <c r="R17" s="101">
        <v>0</v>
      </c>
      <c r="S17" s="101">
        <v>34</v>
      </c>
      <c r="T17" s="101">
        <v>6</v>
      </c>
      <c r="U17" s="101">
        <v>0</v>
      </c>
      <c r="V17" s="101">
        <v>32</v>
      </c>
      <c r="W17" s="101">
        <v>6</v>
      </c>
      <c r="X17" s="102">
        <v>2</v>
      </c>
    </row>
    <row r="18" spans="1:24">
      <c r="A18" s="97" t="s">
        <v>611</v>
      </c>
      <c r="B18" s="98" t="s">
        <v>571</v>
      </c>
      <c r="C18" s="98" t="s">
        <v>33</v>
      </c>
      <c r="D18" s="99" t="s">
        <v>637</v>
      </c>
      <c r="E18" s="98"/>
      <c r="F18" s="100">
        <v>32</v>
      </c>
      <c r="G18" s="101">
        <v>34</v>
      </c>
      <c r="H18" s="100">
        <v>25</v>
      </c>
      <c r="I18" s="101">
        <v>29</v>
      </c>
      <c r="J18" s="100">
        <v>30</v>
      </c>
      <c r="K18" s="101"/>
      <c r="L18" s="100">
        <v>96</v>
      </c>
      <c r="M18" s="101">
        <v>68</v>
      </c>
      <c r="N18" s="101">
        <v>7</v>
      </c>
      <c r="O18" s="101">
        <v>0</v>
      </c>
      <c r="P18" s="101">
        <v>56</v>
      </c>
      <c r="Q18" s="101">
        <v>4</v>
      </c>
      <c r="R18" s="101">
        <v>0</v>
      </c>
      <c r="S18" s="101">
        <v>29</v>
      </c>
      <c r="T18" s="101">
        <v>11</v>
      </c>
      <c r="U18" s="101">
        <v>0</v>
      </c>
      <c r="V18" s="101">
        <v>34</v>
      </c>
      <c r="W18" s="101">
        <v>6</v>
      </c>
      <c r="X18" s="102">
        <v>0</v>
      </c>
    </row>
    <row r="19" spans="1:24">
      <c r="A19" s="97" t="s">
        <v>605</v>
      </c>
      <c r="B19" s="98" t="s">
        <v>644</v>
      </c>
      <c r="C19" s="98" t="s">
        <v>33</v>
      </c>
      <c r="D19" s="99" t="s">
        <v>637</v>
      </c>
      <c r="E19" s="98"/>
      <c r="F19" s="100">
        <v>19</v>
      </c>
      <c r="G19" s="101">
        <v>28</v>
      </c>
      <c r="H19" s="100">
        <v>23</v>
      </c>
      <c r="I19" s="101">
        <v>22</v>
      </c>
      <c r="J19" s="100">
        <v>23</v>
      </c>
      <c r="K19" s="101"/>
      <c r="L19" s="100">
        <v>69</v>
      </c>
      <c r="M19" s="101">
        <v>40</v>
      </c>
      <c r="N19" s="101">
        <v>20</v>
      </c>
      <c r="O19" s="101">
        <v>15</v>
      </c>
      <c r="P19" s="101">
        <v>46</v>
      </c>
      <c r="Q19" s="101">
        <v>14</v>
      </c>
      <c r="R19" s="101">
        <v>0</v>
      </c>
      <c r="S19" s="101">
        <v>27</v>
      </c>
      <c r="T19" s="101">
        <v>13</v>
      </c>
      <c r="U19" s="101">
        <v>0</v>
      </c>
      <c r="V19" s="101">
        <v>24</v>
      </c>
      <c r="W19" s="101">
        <v>12</v>
      </c>
      <c r="X19" s="102">
        <v>4</v>
      </c>
    </row>
    <row r="20" spans="1:24">
      <c r="A20" s="97" t="s">
        <v>605</v>
      </c>
      <c r="B20" s="98" t="s">
        <v>581</v>
      </c>
      <c r="C20" s="98" t="s">
        <v>33</v>
      </c>
      <c r="D20" s="99" t="s">
        <v>637</v>
      </c>
      <c r="E20" s="98"/>
      <c r="F20" s="100">
        <v>31</v>
      </c>
      <c r="G20" s="101">
        <v>35</v>
      </c>
      <c r="H20" s="100">
        <v>23</v>
      </c>
      <c r="I20" s="101">
        <v>28</v>
      </c>
      <c r="J20" s="100">
        <v>29</v>
      </c>
      <c r="K20" s="101"/>
      <c r="L20" s="100">
        <v>94</v>
      </c>
      <c r="M20" s="101">
        <v>67</v>
      </c>
      <c r="N20" s="101">
        <v>8</v>
      </c>
      <c r="O20" s="101">
        <v>0</v>
      </c>
      <c r="P20" s="101">
        <v>58</v>
      </c>
      <c r="Q20" s="101">
        <v>2</v>
      </c>
      <c r="R20" s="101">
        <v>0</v>
      </c>
      <c r="S20" s="101">
        <v>27</v>
      </c>
      <c r="T20" s="101">
        <v>12</v>
      </c>
      <c r="U20" s="101">
        <v>1</v>
      </c>
      <c r="V20" s="101">
        <v>33</v>
      </c>
      <c r="W20" s="101">
        <v>6</v>
      </c>
      <c r="X20" s="102">
        <v>1</v>
      </c>
    </row>
    <row r="21" spans="1:24">
      <c r="A21" s="97" t="s">
        <v>652</v>
      </c>
      <c r="B21" s="98" t="s">
        <v>645</v>
      </c>
      <c r="C21" s="98" t="s">
        <v>33</v>
      </c>
      <c r="D21" s="99" t="s">
        <v>637</v>
      </c>
      <c r="E21" s="98"/>
      <c r="F21" s="100">
        <v>22</v>
      </c>
      <c r="G21" s="101">
        <v>27</v>
      </c>
      <c r="H21" s="100">
        <v>21</v>
      </c>
      <c r="I21" s="101">
        <v>20</v>
      </c>
      <c r="J21" s="100">
        <v>22</v>
      </c>
      <c r="K21" s="101"/>
      <c r="L21" s="100">
        <v>62</v>
      </c>
      <c r="M21" s="101">
        <v>50</v>
      </c>
      <c r="N21" s="101">
        <v>24</v>
      </c>
      <c r="O21" s="101">
        <v>1</v>
      </c>
      <c r="P21" s="101">
        <v>45</v>
      </c>
      <c r="Q21" s="101">
        <v>15</v>
      </c>
      <c r="R21" s="101">
        <v>0</v>
      </c>
      <c r="S21" s="101">
        <v>24</v>
      </c>
      <c r="T21" s="101">
        <v>16</v>
      </c>
      <c r="U21" s="101">
        <v>0</v>
      </c>
      <c r="V21" s="101">
        <v>21</v>
      </c>
      <c r="W21" s="101">
        <v>19</v>
      </c>
      <c r="X21" s="102">
        <v>0</v>
      </c>
    </row>
    <row r="22" spans="1:24">
      <c r="A22" s="97" t="s">
        <v>541</v>
      </c>
      <c r="B22" s="98" t="s">
        <v>505</v>
      </c>
      <c r="C22" s="98" t="s">
        <v>33</v>
      </c>
      <c r="D22" s="99" t="s">
        <v>637</v>
      </c>
      <c r="E22" s="98"/>
      <c r="F22" s="100">
        <v>31</v>
      </c>
      <c r="G22" s="101">
        <v>27</v>
      </c>
      <c r="H22" s="100">
        <v>32</v>
      </c>
      <c r="I22" s="101">
        <v>30</v>
      </c>
      <c r="J22" s="100">
        <v>30</v>
      </c>
      <c r="K22" s="101"/>
      <c r="L22" s="100">
        <v>96</v>
      </c>
      <c r="M22" s="101">
        <v>67</v>
      </c>
      <c r="N22" s="101">
        <v>8</v>
      </c>
      <c r="O22" s="101">
        <v>0</v>
      </c>
      <c r="P22" s="101">
        <v>44</v>
      </c>
      <c r="Q22" s="101">
        <v>13</v>
      </c>
      <c r="R22" s="101">
        <v>3</v>
      </c>
      <c r="S22" s="101">
        <v>37</v>
      </c>
      <c r="T22" s="101">
        <v>2</v>
      </c>
      <c r="U22" s="101">
        <v>1</v>
      </c>
      <c r="V22" s="101">
        <v>35</v>
      </c>
      <c r="W22" s="101">
        <v>5</v>
      </c>
      <c r="X22" s="102">
        <v>0</v>
      </c>
    </row>
    <row r="23" spans="1:24">
      <c r="A23" s="97" t="s">
        <v>555</v>
      </c>
      <c r="B23" s="98" t="s">
        <v>504</v>
      </c>
      <c r="C23" s="98" t="s">
        <v>33</v>
      </c>
      <c r="D23" s="99" t="s">
        <v>637</v>
      </c>
      <c r="E23" s="98"/>
      <c r="F23" s="100">
        <v>32</v>
      </c>
      <c r="G23" s="101">
        <v>36</v>
      </c>
      <c r="H23" s="100">
        <v>31</v>
      </c>
      <c r="I23" s="101">
        <v>26</v>
      </c>
      <c r="J23" s="100">
        <v>31</v>
      </c>
      <c r="K23" s="101"/>
      <c r="L23" s="100">
        <v>97</v>
      </c>
      <c r="M23" s="101">
        <v>68</v>
      </c>
      <c r="N23" s="101">
        <v>7</v>
      </c>
      <c r="O23" s="101">
        <v>0</v>
      </c>
      <c r="P23" s="101">
        <v>59</v>
      </c>
      <c r="Q23" s="101">
        <v>1</v>
      </c>
      <c r="R23" s="101">
        <v>0</v>
      </c>
      <c r="S23" s="101">
        <v>36</v>
      </c>
      <c r="T23" s="101">
        <v>4</v>
      </c>
      <c r="U23" s="101">
        <v>0</v>
      </c>
      <c r="V23" s="101">
        <v>31</v>
      </c>
      <c r="W23" s="101">
        <v>9</v>
      </c>
      <c r="X23" s="102">
        <v>0</v>
      </c>
    </row>
    <row r="24" spans="1:24">
      <c r="A24" s="97" t="s">
        <v>539</v>
      </c>
      <c r="B24" s="98" t="s">
        <v>530</v>
      </c>
      <c r="C24" s="98" t="s">
        <v>33</v>
      </c>
      <c r="D24" s="99" t="s">
        <v>637</v>
      </c>
      <c r="E24" s="98"/>
      <c r="F24" s="100">
        <v>29</v>
      </c>
      <c r="G24" s="101">
        <v>35</v>
      </c>
      <c r="H24" s="100">
        <v>35</v>
      </c>
      <c r="I24" s="101">
        <v>33</v>
      </c>
      <c r="J24" s="100">
        <v>33</v>
      </c>
      <c r="K24" s="101"/>
      <c r="L24" s="100">
        <v>99</v>
      </c>
      <c r="M24" s="101">
        <v>64</v>
      </c>
      <c r="N24" s="101">
        <v>11</v>
      </c>
      <c r="O24" s="101">
        <v>0</v>
      </c>
      <c r="P24" s="101">
        <v>57</v>
      </c>
      <c r="Q24" s="101">
        <v>2</v>
      </c>
      <c r="R24" s="101">
        <v>1</v>
      </c>
      <c r="S24" s="101">
        <v>39</v>
      </c>
      <c r="T24" s="101">
        <v>1</v>
      </c>
      <c r="U24" s="101">
        <v>0</v>
      </c>
      <c r="V24" s="101">
        <v>37</v>
      </c>
      <c r="W24" s="101">
        <v>3</v>
      </c>
      <c r="X24" s="102">
        <v>0</v>
      </c>
    </row>
    <row r="25" spans="1:24">
      <c r="A25" s="97" t="s">
        <v>658</v>
      </c>
      <c r="B25" s="98" t="s">
        <v>635</v>
      </c>
      <c r="C25" s="98" t="s">
        <v>33</v>
      </c>
      <c r="D25" s="99" t="s">
        <v>637</v>
      </c>
      <c r="E25" s="98"/>
      <c r="F25" s="100">
        <v>33</v>
      </c>
      <c r="G25" s="101">
        <v>36</v>
      </c>
      <c r="H25" s="100">
        <v>32</v>
      </c>
      <c r="I25" s="101">
        <v>34</v>
      </c>
      <c r="J25" s="100">
        <v>34</v>
      </c>
      <c r="K25" s="101"/>
      <c r="L25" s="100">
        <v>99</v>
      </c>
      <c r="M25" s="101">
        <v>69</v>
      </c>
      <c r="N25" s="101">
        <v>6</v>
      </c>
      <c r="O25" s="101">
        <v>0</v>
      </c>
      <c r="P25" s="101">
        <v>60</v>
      </c>
      <c r="Q25" s="101">
        <v>0</v>
      </c>
      <c r="R25" s="101">
        <v>0</v>
      </c>
      <c r="S25" s="101">
        <v>37</v>
      </c>
      <c r="T25" s="101">
        <v>3</v>
      </c>
      <c r="U25" s="101">
        <v>0</v>
      </c>
      <c r="V25" s="101">
        <v>38</v>
      </c>
      <c r="W25" s="101">
        <v>2</v>
      </c>
      <c r="X25" s="102">
        <v>0</v>
      </c>
    </row>
    <row r="26" spans="1:24">
      <c r="A26" s="97" t="s">
        <v>495</v>
      </c>
      <c r="B26" s="98" t="s">
        <v>493</v>
      </c>
      <c r="C26" s="98" t="s">
        <v>33</v>
      </c>
      <c r="D26" s="99" t="s">
        <v>637</v>
      </c>
      <c r="E26" s="98"/>
      <c r="F26" s="100">
        <v>24</v>
      </c>
      <c r="G26" s="101">
        <v>35</v>
      </c>
      <c r="H26" s="100">
        <v>9</v>
      </c>
      <c r="I26" s="101">
        <v>25</v>
      </c>
      <c r="J26" s="100">
        <v>23</v>
      </c>
      <c r="K26" s="101"/>
      <c r="L26" s="100">
        <v>69</v>
      </c>
      <c r="M26" s="101">
        <v>54</v>
      </c>
      <c r="N26" s="101">
        <v>19</v>
      </c>
      <c r="O26" s="101">
        <v>2</v>
      </c>
      <c r="P26" s="101">
        <v>58</v>
      </c>
      <c r="Q26" s="101">
        <v>2</v>
      </c>
      <c r="R26" s="101">
        <v>0</v>
      </c>
      <c r="S26" s="101">
        <v>7</v>
      </c>
      <c r="T26" s="101">
        <v>33</v>
      </c>
      <c r="U26" s="101">
        <v>0</v>
      </c>
      <c r="V26" s="101">
        <v>28</v>
      </c>
      <c r="W26" s="101">
        <v>12</v>
      </c>
      <c r="X26" s="102">
        <v>0</v>
      </c>
    </row>
    <row r="27" spans="1:24">
      <c r="A27" s="97" t="s">
        <v>559</v>
      </c>
      <c r="B27" s="98" t="s">
        <v>509</v>
      </c>
      <c r="C27" s="98" t="s">
        <v>33</v>
      </c>
      <c r="D27" s="99" t="s">
        <v>637</v>
      </c>
      <c r="E27" s="98"/>
      <c r="F27" s="100">
        <v>30</v>
      </c>
      <c r="G27" s="101">
        <v>30</v>
      </c>
      <c r="H27" s="100">
        <v>29</v>
      </c>
      <c r="I27" s="101">
        <v>30</v>
      </c>
      <c r="J27" s="100">
        <v>30</v>
      </c>
      <c r="K27" s="101"/>
      <c r="L27" s="100">
        <v>96</v>
      </c>
      <c r="M27" s="101">
        <v>66</v>
      </c>
      <c r="N27" s="101">
        <v>9</v>
      </c>
      <c r="O27" s="101">
        <v>0</v>
      </c>
      <c r="P27" s="101">
        <v>50</v>
      </c>
      <c r="Q27" s="101">
        <v>9</v>
      </c>
      <c r="R27" s="101">
        <v>1</v>
      </c>
      <c r="S27" s="101">
        <v>34</v>
      </c>
      <c r="T27" s="101">
        <v>6</v>
      </c>
      <c r="U27" s="101">
        <v>0</v>
      </c>
      <c r="V27" s="101">
        <v>35</v>
      </c>
      <c r="W27" s="101">
        <v>5</v>
      </c>
      <c r="X27" s="102">
        <v>0</v>
      </c>
    </row>
    <row r="28" spans="1:24">
      <c r="A28" s="97" t="s">
        <v>609</v>
      </c>
      <c r="B28" s="98" t="s">
        <v>574</v>
      </c>
      <c r="C28" s="98" t="s">
        <v>33</v>
      </c>
      <c r="D28" s="99" t="s">
        <v>637</v>
      </c>
      <c r="E28" s="98"/>
      <c r="F28" s="100">
        <v>33</v>
      </c>
      <c r="G28" s="101">
        <v>35</v>
      </c>
      <c r="H28" s="100">
        <v>28</v>
      </c>
      <c r="I28" s="101">
        <v>26</v>
      </c>
      <c r="J28" s="100">
        <v>30</v>
      </c>
      <c r="K28" s="101"/>
      <c r="L28" s="100">
        <v>96</v>
      </c>
      <c r="M28" s="101">
        <v>69</v>
      </c>
      <c r="N28" s="101">
        <v>6</v>
      </c>
      <c r="O28" s="101">
        <v>0</v>
      </c>
      <c r="P28" s="101">
        <v>58</v>
      </c>
      <c r="Q28" s="101">
        <v>2</v>
      </c>
      <c r="R28" s="101">
        <v>0</v>
      </c>
      <c r="S28" s="101">
        <v>32</v>
      </c>
      <c r="T28" s="101">
        <v>8</v>
      </c>
      <c r="U28" s="101">
        <v>0</v>
      </c>
      <c r="V28" s="101">
        <v>31</v>
      </c>
      <c r="W28" s="101">
        <v>9</v>
      </c>
      <c r="X28" s="102">
        <v>0</v>
      </c>
    </row>
    <row r="29" spans="1:24">
      <c r="A29" s="97" t="s">
        <v>549</v>
      </c>
      <c r="B29" s="98" t="s">
        <v>506</v>
      </c>
      <c r="C29" s="98" t="s">
        <v>33</v>
      </c>
      <c r="D29" s="99" t="s">
        <v>637</v>
      </c>
      <c r="E29" s="98"/>
      <c r="F29" s="100">
        <v>29</v>
      </c>
      <c r="G29" s="101">
        <v>28</v>
      </c>
      <c r="H29" s="100">
        <v>26</v>
      </c>
      <c r="I29" s="101">
        <v>25</v>
      </c>
      <c r="J29" s="100">
        <v>27</v>
      </c>
      <c r="K29" s="101"/>
      <c r="L29" s="100">
        <v>88</v>
      </c>
      <c r="M29" s="101">
        <v>64</v>
      </c>
      <c r="N29" s="101">
        <v>11</v>
      </c>
      <c r="O29" s="101">
        <v>0</v>
      </c>
      <c r="P29" s="101">
        <v>47</v>
      </c>
      <c r="Q29" s="101">
        <v>13</v>
      </c>
      <c r="R29" s="101">
        <v>0</v>
      </c>
      <c r="S29" s="101">
        <v>30</v>
      </c>
      <c r="T29" s="101">
        <v>10</v>
      </c>
      <c r="U29" s="101">
        <v>0</v>
      </c>
      <c r="V29" s="101">
        <v>29</v>
      </c>
      <c r="W29" s="101">
        <v>11</v>
      </c>
      <c r="X29" s="102">
        <v>0</v>
      </c>
    </row>
    <row r="30" spans="1:24">
      <c r="A30" s="97" t="s">
        <v>551</v>
      </c>
      <c r="B30" s="98" t="s">
        <v>512</v>
      </c>
      <c r="C30" s="98" t="s">
        <v>33</v>
      </c>
      <c r="D30" s="99" t="s">
        <v>637</v>
      </c>
      <c r="E30" s="98"/>
      <c r="F30" s="100">
        <v>29</v>
      </c>
      <c r="G30" s="101">
        <v>30</v>
      </c>
      <c r="H30" s="100">
        <v>31</v>
      </c>
      <c r="I30" s="101">
        <v>24</v>
      </c>
      <c r="J30" s="100">
        <v>28</v>
      </c>
      <c r="K30" s="101"/>
      <c r="L30" s="100">
        <v>91</v>
      </c>
      <c r="M30" s="101">
        <v>63</v>
      </c>
      <c r="N30" s="101">
        <v>12</v>
      </c>
      <c r="O30" s="101">
        <v>0</v>
      </c>
      <c r="P30" s="101">
        <v>50</v>
      </c>
      <c r="Q30" s="101">
        <v>10</v>
      </c>
      <c r="R30" s="101">
        <v>0</v>
      </c>
      <c r="S30" s="101">
        <v>36</v>
      </c>
      <c r="T30" s="101">
        <v>4</v>
      </c>
      <c r="U30" s="101">
        <v>0</v>
      </c>
      <c r="V30" s="101">
        <v>27</v>
      </c>
      <c r="W30" s="101">
        <v>12</v>
      </c>
      <c r="X30" s="102">
        <v>1</v>
      </c>
    </row>
    <row r="31" spans="1:24">
      <c r="A31" s="97" t="s">
        <v>613</v>
      </c>
      <c r="B31" s="98" t="s">
        <v>591</v>
      </c>
      <c r="C31" s="98" t="s">
        <v>33</v>
      </c>
      <c r="D31" s="99" t="s">
        <v>637</v>
      </c>
      <c r="E31" s="98"/>
      <c r="F31" s="100">
        <v>24</v>
      </c>
      <c r="G31" s="101">
        <v>31</v>
      </c>
      <c r="H31" s="100">
        <v>23</v>
      </c>
      <c r="I31" s="101">
        <v>25</v>
      </c>
      <c r="J31" s="100">
        <v>26</v>
      </c>
      <c r="K31" s="101"/>
      <c r="L31" s="100">
        <v>84</v>
      </c>
      <c r="M31" s="101">
        <v>54</v>
      </c>
      <c r="N31" s="101">
        <v>21</v>
      </c>
      <c r="O31" s="101">
        <v>0</v>
      </c>
      <c r="P31" s="101">
        <v>52</v>
      </c>
      <c r="Q31" s="101">
        <v>8</v>
      </c>
      <c r="R31" s="101">
        <v>0</v>
      </c>
      <c r="S31" s="101">
        <v>26</v>
      </c>
      <c r="T31" s="101">
        <v>14</v>
      </c>
      <c r="U31" s="101">
        <v>0</v>
      </c>
      <c r="V31" s="101">
        <v>29</v>
      </c>
      <c r="W31" s="101">
        <v>11</v>
      </c>
      <c r="X31" s="102">
        <v>0</v>
      </c>
    </row>
    <row r="32" spans="1:24">
      <c r="A32" s="97" t="s">
        <v>543</v>
      </c>
      <c r="B32" s="98" t="s">
        <v>507</v>
      </c>
      <c r="C32" s="98" t="s">
        <v>33</v>
      </c>
      <c r="D32" s="99" t="s">
        <v>637</v>
      </c>
      <c r="E32" s="98"/>
      <c r="F32" s="100">
        <v>35</v>
      </c>
      <c r="G32" s="101">
        <v>35</v>
      </c>
      <c r="H32" s="100">
        <v>33</v>
      </c>
      <c r="I32" s="101">
        <v>30</v>
      </c>
      <c r="J32" s="100">
        <v>33</v>
      </c>
      <c r="K32" s="101"/>
      <c r="L32" s="100">
        <v>99</v>
      </c>
      <c r="M32" s="101">
        <v>72</v>
      </c>
      <c r="N32" s="101">
        <v>3</v>
      </c>
      <c r="O32" s="101">
        <v>0</v>
      </c>
      <c r="P32" s="101">
        <v>58</v>
      </c>
      <c r="Q32" s="101">
        <v>2</v>
      </c>
      <c r="R32" s="101">
        <v>0</v>
      </c>
      <c r="S32" s="101">
        <v>38</v>
      </c>
      <c r="T32" s="101">
        <v>2</v>
      </c>
      <c r="U32" s="101">
        <v>0</v>
      </c>
      <c r="V32" s="101">
        <v>35</v>
      </c>
      <c r="W32" s="101">
        <v>5</v>
      </c>
      <c r="X32" s="102">
        <v>0</v>
      </c>
    </row>
    <row r="33" spans="1:24">
      <c r="A33" s="97" t="s">
        <v>601</v>
      </c>
      <c r="B33" s="98" t="s">
        <v>572</v>
      </c>
      <c r="C33" s="98" t="s">
        <v>33</v>
      </c>
      <c r="D33" s="99" t="s">
        <v>637</v>
      </c>
      <c r="E33" s="98"/>
      <c r="F33" s="100">
        <v>35</v>
      </c>
      <c r="G33" s="101">
        <v>34</v>
      </c>
      <c r="H33" s="100">
        <v>32</v>
      </c>
      <c r="I33" s="101">
        <v>36</v>
      </c>
      <c r="J33" s="100">
        <v>34</v>
      </c>
      <c r="K33" s="101"/>
      <c r="L33" s="100">
        <v>99</v>
      </c>
      <c r="M33" s="101">
        <v>72</v>
      </c>
      <c r="N33" s="101">
        <v>3</v>
      </c>
      <c r="O33" s="101">
        <v>0</v>
      </c>
      <c r="P33" s="101">
        <v>56</v>
      </c>
      <c r="Q33" s="101">
        <v>4</v>
      </c>
      <c r="R33" s="101">
        <v>0</v>
      </c>
      <c r="S33" s="101">
        <v>37</v>
      </c>
      <c r="T33" s="101">
        <v>3</v>
      </c>
      <c r="U33" s="101">
        <v>0</v>
      </c>
      <c r="V33" s="101">
        <v>40</v>
      </c>
      <c r="W33" s="101">
        <v>0</v>
      </c>
      <c r="X33" s="102">
        <v>0</v>
      </c>
    </row>
    <row r="34" spans="1:24">
      <c r="A34" s="97" t="s">
        <v>615</v>
      </c>
      <c r="B34" s="98" t="s">
        <v>582</v>
      </c>
      <c r="C34" s="98" t="s">
        <v>33</v>
      </c>
      <c r="D34" s="99" t="s">
        <v>637</v>
      </c>
      <c r="E34" s="98"/>
      <c r="F34" s="100">
        <v>31</v>
      </c>
      <c r="G34" s="101">
        <v>33</v>
      </c>
      <c r="H34" s="100">
        <v>23</v>
      </c>
      <c r="I34" s="101">
        <v>26</v>
      </c>
      <c r="J34" s="100">
        <v>28</v>
      </c>
      <c r="K34" s="101"/>
      <c r="L34" s="100">
        <v>91</v>
      </c>
      <c r="M34" s="101">
        <v>67</v>
      </c>
      <c r="N34" s="101">
        <v>8</v>
      </c>
      <c r="O34" s="101">
        <v>0</v>
      </c>
      <c r="P34" s="101">
        <v>54</v>
      </c>
      <c r="Q34" s="101">
        <v>6</v>
      </c>
      <c r="R34" s="101">
        <v>0</v>
      </c>
      <c r="S34" s="101">
        <v>27</v>
      </c>
      <c r="T34" s="101">
        <v>13</v>
      </c>
      <c r="U34" s="101">
        <v>0</v>
      </c>
      <c r="V34" s="101">
        <v>30</v>
      </c>
      <c r="W34" s="101">
        <v>10</v>
      </c>
      <c r="X34" s="102">
        <v>0</v>
      </c>
    </row>
    <row r="35" spans="1:24">
      <c r="A35" s="97" t="s">
        <v>497</v>
      </c>
      <c r="B35" s="98" t="s">
        <v>492</v>
      </c>
      <c r="C35" s="98" t="s">
        <v>33</v>
      </c>
      <c r="D35" s="99" t="s">
        <v>637</v>
      </c>
      <c r="E35" s="98"/>
      <c r="F35" s="100">
        <v>30</v>
      </c>
      <c r="G35" s="101">
        <v>35</v>
      </c>
      <c r="H35" s="100">
        <v>23</v>
      </c>
      <c r="I35" s="101">
        <v>33</v>
      </c>
      <c r="J35" s="100">
        <v>30</v>
      </c>
      <c r="K35" s="101"/>
      <c r="L35" s="100">
        <v>96</v>
      </c>
      <c r="M35" s="101">
        <v>65</v>
      </c>
      <c r="N35" s="101">
        <v>10</v>
      </c>
      <c r="O35" s="101">
        <v>0</v>
      </c>
      <c r="P35" s="101">
        <v>58</v>
      </c>
      <c r="Q35" s="101">
        <v>2</v>
      </c>
      <c r="R35" s="101">
        <v>0</v>
      </c>
      <c r="S35" s="101">
        <v>26</v>
      </c>
      <c r="T35" s="101">
        <v>13</v>
      </c>
      <c r="U35" s="101">
        <v>1</v>
      </c>
      <c r="V35" s="101">
        <v>37</v>
      </c>
      <c r="W35" s="101">
        <v>3</v>
      </c>
      <c r="X35" s="102">
        <v>0</v>
      </c>
    </row>
    <row r="36" spans="1:24">
      <c r="A36" s="97" t="s">
        <v>545</v>
      </c>
      <c r="B36" s="98" t="s">
        <v>508</v>
      </c>
      <c r="C36" s="98" t="s">
        <v>33</v>
      </c>
      <c r="D36" s="99" t="s">
        <v>637</v>
      </c>
      <c r="E36" s="98"/>
      <c r="F36" s="100">
        <v>34</v>
      </c>
      <c r="G36" s="101">
        <v>35</v>
      </c>
      <c r="H36" s="100">
        <v>31</v>
      </c>
      <c r="I36" s="101">
        <v>35</v>
      </c>
      <c r="J36" s="100">
        <v>34</v>
      </c>
      <c r="K36" s="101"/>
      <c r="L36" s="100">
        <v>99</v>
      </c>
      <c r="M36" s="101">
        <v>71</v>
      </c>
      <c r="N36" s="101">
        <v>4</v>
      </c>
      <c r="O36" s="101">
        <v>0</v>
      </c>
      <c r="P36" s="101">
        <v>58</v>
      </c>
      <c r="Q36" s="101">
        <v>2</v>
      </c>
      <c r="R36" s="101">
        <v>0</v>
      </c>
      <c r="S36" s="101">
        <v>36</v>
      </c>
      <c r="T36" s="101">
        <v>4</v>
      </c>
      <c r="U36" s="101">
        <v>0</v>
      </c>
      <c r="V36" s="101">
        <v>39</v>
      </c>
      <c r="W36" s="101">
        <v>1</v>
      </c>
      <c r="X36" s="102">
        <v>0</v>
      </c>
    </row>
    <row r="37" spans="1:24">
      <c r="A37" s="97" t="s">
        <v>654</v>
      </c>
      <c r="B37" s="98" t="s">
        <v>646</v>
      </c>
      <c r="C37" s="98" t="s">
        <v>33</v>
      </c>
      <c r="D37" s="99" t="s">
        <v>637</v>
      </c>
      <c r="E37" s="98"/>
      <c r="F37" s="100">
        <v>34</v>
      </c>
      <c r="G37" s="101">
        <v>25</v>
      </c>
      <c r="H37" s="100">
        <v>32</v>
      </c>
      <c r="I37" s="101">
        <v>26</v>
      </c>
      <c r="J37" s="100">
        <v>29</v>
      </c>
      <c r="K37" s="101"/>
      <c r="L37" s="100">
        <v>94</v>
      </c>
      <c r="M37" s="101">
        <v>71</v>
      </c>
      <c r="N37" s="101">
        <v>4</v>
      </c>
      <c r="O37" s="101">
        <v>0</v>
      </c>
      <c r="P37" s="101">
        <v>41</v>
      </c>
      <c r="Q37" s="101">
        <v>19</v>
      </c>
      <c r="R37" s="101">
        <v>0</v>
      </c>
      <c r="S37" s="101">
        <v>37</v>
      </c>
      <c r="T37" s="101">
        <v>3</v>
      </c>
      <c r="U37" s="101">
        <v>0</v>
      </c>
      <c r="V37" s="101">
        <v>30</v>
      </c>
      <c r="W37" s="101">
        <v>10</v>
      </c>
      <c r="X37" s="102">
        <v>0</v>
      </c>
    </row>
    <row r="38" spans="1:24">
      <c r="A38" s="97" t="s">
        <v>607</v>
      </c>
      <c r="B38" s="98" t="s">
        <v>598</v>
      </c>
      <c r="C38" s="98" t="s">
        <v>33</v>
      </c>
      <c r="D38" s="99" t="s">
        <v>637</v>
      </c>
      <c r="E38" s="98"/>
      <c r="F38" s="100">
        <v>21</v>
      </c>
      <c r="G38" s="101">
        <v>26</v>
      </c>
      <c r="H38" s="100">
        <v>18</v>
      </c>
      <c r="I38" s="101">
        <v>25</v>
      </c>
      <c r="J38" s="100">
        <v>22</v>
      </c>
      <c r="K38" s="101"/>
      <c r="L38" s="100">
        <v>62</v>
      </c>
      <c r="M38" s="101">
        <v>45</v>
      </c>
      <c r="N38" s="101">
        <v>30</v>
      </c>
      <c r="O38" s="101">
        <v>0</v>
      </c>
      <c r="P38" s="101">
        <v>42</v>
      </c>
      <c r="Q38" s="101">
        <v>18</v>
      </c>
      <c r="R38" s="101">
        <v>0</v>
      </c>
      <c r="S38" s="101">
        <v>20</v>
      </c>
      <c r="T38" s="101">
        <v>20</v>
      </c>
      <c r="U38" s="101">
        <v>0</v>
      </c>
      <c r="V38" s="101">
        <v>29</v>
      </c>
      <c r="W38" s="101">
        <v>11</v>
      </c>
      <c r="X38" s="102">
        <v>0</v>
      </c>
    </row>
    <row r="39" spans="1:24">
      <c r="A39" s="97" t="s">
        <v>603</v>
      </c>
      <c r="B39" s="98" t="s">
        <v>573</v>
      </c>
      <c r="C39" s="98" t="s">
        <v>33</v>
      </c>
      <c r="D39" s="99" t="s">
        <v>637</v>
      </c>
      <c r="E39" s="98"/>
      <c r="F39" s="100">
        <v>24</v>
      </c>
      <c r="G39" s="101">
        <v>35</v>
      </c>
      <c r="H39" s="100">
        <v>8</v>
      </c>
      <c r="I39" s="101">
        <v>21</v>
      </c>
      <c r="J39" s="100">
        <v>22</v>
      </c>
      <c r="K39" s="101"/>
      <c r="L39" s="100">
        <v>62</v>
      </c>
      <c r="M39" s="101">
        <v>55</v>
      </c>
      <c r="N39" s="101">
        <v>20</v>
      </c>
      <c r="O39" s="101">
        <v>0</v>
      </c>
      <c r="P39" s="101">
        <v>58</v>
      </c>
      <c r="Q39" s="101">
        <v>2</v>
      </c>
      <c r="R39" s="101">
        <v>0</v>
      </c>
      <c r="S39" s="101">
        <v>6</v>
      </c>
      <c r="T39" s="101">
        <v>34</v>
      </c>
      <c r="U39" s="101">
        <v>0</v>
      </c>
      <c r="V39" s="101">
        <v>22</v>
      </c>
      <c r="W39" s="101">
        <v>18</v>
      </c>
      <c r="X39" s="102">
        <v>0</v>
      </c>
    </row>
    <row r="40" spans="1:24">
      <c r="A40" s="97" t="s">
        <v>547</v>
      </c>
      <c r="B40" s="98" t="s">
        <v>515</v>
      </c>
      <c r="C40" s="98" t="s">
        <v>33</v>
      </c>
      <c r="D40" s="99" t="s">
        <v>637</v>
      </c>
      <c r="E40" s="98"/>
      <c r="F40" s="100">
        <v>24</v>
      </c>
      <c r="G40" s="101">
        <v>29</v>
      </c>
      <c r="H40" s="100">
        <v>22</v>
      </c>
      <c r="I40" s="101">
        <v>20</v>
      </c>
      <c r="J40" s="100">
        <v>24</v>
      </c>
      <c r="K40" s="101"/>
      <c r="L40" s="100">
        <v>74</v>
      </c>
      <c r="M40" s="101">
        <v>55</v>
      </c>
      <c r="N40" s="101">
        <v>20</v>
      </c>
      <c r="O40" s="101">
        <v>0</v>
      </c>
      <c r="P40" s="101">
        <v>49</v>
      </c>
      <c r="Q40" s="101">
        <v>11</v>
      </c>
      <c r="R40" s="101">
        <v>0</v>
      </c>
      <c r="S40" s="101">
        <v>25</v>
      </c>
      <c r="T40" s="101">
        <v>15</v>
      </c>
      <c r="U40" s="101">
        <v>0</v>
      </c>
      <c r="V40" s="101">
        <v>20</v>
      </c>
      <c r="W40" s="101">
        <v>20</v>
      </c>
      <c r="X40" s="102">
        <v>0</v>
      </c>
    </row>
    <row r="41" spans="1:24">
      <c r="A41" s="97" t="s">
        <v>660</v>
      </c>
      <c r="B41" s="98" t="s">
        <v>647</v>
      </c>
      <c r="C41" s="98" t="s">
        <v>33</v>
      </c>
      <c r="D41" s="99" t="s">
        <v>637</v>
      </c>
      <c r="E41" s="98"/>
      <c r="F41" s="100">
        <v>29</v>
      </c>
      <c r="G41" s="101">
        <v>34</v>
      </c>
      <c r="H41" s="100">
        <v>32</v>
      </c>
      <c r="I41" s="101">
        <v>23</v>
      </c>
      <c r="J41" s="100">
        <v>30</v>
      </c>
      <c r="K41" s="101"/>
      <c r="L41" s="100">
        <v>96</v>
      </c>
      <c r="M41" s="101">
        <v>63</v>
      </c>
      <c r="N41" s="101">
        <v>11</v>
      </c>
      <c r="O41" s="101">
        <v>1</v>
      </c>
      <c r="P41" s="101">
        <v>56</v>
      </c>
      <c r="Q41" s="101">
        <v>4</v>
      </c>
      <c r="R41" s="101">
        <v>0</v>
      </c>
      <c r="S41" s="101">
        <v>37</v>
      </c>
      <c r="T41" s="101">
        <v>3</v>
      </c>
      <c r="U41" s="101">
        <v>0</v>
      </c>
      <c r="V41" s="101">
        <v>25</v>
      </c>
      <c r="W41" s="101">
        <v>15</v>
      </c>
      <c r="X41" s="102">
        <v>0</v>
      </c>
    </row>
    <row r="42" spans="1:24">
      <c r="A42" s="97" t="s">
        <v>746</v>
      </c>
      <c r="B42" s="98" t="s">
        <v>666</v>
      </c>
      <c r="C42" s="98" t="s">
        <v>33</v>
      </c>
      <c r="D42" s="99" t="s">
        <v>637</v>
      </c>
      <c r="E42" s="98"/>
      <c r="F42" s="100">
        <v>35</v>
      </c>
      <c r="G42" s="101">
        <v>36</v>
      </c>
      <c r="H42" s="100">
        <v>30</v>
      </c>
      <c r="I42" s="101">
        <v>26</v>
      </c>
      <c r="J42" s="100">
        <v>32</v>
      </c>
      <c r="K42" s="101"/>
      <c r="L42" s="100">
        <v>98</v>
      </c>
      <c r="M42" s="101">
        <v>72</v>
      </c>
      <c r="N42" s="101">
        <v>3</v>
      </c>
      <c r="O42" s="101">
        <v>0</v>
      </c>
      <c r="P42" s="101">
        <v>59</v>
      </c>
      <c r="Q42" s="101">
        <v>1</v>
      </c>
      <c r="R42" s="101">
        <v>0</v>
      </c>
      <c r="S42" s="101">
        <v>35</v>
      </c>
      <c r="T42" s="101">
        <v>5</v>
      </c>
      <c r="U42" s="101">
        <v>0</v>
      </c>
      <c r="V42" s="101">
        <v>30</v>
      </c>
      <c r="W42" s="101">
        <v>10</v>
      </c>
      <c r="X42" s="102">
        <v>0</v>
      </c>
    </row>
    <row r="43" spans="1:24">
      <c r="A43" s="97" t="s">
        <v>735</v>
      </c>
      <c r="B43" s="98" t="s">
        <v>736</v>
      </c>
      <c r="C43" s="98" t="s">
        <v>33</v>
      </c>
      <c r="D43" s="99" t="s">
        <v>637</v>
      </c>
      <c r="E43" s="98"/>
      <c r="F43" s="100">
        <v>30</v>
      </c>
      <c r="G43" s="101">
        <v>29</v>
      </c>
      <c r="H43" s="100">
        <v>26</v>
      </c>
      <c r="I43" s="101">
        <v>25</v>
      </c>
      <c r="J43" s="100">
        <v>28</v>
      </c>
      <c r="K43" s="101"/>
      <c r="L43" s="100">
        <v>91</v>
      </c>
      <c r="M43" s="101">
        <v>65</v>
      </c>
      <c r="N43" s="101">
        <v>10</v>
      </c>
      <c r="O43" s="101">
        <v>0</v>
      </c>
      <c r="P43" s="101">
        <v>48</v>
      </c>
      <c r="Q43" s="101">
        <v>6</v>
      </c>
      <c r="R43" s="101">
        <v>6</v>
      </c>
      <c r="S43" s="101">
        <v>30</v>
      </c>
      <c r="T43" s="101">
        <v>10</v>
      </c>
      <c r="U43" s="101">
        <v>0</v>
      </c>
      <c r="V43" s="101">
        <v>28</v>
      </c>
      <c r="W43" s="101">
        <v>9</v>
      </c>
      <c r="X43" s="102">
        <v>3</v>
      </c>
    </row>
    <row r="44" spans="1:24">
      <c r="A44" s="97" t="s">
        <v>693</v>
      </c>
      <c r="B44" s="98" t="s">
        <v>667</v>
      </c>
      <c r="C44" s="98" t="s">
        <v>33</v>
      </c>
      <c r="D44" s="99" t="s">
        <v>637</v>
      </c>
      <c r="E44" s="98"/>
      <c r="F44" s="100">
        <v>27</v>
      </c>
      <c r="G44" s="101">
        <v>25</v>
      </c>
      <c r="H44" s="100">
        <v>26</v>
      </c>
      <c r="I44" s="101">
        <v>25</v>
      </c>
      <c r="J44" s="100">
        <v>26</v>
      </c>
      <c r="K44" s="101"/>
      <c r="L44" s="100">
        <v>84</v>
      </c>
      <c r="M44" s="101">
        <v>61</v>
      </c>
      <c r="N44" s="101">
        <v>14</v>
      </c>
      <c r="O44" s="101">
        <v>0</v>
      </c>
      <c r="P44" s="101">
        <v>40</v>
      </c>
      <c r="Q44" s="101">
        <v>20</v>
      </c>
      <c r="R44" s="101">
        <v>0</v>
      </c>
      <c r="S44" s="101">
        <v>30</v>
      </c>
      <c r="T44" s="101">
        <v>10</v>
      </c>
      <c r="U44" s="101">
        <v>0</v>
      </c>
      <c r="V44" s="101">
        <v>28</v>
      </c>
      <c r="W44" s="101">
        <v>12</v>
      </c>
      <c r="X44" s="102">
        <v>0</v>
      </c>
    </row>
    <row r="45" spans="1:24">
      <c r="A45" s="97" t="s">
        <v>697</v>
      </c>
      <c r="B45" s="98" t="s">
        <v>668</v>
      </c>
      <c r="C45" s="98" t="s">
        <v>33</v>
      </c>
      <c r="D45" s="99" t="s">
        <v>637</v>
      </c>
      <c r="E45" s="98"/>
      <c r="F45" s="100">
        <v>34</v>
      </c>
      <c r="G45" s="101">
        <v>31</v>
      </c>
      <c r="H45" s="100">
        <v>33</v>
      </c>
      <c r="I45" s="101">
        <v>30</v>
      </c>
      <c r="J45" s="100">
        <v>32</v>
      </c>
      <c r="K45" s="101"/>
      <c r="L45" s="100">
        <v>98</v>
      </c>
      <c r="M45" s="101">
        <v>70</v>
      </c>
      <c r="N45" s="101">
        <v>5</v>
      </c>
      <c r="O45" s="101">
        <v>0</v>
      </c>
      <c r="P45" s="101">
        <v>52</v>
      </c>
      <c r="Q45" s="101">
        <v>8</v>
      </c>
      <c r="R45" s="101">
        <v>0</v>
      </c>
      <c r="S45" s="101">
        <v>38</v>
      </c>
      <c r="T45" s="101">
        <v>2</v>
      </c>
      <c r="U45" s="101">
        <v>0</v>
      </c>
      <c r="V45" s="101">
        <v>35</v>
      </c>
      <c r="W45" s="101">
        <v>5</v>
      </c>
      <c r="X45" s="102">
        <v>0</v>
      </c>
    </row>
    <row r="46" spans="1:24">
      <c r="A46" s="97" t="s">
        <v>712</v>
      </c>
      <c r="B46" s="98" t="s">
        <v>669</v>
      </c>
      <c r="C46" s="98" t="s">
        <v>33</v>
      </c>
      <c r="D46" s="99" t="s">
        <v>637</v>
      </c>
      <c r="E46" s="98"/>
      <c r="F46" s="100">
        <v>34</v>
      </c>
      <c r="G46" s="101">
        <v>29</v>
      </c>
      <c r="H46" s="100">
        <v>29</v>
      </c>
      <c r="I46" s="101">
        <v>26</v>
      </c>
      <c r="J46" s="100">
        <v>30</v>
      </c>
      <c r="K46" s="101"/>
      <c r="L46" s="100">
        <v>96</v>
      </c>
      <c r="M46" s="101">
        <v>70</v>
      </c>
      <c r="N46" s="101">
        <v>5</v>
      </c>
      <c r="O46" s="101">
        <v>0</v>
      </c>
      <c r="P46" s="101">
        <v>49</v>
      </c>
      <c r="Q46" s="101">
        <v>11</v>
      </c>
      <c r="R46" s="101">
        <v>0</v>
      </c>
      <c r="S46" s="101">
        <v>34</v>
      </c>
      <c r="T46" s="101">
        <v>6</v>
      </c>
      <c r="U46" s="101">
        <v>0</v>
      </c>
      <c r="V46" s="101">
        <v>31</v>
      </c>
      <c r="W46" s="101">
        <v>9</v>
      </c>
      <c r="X46" s="102">
        <v>0</v>
      </c>
    </row>
    <row r="47" spans="1:24">
      <c r="A47" s="97" t="s">
        <v>742</v>
      </c>
      <c r="B47" s="98" t="s">
        <v>670</v>
      </c>
      <c r="C47" s="98" t="s">
        <v>33</v>
      </c>
      <c r="D47" s="99" t="s">
        <v>637</v>
      </c>
      <c r="E47" s="98"/>
      <c r="F47" s="100">
        <v>33</v>
      </c>
      <c r="G47" s="101">
        <v>36</v>
      </c>
      <c r="H47" s="100">
        <v>28</v>
      </c>
      <c r="I47" s="101">
        <v>30</v>
      </c>
      <c r="J47" s="100">
        <v>32</v>
      </c>
      <c r="K47" s="101"/>
      <c r="L47" s="100">
        <v>98</v>
      </c>
      <c r="M47" s="101">
        <v>69</v>
      </c>
      <c r="N47" s="101">
        <v>6</v>
      </c>
      <c r="O47" s="101">
        <v>0</v>
      </c>
      <c r="P47" s="101">
        <v>59</v>
      </c>
      <c r="Q47" s="101">
        <v>1</v>
      </c>
      <c r="R47" s="101">
        <v>0</v>
      </c>
      <c r="S47" s="101">
        <v>32</v>
      </c>
      <c r="T47" s="101">
        <v>8</v>
      </c>
      <c r="U47" s="101">
        <v>0</v>
      </c>
      <c r="V47" s="101">
        <v>35</v>
      </c>
      <c r="W47" s="101">
        <v>5</v>
      </c>
      <c r="X47" s="102">
        <v>0</v>
      </c>
    </row>
    <row r="48" spans="1:24">
      <c r="A48" s="97" t="s">
        <v>752</v>
      </c>
      <c r="B48" s="98" t="s">
        <v>671</v>
      </c>
      <c r="C48" s="98" t="s">
        <v>33</v>
      </c>
      <c r="D48" s="99" t="s">
        <v>637</v>
      </c>
      <c r="E48" s="98"/>
      <c r="F48" s="100">
        <v>24</v>
      </c>
      <c r="G48" s="101">
        <v>33</v>
      </c>
      <c r="H48" s="100">
        <v>21</v>
      </c>
      <c r="I48" s="101">
        <v>25</v>
      </c>
      <c r="J48" s="100">
        <v>26</v>
      </c>
      <c r="K48" s="101"/>
      <c r="L48" s="100">
        <v>84</v>
      </c>
      <c r="M48" s="101">
        <v>54</v>
      </c>
      <c r="N48" s="101">
        <v>21</v>
      </c>
      <c r="O48" s="101">
        <v>0</v>
      </c>
      <c r="P48" s="101">
        <v>55</v>
      </c>
      <c r="Q48" s="101">
        <v>5</v>
      </c>
      <c r="R48" s="101">
        <v>0</v>
      </c>
      <c r="S48" s="101">
        <v>24</v>
      </c>
      <c r="T48" s="101">
        <v>16</v>
      </c>
      <c r="U48" s="101">
        <v>0</v>
      </c>
      <c r="V48" s="101">
        <v>29</v>
      </c>
      <c r="W48" s="101">
        <v>11</v>
      </c>
      <c r="X48" s="102">
        <v>0</v>
      </c>
    </row>
    <row r="49" spans="1:24">
      <c r="A49" s="97" t="s">
        <v>718</v>
      </c>
      <c r="B49" s="98" t="s">
        <v>672</v>
      </c>
      <c r="C49" s="98" t="s">
        <v>33</v>
      </c>
      <c r="D49" s="99" t="s">
        <v>637</v>
      </c>
      <c r="E49" s="98"/>
      <c r="F49" s="100">
        <v>29</v>
      </c>
      <c r="G49" s="101">
        <v>32</v>
      </c>
      <c r="H49" s="100">
        <v>31</v>
      </c>
      <c r="I49" s="101">
        <v>26</v>
      </c>
      <c r="J49" s="100">
        <v>30</v>
      </c>
      <c r="K49" s="101"/>
      <c r="L49" s="100">
        <v>96</v>
      </c>
      <c r="M49" s="101">
        <v>63</v>
      </c>
      <c r="N49" s="101">
        <v>12</v>
      </c>
      <c r="O49" s="101">
        <v>0</v>
      </c>
      <c r="P49" s="101">
        <v>53</v>
      </c>
      <c r="Q49" s="101">
        <v>7</v>
      </c>
      <c r="R49" s="101">
        <v>0</v>
      </c>
      <c r="S49" s="101">
        <v>36</v>
      </c>
      <c r="T49" s="101">
        <v>4</v>
      </c>
      <c r="U49" s="101">
        <v>0</v>
      </c>
      <c r="V49" s="101">
        <v>31</v>
      </c>
      <c r="W49" s="101">
        <v>9</v>
      </c>
      <c r="X49" s="102">
        <v>0</v>
      </c>
    </row>
    <row r="50" spans="1:24">
      <c r="A50" s="97" t="s">
        <v>726</v>
      </c>
      <c r="B50" s="98" t="s">
        <v>727</v>
      </c>
      <c r="C50" s="98" t="s">
        <v>33</v>
      </c>
      <c r="D50" s="99" t="s">
        <v>637</v>
      </c>
      <c r="E50" s="98"/>
      <c r="F50" s="100">
        <v>25</v>
      </c>
      <c r="G50" s="101">
        <v>31</v>
      </c>
      <c r="H50" s="100">
        <v>18</v>
      </c>
      <c r="I50" s="101">
        <v>20</v>
      </c>
      <c r="J50" s="100">
        <v>24</v>
      </c>
      <c r="K50" s="101"/>
      <c r="L50" s="100">
        <v>74</v>
      </c>
      <c r="M50" s="101">
        <v>57</v>
      </c>
      <c r="N50" s="101">
        <v>18</v>
      </c>
      <c r="O50" s="101">
        <v>0</v>
      </c>
      <c r="P50" s="101">
        <v>52</v>
      </c>
      <c r="Q50" s="101">
        <v>8</v>
      </c>
      <c r="R50" s="101">
        <v>0</v>
      </c>
      <c r="S50" s="101">
        <v>20</v>
      </c>
      <c r="T50" s="101">
        <v>12</v>
      </c>
      <c r="U50" s="101">
        <v>8</v>
      </c>
      <c r="V50" s="101">
        <v>20</v>
      </c>
      <c r="W50" s="101">
        <v>17</v>
      </c>
      <c r="X50" s="102">
        <v>3</v>
      </c>
    </row>
    <row r="51" spans="1:24">
      <c r="A51" s="97" t="s">
        <v>750</v>
      </c>
      <c r="B51" s="98" t="s">
        <v>673</v>
      </c>
      <c r="C51" s="98" t="s">
        <v>33</v>
      </c>
      <c r="D51" s="99" t="s">
        <v>637</v>
      </c>
      <c r="E51" s="98"/>
      <c r="F51" s="100">
        <v>35</v>
      </c>
      <c r="G51" s="101">
        <v>32</v>
      </c>
      <c r="H51" s="100">
        <v>27</v>
      </c>
      <c r="I51" s="101">
        <v>30</v>
      </c>
      <c r="J51" s="100">
        <v>31</v>
      </c>
      <c r="K51" s="101"/>
      <c r="L51" s="100">
        <v>97</v>
      </c>
      <c r="M51" s="101">
        <v>73</v>
      </c>
      <c r="N51" s="101">
        <v>2</v>
      </c>
      <c r="O51" s="101">
        <v>0</v>
      </c>
      <c r="P51" s="101">
        <v>53</v>
      </c>
      <c r="Q51" s="101">
        <v>7</v>
      </c>
      <c r="R51" s="101">
        <v>0</v>
      </c>
      <c r="S51" s="101">
        <v>31</v>
      </c>
      <c r="T51" s="101">
        <v>9</v>
      </c>
      <c r="U51" s="101">
        <v>0</v>
      </c>
      <c r="V51" s="101">
        <v>35</v>
      </c>
      <c r="W51" s="101">
        <v>5</v>
      </c>
      <c r="X51" s="102">
        <v>0</v>
      </c>
    </row>
    <row r="52" spans="1:24">
      <c r="A52" s="97" t="s">
        <v>695</v>
      </c>
      <c r="B52" s="98" t="s">
        <v>674</v>
      </c>
      <c r="C52" s="98" t="s">
        <v>33</v>
      </c>
      <c r="D52" s="99" t="s">
        <v>637</v>
      </c>
      <c r="E52" s="98"/>
      <c r="F52" s="100">
        <v>26</v>
      </c>
      <c r="G52" s="101">
        <v>30</v>
      </c>
      <c r="H52" s="100">
        <v>23</v>
      </c>
      <c r="I52" s="101">
        <v>25</v>
      </c>
      <c r="J52" s="100">
        <v>26</v>
      </c>
      <c r="K52" s="101"/>
      <c r="L52" s="100">
        <v>84</v>
      </c>
      <c r="M52" s="101">
        <v>58</v>
      </c>
      <c r="N52" s="101">
        <v>17</v>
      </c>
      <c r="O52" s="101">
        <v>0</v>
      </c>
      <c r="P52" s="101">
        <v>51</v>
      </c>
      <c r="Q52" s="101">
        <v>9</v>
      </c>
      <c r="R52" s="101">
        <v>0</v>
      </c>
      <c r="S52" s="101">
        <v>27</v>
      </c>
      <c r="T52" s="101">
        <v>13</v>
      </c>
      <c r="U52" s="101">
        <v>0</v>
      </c>
      <c r="V52" s="101">
        <v>29</v>
      </c>
      <c r="W52" s="101">
        <v>11</v>
      </c>
      <c r="X52" s="102">
        <v>0</v>
      </c>
    </row>
    <row r="53" spans="1:24">
      <c r="A53" s="97" t="s">
        <v>716</v>
      </c>
      <c r="B53" s="98" t="s">
        <v>675</v>
      </c>
      <c r="C53" s="98" t="s">
        <v>33</v>
      </c>
      <c r="D53" s="99" t="s">
        <v>637</v>
      </c>
      <c r="E53" s="98"/>
      <c r="F53" s="100">
        <v>27</v>
      </c>
      <c r="G53" s="101">
        <v>22</v>
      </c>
      <c r="H53" s="100">
        <v>23</v>
      </c>
      <c r="I53" s="101">
        <v>20</v>
      </c>
      <c r="J53" s="100">
        <v>23</v>
      </c>
      <c r="K53" s="101"/>
      <c r="L53" s="100">
        <v>69</v>
      </c>
      <c r="M53" s="101">
        <v>61</v>
      </c>
      <c r="N53" s="101">
        <v>11</v>
      </c>
      <c r="O53" s="101">
        <v>3</v>
      </c>
      <c r="P53" s="101">
        <v>34</v>
      </c>
      <c r="Q53" s="101">
        <v>25</v>
      </c>
      <c r="R53" s="101">
        <v>1</v>
      </c>
      <c r="S53" s="101">
        <v>27</v>
      </c>
      <c r="T53" s="101">
        <v>9</v>
      </c>
      <c r="U53" s="101">
        <v>4</v>
      </c>
      <c r="V53" s="101">
        <v>20</v>
      </c>
      <c r="W53" s="101">
        <v>20</v>
      </c>
      <c r="X53" s="102">
        <v>0</v>
      </c>
    </row>
    <row r="54" spans="1:24">
      <c r="A54" s="97" t="s">
        <v>731</v>
      </c>
      <c r="B54" s="98" t="s">
        <v>676</v>
      </c>
      <c r="C54" s="98" t="s">
        <v>33</v>
      </c>
      <c r="D54" s="99" t="s">
        <v>637</v>
      </c>
      <c r="E54" s="98"/>
      <c r="F54" s="100">
        <v>34</v>
      </c>
      <c r="G54" s="101">
        <v>27</v>
      </c>
      <c r="H54" s="100">
        <v>26</v>
      </c>
      <c r="I54" s="101">
        <v>25</v>
      </c>
      <c r="J54" s="100">
        <v>28</v>
      </c>
      <c r="K54" s="101"/>
      <c r="L54" s="100">
        <v>91</v>
      </c>
      <c r="M54" s="101">
        <v>70</v>
      </c>
      <c r="N54" s="101">
        <v>4</v>
      </c>
      <c r="O54" s="101">
        <v>1</v>
      </c>
      <c r="P54" s="101">
        <v>45</v>
      </c>
      <c r="Q54" s="101">
        <v>15</v>
      </c>
      <c r="R54" s="101">
        <v>0</v>
      </c>
      <c r="S54" s="101">
        <v>30</v>
      </c>
      <c r="T54" s="101">
        <v>10</v>
      </c>
      <c r="U54" s="101">
        <v>0</v>
      </c>
      <c r="V54" s="101">
        <v>29</v>
      </c>
      <c r="W54" s="101">
        <v>11</v>
      </c>
      <c r="X54" s="102">
        <v>0</v>
      </c>
    </row>
    <row r="55" spans="1:24">
      <c r="A55" s="97" t="s">
        <v>665</v>
      </c>
      <c r="B55" s="98" t="s">
        <v>663</v>
      </c>
      <c r="C55" s="98" t="s">
        <v>33</v>
      </c>
      <c r="D55" s="99" t="s">
        <v>637</v>
      </c>
      <c r="E55" s="98"/>
      <c r="F55" s="100">
        <v>34</v>
      </c>
      <c r="G55" s="101">
        <v>33</v>
      </c>
      <c r="H55" s="100">
        <v>17</v>
      </c>
      <c r="I55" s="101">
        <v>23</v>
      </c>
      <c r="J55" s="100">
        <v>27</v>
      </c>
      <c r="K55" s="101"/>
      <c r="L55" s="100">
        <v>88</v>
      </c>
      <c r="M55" s="101">
        <v>70</v>
      </c>
      <c r="N55" s="101">
        <v>5</v>
      </c>
      <c r="O55" s="101">
        <v>0</v>
      </c>
      <c r="P55" s="101">
        <v>54</v>
      </c>
      <c r="Q55" s="101">
        <v>5</v>
      </c>
      <c r="R55" s="101">
        <v>1</v>
      </c>
      <c r="S55" s="101">
        <v>19</v>
      </c>
      <c r="T55" s="101">
        <v>21</v>
      </c>
      <c r="U55" s="101">
        <v>0</v>
      </c>
      <c r="V55" s="101">
        <v>25</v>
      </c>
      <c r="W55" s="101">
        <v>15</v>
      </c>
      <c r="X55" s="102">
        <v>0</v>
      </c>
    </row>
    <row r="56" spans="1:24">
      <c r="A56" s="97" t="s">
        <v>705</v>
      </c>
      <c r="B56" s="98" t="s">
        <v>706</v>
      </c>
      <c r="C56" s="98" t="s">
        <v>33</v>
      </c>
      <c r="D56" s="99" t="s">
        <v>637</v>
      </c>
      <c r="E56" s="98"/>
      <c r="F56" s="100">
        <v>34</v>
      </c>
      <c r="G56" s="101">
        <v>35</v>
      </c>
      <c r="H56" s="100">
        <v>35</v>
      </c>
      <c r="I56" s="101">
        <v>27</v>
      </c>
      <c r="J56" s="100">
        <v>33</v>
      </c>
      <c r="K56" s="101"/>
      <c r="L56" s="100">
        <v>99</v>
      </c>
      <c r="M56" s="101">
        <v>70</v>
      </c>
      <c r="N56" s="101">
        <v>5</v>
      </c>
      <c r="O56" s="101">
        <v>0</v>
      </c>
      <c r="P56" s="101">
        <v>58</v>
      </c>
      <c r="Q56" s="101">
        <v>2</v>
      </c>
      <c r="R56" s="101">
        <v>0</v>
      </c>
      <c r="S56" s="101">
        <v>39</v>
      </c>
      <c r="T56" s="101">
        <v>1</v>
      </c>
      <c r="U56" s="101">
        <v>0</v>
      </c>
      <c r="V56" s="101">
        <v>32</v>
      </c>
      <c r="W56" s="101">
        <v>8</v>
      </c>
      <c r="X56" s="102">
        <v>0</v>
      </c>
    </row>
    <row r="57" spans="1:24">
      <c r="A57" s="97" t="s">
        <v>714</v>
      </c>
      <c r="B57" s="98" t="s">
        <v>677</v>
      </c>
      <c r="C57" s="98" t="s">
        <v>33</v>
      </c>
      <c r="D57" s="99" t="s">
        <v>637</v>
      </c>
      <c r="E57" s="98"/>
      <c r="F57" s="100">
        <v>34</v>
      </c>
      <c r="G57" s="101">
        <v>32</v>
      </c>
      <c r="H57" s="100">
        <v>31</v>
      </c>
      <c r="I57" s="101">
        <v>28</v>
      </c>
      <c r="J57" s="100">
        <v>31</v>
      </c>
      <c r="K57" s="101"/>
      <c r="L57" s="100">
        <v>97</v>
      </c>
      <c r="M57" s="101">
        <v>70</v>
      </c>
      <c r="N57" s="101">
        <v>5</v>
      </c>
      <c r="O57" s="101">
        <v>0</v>
      </c>
      <c r="P57" s="101">
        <v>53</v>
      </c>
      <c r="Q57" s="101">
        <v>7</v>
      </c>
      <c r="R57" s="101">
        <v>0</v>
      </c>
      <c r="S57" s="101">
        <v>36</v>
      </c>
      <c r="T57" s="101">
        <v>4</v>
      </c>
      <c r="U57" s="101">
        <v>0</v>
      </c>
      <c r="V57" s="101">
        <v>33</v>
      </c>
      <c r="W57" s="101">
        <v>7</v>
      </c>
      <c r="X57" s="102">
        <v>0</v>
      </c>
    </row>
    <row r="58" spans="1:24">
      <c r="A58" s="97" t="s">
        <v>722</v>
      </c>
      <c r="B58" s="98" t="s">
        <v>678</v>
      </c>
      <c r="C58" s="98" t="s">
        <v>33</v>
      </c>
      <c r="D58" s="99" t="s">
        <v>637</v>
      </c>
      <c r="E58" s="98"/>
      <c r="F58" s="100">
        <v>34</v>
      </c>
      <c r="G58" s="101">
        <v>31</v>
      </c>
      <c r="H58" s="100">
        <v>33</v>
      </c>
      <c r="I58" s="101">
        <v>24</v>
      </c>
      <c r="J58" s="100">
        <v>30</v>
      </c>
      <c r="K58" s="101"/>
      <c r="L58" s="100">
        <v>96</v>
      </c>
      <c r="M58" s="101">
        <v>71</v>
      </c>
      <c r="N58" s="101">
        <v>4</v>
      </c>
      <c r="O58" s="101">
        <v>0</v>
      </c>
      <c r="P58" s="101">
        <v>52</v>
      </c>
      <c r="Q58" s="101">
        <v>8</v>
      </c>
      <c r="R58" s="101">
        <v>0</v>
      </c>
      <c r="S58" s="101">
        <v>38</v>
      </c>
      <c r="T58" s="101">
        <v>2</v>
      </c>
      <c r="U58" s="101">
        <v>0</v>
      </c>
      <c r="V58" s="101">
        <v>27</v>
      </c>
      <c r="W58" s="101">
        <v>13</v>
      </c>
      <c r="X58" s="102">
        <v>0</v>
      </c>
    </row>
    <row r="59" spans="1:24">
      <c r="A59" s="192" t="s">
        <v>708</v>
      </c>
      <c r="B59" s="193" t="s">
        <v>679</v>
      </c>
      <c r="C59" s="193" t="s">
        <v>33</v>
      </c>
      <c r="D59" s="194" t="s">
        <v>637</v>
      </c>
      <c r="E59" s="193"/>
      <c r="F59" s="195">
        <v>32</v>
      </c>
      <c r="G59" s="196">
        <v>35</v>
      </c>
      <c r="H59" s="195">
        <v>29</v>
      </c>
      <c r="I59" s="196">
        <v>30</v>
      </c>
      <c r="J59" s="195">
        <v>32</v>
      </c>
      <c r="K59" s="196"/>
      <c r="L59" s="195">
        <v>98</v>
      </c>
      <c r="M59" s="196">
        <v>68</v>
      </c>
      <c r="N59" s="196">
        <v>7</v>
      </c>
      <c r="O59" s="196">
        <v>0</v>
      </c>
      <c r="P59" s="196">
        <v>58</v>
      </c>
      <c r="Q59" s="196">
        <v>2</v>
      </c>
      <c r="R59" s="196">
        <v>0</v>
      </c>
      <c r="S59" s="196">
        <v>34</v>
      </c>
      <c r="T59" s="196">
        <v>6</v>
      </c>
      <c r="U59" s="196">
        <v>0</v>
      </c>
      <c r="V59" s="196">
        <v>35</v>
      </c>
      <c r="W59" s="196">
        <v>4</v>
      </c>
      <c r="X59" s="197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과목성적분포도">
    <tabColor theme="3"/>
    <pageSetUpPr fitToPage="1"/>
  </sheetPr>
  <dimension ref="B1:O38"/>
  <sheetViews>
    <sheetView showGridLines="0" workbookViewId="0"/>
  </sheetViews>
  <sheetFormatPr baseColWidth="10" defaultColWidth="2.6640625" defaultRowHeight="16"/>
  <cols>
    <col min="1" max="1" width="2.6640625" style="5" customWidth="1"/>
    <col min="2" max="2" width="8" style="5" customWidth="1"/>
    <col min="3" max="3" width="8.33203125" style="5" customWidth="1"/>
    <col min="4" max="5" width="12.5" style="5" customWidth="1"/>
    <col min="6" max="14" width="9" style="5" customWidth="1"/>
    <col min="15" max="15" width="9" style="5" hidden="1" customWidth="1"/>
    <col min="16" max="209" width="9" style="5" customWidth="1"/>
    <col min="210" max="232" width="2.6640625" style="5"/>
    <col min="233" max="233" width="2.6640625" style="5" customWidth="1"/>
    <col min="234" max="234" width="8" style="5" customWidth="1"/>
    <col min="235" max="235" width="8.33203125" style="5" customWidth="1"/>
    <col min="236" max="237" width="12.5" style="5" customWidth="1"/>
    <col min="238" max="465" width="9" style="5" customWidth="1"/>
    <col min="466" max="488" width="2.6640625" style="5"/>
    <col min="489" max="489" width="2.6640625" style="5" customWidth="1"/>
    <col min="490" max="490" width="8" style="5" customWidth="1"/>
    <col min="491" max="491" width="8.33203125" style="5" customWidth="1"/>
    <col min="492" max="493" width="12.5" style="5" customWidth="1"/>
    <col min="494" max="721" width="9" style="5" customWidth="1"/>
    <col min="722" max="744" width="2.6640625" style="5"/>
    <col min="745" max="745" width="2.6640625" style="5" customWidth="1"/>
    <col min="746" max="746" width="8" style="5" customWidth="1"/>
    <col min="747" max="747" width="8.33203125" style="5" customWidth="1"/>
    <col min="748" max="749" width="12.5" style="5" customWidth="1"/>
    <col min="750" max="977" width="9" style="5" customWidth="1"/>
    <col min="978" max="1000" width="2.6640625" style="5"/>
    <col min="1001" max="1001" width="2.6640625" style="5" customWidth="1"/>
    <col min="1002" max="1002" width="8" style="5" customWidth="1"/>
    <col min="1003" max="1003" width="8.33203125" style="5" customWidth="1"/>
    <col min="1004" max="1005" width="12.5" style="5" customWidth="1"/>
    <col min="1006" max="1233" width="9" style="5" customWidth="1"/>
    <col min="1234" max="1256" width="2.6640625" style="5"/>
    <col min="1257" max="1257" width="2.6640625" style="5" customWidth="1"/>
    <col min="1258" max="1258" width="8" style="5" customWidth="1"/>
    <col min="1259" max="1259" width="8.33203125" style="5" customWidth="1"/>
    <col min="1260" max="1261" width="12.5" style="5" customWidth="1"/>
    <col min="1262" max="1489" width="9" style="5" customWidth="1"/>
    <col min="1490" max="1512" width="2.6640625" style="5"/>
    <col min="1513" max="1513" width="2.6640625" style="5" customWidth="1"/>
    <col min="1514" max="1514" width="8" style="5" customWidth="1"/>
    <col min="1515" max="1515" width="8.33203125" style="5" customWidth="1"/>
    <col min="1516" max="1517" width="12.5" style="5" customWidth="1"/>
    <col min="1518" max="1745" width="9" style="5" customWidth="1"/>
    <col min="1746" max="1768" width="2.6640625" style="5"/>
    <col min="1769" max="1769" width="2.6640625" style="5" customWidth="1"/>
    <col min="1770" max="1770" width="8" style="5" customWidth="1"/>
    <col min="1771" max="1771" width="8.33203125" style="5" customWidth="1"/>
    <col min="1772" max="1773" width="12.5" style="5" customWidth="1"/>
    <col min="1774" max="2001" width="9" style="5" customWidth="1"/>
    <col min="2002" max="2024" width="2.6640625" style="5"/>
    <col min="2025" max="2025" width="2.6640625" style="5" customWidth="1"/>
    <col min="2026" max="2026" width="8" style="5" customWidth="1"/>
    <col min="2027" max="2027" width="8.33203125" style="5" customWidth="1"/>
    <col min="2028" max="2029" width="12.5" style="5" customWidth="1"/>
    <col min="2030" max="2257" width="9" style="5" customWidth="1"/>
    <col min="2258" max="2280" width="2.6640625" style="5"/>
    <col min="2281" max="2281" width="2.6640625" style="5" customWidth="1"/>
    <col min="2282" max="2282" width="8" style="5" customWidth="1"/>
    <col min="2283" max="2283" width="8.33203125" style="5" customWidth="1"/>
    <col min="2284" max="2285" width="12.5" style="5" customWidth="1"/>
    <col min="2286" max="2513" width="9" style="5" customWidth="1"/>
    <col min="2514" max="2536" width="2.6640625" style="5"/>
    <col min="2537" max="2537" width="2.6640625" style="5" customWidth="1"/>
    <col min="2538" max="2538" width="8" style="5" customWidth="1"/>
    <col min="2539" max="2539" width="8.33203125" style="5" customWidth="1"/>
    <col min="2540" max="2541" width="12.5" style="5" customWidth="1"/>
    <col min="2542" max="2769" width="9" style="5" customWidth="1"/>
    <col min="2770" max="2792" width="2.6640625" style="5"/>
    <col min="2793" max="2793" width="2.6640625" style="5" customWidth="1"/>
    <col min="2794" max="2794" width="8" style="5" customWidth="1"/>
    <col min="2795" max="2795" width="8.33203125" style="5" customWidth="1"/>
    <col min="2796" max="2797" width="12.5" style="5" customWidth="1"/>
    <col min="2798" max="3025" width="9" style="5" customWidth="1"/>
    <col min="3026" max="3048" width="2.6640625" style="5"/>
    <col min="3049" max="3049" width="2.6640625" style="5" customWidth="1"/>
    <col min="3050" max="3050" width="8" style="5" customWidth="1"/>
    <col min="3051" max="3051" width="8.33203125" style="5" customWidth="1"/>
    <col min="3052" max="3053" width="12.5" style="5" customWidth="1"/>
    <col min="3054" max="3281" width="9" style="5" customWidth="1"/>
    <col min="3282" max="3304" width="2.6640625" style="5"/>
    <col min="3305" max="3305" width="2.6640625" style="5" customWidth="1"/>
    <col min="3306" max="3306" width="8" style="5" customWidth="1"/>
    <col min="3307" max="3307" width="8.33203125" style="5" customWidth="1"/>
    <col min="3308" max="3309" width="12.5" style="5" customWidth="1"/>
    <col min="3310" max="3537" width="9" style="5" customWidth="1"/>
    <col min="3538" max="3560" width="2.6640625" style="5"/>
    <col min="3561" max="3561" width="2.6640625" style="5" customWidth="1"/>
    <col min="3562" max="3562" width="8" style="5" customWidth="1"/>
    <col min="3563" max="3563" width="8.33203125" style="5" customWidth="1"/>
    <col min="3564" max="3565" width="12.5" style="5" customWidth="1"/>
    <col min="3566" max="3793" width="9" style="5" customWidth="1"/>
    <col min="3794" max="3816" width="2.6640625" style="5"/>
    <col min="3817" max="3817" width="2.6640625" style="5" customWidth="1"/>
    <col min="3818" max="3818" width="8" style="5" customWidth="1"/>
    <col min="3819" max="3819" width="8.33203125" style="5" customWidth="1"/>
    <col min="3820" max="3821" width="12.5" style="5" customWidth="1"/>
    <col min="3822" max="4049" width="9" style="5" customWidth="1"/>
    <col min="4050" max="4072" width="2.6640625" style="5"/>
    <col min="4073" max="4073" width="2.6640625" style="5" customWidth="1"/>
    <col min="4074" max="4074" width="8" style="5" customWidth="1"/>
    <col min="4075" max="4075" width="8.33203125" style="5" customWidth="1"/>
    <col min="4076" max="4077" width="12.5" style="5" customWidth="1"/>
    <col min="4078" max="4305" width="9" style="5" customWidth="1"/>
    <col min="4306" max="4328" width="2.6640625" style="5"/>
    <col min="4329" max="4329" width="2.6640625" style="5" customWidth="1"/>
    <col min="4330" max="4330" width="8" style="5" customWidth="1"/>
    <col min="4331" max="4331" width="8.33203125" style="5" customWidth="1"/>
    <col min="4332" max="4333" width="12.5" style="5" customWidth="1"/>
    <col min="4334" max="4561" width="9" style="5" customWidth="1"/>
    <col min="4562" max="4584" width="2.6640625" style="5"/>
    <col min="4585" max="4585" width="2.6640625" style="5" customWidth="1"/>
    <col min="4586" max="4586" width="8" style="5" customWidth="1"/>
    <col min="4587" max="4587" width="8.33203125" style="5" customWidth="1"/>
    <col min="4588" max="4589" width="12.5" style="5" customWidth="1"/>
    <col min="4590" max="4817" width="9" style="5" customWidth="1"/>
    <col min="4818" max="4840" width="2.6640625" style="5"/>
    <col min="4841" max="4841" width="2.6640625" style="5" customWidth="1"/>
    <col min="4842" max="4842" width="8" style="5" customWidth="1"/>
    <col min="4843" max="4843" width="8.33203125" style="5" customWidth="1"/>
    <col min="4844" max="4845" width="12.5" style="5" customWidth="1"/>
    <col min="4846" max="5073" width="9" style="5" customWidth="1"/>
    <col min="5074" max="5096" width="2.6640625" style="5"/>
    <col min="5097" max="5097" width="2.6640625" style="5" customWidth="1"/>
    <col min="5098" max="5098" width="8" style="5" customWidth="1"/>
    <col min="5099" max="5099" width="8.33203125" style="5" customWidth="1"/>
    <col min="5100" max="5101" width="12.5" style="5" customWidth="1"/>
    <col min="5102" max="5329" width="9" style="5" customWidth="1"/>
    <col min="5330" max="5352" width="2.6640625" style="5"/>
    <col min="5353" max="5353" width="2.6640625" style="5" customWidth="1"/>
    <col min="5354" max="5354" width="8" style="5" customWidth="1"/>
    <col min="5355" max="5355" width="8.33203125" style="5" customWidth="1"/>
    <col min="5356" max="5357" width="12.5" style="5" customWidth="1"/>
    <col min="5358" max="5585" width="9" style="5" customWidth="1"/>
    <col min="5586" max="5608" width="2.6640625" style="5"/>
    <col min="5609" max="5609" width="2.6640625" style="5" customWidth="1"/>
    <col min="5610" max="5610" width="8" style="5" customWidth="1"/>
    <col min="5611" max="5611" width="8.33203125" style="5" customWidth="1"/>
    <col min="5612" max="5613" width="12.5" style="5" customWidth="1"/>
    <col min="5614" max="5841" width="9" style="5" customWidth="1"/>
    <col min="5842" max="5864" width="2.6640625" style="5"/>
    <col min="5865" max="5865" width="2.6640625" style="5" customWidth="1"/>
    <col min="5866" max="5866" width="8" style="5" customWidth="1"/>
    <col min="5867" max="5867" width="8.33203125" style="5" customWidth="1"/>
    <col min="5868" max="5869" width="12.5" style="5" customWidth="1"/>
    <col min="5870" max="6097" width="9" style="5" customWidth="1"/>
    <col min="6098" max="6120" width="2.6640625" style="5"/>
    <col min="6121" max="6121" width="2.6640625" style="5" customWidth="1"/>
    <col min="6122" max="6122" width="8" style="5" customWidth="1"/>
    <col min="6123" max="6123" width="8.33203125" style="5" customWidth="1"/>
    <col min="6124" max="6125" width="12.5" style="5" customWidth="1"/>
    <col min="6126" max="6353" width="9" style="5" customWidth="1"/>
    <col min="6354" max="6376" width="2.6640625" style="5"/>
    <col min="6377" max="6377" width="2.6640625" style="5" customWidth="1"/>
    <col min="6378" max="6378" width="8" style="5" customWidth="1"/>
    <col min="6379" max="6379" width="8.33203125" style="5" customWidth="1"/>
    <col min="6380" max="6381" width="12.5" style="5" customWidth="1"/>
    <col min="6382" max="6609" width="9" style="5" customWidth="1"/>
    <col min="6610" max="6632" width="2.6640625" style="5"/>
    <col min="6633" max="6633" width="2.6640625" style="5" customWidth="1"/>
    <col min="6634" max="6634" width="8" style="5" customWidth="1"/>
    <col min="6635" max="6635" width="8.33203125" style="5" customWidth="1"/>
    <col min="6636" max="6637" width="12.5" style="5" customWidth="1"/>
    <col min="6638" max="6865" width="9" style="5" customWidth="1"/>
    <col min="6866" max="6888" width="2.6640625" style="5"/>
    <col min="6889" max="6889" width="2.6640625" style="5" customWidth="1"/>
    <col min="6890" max="6890" width="8" style="5" customWidth="1"/>
    <col min="6891" max="6891" width="8.33203125" style="5" customWidth="1"/>
    <col min="6892" max="6893" width="12.5" style="5" customWidth="1"/>
    <col min="6894" max="7121" width="9" style="5" customWidth="1"/>
    <col min="7122" max="7144" width="2.6640625" style="5"/>
    <col min="7145" max="7145" width="2.6640625" style="5" customWidth="1"/>
    <col min="7146" max="7146" width="8" style="5" customWidth="1"/>
    <col min="7147" max="7147" width="8.33203125" style="5" customWidth="1"/>
    <col min="7148" max="7149" width="12.5" style="5" customWidth="1"/>
    <col min="7150" max="7377" width="9" style="5" customWidth="1"/>
    <col min="7378" max="7400" width="2.6640625" style="5"/>
    <col min="7401" max="7401" width="2.6640625" style="5" customWidth="1"/>
    <col min="7402" max="7402" width="8" style="5" customWidth="1"/>
    <col min="7403" max="7403" width="8.33203125" style="5" customWidth="1"/>
    <col min="7404" max="7405" width="12.5" style="5" customWidth="1"/>
    <col min="7406" max="7633" width="9" style="5" customWidth="1"/>
    <col min="7634" max="7656" width="2.6640625" style="5"/>
    <col min="7657" max="7657" width="2.6640625" style="5" customWidth="1"/>
    <col min="7658" max="7658" width="8" style="5" customWidth="1"/>
    <col min="7659" max="7659" width="8.33203125" style="5" customWidth="1"/>
    <col min="7660" max="7661" width="12.5" style="5" customWidth="1"/>
    <col min="7662" max="7889" width="9" style="5" customWidth="1"/>
    <col min="7890" max="7912" width="2.6640625" style="5"/>
    <col min="7913" max="7913" width="2.6640625" style="5" customWidth="1"/>
    <col min="7914" max="7914" width="8" style="5" customWidth="1"/>
    <col min="7915" max="7915" width="8.33203125" style="5" customWidth="1"/>
    <col min="7916" max="7917" width="12.5" style="5" customWidth="1"/>
    <col min="7918" max="8145" width="9" style="5" customWidth="1"/>
    <col min="8146" max="8168" width="2.6640625" style="5"/>
    <col min="8169" max="8169" width="2.6640625" style="5" customWidth="1"/>
    <col min="8170" max="8170" width="8" style="5" customWidth="1"/>
    <col min="8171" max="8171" width="8.33203125" style="5" customWidth="1"/>
    <col min="8172" max="8173" width="12.5" style="5" customWidth="1"/>
    <col min="8174" max="8401" width="9" style="5" customWidth="1"/>
    <col min="8402" max="8424" width="2.6640625" style="5"/>
    <col min="8425" max="8425" width="2.6640625" style="5" customWidth="1"/>
    <col min="8426" max="8426" width="8" style="5" customWidth="1"/>
    <col min="8427" max="8427" width="8.33203125" style="5" customWidth="1"/>
    <col min="8428" max="8429" width="12.5" style="5" customWidth="1"/>
    <col min="8430" max="8657" width="9" style="5" customWidth="1"/>
    <col min="8658" max="8680" width="2.6640625" style="5"/>
    <col min="8681" max="8681" width="2.6640625" style="5" customWidth="1"/>
    <col min="8682" max="8682" width="8" style="5" customWidth="1"/>
    <col min="8683" max="8683" width="8.33203125" style="5" customWidth="1"/>
    <col min="8684" max="8685" width="12.5" style="5" customWidth="1"/>
    <col min="8686" max="8913" width="9" style="5" customWidth="1"/>
    <col min="8914" max="8936" width="2.6640625" style="5"/>
    <col min="8937" max="8937" width="2.6640625" style="5" customWidth="1"/>
    <col min="8938" max="8938" width="8" style="5" customWidth="1"/>
    <col min="8939" max="8939" width="8.33203125" style="5" customWidth="1"/>
    <col min="8940" max="8941" width="12.5" style="5" customWidth="1"/>
    <col min="8942" max="9169" width="9" style="5" customWidth="1"/>
    <col min="9170" max="9192" width="2.6640625" style="5"/>
    <col min="9193" max="9193" width="2.6640625" style="5" customWidth="1"/>
    <col min="9194" max="9194" width="8" style="5" customWidth="1"/>
    <col min="9195" max="9195" width="8.33203125" style="5" customWidth="1"/>
    <col min="9196" max="9197" width="12.5" style="5" customWidth="1"/>
    <col min="9198" max="9425" width="9" style="5" customWidth="1"/>
    <col min="9426" max="9448" width="2.6640625" style="5"/>
    <col min="9449" max="9449" width="2.6640625" style="5" customWidth="1"/>
    <col min="9450" max="9450" width="8" style="5" customWidth="1"/>
    <col min="9451" max="9451" width="8.33203125" style="5" customWidth="1"/>
    <col min="9452" max="9453" width="12.5" style="5" customWidth="1"/>
    <col min="9454" max="9681" width="9" style="5" customWidth="1"/>
    <col min="9682" max="9704" width="2.6640625" style="5"/>
    <col min="9705" max="9705" width="2.6640625" style="5" customWidth="1"/>
    <col min="9706" max="9706" width="8" style="5" customWidth="1"/>
    <col min="9707" max="9707" width="8.33203125" style="5" customWidth="1"/>
    <col min="9708" max="9709" width="12.5" style="5" customWidth="1"/>
    <col min="9710" max="9937" width="9" style="5" customWidth="1"/>
    <col min="9938" max="9960" width="2.6640625" style="5"/>
    <col min="9961" max="9961" width="2.6640625" style="5" customWidth="1"/>
    <col min="9962" max="9962" width="8" style="5" customWidth="1"/>
    <col min="9963" max="9963" width="8.33203125" style="5" customWidth="1"/>
    <col min="9964" max="9965" width="12.5" style="5" customWidth="1"/>
    <col min="9966" max="10193" width="9" style="5" customWidth="1"/>
    <col min="10194" max="10216" width="2.6640625" style="5"/>
    <col min="10217" max="10217" width="2.6640625" style="5" customWidth="1"/>
    <col min="10218" max="10218" width="8" style="5" customWidth="1"/>
    <col min="10219" max="10219" width="8.33203125" style="5" customWidth="1"/>
    <col min="10220" max="10221" width="12.5" style="5" customWidth="1"/>
    <col min="10222" max="10449" width="9" style="5" customWidth="1"/>
    <col min="10450" max="10472" width="2.6640625" style="5"/>
    <col min="10473" max="10473" width="2.6640625" style="5" customWidth="1"/>
    <col min="10474" max="10474" width="8" style="5" customWidth="1"/>
    <col min="10475" max="10475" width="8.33203125" style="5" customWidth="1"/>
    <col min="10476" max="10477" width="12.5" style="5" customWidth="1"/>
    <col min="10478" max="10705" width="9" style="5" customWidth="1"/>
    <col min="10706" max="10728" width="2.6640625" style="5"/>
    <col min="10729" max="10729" width="2.6640625" style="5" customWidth="1"/>
    <col min="10730" max="10730" width="8" style="5" customWidth="1"/>
    <col min="10731" max="10731" width="8.33203125" style="5" customWidth="1"/>
    <col min="10732" max="10733" width="12.5" style="5" customWidth="1"/>
    <col min="10734" max="10961" width="9" style="5" customWidth="1"/>
    <col min="10962" max="10984" width="2.6640625" style="5"/>
    <col min="10985" max="10985" width="2.6640625" style="5" customWidth="1"/>
    <col min="10986" max="10986" width="8" style="5" customWidth="1"/>
    <col min="10987" max="10987" width="8.33203125" style="5" customWidth="1"/>
    <col min="10988" max="10989" width="12.5" style="5" customWidth="1"/>
    <col min="10990" max="11217" width="9" style="5" customWidth="1"/>
    <col min="11218" max="11240" width="2.6640625" style="5"/>
    <col min="11241" max="11241" width="2.6640625" style="5" customWidth="1"/>
    <col min="11242" max="11242" width="8" style="5" customWidth="1"/>
    <col min="11243" max="11243" width="8.33203125" style="5" customWidth="1"/>
    <col min="11244" max="11245" width="12.5" style="5" customWidth="1"/>
    <col min="11246" max="11473" width="9" style="5" customWidth="1"/>
    <col min="11474" max="11496" width="2.6640625" style="5"/>
    <col min="11497" max="11497" width="2.6640625" style="5" customWidth="1"/>
    <col min="11498" max="11498" width="8" style="5" customWidth="1"/>
    <col min="11499" max="11499" width="8.33203125" style="5" customWidth="1"/>
    <col min="11500" max="11501" width="12.5" style="5" customWidth="1"/>
    <col min="11502" max="11729" width="9" style="5" customWidth="1"/>
    <col min="11730" max="11752" width="2.6640625" style="5"/>
    <col min="11753" max="11753" width="2.6640625" style="5" customWidth="1"/>
    <col min="11754" max="11754" width="8" style="5" customWidth="1"/>
    <col min="11755" max="11755" width="8.33203125" style="5" customWidth="1"/>
    <col min="11756" max="11757" width="12.5" style="5" customWidth="1"/>
    <col min="11758" max="11985" width="9" style="5" customWidth="1"/>
    <col min="11986" max="12008" width="2.6640625" style="5"/>
    <col min="12009" max="12009" width="2.6640625" style="5" customWidth="1"/>
    <col min="12010" max="12010" width="8" style="5" customWidth="1"/>
    <col min="12011" max="12011" width="8.33203125" style="5" customWidth="1"/>
    <col min="12012" max="12013" width="12.5" style="5" customWidth="1"/>
    <col min="12014" max="12241" width="9" style="5" customWidth="1"/>
    <col min="12242" max="12264" width="2.6640625" style="5"/>
    <col min="12265" max="12265" width="2.6640625" style="5" customWidth="1"/>
    <col min="12266" max="12266" width="8" style="5" customWidth="1"/>
    <col min="12267" max="12267" width="8.33203125" style="5" customWidth="1"/>
    <col min="12268" max="12269" width="12.5" style="5" customWidth="1"/>
    <col min="12270" max="12497" width="9" style="5" customWidth="1"/>
    <col min="12498" max="12520" width="2.6640625" style="5"/>
    <col min="12521" max="12521" width="2.6640625" style="5" customWidth="1"/>
    <col min="12522" max="12522" width="8" style="5" customWidth="1"/>
    <col min="12523" max="12523" width="8.33203125" style="5" customWidth="1"/>
    <col min="12524" max="12525" width="12.5" style="5" customWidth="1"/>
    <col min="12526" max="12753" width="9" style="5" customWidth="1"/>
    <col min="12754" max="12776" width="2.6640625" style="5"/>
    <col min="12777" max="12777" width="2.6640625" style="5" customWidth="1"/>
    <col min="12778" max="12778" width="8" style="5" customWidth="1"/>
    <col min="12779" max="12779" width="8.33203125" style="5" customWidth="1"/>
    <col min="12780" max="12781" width="12.5" style="5" customWidth="1"/>
    <col min="12782" max="13009" width="9" style="5" customWidth="1"/>
    <col min="13010" max="13032" width="2.6640625" style="5"/>
    <col min="13033" max="13033" width="2.6640625" style="5" customWidth="1"/>
    <col min="13034" max="13034" width="8" style="5" customWidth="1"/>
    <col min="13035" max="13035" width="8.33203125" style="5" customWidth="1"/>
    <col min="13036" max="13037" width="12.5" style="5" customWidth="1"/>
    <col min="13038" max="13265" width="9" style="5" customWidth="1"/>
    <col min="13266" max="13288" width="2.6640625" style="5"/>
    <col min="13289" max="13289" width="2.6640625" style="5" customWidth="1"/>
    <col min="13290" max="13290" width="8" style="5" customWidth="1"/>
    <col min="13291" max="13291" width="8.33203125" style="5" customWidth="1"/>
    <col min="13292" max="13293" width="12.5" style="5" customWidth="1"/>
    <col min="13294" max="13521" width="9" style="5" customWidth="1"/>
    <col min="13522" max="13544" width="2.6640625" style="5"/>
    <col min="13545" max="13545" width="2.6640625" style="5" customWidth="1"/>
    <col min="13546" max="13546" width="8" style="5" customWidth="1"/>
    <col min="13547" max="13547" width="8.33203125" style="5" customWidth="1"/>
    <col min="13548" max="13549" width="12.5" style="5" customWidth="1"/>
    <col min="13550" max="13777" width="9" style="5" customWidth="1"/>
    <col min="13778" max="13800" width="2.6640625" style="5"/>
    <col min="13801" max="13801" width="2.6640625" style="5" customWidth="1"/>
    <col min="13802" max="13802" width="8" style="5" customWidth="1"/>
    <col min="13803" max="13803" width="8.33203125" style="5" customWidth="1"/>
    <col min="13804" max="13805" width="12.5" style="5" customWidth="1"/>
    <col min="13806" max="14033" width="9" style="5" customWidth="1"/>
    <col min="14034" max="14056" width="2.6640625" style="5"/>
    <col min="14057" max="14057" width="2.6640625" style="5" customWidth="1"/>
    <col min="14058" max="14058" width="8" style="5" customWidth="1"/>
    <col min="14059" max="14059" width="8.33203125" style="5" customWidth="1"/>
    <col min="14060" max="14061" width="12.5" style="5" customWidth="1"/>
    <col min="14062" max="14289" width="9" style="5" customWidth="1"/>
    <col min="14290" max="14312" width="2.6640625" style="5"/>
    <col min="14313" max="14313" width="2.6640625" style="5" customWidth="1"/>
    <col min="14314" max="14314" width="8" style="5" customWidth="1"/>
    <col min="14315" max="14315" width="8.33203125" style="5" customWidth="1"/>
    <col min="14316" max="14317" width="12.5" style="5" customWidth="1"/>
    <col min="14318" max="14545" width="9" style="5" customWidth="1"/>
    <col min="14546" max="14568" width="2.6640625" style="5"/>
    <col min="14569" max="14569" width="2.6640625" style="5" customWidth="1"/>
    <col min="14570" max="14570" width="8" style="5" customWidth="1"/>
    <col min="14571" max="14571" width="8.33203125" style="5" customWidth="1"/>
    <col min="14572" max="14573" width="12.5" style="5" customWidth="1"/>
    <col min="14574" max="14801" width="9" style="5" customWidth="1"/>
    <col min="14802" max="14824" width="2.6640625" style="5"/>
    <col min="14825" max="14825" width="2.6640625" style="5" customWidth="1"/>
    <col min="14826" max="14826" width="8" style="5" customWidth="1"/>
    <col min="14827" max="14827" width="8.33203125" style="5" customWidth="1"/>
    <col min="14828" max="14829" width="12.5" style="5" customWidth="1"/>
    <col min="14830" max="15057" width="9" style="5" customWidth="1"/>
    <col min="15058" max="15080" width="2.6640625" style="5"/>
    <col min="15081" max="15081" width="2.6640625" style="5" customWidth="1"/>
    <col min="15082" max="15082" width="8" style="5" customWidth="1"/>
    <col min="15083" max="15083" width="8.33203125" style="5" customWidth="1"/>
    <col min="15084" max="15085" width="12.5" style="5" customWidth="1"/>
    <col min="15086" max="15313" width="9" style="5" customWidth="1"/>
    <col min="15314" max="15336" width="2.6640625" style="5"/>
    <col min="15337" max="15337" width="2.6640625" style="5" customWidth="1"/>
    <col min="15338" max="15338" width="8" style="5" customWidth="1"/>
    <col min="15339" max="15339" width="8.33203125" style="5" customWidth="1"/>
    <col min="15340" max="15341" width="12.5" style="5" customWidth="1"/>
    <col min="15342" max="15569" width="9" style="5" customWidth="1"/>
    <col min="15570" max="15592" width="2.6640625" style="5"/>
    <col min="15593" max="15593" width="2.6640625" style="5" customWidth="1"/>
    <col min="15594" max="15594" width="8" style="5" customWidth="1"/>
    <col min="15595" max="15595" width="8.33203125" style="5" customWidth="1"/>
    <col min="15596" max="15597" width="12.5" style="5" customWidth="1"/>
    <col min="15598" max="15825" width="9" style="5" customWidth="1"/>
    <col min="15826" max="15848" width="2.6640625" style="5"/>
    <col min="15849" max="15849" width="2.6640625" style="5" customWidth="1"/>
    <col min="15850" max="15850" width="8" style="5" customWidth="1"/>
    <col min="15851" max="15851" width="8.33203125" style="5" customWidth="1"/>
    <col min="15852" max="15853" width="12.5" style="5" customWidth="1"/>
    <col min="15854" max="16081" width="9" style="5" customWidth="1"/>
    <col min="16082" max="16104" width="2.6640625" style="5"/>
    <col min="16105" max="16105" width="2.6640625" style="5" customWidth="1"/>
    <col min="16106" max="16106" width="8" style="5" customWidth="1"/>
    <col min="16107" max="16107" width="8.33203125" style="5" customWidth="1"/>
    <col min="16108" max="16109" width="12.5" style="5" customWidth="1"/>
    <col min="16110" max="16337" width="9" style="5" customWidth="1"/>
    <col min="16338" max="16384" width="2.6640625" style="5"/>
  </cols>
  <sheetData>
    <row r="1" spans="2:15" ht="14.25" customHeight="1"/>
    <row r="2" spans="2:15" ht="23.25" customHeight="1">
      <c r="B2" s="206" t="s">
        <v>312</v>
      </c>
      <c r="C2" s="206"/>
      <c r="D2" s="206"/>
      <c r="E2" s="206"/>
      <c r="F2" s="206"/>
      <c r="G2" s="206"/>
      <c r="H2" s="206"/>
      <c r="I2" s="206"/>
      <c r="J2" s="206"/>
      <c r="K2" s="206"/>
    </row>
    <row r="3" spans="2:15" ht="7.5" customHeight="1">
      <c r="O3" s="5">
        <v>1</v>
      </c>
    </row>
    <row r="4" spans="2:15" ht="24.75" customHeight="1">
      <c r="B4" s="224" t="s">
        <v>72</v>
      </c>
      <c r="C4" s="224"/>
      <c r="D4" s="225" t="str">
        <f>INDEX($O$4:$O$8,O3)</f>
        <v>English</v>
      </c>
      <c r="E4" s="225"/>
      <c r="F4" s="225"/>
      <c r="G4" s="224" t="s">
        <v>6</v>
      </c>
      <c r="H4" s="224"/>
      <c r="I4" s="226">
        <v>43661</v>
      </c>
      <c r="J4" s="227"/>
      <c r="K4" s="227"/>
      <c r="O4" s="5" t="s">
        <v>75</v>
      </c>
    </row>
    <row r="5" spans="2:15" ht="24.75" customHeight="1">
      <c r="B5" s="224" t="s">
        <v>7</v>
      </c>
      <c r="C5" s="224"/>
      <c r="D5" s="225" t="s">
        <v>563</v>
      </c>
      <c r="E5" s="225"/>
      <c r="F5" s="225"/>
      <c r="G5" s="224" t="s">
        <v>8</v>
      </c>
      <c r="H5" s="224"/>
      <c r="I5" s="225" t="s">
        <v>616</v>
      </c>
      <c r="J5" s="225"/>
      <c r="K5" s="225"/>
      <c r="O5" s="5" t="s">
        <v>305</v>
      </c>
    </row>
    <row r="6" spans="2:15" ht="24.75" customHeight="1">
      <c r="B6" s="224" t="s">
        <v>9</v>
      </c>
      <c r="C6" s="224"/>
      <c r="D6" s="227" t="s">
        <v>754</v>
      </c>
      <c r="E6" s="227"/>
      <c r="F6" s="227"/>
      <c r="G6" s="224" t="s">
        <v>10</v>
      </c>
      <c r="H6" s="224"/>
      <c r="I6" s="225" t="s">
        <v>617</v>
      </c>
      <c r="J6" s="225"/>
      <c r="K6" s="225"/>
      <c r="O6" s="5" t="s">
        <v>76</v>
      </c>
    </row>
    <row r="7" spans="2:15" ht="15" customHeight="1">
      <c r="O7" s="5" t="s">
        <v>77</v>
      </c>
    </row>
    <row r="8" spans="2:15" ht="24" customHeight="1">
      <c r="B8" s="228" t="s">
        <v>13</v>
      </c>
      <c r="C8" s="228"/>
      <c r="D8" s="82" t="s">
        <v>11</v>
      </c>
      <c r="E8" s="82" t="s">
        <v>12</v>
      </c>
      <c r="F8" s="229"/>
      <c r="G8" s="230"/>
      <c r="H8" s="230"/>
      <c r="I8" s="230"/>
      <c r="J8" s="230"/>
      <c r="K8" s="231"/>
      <c r="O8" s="5" t="s">
        <v>88</v>
      </c>
    </row>
    <row r="9" spans="2:15" ht="24" customHeight="1">
      <c r="B9" s="27">
        <v>36</v>
      </c>
      <c r="C9" s="28" t="s">
        <v>313</v>
      </c>
      <c r="D9" s="29">
        <v>0</v>
      </c>
      <c r="E9" s="30">
        <f t="shared" ref="E9:E36" si="0">D9/D$37</f>
        <v>0</v>
      </c>
      <c r="F9" s="232"/>
      <c r="G9" s="233"/>
      <c r="H9" s="233"/>
      <c r="I9" s="233"/>
      <c r="J9" s="233"/>
      <c r="K9" s="234"/>
    </row>
    <row r="10" spans="2:15" ht="24" customHeight="1">
      <c r="B10" s="31">
        <v>35</v>
      </c>
      <c r="C10" s="32" t="s">
        <v>73</v>
      </c>
      <c r="D10" s="33">
        <v>6</v>
      </c>
      <c r="E10" s="34">
        <f t="shared" si="0"/>
        <v>0.10344827586206896</v>
      </c>
      <c r="F10" s="232"/>
      <c r="G10" s="233"/>
      <c r="H10" s="233"/>
      <c r="I10" s="233"/>
      <c r="J10" s="233"/>
      <c r="K10" s="234"/>
    </row>
    <row r="11" spans="2:15" ht="24" customHeight="1">
      <c r="B11" s="31">
        <v>34</v>
      </c>
      <c r="C11" s="32" t="s">
        <v>73</v>
      </c>
      <c r="D11" s="33">
        <v>15</v>
      </c>
      <c r="E11" s="34">
        <f t="shared" si="0"/>
        <v>0.25862068965517243</v>
      </c>
      <c r="F11" s="232"/>
      <c r="G11" s="233"/>
      <c r="H11" s="233"/>
      <c r="I11" s="233"/>
      <c r="J11" s="233"/>
      <c r="K11" s="234"/>
    </row>
    <row r="12" spans="2:15" ht="24" customHeight="1">
      <c r="B12" s="31">
        <v>33</v>
      </c>
      <c r="C12" s="32" t="s">
        <v>314</v>
      </c>
      <c r="D12" s="33">
        <v>4</v>
      </c>
      <c r="E12" s="34">
        <f t="shared" si="0"/>
        <v>6.8965517241379309E-2</v>
      </c>
      <c r="F12" s="232"/>
      <c r="G12" s="233"/>
      <c r="H12" s="233"/>
      <c r="I12" s="233"/>
      <c r="J12" s="233"/>
      <c r="K12" s="234"/>
    </row>
    <row r="13" spans="2:15" ht="24" customHeight="1">
      <c r="B13" s="31">
        <v>32</v>
      </c>
      <c r="C13" s="32" t="s">
        <v>73</v>
      </c>
      <c r="D13" s="33">
        <v>4</v>
      </c>
      <c r="E13" s="34">
        <f t="shared" si="0"/>
        <v>6.8965517241379309E-2</v>
      </c>
      <c r="F13" s="232"/>
      <c r="G13" s="233"/>
      <c r="H13" s="233"/>
      <c r="I13" s="233"/>
      <c r="J13" s="233"/>
      <c r="K13" s="234"/>
    </row>
    <row r="14" spans="2:15" ht="24" customHeight="1">
      <c r="B14" s="31">
        <v>31</v>
      </c>
      <c r="C14" s="32" t="s">
        <v>73</v>
      </c>
      <c r="D14" s="33">
        <v>4</v>
      </c>
      <c r="E14" s="34">
        <f t="shared" si="0"/>
        <v>6.8965517241379309E-2</v>
      </c>
      <c r="F14" s="232"/>
      <c r="G14" s="233"/>
      <c r="H14" s="233"/>
      <c r="I14" s="233"/>
      <c r="J14" s="233"/>
      <c r="K14" s="234"/>
    </row>
    <row r="15" spans="2:15" ht="24" customHeight="1">
      <c r="B15" s="31">
        <v>30</v>
      </c>
      <c r="C15" s="32" t="s">
        <v>73</v>
      </c>
      <c r="D15" s="33">
        <v>3</v>
      </c>
      <c r="E15" s="34">
        <f t="shared" si="0"/>
        <v>5.1724137931034482E-2</v>
      </c>
      <c r="F15" s="232"/>
      <c r="G15" s="233"/>
      <c r="H15" s="233"/>
      <c r="I15" s="233"/>
      <c r="J15" s="233"/>
      <c r="K15" s="234"/>
    </row>
    <row r="16" spans="2:15" ht="24" customHeight="1">
      <c r="B16" s="31">
        <v>29</v>
      </c>
      <c r="C16" s="32" t="s">
        <v>73</v>
      </c>
      <c r="D16" s="33">
        <v>5</v>
      </c>
      <c r="E16" s="34">
        <f t="shared" si="0"/>
        <v>8.6206896551724144E-2</v>
      </c>
      <c r="F16" s="232"/>
      <c r="G16" s="233"/>
      <c r="H16" s="233"/>
      <c r="I16" s="233"/>
      <c r="J16" s="233"/>
      <c r="K16" s="234"/>
    </row>
    <row r="17" spans="2:11" ht="24" customHeight="1">
      <c r="B17" s="31">
        <v>28</v>
      </c>
      <c r="C17" s="32" t="s">
        <v>73</v>
      </c>
      <c r="D17" s="33">
        <v>0</v>
      </c>
      <c r="E17" s="34">
        <f t="shared" si="0"/>
        <v>0</v>
      </c>
      <c r="F17" s="232"/>
      <c r="G17" s="233"/>
      <c r="H17" s="233"/>
      <c r="I17" s="233"/>
      <c r="J17" s="233"/>
      <c r="K17" s="234"/>
    </row>
    <row r="18" spans="2:11" ht="24" customHeight="1">
      <c r="B18" s="31">
        <v>27</v>
      </c>
      <c r="C18" s="32" t="s">
        <v>73</v>
      </c>
      <c r="D18" s="33">
        <v>2</v>
      </c>
      <c r="E18" s="34">
        <f t="shared" si="0"/>
        <v>3.4482758620689655E-2</v>
      </c>
      <c r="F18" s="232"/>
      <c r="G18" s="233"/>
      <c r="H18" s="233"/>
      <c r="I18" s="233"/>
      <c r="J18" s="233"/>
      <c r="K18" s="234"/>
    </row>
    <row r="19" spans="2:11" ht="24" customHeight="1">
      <c r="B19" s="31">
        <v>26</v>
      </c>
      <c r="C19" s="32" t="s">
        <v>73</v>
      </c>
      <c r="D19" s="33">
        <v>1</v>
      </c>
      <c r="E19" s="34">
        <f t="shared" si="0"/>
        <v>1.7241379310344827E-2</v>
      </c>
      <c r="F19" s="232"/>
      <c r="G19" s="233"/>
      <c r="H19" s="233"/>
      <c r="I19" s="233"/>
      <c r="J19" s="233"/>
      <c r="K19" s="234"/>
    </row>
    <row r="20" spans="2:11" ht="24" customHeight="1">
      <c r="B20" s="31">
        <v>25</v>
      </c>
      <c r="C20" s="32" t="s">
        <v>73</v>
      </c>
      <c r="D20" s="33">
        <v>1</v>
      </c>
      <c r="E20" s="34">
        <f t="shared" si="0"/>
        <v>1.7241379310344827E-2</v>
      </c>
      <c r="F20" s="232"/>
      <c r="G20" s="233"/>
      <c r="H20" s="233"/>
      <c r="I20" s="233"/>
      <c r="J20" s="233"/>
      <c r="K20" s="234"/>
    </row>
    <row r="21" spans="2:11" ht="24" customHeight="1">
      <c r="B21" s="31">
        <v>24</v>
      </c>
      <c r="C21" s="32" t="s">
        <v>73</v>
      </c>
      <c r="D21" s="33">
        <v>8</v>
      </c>
      <c r="E21" s="34">
        <f t="shared" si="0"/>
        <v>0.13793103448275862</v>
      </c>
      <c r="F21" s="232"/>
      <c r="G21" s="233"/>
      <c r="H21" s="233"/>
      <c r="I21" s="233"/>
      <c r="J21" s="233"/>
      <c r="K21" s="234"/>
    </row>
    <row r="22" spans="2:11" ht="24" customHeight="1">
      <c r="B22" s="31">
        <v>23</v>
      </c>
      <c r="C22" s="32" t="s">
        <v>73</v>
      </c>
      <c r="D22" s="33">
        <v>0</v>
      </c>
      <c r="E22" s="34">
        <f t="shared" si="0"/>
        <v>0</v>
      </c>
      <c r="F22" s="232"/>
      <c r="G22" s="233"/>
      <c r="H22" s="233"/>
      <c r="I22" s="233"/>
      <c r="J22" s="233"/>
      <c r="K22" s="234"/>
    </row>
    <row r="23" spans="2:11" ht="24" customHeight="1">
      <c r="B23" s="31">
        <v>22</v>
      </c>
      <c r="C23" s="32" t="s">
        <v>73</v>
      </c>
      <c r="D23" s="33">
        <v>3</v>
      </c>
      <c r="E23" s="34">
        <f t="shared" si="0"/>
        <v>5.1724137931034482E-2</v>
      </c>
      <c r="F23" s="232"/>
      <c r="G23" s="233"/>
      <c r="H23" s="233"/>
      <c r="I23" s="233"/>
      <c r="J23" s="233"/>
      <c r="K23" s="234"/>
    </row>
    <row r="24" spans="2:11" ht="24" customHeight="1">
      <c r="B24" s="31">
        <v>21</v>
      </c>
      <c r="C24" s="32" t="s">
        <v>73</v>
      </c>
      <c r="D24" s="33">
        <v>1</v>
      </c>
      <c r="E24" s="34">
        <f t="shared" si="0"/>
        <v>1.7241379310344827E-2</v>
      </c>
      <c r="F24" s="232"/>
      <c r="G24" s="233"/>
      <c r="H24" s="233"/>
      <c r="I24" s="233"/>
      <c r="J24" s="233"/>
      <c r="K24" s="234"/>
    </row>
    <row r="25" spans="2:11" ht="24" customHeight="1">
      <c r="B25" s="31">
        <v>20</v>
      </c>
      <c r="C25" s="32" t="s">
        <v>73</v>
      </c>
      <c r="D25" s="33">
        <v>0</v>
      </c>
      <c r="E25" s="34">
        <f t="shared" si="0"/>
        <v>0</v>
      </c>
      <c r="F25" s="232"/>
      <c r="G25" s="233"/>
      <c r="H25" s="233"/>
      <c r="I25" s="233"/>
      <c r="J25" s="233"/>
      <c r="K25" s="234"/>
    </row>
    <row r="26" spans="2:11" ht="24" customHeight="1">
      <c r="B26" s="31">
        <v>19</v>
      </c>
      <c r="C26" s="32" t="s">
        <v>73</v>
      </c>
      <c r="D26" s="33">
        <v>1</v>
      </c>
      <c r="E26" s="34">
        <f t="shared" si="0"/>
        <v>1.7241379310344827E-2</v>
      </c>
      <c r="F26" s="232"/>
      <c r="G26" s="233"/>
      <c r="H26" s="233"/>
      <c r="I26" s="233"/>
      <c r="J26" s="233"/>
      <c r="K26" s="234"/>
    </row>
    <row r="27" spans="2:11" ht="24" customHeight="1">
      <c r="B27" s="31">
        <v>18</v>
      </c>
      <c r="C27" s="32" t="s">
        <v>73</v>
      </c>
      <c r="D27" s="33">
        <v>0</v>
      </c>
      <c r="E27" s="34">
        <f t="shared" si="0"/>
        <v>0</v>
      </c>
      <c r="F27" s="232"/>
      <c r="G27" s="233"/>
      <c r="H27" s="233"/>
      <c r="I27" s="233"/>
      <c r="J27" s="233"/>
      <c r="K27" s="234"/>
    </row>
    <row r="28" spans="2:11" ht="24" customHeight="1">
      <c r="B28" s="31">
        <v>17</v>
      </c>
      <c r="C28" s="32" t="s">
        <v>73</v>
      </c>
      <c r="D28" s="33">
        <v>0</v>
      </c>
      <c r="E28" s="34">
        <f t="shared" si="0"/>
        <v>0</v>
      </c>
      <c r="F28" s="232"/>
      <c r="G28" s="233"/>
      <c r="H28" s="233"/>
      <c r="I28" s="233"/>
      <c r="J28" s="233"/>
      <c r="K28" s="234"/>
    </row>
    <row r="29" spans="2:11" ht="24" customHeight="1">
      <c r="B29" s="31">
        <v>16</v>
      </c>
      <c r="C29" s="32" t="s">
        <v>73</v>
      </c>
      <c r="D29" s="33">
        <v>0</v>
      </c>
      <c r="E29" s="34">
        <f t="shared" si="0"/>
        <v>0</v>
      </c>
      <c r="F29" s="232"/>
      <c r="G29" s="233"/>
      <c r="H29" s="233"/>
      <c r="I29" s="233"/>
      <c r="J29" s="233"/>
      <c r="K29" s="234"/>
    </row>
    <row r="30" spans="2:11" ht="24" customHeight="1">
      <c r="B30" s="31">
        <v>15</v>
      </c>
      <c r="C30" s="32" t="s">
        <v>73</v>
      </c>
      <c r="D30" s="33">
        <v>0</v>
      </c>
      <c r="E30" s="34">
        <f t="shared" si="0"/>
        <v>0</v>
      </c>
      <c r="F30" s="232"/>
      <c r="G30" s="233"/>
      <c r="H30" s="233"/>
      <c r="I30" s="233"/>
      <c r="J30" s="233"/>
      <c r="K30" s="234"/>
    </row>
    <row r="31" spans="2:11" ht="24" customHeight="1">
      <c r="B31" s="31">
        <v>14</v>
      </c>
      <c r="C31" s="32" t="s">
        <v>73</v>
      </c>
      <c r="D31" s="33">
        <v>0</v>
      </c>
      <c r="E31" s="34">
        <f t="shared" si="0"/>
        <v>0</v>
      </c>
      <c r="F31" s="232"/>
      <c r="G31" s="233"/>
      <c r="H31" s="233"/>
      <c r="I31" s="233"/>
      <c r="J31" s="233"/>
      <c r="K31" s="234"/>
    </row>
    <row r="32" spans="2:11" ht="24" customHeight="1">
      <c r="B32" s="31">
        <v>13</v>
      </c>
      <c r="C32" s="32" t="s">
        <v>73</v>
      </c>
      <c r="D32" s="33">
        <v>0</v>
      </c>
      <c r="E32" s="34">
        <f t="shared" si="0"/>
        <v>0</v>
      </c>
      <c r="F32" s="232"/>
      <c r="G32" s="233"/>
      <c r="H32" s="233"/>
      <c r="I32" s="233"/>
      <c r="J32" s="233"/>
      <c r="K32" s="234"/>
    </row>
    <row r="33" spans="2:11" ht="24" customHeight="1">
      <c r="B33" s="31">
        <v>12</v>
      </c>
      <c r="C33" s="32" t="s">
        <v>73</v>
      </c>
      <c r="D33" s="33">
        <v>0</v>
      </c>
      <c r="E33" s="34">
        <f t="shared" si="0"/>
        <v>0</v>
      </c>
      <c r="F33" s="232"/>
      <c r="G33" s="233"/>
      <c r="H33" s="233"/>
      <c r="I33" s="233"/>
      <c r="J33" s="233"/>
      <c r="K33" s="234"/>
    </row>
    <row r="34" spans="2:11" ht="24" customHeight="1">
      <c r="B34" s="31">
        <v>11</v>
      </c>
      <c r="C34" s="32" t="s">
        <v>73</v>
      </c>
      <c r="D34" s="33">
        <v>0</v>
      </c>
      <c r="E34" s="34">
        <f t="shared" si="0"/>
        <v>0</v>
      </c>
      <c r="F34" s="232"/>
      <c r="G34" s="233"/>
      <c r="H34" s="233"/>
      <c r="I34" s="233"/>
      <c r="J34" s="233"/>
      <c r="K34" s="234"/>
    </row>
    <row r="35" spans="2:11" ht="24" customHeight="1">
      <c r="B35" s="31">
        <v>10</v>
      </c>
      <c r="C35" s="32" t="s">
        <v>73</v>
      </c>
      <c r="D35" s="33">
        <v>0</v>
      </c>
      <c r="E35" s="34">
        <f t="shared" si="0"/>
        <v>0</v>
      </c>
      <c r="F35" s="232"/>
      <c r="G35" s="233"/>
      <c r="H35" s="233"/>
      <c r="I35" s="233"/>
      <c r="J35" s="233"/>
      <c r="K35" s="234"/>
    </row>
    <row r="36" spans="2:11" ht="24" customHeight="1" thickBot="1">
      <c r="B36" s="35">
        <v>0</v>
      </c>
      <c r="C36" s="36" t="s">
        <v>73</v>
      </c>
      <c r="D36" s="37">
        <v>0</v>
      </c>
      <c r="E36" s="38">
        <f t="shared" si="0"/>
        <v>0</v>
      </c>
      <c r="F36" s="232"/>
      <c r="G36" s="233"/>
      <c r="H36" s="233"/>
      <c r="I36" s="233"/>
      <c r="J36" s="233"/>
      <c r="K36" s="234"/>
    </row>
    <row r="37" spans="2:11" ht="24" customHeight="1" thickTop="1">
      <c r="B37" s="238" t="s">
        <v>315</v>
      </c>
      <c r="C37" s="238"/>
      <c r="D37" s="83">
        <f>SUM(D9:D36)</f>
        <v>58</v>
      </c>
      <c r="E37" s="39">
        <f>SUM(E9:E36)</f>
        <v>1</v>
      </c>
      <c r="F37" s="235"/>
      <c r="G37" s="236"/>
      <c r="H37" s="236"/>
      <c r="I37" s="236"/>
      <c r="J37" s="236"/>
      <c r="K37" s="237"/>
    </row>
    <row r="38" spans="2:11">
      <c r="K38" s="3" t="s">
        <v>316</v>
      </c>
    </row>
  </sheetData>
  <mergeCells count="16">
    <mergeCell ref="B6:C6"/>
    <mergeCell ref="D6:F6"/>
    <mergeCell ref="G6:H6"/>
    <mergeCell ref="I6:K6"/>
    <mergeCell ref="B8:C8"/>
    <mergeCell ref="F8:K37"/>
    <mergeCell ref="B37:C37"/>
    <mergeCell ref="B5:C5"/>
    <mergeCell ref="D5:F5"/>
    <mergeCell ref="G5:H5"/>
    <mergeCell ref="I5:K5"/>
    <mergeCell ref="B2:K2"/>
    <mergeCell ref="B4:C4"/>
    <mergeCell ref="D4:F4"/>
    <mergeCell ref="G4:H4"/>
    <mergeCell ref="I4:K4"/>
  </mergeCells>
  <phoneticPr fontId="3" type="noConversion"/>
  <printOptions horizontalCentered="1" verticalCentered="1"/>
  <pageMargins left="0.47244094488188981" right="0.47244094488188981" top="0.35433070866141736" bottom="0.31496062992125984" header="0.31496062992125984" footer="0.27559055118110237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Drop문항분석표">
              <controlPr defaultSize="0" print="0" autoLine="0" autoPict="0" macro="[0]!MAKE_과목성적분포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3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문항분석표">
    <tabColor theme="3"/>
    <pageSetUpPr fitToPage="1"/>
  </sheetPr>
  <dimension ref="B2:R245"/>
  <sheetViews>
    <sheetView showGridLines="0" workbookViewId="0"/>
  </sheetViews>
  <sheetFormatPr baseColWidth="10" defaultColWidth="9" defaultRowHeight="15"/>
  <cols>
    <col min="1" max="1" width="4" style="6" customWidth="1"/>
    <col min="2" max="2" width="5.6640625" style="12" customWidth="1"/>
    <col min="3" max="6" width="10.5" style="12" customWidth="1"/>
    <col min="7" max="7" width="8.1640625" style="12" customWidth="1"/>
    <col min="8" max="8" width="7.6640625" style="12" customWidth="1"/>
    <col min="9" max="14" width="8.1640625" style="12" customWidth="1"/>
    <col min="15" max="15" width="9" style="6" customWidth="1"/>
    <col min="16" max="16" width="9" style="10" hidden="1" customWidth="1"/>
    <col min="17" max="17" width="9" style="7" customWidth="1"/>
    <col min="18" max="16384" width="9" style="6"/>
  </cols>
  <sheetData>
    <row r="2" spans="2:18" ht="18">
      <c r="B2" s="206" t="s">
        <v>266</v>
      </c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</row>
    <row r="3" spans="2:18" ht="9" customHeight="1">
      <c r="B3" s="11"/>
      <c r="C3" s="11"/>
      <c r="D3" s="11"/>
      <c r="E3" s="11"/>
      <c r="F3" s="11"/>
      <c r="G3" s="11"/>
      <c r="H3" s="11"/>
      <c r="P3" s="10">
        <v>1</v>
      </c>
    </row>
    <row r="4" spans="2:18" s="8" customFormat="1" ht="20.25" customHeight="1">
      <c r="B4" s="242" t="s">
        <v>267</v>
      </c>
      <c r="C4" s="242"/>
      <c r="D4" s="243">
        <v>43661</v>
      </c>
      <c r="E4" s="243"/>
      <c r="F4" s="244"/>
      <c r="G4" s="85" t="s">
        <v>20</v>
      </c>
      <c r="H4" s="255">
        <v>43661</v>
      </c>
      <c r="I4" s="256"/>
      <c r="J4" s="85" t="s">
        <v>251</v>
      </c>
      <c r="K4" s="88"/>
      <c r="L4" s="85" t="s">
        <v>268</v>
      </c>
      <c r="M4" s="245" t="str">
        <f>INDEX($P$4:$P$7,$P$3)</f>
        <v>English</v>
      </c>
      <c r="N4" s="245"/>
      <c r="P4" s="10" t="s">
        <v>75</v>
      </c>
    </row>
    <row r="5" spans="2:18" ht="8.25" customHeight="1">
      <c r="B5" s="11"/>
      <c r="C5" s="11"/>
      <c r="D5" s="11"/>
      <c r="E5" s="11"/>
      <c r="F5" s="11"/>
      <c r="G5" s="11"/>
      <c r="H5" s="11"/>
      <c r="P5" s="10" t="s">
        <v>305</v>
      </c>
    </row>
    <row r="6" spans="2:18" ht="17.25" customHeight="1">
      <c r="B6" s="246" t="s">
        <v>269</v>
      </c>
      <c r="C6" s="247" t="s">
        <v>270</v>
      </c>
      <c r="D6" s="247"/>
      <c r="E6" s="247"/>
      <c r="F6" s="247"/>
      <c r="G6" s="247" t="s">
        <v>271</v>
      </c>
      <c r="H6" s="249" t="s">
        <v>272</v>
      </c>
      <c r="I6" s="247" t="s">
        <v>273</v>
      </c>
      <c r="J6" s="247"/>
      <c r="K6" s="247"/>
      <c r="L6" s="247"/>
      <c r="M6" s="247"/>
      <c r="N6" s="251" t="s">
        <v>274</v>
      </c>
      <c r="P6" s="10" t="s">
        <v>76</v>
      </c>
    </row>
    <row r="7" spans="2:18" ht="17.25" customHeight="1">
      <c r="B7" s="246"/>
      <c r="C7" s="248"/>
      <c r="D7" s="248"/>
      <c r="E7" s="248"/>
      <c r="F7" s="248"/>
      <c r="G7" s="248"/>
      <c r="H7" s="250"/>
      <c r="I7" s="40" t="s">
        <v>275</v>
      </c>
      <c r="J7" s="40" t="s">
        <v>276</v>
      </c>
      <c r="K7" s="40" t="s">
        <v>277</v>
      </c>
      <c r="L7" s="40" t="s">
        <v>278</v>
      </c>
      <c r="M7" s="40" t="s">
        <v>279</v>
      </c>
      <c r="N7" s="252"/>
      <c r="P7" s="10" t="s">
        <v>77</v>
      </c>
    </row>
    <row r="8" spans="2:18" ht="20" customHeight="1">
      <c r="B8" s="25">
        <v>1</v>
      </c>
      <c r="C8" s="253" t="s">
        <v>436</v>
      </c>
      <c r="D8" s="253"/>
      <c r="E8" s="254"/>
      <c r="F8" s="254"/>
      <c r="G8" s="16" t="s">
        <v>69</v>
      </c>
      <c r="H8" s="17" t="s">
        <v>80</v>
      </c>
      <c r="I8" s="18">
        <v>0.98299999999999998</v>
      </c>
      <c r="J8" s="18"/>
      <c r="K8" s="18"/>
      <c r="L8" s="18">
        <v>1.7000000000000001E-2</v>
      </c>
      <c r="M8" s="18"/>
      <c r="N8" s="18">
        <v>0.98299999999999998</v>
      </c>
      <c r="P8"/>
    </row>
    <row r="9" spans="2:18" ht="20" customHeight="1">
      <c r="B9" s="26">
        <v>2</v>
      </c>
      <c r="C9" s="239" t="s">
        <v>440</v>
      </c>
      <c r="D9" s="240"/>
      <c r="E9" s="240"/>
      <c r="F9" s="241"/>
      <c r="G9" s="19" t="s">
        <v>81</v>
      </c>
      <c r="H9" s="20" t="s">
        <v>661</v>
      </c>
      <c r="I9" s="21">
        <v>0.93100000000000005</v>
      </c>
      <c r="J9" s="21">
        <v>3.4000000000000002E-2</v>
      </c>
      <c r="K9" s="21">
        <v>3.4000000000000002E-2</v>
      </c>
      <c r="L9" s="21"/>
      <c r="M9" s="21"/>
      <c r="N9" s="21">
        <v>0.93100000000000005</v>
      </c>
      <c r="P9"/>
      <c r="R9" s="9"/>
    </row>
    <row r="10" spans="2:18" ht="20" customHeight="1">
      <c r="B10" s="26">
        <v>3</v>
      </c>
      <c r="C10" s="239" t="s">
        <v>435</v>
      </c>
      <c r="D10" s="240"/>
      <c r="E10" s="240"/>
      <c r="F10" s="241"/>
      <c r="G10" s="19" t="s">
        <v>67</v>
      </c>
      <c r="H10" s="20" t="s">
        <v>81</v>
      </c>
      <c r="I10" s="21">
        <v>1.7000000000000001E-2</v>
      </c>
      <c r="J10" s="21"/>
      <c r="K10" s="21">
        <v>0.98299999999999998</v>
      </c>
      <c r="L10" s="21"/>
      <c r="M10" s="21"/>
      <c r="N10" s="21">
        <v>0.98299999999999998</v>
      </c>
      <c r="P10"/>
    </row>
    <row r="11" spans="2:18" ht="20" customHeight="1">
      <c r="B11" s="26">
        <v>4</v>
      </c>
      <c r="C11" s="239" t="s">
        <v>437</v>
      </c>
      <c r="D11" s="240"/>
      <c r="E11" s="240"/>
      <c r="F11" s="241"/>
      <c r="G11" s="19" t="s">
        <v>83</v>
      </c>
      <c r="H11" s="20" t="s">
        <v>79</v>
      </c>
      <c r="I11" s="21">
        <v>1.7000000000000001E-2</v>
      </c>
      <c r="J11" s="21">
        <v>8.5999999999999993E-2</v>
      </c>
      <c r="K11" s="21">
        <v>0.86199999999999999</v>
      </c>
      <c r="L11" s="21">
        <v>3.4000000000000002E-2</v>
      </c>
      <c r="M11" s="21"/>
      <c r="N11" s="21">
        <v>0.86199999999999999</v>
      </c>
      <c r="P11"/>
    </row>
    <row r="12" spans="2:18" ht="20" customHeight="1">
      <c r="B12" s="26">
        <v>5</v>
      </c>
      <c r="C12" s="239" t="s">
        <v>435</v>
      </c>
      <c r="D12" s="240"/>
      <c r="E12" s="240"/>
      <c r="F12" s="241"/>
      <c r="G12" s="19" t="s">
        <v>70</v>
      </c>
      <c r="H12" s="20" t="s">
        <v>618</v>
      </c>
      <c r="I12" s="21"/>
      <c r="J12" s="21">
        <v>0.96599999999999997</v>
      </c>
      <c r="K12" s="21">
        <v>1.7000000000000001E-2</v>
      </c>
      <c r="L12" s="21">
        <v>1.7000000000000001E-2</v>
      </c>
      <c r="M12" s="21"/>
      <c r="N12" s="21">
        <v>0.96599999999999997</v>
      </c>
      <c r="P12"/>
    </row>
    <row r="13" spans="2:18" ht="20" customHeight="1">
      <c r="B13" s="26">
        <v>6</v>
      </c>
      <c r="C13" s="239" t="s">
        <v>439</v>
      </c>
      <c r="D13" s="240"/>
      <c r="E13" s="240"/>
      <c r="F13" s="241"/>
      <c r="G13" s="19" t="s">
        <v>79</v>
      </c>
      <c r="H13" s="20" t="s">
        <v>71</v>
      </c>
      <c r="I13" s="21">
        <v>1.7000000000000001E-2</v>
      </c>
      <c r="J13" s="21">
        <v>0.879</v>
      </c>
      <c r="K13" s="21"/>
      <c r="L13" s="21">
        <v>8.5999999999999993E-2</v>
      </c>
      <c r="M13" s="21"/>
      <c r="N13" s="21">
        <v>0.879</v>
      </c>
      <c r="P13"/>
    </row>
    <row r="14" spans="2:18" ht="20" customHeight="1">
      <c r="B14" s="26">
        <v>7</v>
      </c>
      <c r="C14" s="239" t="s">
        <v>436</v>
      </c>
      <c r="D14" s="240"/>
      <c r="E14" s="240"/>
      <c r="F14" s="241"/>
      <c r="G14" s="19" t="s">
        <v>69</v>
      </c>
      <c r="H14" s="20" t="s">
        <v>67</v>
      </c>
      <c r="I14" s="21">
        <v>0.96599999999999997</v>
      </c>
      <c r="J14" s="21"/>
      <c r="K14" s="21">
        <v>3.4000000000000002E-2</v>
      </c>
      <c r="L14" s="21"/>
      <c r="M14" s="21"/>
      <c r="N14" s="21">
        <v>0.96599999999999997</v>
      </c>
      <c r="P14"/>
    </row>
    <row r="15" spans="2:18" ht="20" customHeight="1">
      <c r="B15" s="26">
        <v>8</v>
      </c>
      <c r="C15" s="239" t="s">
        <v>437</v>
      </c>
      <c r="D15" s="240"/>
      <c r="E15" s="240"/>
      <c r="F15" s="241"/>
      <c r="G15" s="19" t="s">
        <v>81</v>
      </c>
      <c r="H15" s="20" t="s">
        <v>71</v>
      </c>
      <c r="I15" s="21">
        <v>0.77600000000000002</v>
      </c>
      <c r="J15" s="21">
        <v>1.7000000000000001E-2</v>
      </c>
      <c r="K15" s="21">
        <v>3.4000000000000002E-2</v>
      </c>
      <c r="L15" s="21">
        <v>0.17199999999999999</v>
      </c>
      <c r="M15" s="21"/>
      <c r="N15" s="21">
        <v>0.77600000000000002</v>
      </c>
      <c r="P15"/>
    </row>
    <row r="16" spans="2:18" ht="20" customHeight="1">
      <c r="B16" s="26">
        <v>9</v>
      </c>
      <c r="C16" s="239" t="s">
        <v>440</v>
      </c>
      <c r="D16" s="240"/>
      <c r="E16" s="240"/>
      <c r="F16" s="241"/>
      <c r="G16" s="19" t="s">
        <v>71</v>
      </c>
      <c r="H16" s="20" t="s">
        <v>70</v>
      </c>
      <c r="I16" s="21">
        <v>1.7000000000000001E-2</v>
      </c>
      <c r="J16" s="21">
        <v>3.4000000000000002E-2</v>
      </c>
      <c r="K16" s="21"/>
      <c r="L16" s="21">
        <v>0.94799999999999995</v>
      </c>
      <c r="M16" s="21"/>
      <c r="N16" s="21">
        <v>0.94799999999999995</v>
      </c>
      <c r="P16"/>
    </row>
    <row r="17" spans="2:16" ht="20" customHeight="1">
      <c r="B17" s="26">
        <v>10</v>
      </c>
      <c r="C17" s="239" t="s">
        <v>435</v>
      </c>
      <c r="D17" s="240"/>
      <c r="E17" s="240"/>
      <c r="F17" s="241"/>
      <c r="G17" s="19" t="s">
        <v>80</v>
      </c>
      <c r="H17" s="20" t="s">
        <v>67</v>
      </c>
      <c r="I17" s="21"/>
      <c r="J17" s="21">
        <v>1.7000000000000001E-2</v>
      </c>
      <c r="K17" s="21">
        <v>0.121</v>
      </c>
      <c r="L17" s="21">
        <v>0.86199999999999999</v>
      </c>
      <c r="M17" s="21"/>
      <c r="N17" s="21">
        <v>0.86199999999999999</v>
      </c>
      <c r="P17"/>
    </row>
    <row r="18" spans="2:16" ht="20" customHeight="1">
      <c r="B18" s="26">
        <v>11</v>
      </c>
      <c r="C18" s="239" t="s">
        <v>436</v>
      </c>
      <c r="D18" s="240"/>
      <c r="E18" s="240"/>
      <c r="F18" s="241"/>
      <c r="G18" s="19" t="s">
        <v>67</v>
      </c>
      <c r="H18" s="20" t="s">
        <v>71</v>
      </c>
      <c r="I18" s="21"/>
      <c r="J18" s="21"/>
      <c r="K18" s="21">
        <v>0.86199999999999999</v>
      </c>
      <c r="L18" s="21">
        <v>0.13800000000000001</v>
      </c>
      <c r="M18" s="21"/>
      <c r="N18" s="21">
        <v>0.86199999999999999</v>
      </c>
      <c r="P18"/>
    </row>
    <row r="19" spans="2:16" ht="20" customHeight="1">
      <c r="B19" s="26">
        <v>12</v>
      </c>
      <c r="C19" s="239" t="s">
        <v>438</v>
      </c>
      <c r="D19" s="240"/>
      <c r="E19" s="240"/>
      <c r="F19" s="241"/>
      <c r="G19" s="19" t="s">
        <v>81</v>
      </c>
      <c r="H19" s="20" t="s">
        <v>618</v>
      </c>
      <c r="I19" s="21">
        <v>0.75900000000000001</v>
      </c>
      <c r="J19" s="21">
        <v>6.9000000000000006E-2</v>
      </c>
      <c r="K19" s="21">
        <v>8.5999999999999993E-2</v>
      </c>
      <c r="L19" s="21">
        <v>8.5999999999999993E-2</v>
      </c>
      <c r="M19" s="21"/>
      <c r="N19" s="21">
        <v>0.75900000000000001</v>
      </c>
      <c r="P19"/>
    </row>
    <row r="20" spans="2:16" ht="20" customHeight="1">
      <c r="B20" s="26">
        <v>13</v>
      </c>
      <c r="C20" s="239" t="s">
        <v>440</v>
      </c>
      <c r="D20" s="240"/>
      <c r="E20" s="240"/>
      <c r="F20" s="241"/>
      <c r="G20" s="19" t="s">
        <v>69</v>
      </c>
      <c r="H20" s="20" t="s">
        <v>67</v>
      </c>
      <c r="I20" s="21">
        <v>0.879</v>
      </c>
      <c r="J20" s="21">
        <v>5.1999999999999998E-2</v>
      </c>
      <c r="K20" s="21">
        <v>6.9000000000000006E-2</v>
      </c>
      <c r="L20" s="21"/>
      <c r="M20" s="21"/>
      <c r="N20" s="21">
        <v>0.879</v>
      </c>
      <c r="P20"/>
    </row>
    <row r="21" spans="2:16" ht="20" customHeight="1">
      <c r="B21" s="26">
        <v>14</v>
      </c>
      <c r="C21" s="239" t="s">
        <v>439</v>
      </c>
      <c r="D21" s="240"/>
      <c r="E21" s="240"/>
      <c r="F21" s="241"/>
      <c r="G21" s="19" t="s">
        <v>83</v>
      </c>
      <c r="H21" s="20" t="s">
        <v>71</v>
      </c>
      <c r="I21" s="21">
        <v>3.4000000000000002E-2</v>
      </c>
      <c r="J21" s="21">
        <v>6.9000000000000006E-2</v>
      </c>
      <c r="K21" s="21">
        <v>0.77600000000000002</v>
      </c>
      <c r="L21" s="21">
        <v>0.121</v>
      </c>
      <c r="M21" s="21"/>
      <c r="N21" s="21">
        <v>0.77600000000000002</v>
      </c>
      <c r="P21"/>
    </row>
    <row r="22" spans="2:16" ht="20" customHeight="1">
      <c r="B22" s="26">
        <v>15</v>
      </c>
      <c r="C22" s="239" t="s">
        <v>438</v>
      </c>
      <c r="D22" s="240"/>
      <c r="E22" s="240"/>
      <c r="F22" s="241"/>
      <c r="G22" s="19" t="s">
        <v>71</v>
      </c>
      <c r="H22" s="20" t="s">
        <v>69</v>
      </c>
      <c r="I22" s="21">
        <v>1.7000000000000001E-2</v>
      </c>
      <c r="J22" s="21"/>
      <c r="K22" s="21"/>
      <c r="L22" s="21">
        <v>0.98299999999999998</v>
      </c>
      <c r="M22" s="21"/>
      <c r="N22" s="21">
        <v>0.98299999999999998</v>
      </c>
      <c r="P22"/>
    </row>
    <row r="23" spans="2:16" ht="20" customHeight="1">
      <c r="B23" s="26">
        <v>16</v>
      </c>
      <c r="C23" s="239" t="s">
        <v>440</v>
      </c>
      <c r="D23" s="240"/>
      <c r="E23" s="240"/>
      <c r="F23" s="241"/>
      <c r="G23" s="19" t="s">
        <v>80</v>
      </c>
      <c r="H23" s="20" t="s">
        <v>67</v>
      </c>
      <c r="I23" s="21">
        <v>1.7000000000000001E-2</v>
      </c>
      <c r="J23" s="21">
        <v>1.7000000000000001E-2</v>
      </c>
      <c r="K23" s="21">
        <v>3.4000000000000002E-2</v>
      </c>
      <c r="L23" s="21">
        <v>0.93100000000000005</v>
      </c>
      <c r="M23" s="21"/>
      <c r="N23" s="21">
        <v>0.93100000000000005</v>
      </c>
      <c r="P23"/>
    </row>
    <row r="24" spans="2:16" ht="20" customHeight="1">
      <c r="B24" s="26">
        <v>17</v>
      </c>
      <c r="C24" s="239" t="s">
        <v>438</v>
      </c>
      <c r="D24" s="240"/>
      <c r="E24" s="240"/>
      <c r="F24" s="241"/>
      <c r="G24" s="19" t="s">
        <v>69</v>
      </c>
      <c r="H24" s="20" t="s">
        <v>71</v>
      </c>
      <c r="I24" s="21">
        <v>0.94799999999999995</v>
      </c>
      <c r="J24" s="21"/>
      <c r="K24" s="21">
        <v>1.7000000000000001E-2</v>
      </c>
      <c r="L24" s="21">
        <v>3.4000000000000002E-2</v>
      </c>
      <c r="M24" s="21"/>
      <c r="N24" s="21">
        <v>0.94799999999999995</v>
      </c>
      <c r="P24"/>
    </row>
    <row r="25" spans="2:16" ht="20" customHeight="1">
      <c r="B25" s="26">
        <v>18</v>
      </c>
      <c r="C25" s="239" t="s">
        <v>435</v>
      </c>
      <c r="D25" s="240"/>
      <c r="E25" s="240"/>
      <c r="F25" s="241"/>
      <c r="G25" s="19" t="s">
        <v>83</v>
      </c>
      <c r="H25" s="20" t="s">
        <v>70</v>
      </c>
      <c r="I25" s="21">
        <v>5.1999999999999998E-2</v>
      </c>
      <c r="J25" s="21">
        <v>0.17199999999999999</v>
      </c>
      <c r="K25" s="21">
        <v>0.75900000000000001</v>
      </c>
      <c r="L25" s="21">
        <v>1.7000000000000001E-2</v>
      </c>
      <c r="M25" s="21"/>
      <c r="N25" s="21">
        <v>0.75900000000000001</v>
      </c>
      <c r="P25"/>
    </row>
    <row r="26" spans="2:16" ht="20" customHeight="1">
      <c r="B26" s="26">
        <v>19</v>
      </c>
      <c r="C26" s="239" t="s">
        <v>440</v>
      </c>
      <c r="D26" s="240"/>
      <c r="E26" s="240"/>
      <c r="F26" s="241"/>
      <c r="G26" s="19" t="s">
        <v>67</v>
      </c>
      <c r="H26" s="20" t="s">
        <v>69</v>
      </c>
      <c r="I26" s="21">
        <v>0.224</v>
      </c>
      <c r="J26" s="21">
        <v>0.155</v>
      </c>
      <c r="K26" s="21">
        <v>0.58599999999999997</v>
      </c>
      <c r="L26" s="21">
        <v>1.7000000000000001E-2</v>
      </c>
      <c r="M26" s="21"/>
      <c r="N26" s="21">
        <v>0.58599999999999997</v>
      </c>
      <c r="P26"/>
    </row>
    <row r="27" spans="2:16" ht="20" customHeight="1">
      <c r="B27" s="26">
        <v>20</v>
      </c>
      <c r="C27" s="239" t="s">
        <v>439</v>
      </c>
      <c r="D27" s="240"/>
      <c r="E27" s="240"/>
      <c r="F27" s="241"/>
      <c r="G27" s="19" t="s">
        <v>83</v>
      </c>
      <c r="H27" s="20" t="s">
        <v>69</v>
      </c>
      <c r="I27" s="21">
        <v>6.9000000000000006E-2</v>
      </c>
      <c r="J27" s="21"/>
      <c r="K27" s="21">
        <v>0.93100000000000005</v>
      </c>
      <c r="L27" s="21"/>
      <c r="M27" s="21"/>
      <c r="N27" s="21">
        <v>0.93100000000000005</v>
      </c>
      <c r="P27"/>
    </row>
    <row r="28" spans="2:16" ht="20" customHeight="1">
      <c r="B28" s="26">
        <v>21</v>
      </c>
      <c r="C28" s="239" t="s">
        <v>435</v>
      </c>
      <c r="D28" s="240"/>
      <c r="E28" s="240"/>
      <c r="F28" s="241"/>
      <c r="G28" s="19" t="s">
        <v>71</v>
      </c>
      <c r="H28" s="20" t="s">
        <v>67</v>
      </c>
      <c r="I28" s="21">
        <v>1.7000000000000001E-2</v>
      </c>
      <c r="J28" s="21"/>
      <c r="K28" s="21">
        <v>5.1999999999999998E-2</v>
      </c>
      <c r="L28" s="21">
        <v>0.93100000000000005</v>
      </c>
      <c r="M28" s="21"/>
      <c r="N28" s="21">
        <v>0.93100000000000005</v>
      </c>
      <c r="P28"/>
    </row>
    <row r="29" spans="2:16" ht="20" customHeight="1">
      <c r="B29" s="26">
        <v>22</v>
      </c>
      <c r="C29" s="239" t="s">
        <v>436</v>
      </c>
      <c r="D29" s="240"/>
      <c r="E29" s="240"/>
      <c r="F29" s="241"/>
      <c r="G29" s="19" t="s">
        <v>81</v>
      </c>
      <c r="H29" s="20" t="s">
        <v>67</v>
      </c>
      <c r="I29" s="21">
        <v>0.93100000000000005</v>
      </c>
      <c r="J29" s="21">
        <v>1.7000000000000001E-2</v>
      </c>
      <c r="K29" s="21">
        <v>3.4000000000000002E-2</v>
      </c>
      <c r="L29" s="21">
        <v>1.7000000000000001E-2</v>
      </c>
      <c r="M29" s="21"/>
      <c r="N29" s="21">
        <v>0.93100000000000005</v>
      </c>
      <c r="P29"/>
    </row>
    <row r="30" spans="2:16" ht="20" customHeight="1">
      <c r="B30" s="26">
        <v>23</v>
      </c>
      <c r="C30" s="239" t="s">
        <v>436</v>
      </c>
      <c r="D30" s="240"/>
      <c r="E30" s="240"/>
      <c r="F30" s="241"/>
      <c r="G30" s="19" t="s">
        <v>67</v>
      </c>
      <c r="H30" s="20" t="s">
        <v>70</v>
      </c>
      <c r="I30" s="21">
        <v>3.4000000000000002E-2</v>
      </c>
      <c r="J30" s="21">
        <v>5.1999999999999998E-2</v>
      </c>
      <c r="K30" s="21">
        <v>0.91400000000000003</v>
      </c>
      <c r="L30" s="21"/>
      <c r="M30" s="21"/>
      <c r="N30" s="21">
        <v>0.91400000000000003</v>
      </c>
      <c r="P30"/>
    </row>
    <row r="31" spans="2:16" ht="20" customHeight="1">
      <c r="B31" s="26">
        <v>24</v>
      </c>
      <c r="C31" s="239" t="s">
        <v>440</v>
      </c>
      <c r="D31" s="240"/>
      <c r="E31" s="240"/>
      <c r="F31" s="241"/>
      <c r="G31" s="19" t="s">
        <v>80</v>
      </c>
      <c r="H31" s="20" t="s">
        <v>69</v>
      </c>
      <c r="I31" s="21">
        <v>1.7000000000000001E-2</v>
      </c>
      <c r="J31" s="21"/>
      <c r="K31" s="21"/>
      <c r="L31" s="21">
        <v>0.96599999999999997</v>
      </c>
      <c r="M31" s="21"/>
      <c r="N31" s="21">
        <v>0.96599999999999997</v>
      </c>
      <c r="P31"/>
    </row>
    <row r="32" spans="2:16" ht="20" customHeight="1">
      <c r="B32" s="26">
        <v>25</v>
      </c>
      <c r="C32" s="239" t="s">
        <v>439</v>
      </c>
      <c r="D32" s="240"/>
      <c r="E32" s="240"/>
      <c r="F32" s="241"/>
      <c r="G32" s="19" t="s">
        <v>70</v>
      </c>
      <c r="H32" s="20" t="s">
        <v>67</v>
      </c>
      <c r="I32" s="21"/>
      <c r="J32" s="21">
        <v>0.86199999999999999</v>
      </c>
      <c r="K32" s="21">
        <v>0.121</v>
      </c>
      <c r="L32" s="21">
        <v>1.7000000000000001E-2</v>
      </c>
      <c r="M32" s="21"/>
      <c r="N32" s="21">
        <v>0.86199999999999999</v>
      </c>
      <c r="P32"/>
    </row>
    <row r="33" spans="2:16" ht="20" customHeight="1">
      <c r="B33" s="26">
        <v>26</v>
      </c>
      <c r="C33" s="239" t="s">
        <v>436</v>
      </c>
      <c r="D33" s="240"/>
      <c r="E33" s="240"/>
      <c r="F33" s="241"/>
      <c r="G33" s="19" t="s">
        <v>81</v>
      </c>
      <c r="H33" s="20" t="s">
        <v>71</v>
      </c>
      <c r="I33" s="21">
        <v>0.74099999999999999</v>
      </c>
      <c r="J33" s="21">
        <v>3.4000000000000002E-2</v>
      </c>
      <c r="K33" s="21">
        <v>6.9000000000000006E-2</v>
      </c>
      <c r="L33" s="21">
        <v>0.155</v>
      </c>
      <c r="M33" s="21"/>
      <c r="N33" s="21">
        <v>0.74099999999999999</v>
      </c>
      <c r="P33"/>
    </row>
    <row r="34" spans="2:16" ht="20" customHeight="1">
      <c r="B34" s="26">
        <v>27</v>
      </c>
      <c r="C34" s="239" t="s">
        <v>435</v>
      </c>
      <c r="D34" s="240"/>
      <c r="E34" s="240"/>
      <c r="F34" s="241"/>
      <c r="G34" s="19" t="s">
        <v>67</v>
      </c>
      <c r="H34" s="20" t="s">
        <v>70</v>
      </c>
      <c r="I34" s="21">
        <v>1.7000000000000001E-2</v>
      </c>
      <c r="J34" s="21">
        <v>5.1999999999999998E-2</v>
      </c>
      <c r="K34" s="21">
        <v>0.91400000000000003</v>
      </c>
      <c r="L34" s="21">
        <v>1.7000000000000001E-2</v>
      </c>
      <c r="M34" s="21"/>
      <c r="N34" s="21">
        <v>0.91400000000000003</v>
      </c>
      <c r="P34"/>
    </row>
    <row r="35" spans="2:16" ht="20" customHeight="1">
      <c r="B35" s="26">
        <v>28</v>
      </c>
      <c r="C35" s="239" t="s">
        <v>438</v>
      </c>
      <c r="D35" s="240"/>
      <c r="E35" s="240"/>
      <c r="F35" s="241"/>
      <c r="G35" s="19" t="s">
        <v>81</v>
      </c>
      <c r="H35" s="20" t="s">
        <v>71</v>
      </c>
      <c r="I35" s="21">
        <v>0.65500000000000003</v>
      </c>
      <c r="J35" s="21">
        <v>3.4000000000000002E-2</v>
      </c>
      <c r="K35" s="21"/>
      <c r="L35" s="21">
        <v>0.31</v>
      </c>
      <c r="M35" s="21"/>
      <c r="N35" s="21">
        <v>0.65500000000000003</v>
      </c>
      <c r="P35"/>
    </row>
    <row r="36" spans="2:16" ht="20" customHeight="1">
      <c r="B36" s="26">
        <v>29</v>
      </c>
      <c r="C36" s="239" t="s">
        <v>436</v>
      </c>
      <c r="D36" s="240"/>
      <c r="E36" s="240"/>
      <c r="F36" s="241"/>
      <c r="G36" s="19" t="s">
        <v>70</v>
      </c>
      <c r="H36" s="20" t="s">
        <v>487</v>
      </c>
      <c r="I36" s="21">
        <v>5.1999999999999998E-2</v>
      </c>
      <c r="J36" s="21">
        <v>0.89700000000000002</v>
      </c>
      <c r="K36" s="21">
        <v>5.1999999999999998E-2</v>
      </c>
      <c r="L36" s="21"/>
      <c r="M36" s="21"/>
      <c r="N36" s="21">
        <v>0.89700000000000002</v>
      </c>
      <c r="P36"/>
    </row>
    <row r="37" spans="2:16" ht="20" customHeight="1">
      <c r="B37" s="26">
        <v>30</v>
      </c>
      <c r="C37" s="239" t="s">
        <v>438</v>
      </c>
      <c r="D37" s="240"/>
      <c r="E37" s="240"/>
      <c r="F37" s="241"/>
      <c r="G37" s="19" t="s">
        <v>79</v>
      </c>
      <c r="H37" s="20" t="s">
        <v>67</v>
      </c>
      <c r="I37" s="21"/>
      <c r="J37" s="21">
        <v>0.91400000000000003</v>
      </c>
      <c r="K37" s="21">
        <v>6.9000000000000006E-2</v>
      </c>
      <c r="L37" s="21">
        <v>1.7000000000000001E-2</v>
      </c>
      <c r="M37" s="21"/>
      <c r="N37" s="21">
        <v>0.91400000000000003</v>
      </c>
      <c r="P37"/>
    </row>
    <row r="38" spans="2:16" ht="20" customHeight="1">
      <c r="B38" s="26">
        <v>31</v>
      </c>
      <c r="C38" s="239" t="s">
        <v>438</v>
      </c>
      <c r="D38" s="240"/>
      <c r="E38" s="240"/>
      <c r="F38" s="241"/>
      <c r="G38" s="19" t="s">
        <v>70</v>
      </c>
      <c r="H38" s="20" t="s">
        <v>755</v>
      </c>
      <c r="I38" s="21">
        <v>1.7000000000000001E-2</v>
      </c>
      <c r="J38" s="21">
        <v>0.94799999999999995</v>
      </c>
      <c r="K38" s="21">
        <v>1.7000000000000001E-2</v>
      </c>
      <c r="L38" s="21">
        <v>1.7000000000000001E-2</v>
      </c>
      <c r="M38" s="21"/>
      <c r="N38" s="21">
        <v>0.94799999999999995</v>
      </c>
      <c r="P38"/>
    </row>
    <row r="39" spans="2:16" ht="20" customHeight="1">
      <c r="B39" s="26">
        <v>32</v>
      </c>
      <c r="C39" s="239" t="s">
        <v>435</v>
      </c>
      <c r="D39" s="240"/>
      <c r="E39" s="240"/>
      <c r="F39" s="241"/>
      <c r="G39" s="19" t="s">
        <v>80</v>
      </c>
      <c r="H39" s="20" t="s">
        <v>69</v>
      </c>
      <c r="I39" s="21">
        <v>6.9000000000000006E-2</v>
      </c>
      <c r="J39" s="21"/>
      <c r="K39" s="21">
        <v>3.4000000000000002E-2</v>
      </c>
      <c r="L39" s="21">
        <v>0.89700000000000002</v>
      </c>
      <c r="M39" s="21"/>
      <c r="N39" s="21">
        <v>0.89700000000000002</v>
      </c>
      <c r="P39"/>
    </row>
    <row r="40" spans="2:16" ht="20" customHeight="1">
      <c r="B40" s="26">
        <v>33</v>
      </c>
      <c r="C40" s="239" t="s">
        <v>440</v>
      </c>
      <c r="D40" s="240"/>
      <c r="E40" s="240"/>
      <c r="F40" s="241"/>
      <c r="G40" s="19" t="s">
        <v>70</v>
      </c>
      <c r="H40" s="20" t="s">
        <v>69</v>
      </c>
      <c r="I40" s="21">
        <v>0.121</v>
      </c>
      <c r="J40" s="21">
        <v>0.879</v>
      </c>
      <c r="K40" s="21"/>
      <c r="L40" s="21"/>
      <c r="M40" s="21"/>
      <c r="N40" s="21">
        <v>0.879</v>
      </c>
      <c r="P40"/>
    </row>
    <row r="41" spans="2:16" ht="20" customHeight="1">
      <c r="B41" s="26">
        <v>34</v>
      </c>
      <c r="C41" s="239" t="s">
        <v>440</v>
      </c>
      <c r="D41" s="240"/>
      <c r="E41" s="240"/>
      <c r="F41" s="241"/>
      <c r="G41" s="19" t="s">
        <v>79</v>
      </c>
      <c r="H41" s="20" t="s">
        <v>69</v>
      </c>
      <c r="I41" s="21">
        <v>3.4000000000000002E-2</v>
      </c>
      <c r="J41" s="21">
        <v>0.96599999999999997</v>
      </c>
      <c r="K41" s="21"/>
      <c r="L41" s="21"/>
      <c r="M41" s="21"/>
      <c r="N41" s="21">
        <v>0.96599999999999997</v>
      </c>
      <c r="P41"/>
    </row>
    <row r="42" spans="2:16" ht="20" customHeight="1">
      <c r="B42" s="26">
        <v>35</v>
      </c>
      <c r="C42" s="239" t="s">
        <v>438</v>
      </c>
      <c r="D42" s="240"/>
      <c r="E42" s="240"/>
      <c r="F42" s="241"/>
      <c r="G42" s="19" t="s">
        <v>70</v>
      </c>
      <c r="H42" s="20" t="s">
        <v>71</v>
      </c>
      <c r="I42" s="21">
        <v>6.9000000000000006E-2</v>
      </c>
      <c r="J42" s="21">
        <v>0.67200000000000004</v>
      </c>
      <c r="K42" s="21">
        <v>5.1999999999999998E-2</v>
      </c>
      <c r="L42" s="21">
        <v>0.20699999999999999</v>
      </c>
      <c r="M42" s="21"/>
      <c r="N42" s="21">
        <v>0.67200000000000004</v>
      </c>
      <c r="P42"/>
    </row>
    <row r="43" spans="2:16" ht="20" customHeight="1">
      <c r="B43" s="26">
        <v>36</v>
      </c>
      <c r="C43" s="239" t="s">
        <v>438</v>
      </c>
      <c r="D43" s="240"/>
      <c r="E43" s="240"/>
      <c r="F43" s="241"/>
      <c r="G43" s="19" t="s">
        <v>81</v>
      </c>
      <c r="H43" s="20" t="s">
        <v>67</v>
      </c>
      <c r="I43" s="21">
        <v>0.879</v>
      </c>
      <c r="J43" s="21"/>
      <c r="K43" s="21">
        <v>0.121</v>
      </c>
      <c r="L43" s="21"/>
      <c r="M43" s="21"/>
      <c r="N43" s="21">
        <v>0.879</v>
      </c>
      <c r="P43"/>
    </row>
    <row r="44" spans="2:16" ht="20" customHeight="1">
      <c r="B44" s="26">
        <v>37</v>
      </c>
      <c r="C44" s="239" t="s">
        <v>436</v>
      </c>
      <c r="D44" s="240"/>
      <c r="E44" s="240"/>
      <c r="F44" s="241"/>
      <c r="G44" s="19" t="s">
        <v>70</v>
      </c>
      <c r="H44" s="20" t="s">
        <v>67</v>
      </c>
      <c r="I44" s="21">
        <v>8.5999999999999993E-2</v>
      </c>
      <c r="J44" s="21">
        <v>0.621</v>
      </c>
      <c r="K44" s="21">
        <v>0.27600000000000002</v>
      </c>
      <c r="L44" s="21">
        <v>1.7000000000000001E-2</v>
      </c>
      <c r="M44" s="21"/>
      <c r="N44" s="21">
        <v>0.621</v>
      </c>
      <c r="P44"/>
    </row>
    <row r="45" spans="2:16" ht="20" customHeight="1">
      <c r="B45" s="26">
        <v>38</v>
      </c>
      <c r="C45" s="239" t="s">
        <v>435</v>
      </c>
      <c r="D45" s="240"/>
      <c r="E45" s="240"/>
      <c r="F45" s="241"/>
      <c r="G45" s="19" t="s">
        <v>81</v>
      </c>
      <c r="H45" s="20" t="s">
        <v>70</v>
      </c>
      <c r="I45" s="21">
        <v>0.94799999999999995</v>
      </c>
      <c r="J45" s="21">
        <v>5.1999999999999998E-2</v>
      </c>
      <c r="K45" s="21"/>
      <c r="L45" s="21"/>
      <c r="M45" s="21"/>
      <c r="N45" s="21">
        <v>0.94799999999999995</v>
      </c>
      <c r="P45"/>
    </row>
    <row r="46" spans="2:16" ht="20" customHeight="1">
      <c r="B46" s="26">
        <v>39</v>
      </c>
      <c r="C46" s="239" t="s">
        <v>437</v>
      </c>
      <c r="D46" s="240"/>
      <c r="E46" s="240"/>
      <c r="F46" s="241"/>
      <c r="G46" s="19" t="s">
        <v>71</v>
      </c>
      <c r="H46" s="20" t="s">
        <v>67</v>
      </c>
      <c r="I46" s="21">
        <v>5.1999999999999998E-2</v>
      </c>
      <c r="J46" s="21"/>
      <c r="K46" s="21">
        <v>6.9000000000000006E-2</v>
      </c>
      <c r="L46" s="21">
        <v>0.879</v>
      </c>
      <c r="M46" s="21"/>
      <c r="N46" s="21">
        <v>0.879</v>
      </c>
      <c r="P46"/>
    </row>
    <row r="47" spans="2:16" ht="20" customHeight="1">
      <c r="B47" s="26">
        <v>40</v>
      </c>
      <c r="C47" s="239" t="s">
        <v>440</v>
      </c>
      <c r="D47" s="240"/>
      <c r="E47" s="240"/>
      <c r="F47" s="241"/>
      <c r="G47" s="19" t="s">
        <v>81</v>
      </c>
      <c r="H47" s="20" t="s">
        <v>67</v>
      </c>
      <c r="I47" s="21">
        <v>0.81</v>
      </c>
      <c r="J47" s="21"/>
      <c r="K47" s="21">
        <v>0.155</v>
      </c>
      <c r="L47" s="21">
        <v>3.4000000000000002E-2</v>
      </c>
      <c r="M47" s="21"/>
      <c r="N47" s="21">
        <v>0.81</v>
      </c>
      <c r="P47"/>
    </row>
    <row r="48" spans="2:16" ht="20" customHeight="1">
      <c r="B48" s="26">
        <v>41</v>
      </c>
      <c r="C48" s="239" t="s">
        <v>437</v>
      </c>
      <c r="D48" s="240"/>
      <c r="E48" s="240"/>
      <c r="F48" s="241"/>
      <c r="G48" s="19" t="s">
        <v>70</v>
      </c>
      <c r="H48" s="20" t="s">
        <v>69</v>
      </c>
      <c r="I48" s="21">
        <v>0.13800000000000001</v>
      </c>
      <c r="J48" s="21">
        <v>0.81</v>
      </c>
      <c r="K48" s="21">
        <v>5.1999999999999998E-2</v>
      </c>
      <c r="L48" s="21"/>
      <c r="M48" s="21"/>
      <c r="N48" s="21">
        <v>0.81</v>
      </c>
      <c r="P48"/>
    </row>
    <row r="49" spans="2:16" ht="20" customHeight="1">
      <c r="B49" s="26">
        <v>42</v>
      </c>
      <c r="C49" s="239" t="s">
        <v>437</v>
      </c>
      <c r="D49" s="240"/>
      <c r="E49" s="240"/>
      <c r="F49" s="241"/>
      <c r="G49" s="19" t="s">
        <v>80</v>
      </c>
      <c r="H49" s="20" t="s">
        <v>487</v>
      </c>
      <c r="I49" s="21">
        <v>1.7000000000000001E-2</v>
      </c>
      <c r="J49" s="21"/>
      <c r="K49" s="21">
        <v>1.7000000000000001E-2</v>
      </c>
      <c r="L49" s="21">
        <v>0.96599999999999997</v>
      </c>
      <c r="M49" s="21"/>
      <c r="N49" s="21">
        <v>0.96599999999999997</v>
      </c>
      <c r="P49"/>
    </row>
    <row r="50" spans="2:16" ht="20" customHeight="1">
      <c r="B50" s="26">
        <v>43</v>
      </c>
      <c r="C50" s="239" t="s">
        <v>440</v>
      </c>
      <c r="D50" s="240"/>
      <c r="E50" s="240"/>
      <c r="F50" s="241"/>
      <c r="G50" s="19" t="s">
        <v>71</v>
      </c>
      <c r="H50" s="20" t="s">
        <v>69</v>
      </c>
      <c r="I50" s="21">
        <v>3.4000000000000002E-2</v>
      </c>
      <c r="J50" s="21"/>
      <c r="K50" s="21"/>
      <c r="L50" s="21">
        <v>0.96599999999999997</v>
      </c>
      <c r="M50" s="21"/>
      <c r="N50" s="21">
        <v>0.96599999999999997</v>
      </c>
      <c r="P50"/>
    </row>
    <row r="51" spans="2:16" ht="20" customHeight="1">
      <c r="B51" s="26">
        <v>44</v>
      </c>
      <c r="C51" s="239" t="s">
        <v>438</v>
      </c>
      <c r="D51" s="240"/>
      <c r="E51" s="240"/>
      <c r="F51" s="241"/>
      <c r="G51" s="19" t="s">
        <v>83</v>
      </c>
      <c r="H51" s="20" t="s">
        <v>70</v>
      </c>
      <c r="I51" s="21">
        <v>1.7000000000000001E-2</v>
      </c>
      <c r="J51" s="21">
        <v>3.4000000000000002E-2</v>
      </c>
      <c r="K51" s="21">
        <v>0.94799999999999995</v>
      </c>
      <c r="L51" s="21"/>
      <c r="M51" s="21"/>
      <c r="N51" s="21">
        <v>0.94799999999999995</v>
      </c>
      <c r="P51"/>
    </row>
    <row r="52" spans="2:16" ht="20" customHeight="1">
      <c r="B52" s="26">
        <v>45</v>
      </c>
      <c r="C52" s="239" t="s">
        <v>439</v>
      </c>
      <c r="D52" s="240"/>
      <c r="E52" s="240"/>
      <c r="F52" s="241"/>
      <c r="G52" s="19" t="s">
        <v>69</v>
      </c>
      <c r="H52" s="20" t="s">
        <v>67</v>
      </c>
      <c r="I52" s="21">
        <v>0.84499999999999997</v>
      </c>
      <c r="J52" s="21">
        <v>3.4000000000000002E-2</v>
      </c>
      <c r="K52" s="21">
        <v>6.9000000000000006E-2</v>
      </c>
      <c r="L52" s="21">
        <v>5.1999999999999998E-2</v>
      </c>
      <c r="M52" s="21"/>
      <c r="N52" s="21">
        <v>0.84499999999999997</v>
      </c>
      <c r="P52"/>
    </row>
    <row r="53" spans="2:16" ht="20" customHeight="1">
      <c r="B53" s="26">
        <v>46</v>
      </c>
      <c r="C53" s="239" t="s">
        <v>437</v>
      </c>
      <c r="D53" s="240"/>
      <c r="E53" s="240"/>
      <c r="F53" s="241"/>
      <c r="G53" s="19" t="s">
        <v>79</v>
      </c>
      <c r="H53" s="20" t="s">
        <v>69</v>
      </c>
      <c r="I53" s="21">
        <v>0.13800000000000001</v>
      </c>
      <c r="J53" s="21">
        <v>0.74099999999999999</v>
      </c>
      <c r="K53" s="21">
        <v>5.1999999999999998E-2</v>
      </c>
      <c r="L53" s="21">
        <v>6.9000000000000006E-2</v>
      </c>
      <c r="M53" s="21"/>
      <c r="N53" s="21">
        <v>0.74099999999999999</v>
      </c>
      <c r="P53"/>
    </row>
    <row r="54" spans="2:16" ht="20" customHeight="1">
      <c r="B54" s="26">
        <v>47</v>
      </c>
      <c r="C54" s="239" t="s">
        <v>435</v>
      </c>
      <c r="D54" s="240"/>
      <c r="E54" s="240"/>
      <c r="F54" s="241"/>
      <c r="G54" s="19" t="s">
        <v>67</v>
      </c>
      <c r="H54" s="20" t="s">
        <v>488</v>
      </c>
      <c r="I54" s="21">
        <v>8.5999999999999993E-2</v>
      </c>
      <c r="J54" s="21">
        <v>8.5999999999999993E-2</v>
      </c>
      <c r="K54" s="21">
        <v>0.81</v>
      </c>
      <c r="L54" s="21">
        <v>1.7000000000000001E-2</v>
      </c>
      <c r="M54" s="21"/>
      <c r="N54" s="21">
        <v>0.81</v>
      </c>
      <c r="P54"/>
    </row>
    <row r="55" spans="2:16" ht="20" customHeight="1">
      <c r="B55" s="26">
        <v>48</v>
      </c>
      <c r="C55" s="239" t="s">
        <v>435</v>
      </c>
      <c r="D55" s="240"/>
      <c r="E55" s="240"/>
      <c r="F55" s="241"/>
      <c r="G55" s="19" t="s">
        <v>81</v>
      </c>
      <c r="H55" s="20" t="s">
        <v>71</v>
      </c>
      <c r="I55" s="21">
        <v>0.75900000000000001</v>
      </c>
      <c r="J55" s="21">
        <v>6.9000000000000006E-2</v>
      </c>
      <c r="K55" s="21">
        <v>1.7000000000000001E-2</v>
      </c>
      <c r="L55" s="21">
        <v>0.155</v>
      </c>
      <c r="M55" s="21"/>
      <c r="N55" s="21">
        <v>0.75900000000000001</v>
      </c>
      <c r="P55"/>
    </row>
    <row r="56" spans="2:16" ht="20" customHeight="1">
      <c r="B56" s="26">
        <v>49</v>
      </c>
      <c r="C56" s="239" t="s">
        <v>440</v>
      </c>
      <c r="D56" s="240"/>
      <c r="E56" s="240"/>
      <c r="F56" s="241"/>
      <c r="G56" s="19" t="s">
        <v>71</v>
      </c>
      <c r="H56" s="20" t="s">
        <v>491</v>
      </c>
      <c r="I56" s="21"/>
      <c r="J56" s="21">
        <v>1.7000000000000001E-2</v>
      </c>
      <c r="K56" s="21">
        <v>1.7000000000000001E-2</v>
      </c>
      <c r="L56" s="21">
        <v>0.96599999999999997</v>
      </c>
      <c r="M56" s="21"/>
      <c r="N56" s="21">
        <v>0.96599999999999997</v>
      </c>
      <c r="P56"/>
    </row>
    <row r="57" spans="2:16" ht="20" customHeight="1">
      <c r="B57" s="26">
        <v>50</v>
      </c>
      <c r="C57" s="239" t="s">
        <v>440</v>
      </c>
      <c r="D57" s="240"/>
      <c r="E57" s="240"/>
      <c r="F57" s="241"/>
      <c r="G57" s="19" t="s">
        <v>81</v>
      </c>
      <c r="H57" s="20" t="s">
        <v>618</v>
      </c>
      <c r="I57" s="21">
        <v>0.93100000000000005</v>
      </c>
      <c r="J57" s="21"/>
      <c r="K57" s="21">
        <v>3.4000000000000002E-2</v>
      </c>
      <c r="L57" s="21">
        <v>3.4000000000000002E-2</v>
      </c>
      <c r="M57" s="21"/>
      <c r="N57" s="21">
        <v>0.93100000000000005</v>
      </c>
      <c r="P57"/>
    </row>
    <row r="58" spans="2:16" ht="20" customHeight="1">
      <c r="B58" s="26">
        <v>51</v>
      </c>
      <c r="C58" s="239" t="s">
        <v>436</v>
      </c>
      <c r="D58" s="240"/>
      <c r="E58" s="240"/>
      <c r="F58" s="241"/>
      <c r="G58" s="19" t="s">
        <v>71</v>
      </c>
      <c r="H58" s="20" t="s">
        <v>69</v>
      </c>
      <c r="I58" s="21">
        <v>0.19</v>
      </c>
      <c r="J58" s="21">
        <v>6.9000000000000006E-2</v>
      </c>
      <c r="K58" s="21">
        <v>1.7000000000000001E-2</v>
      </c>
      <c r="L58" s="21">
        <v>0.72399999999999998</v>
      </c>
      <c r="M58" s="21"/>
      <c r="N58" s="21">
        <v>0.72399999999999998</v>
      </c>
      <c r="P58"/>
    </row>
    <row r="59" spans="2:16" ht="20" customHeight="1">
      <c r="B59" s="26">
        <v>52</v>
      </c>
      <c r="C59" s="239" t="s">
        <v>440</v>
      </c>
      <c r="D59" s="240"/>
      <c r="E59" s="240"/>
      <c r="F59" s="241"/>
      <c r="G59" s="19" t="s">
        <v>79</v>
      </c>
      <c r="H59" s="20" t="s">
        <v>67</v>
      </c>
      <c r="I59" s="21"/>
      <c r="J59" s="21">
        <v>0.60299999999999998</v>
      </c>
      <c r="K59" s="21">
        <v>0.27600000000000002</v>
      </c>
      <c r="L59" s="21">
        <v>0.121</v>
      </c>
      <c r="M59" s="21"/>
      <c r="N59" s="21">
        <v>0.60299999999999998</v>
      </c>
      <c r="P59"/>
    </row>
    <row r="60" spans="2:16" ht="20" customHeight="1">
      <c r="B60" s="26">
        <v>53</v>
      </c>
      <c r="C60" s="239" t="s">
        <v>438</v>
      </c>
      <c r="D60" s="240"/>
      <c r="E60" s="240"/>
      <c r="F60" s="241"/>
      <c r="G60" s="19" t="s">
        <v>70</v>
      </c>
      <c r="H60" s="20" t="s">
        <v>67</v>
      </c>
      <c r="I60" s="21">
        <v>3.4000000000000002E-2</v>
      </c>
      <c r="J60" s="21">
        <v>0.77600000000000002</v>
      </c>
      <c r="K60" s="21">
        <v>0.10299999999999999</v>
      </c>
      <c r="L60" s="21">
        <v>8.5999999999999993E-2</v>
      </c>
      <c r="M60" s="21"/>
      <c r="N60" s="21">
        <v>0.77600000000000002</v>
      </c>
      <c r="P60"/>
    </row>
    <row r="61" spans="2:16" ht="20" customHeight="1">
      <c r="B61" s="26">
        <v>54</v>
      </c>
      <c r="C61" s="239" t="s">
        <v>439</v>
      </c>
      <c r="D61" s="240"/>
      <c r="E61" s="240"/>
      <c r="F61" s="241"/>
      <c r="G61" s="19" t="s">
        <v>80</v>
      </c>
      <c r="H61" s="20" t="s">
        <v>69</v>
      </c>
      <c r="I61" s="21">
        <v>6.9000000000000006E-2</v>
      </c>
      <c r="J61" s="21"/>
      <c r="K61" s="21">
        <v>1.7000000000000001E-2</v>
      </c>
      <c r="L61" s="21">
        <v>0.91400000000000003</v>
      </c>
      <c r="M61" s="21"/>
      <c r="N61" s="21">
        <v>0.91400000000000003</v>
      </c>
      <c r="P61"/>
    </row>
    <row r="62" spans="2:16" ht="20" customHeight="1">
      <c r="B62" s="26">
        <v>55</v>
      </c>
      <c r="C62" s="239" t="s">
        <v>436</v>
      </c>
      <c r="D62" s="240"/>
      <c r="E62" s="240"/>
      <c r="F62" s="241"/>
      <c r="G62" s="19" t="s">
        <v>69</v>
      </c>
      <c r="H62" s="20" t="s">
        <v>70</v>
      </c>
      <c r="I62" s="21">
        <v>0.69</v>
      </c>
      <c r="J62" s="21">
        <v>0.155</v>
      </c>
      <c r="K62" s="21">
        <v>6.9000000000000006E-2</v>
      </c>
      <c r="L62" s="21">
        <v>6.9000000000000006E-2</v>
      </c>
      <c r="M62" s="21"/>
      <c r="N62" s="21">
        <v>0.69</v>
      </c>
      <c r="P62"/>
    </row>
    <row r="63" spans="2:16" ht="20" customHeight="1">
      <c r="B63" s="26">
        <v>56</v>
      </c>
      <c r="C63" s="239" t="s">
        <v>438</v>
      </c>
      <c r="D63" s="240"/>
      <c r="E63" s="240"/>
      <c r="F63" s="241"/>
      <c r="G63" s="19" t="s">
        <v>83</v>
      </c>
      <c r="H63" s="20" t="s">
        <v>71</v>
      </c>
      <c r="I63" s="21">
        <v>1.7000000000000001E-2</v>
      </c>
      <c r="J63" s="21">
        <v>1.7000000000000001E-2</v>
      </c>
      <c r="K63" s="21">
        <v>0.82799999999999996</v>
      </c>
      <c r="L63" s="21">
        <v>0.13800000000000001</v>
      </c>
      <c r="M63" s="21"/>
      <c r="N63" s="21">
        <v>0.82799999999999996</v>
      </c>
      <c r="P63"/>
    </row>
    <row r="64" spans="2:16" ht="20" customHeight="1">
      <c r="B64" s="26">
        <v>57</v>
      </c>
      <c r="C64" s="239" t="s">
        <v>440</v>
      </c>
      <c r="D64" s="240"/>
      <c r="E64" s="240"/>
      <c r="F64" s="241"/>
      <c r="G64" s="19" t="s">
        <v>71</v>
      </c>
      <c r="H64" s="20" t="s">
        <v>69</v>
      </c>
      <c r="I64" s="21">
        <v>3.4000000000000002E-2</v>
      </c>
      <c r="J64" s="21"/>
      <c r="K64" s="21"/>
      <c r="L64" s="21">
        <v>0.96599999999999997</v>
      </c>
      <c r="M64" s="21"/>
      <c r="N64" s="21">
        <v>0.96599999999999997</v>
      </c>
      <c r="P64"/>
    </row>
    <row r="65" spans="2:16" ht="20" customHeight="1">
      <c r="B65" s="26">
        <v>58</v>
      </c>
      <c r="C65" s="239" t="s">
        <v>437</v>
      </c>
      <c r="D65" s="240"/>
      <c r="E65" s="240"/>
      <c r="F65" s="241"/>
      <c r="G65" s="19" t="s">
        <v>83</v>
      </c>
      <c r="H65" s="20" t="s">
        <v>70</v>
      </c>
      <c r="I65" s="21">
        <v>3.4000000000000002E-2</v>
      </c>
      <c r="J65" s="21">
        <v>8.5999999999999993E-2</v>
      </c>
      <c r="K65" s="21">
        <v>0.879</v>
      </c>
      <c r="L65" s="21"/>
      <c r="M65" s="21"/>
      <c r="N65" s="21">
        <v>0.879</v>
      </c>
      <c r="P65"/>
    </row>
    <row r="66" spans="2:16" ht="20" customHeight="1">
      <c r="B66" s="26">
        <v>59</v>
      </c>
      <c r="C66" s="239" t="s">
        <v>440</v>
      </c>
      <c r="D66" s="240"/>
      <c r="E66" s="240"/>
      <c r="F66" s="241"/>
      <c r="G66" s="19" t="s">
        <v>69</v>
      </c>
      <c r="H66" s="20" t="s">
        <v>70</v>
      </c>
      <c r="I66" s="21">
        <v>0.98299999999999998</v>
      </c>
      <c r="J66" s="21">
        <v>1.7000000000000001E-2</v>
      </c>
      <c r="K66" s="21"/>
      <c r="L66" s="21"/>
      <c r="M66" s="21"/>
      <c r="N66" s="21">
        <v>0.98299999999999998</v>
      </c>
      <c r="P66"/>
    </row>
    <row r="67" spans="2:16" ht="20" customHeight="1">
      <c r="B67" s="26">
        <v>60</v>
      </c>
      <c r="C67" s="239" t="s">
        <v>436</v>
      </c>
      <c r="D67" s="240"/>
      <c r="E67" s="240"/>
      <c r="F67" s="241"/>
      <c r="G67" s="19" t="s">
        <v>79</v>
      </c>
      <c r="H67" s="20" t="s">
        <v>69</v>
      </c>
      <c r="I67" s="21">
        <v>5.1999999999999998E-2</v>
      </c>
      <c r="J67" s="21">
        <v>0.94799999999999995</v>
      </c>
      <c r="K67" s="21"/>
      <c r="L67" s="21"/>
      <c r="M67" s="21"/>
      <c r="N67" s="21">
        <v>0.94799999999999995</v>
      </c>
      <c r="P67"/>
    </row>
    <row r="68" spans="2:16" ht="20" customHeight="1">
      <c r="B68" s="26">
        <v>61</v>
      </c>
      <c r="C68" s="239" t="s">
        <v>435</v>
      </c>
      <c r="D68" s="240"/>
      <c r="E68" s="240"/>
      <c r="F68" s="241"/>
      <c r="G68" s="19" t="s">
        <v>71</v>
      </c>
      <c r="H68" s="20" t="s">
        <v>67</v>
      </c>
      <c r="I68" s="21"/>
      <c r="J68" s="21"/>
      <c r="K68" s="21">
        <v>3.4000000000000002E-2</v>
      </c>
      <c r="L68" s="21">
        <v>0.94799999999999995</v>
      </c>
      <c r="M68" s="21"/>
      <c r="N68" s="21">
        <v>0.94799999999999995</v>
      </c>
      <c r="P68"/>
    </row>
    <row r="69" spans="2:16" ht="20" customHeight="1">
      <c r="B69" s="26">
        <v>62</v>
      </c>
      <c r="C69" s="239" t="s">
        <v>437</v>
      </c>
      <c r="D69" s="240"/>
      <c r="E69" s="240"/>
      <c r="F69" s="241"/>
      <c r="G69" s="19" t="s">
        <v>80</v>
      </c>
      <c r="H69" s="20" t="s">
        <v>67</v>
      </c>
      <c r="I69" s="21">
        <v>8.5999999999999993E-2</v>
      </c>
      <c r="J69" s="21">
        <v>5.1999999999999998E-2</v>
      </c>
      <c r="K69" s="21">
        <v>0.121</v>
      </c>
      <c r="L69" s="21">
        <v>0.72399999999999998</v>
      </c>
      <c r="M69" s="21"/>
      <c r="N69" s="21">
        <v>0.72399999999999998</v>
      </c>
      <c r="P69"/>
    </row>
    <row r="70" spans="2:16" ht="20" customHeight="1">
      <c r="B70" s="26">
        <v>63</v>
      </c>
      <c r="C70" s="239" t="s">
        <v>435</v>
      </c>
      <c r="D70" s="240"/>
      <c r="E70" s="240"/>
      <c r="F70" s="241"/>
      <c r="G70" s="19" t="s">
        <v>70</v>
      </c>
      <c r="H70" s="20" t="s">
        <v>71</v>
      </c>
      <c r="I70" s="21">
        <v>0.121</v>
      </c>
      <c r="J70" s="21">
        <v>0.65500000000000003</v>
      </c>
      <c r="K70" s="21"/>
      <c r="L70" s="21">
        <v>0.20699999999999999</v>
      </c>
      <c r="M70" s="21"/>
      <c r="N70" s="21">
        <v>0.65500000000000003</v>
      </c>
      <c r="P70"/>
    </row>
    <row r="71" spans="2:16" ht="20" customHeight="1">
      <c r="B71" s="26">
        <v>64</v>
      </c>
      <c r="C71" s="239" t="s">
        <v>437</v>
      </c>
      <c r="D71" s="240"/>
      <c r="E71" s="240"/>
      <c r="F71" s="241"/>
      <c r="G71" s="19" t="s">
        <v>80</v>
      </c>
      <c r="H71" s="20" t="s">
        <v>67</v>
      </c>
      <c r="I71" s="21">
        <v>1.7000000000000001E-2</v>
      </c>
      <c r="J71" s="21"/>
      <c r="K71" s="21">
        <v>0.13800000000000001</v>
      </c>
      <c r="L71" s="21">
        <v>0.82799999999999996</v>
      </c>
      <c r="M71" s="21"/>
      <c r="N71" s="21">
        <v>0.82799999999999996</v>
      </c>
      <c r="P71"/>
    </row>
    <row r="72" spans="2:16" ht="20" customHeight="1">
      <c r="B72" s="26">
        <v>65</v>
      </c>
      <c r="C72" s="239" t="s">
        <v>437</v>
      </c>
      <c r="D72" s="240"/>
      <c r="E72" s="240"/>
      <c r="F72" s="241"/>
      <c r="G72" s="19" t="s">
        <v>67</v>
      </c>
      <c r="H72" s="20" t="s">
        <v>69</v>
      </c>
      <c r="I72" s="21">
        <v>0.25900000000000001</v>
      </c>
      <c r="J72" s="21">
        <v>0.17199999999999999</v>
      </c>
      <c r="K72" s="21">
        <v>0.46600000000000003</v>
      </c>
      <c r="L72" s="21">
        <v>6.9000000000000006E-2</v>
      </c>
      <c r="M72" s="21"/>
      <c r="N72" s="21">
        <v>0.46600000000000003</v>
      </c>
      <c r="P72"/>
    </row>
    <row r="73" spans="2:16" ht="20" customHeight="1">
      <c r="B73" s="26">
        <v>66</v>
      </c>
      <c r="C73" s="239" t="s">
        <v>436</v>
      </c>
      <c r="D73" s="240"/>
      <c r="E73" s="240"/>
      <c r="F73" s="241"/>
      <c r="G73" s="19" t="s">
        <v>79</v>
      </c>
      <c r="H73" s="20" t="s">
        <v>71</v>
      </c>
      <c r="I73" s="21">
        <v>1.7000000000000001E-2</v>
      </c>
      <c r="J73" s="21">
        <v>0.91400000000000003</v>
      </c>
      <c r="K73" s="21">
        <v>1.7000000000000001E-2</v>
      </c>
      <c r="L73" s="21">
        <v>3.4000000000000002E-2</v>
      </c>
      <c r="M73" s="21"/>
      <c r="N73" s="21">
        <v>0.91400000000000003</v>
      </c>
      <c r="P73"/>
    </row>
    <row r="74" spans="2:16" ht="20" customHeight="1">
      <c r="B74" s="26">
        <v>67</v>
      </c>
      <c r="C74" s="239" t="s">
        <v>440</v>
      </c>
      <c r="D74" s="240"/>
      <c r="E74" s="240"/>
      <c r="F74" s="241"/>
      <c r="G74" s="19" t="s">
        <v>70</v>
      </c>
      <c r="H74" s="20" t="s">
        <v>69</v>
      </c>
      <c r="I74" s="21">
        <v>3.4000000000000002E-2</v>
      </c>
      <c r="J74" s="21">
        <v>0.91400000000000003</v>
      </c>
      <c r="K74" s="21">
        <v>1.7000000000000001E-2</v>
      </c>
      <c r="L74" s="21">
        <v>1.7000000000000001E-2</v>
      </c>
      <c r="M74" s="21"/>
      <c r="N74" s="21">
        <v>0.91400000000000003</v>
      </c>
      <c r="P74"/>
    </row>
    <row r="75" spans="2:16" ht="20" customHeight="1">
      <c r="B75" s="26">
        <v>68</v>
      </c>
      <c r="C75" s="239" t="s">
        <v>436</v>
      </c>
      <c r="D75" s="240"/>
      <c r="E75" s="240"/>
      <c r="F75" s="241"/>
      <c r="G75" s="19" t="s">
        <v>83</v>
      </c>
      <c r="H75" s="20" t="s">
        <v>619</v>
      </c>
      <c r="I75" s="21">
        <v>1.7000000000000001E-2</v>
      </c>
      <c r="J75" s="21">
        <v>1.7000000000000001E-2</v>
      </c>
      <c r="K75" s="21">
        <v>0.93100000000000005</v>
      </c>
      <c r="L75" s="21">
        <v>1.7000000000000001E-2</v>
      </c>
      <c r="M75" s="21"/>
      <c r="N75" s="21">
        <v>0.93100000000000005</v>
      </c>
      <c r="P75"/>
    </row>
    <row r="76" spans="2:16" ht="20" customHeight="1">
      <c r="B76" s="26">
        <v>69</v>
      </c>
      <c r="C76" s="239" t="s">
        <v>437</v>
      </c>
      <c r="D76" s="240"/>
      <c r="E76" s="240"/>
      <c r="F76" s="241"/>
      <c r="G76" s="19" t="s">
        <v>70</v>
      </c>
      <c r="H76" s="20" t="s">
        <v>69</v>
      </c>
      <c r="I76" s="21">
        <v>5.1999999999999998E-2</v>
      </c>
      <c r="J76" s="21">
        <v>0.89700000000000002</v>
      </c>
      <c r="K76" s="21"/>
      <c r="L76" s="21">
        <v>3.4000000000000002E-2</v>
      </c>
      <c r="M76" s="21"/>
      <c r="N76" s="21">
        <v>0.89700000000000002</v>
      </c>
      <c r="P76"/>
    </row>
    <row r="77" spans="2:16" ht="20" customHeight="1">
      <c r="B77" s="26">
        <v>70</v>
      </c>
      <c r="C77" s="239" t="s">
        <v>440</v>
      </c>
      <c r="D77" s="240"/>
      <c r="E77" s="240"/>
      <c r="F77" s="241"/>
      <c r="G77" s="19" t="s">
        <v>83</v>
      </c>
      <c r="H77" s="20" t="s">
        <v>69</v>
      </c>
      <c r="I77" s="21">
        <v>6.9000000000000006E-2</v>
      </c>
      <c r="J77" s="21">
        <v>3.4000000000000002E-2</v>
      </c>
      <c r="K77" s="21">
        <v>0.81</v>
      </c>
      <c r="L77" s="21">
        <v>3.4000000000000002E-2</v>
      </c>
      <c r="M77" s="21"/>
      <c r="N77" s="21">
        <v>0.81</v>
      </c>
      <c r="P77"/>
    </row>
    <row r="78" spans="2:16" ht="20" customHeight="1">
      <c r="B78" s="26">
        <v>71</v>
      </c>
      <c r="C78" s="239" t="s">
        <v>436</v>
      </c>
      <c r="D78" s="240"/>
      <c r="E78" s="240"/>
      <c r="F78" s="241"/>
      <c r="G78" s="19" t="s">
        <v>71</v>
      </c>
      <c r="H78" s="20" t="s">
        <v>70</v>
      </c>
      <c r="I78" s="21"/>
      <c r="J78" s="21">
        <v>3.4000000000000002E-2</v>
      </c>
      <c r="K78" s="21">
        <v>1.7000000000000001E-2</v>
      </c>
      <c r="L78" s="21">
        <v>0.93100000000000005</v>
      </c>
      <c r="M78" s="21"/>
      <c r="N78" s="21">
        <v>0.93100000000000005</v>
      </c>
      <c r="P78"/>
    </row>
    <row r="79" spans="2:16" ht="20" customHeight="1">
      <c r="B79" s="26">
        <v>72</v>
      </c>
      <c r="C79" s="239" t="s">
        <v>436</v>
      </c>
      <c r="D79" s="240"/>
      <c r="E79" s="240"/>
      <c r="F79" s="241"/>
      <c r="G79" s="19" t="s">
        <v>83</v>
      </c>
      <c r="H79" s="20" t="s">
        <v>489</v>
      </c>
      <c r="I79" s="21"/>
      <c r="J79" s="21">
        <v>1.7000000000000001E-2</v>
      </c>
      <c r="K79" s="21">
        <v>0.94799999999999995</v>
      </c>
      <c r="L79" s="21">
        <v>1.7000000000000001E-2</v>
      </c>
      <c r="M79" s="21"/>
      <c r="N79" s="21">
        <v>0.94799999999999995</v>
      </c>
      <c r="P79"/>
    </row>
    <row r="80" spans="2:16" ht="20" customHeight="1">
      <c r="B80" s="26">
        <v>73</v>
      </c>
      <c r="C80" s="239" t="s">
        <v>437</v>
      </c>
      <c r="D80" s="240"/>
      <c r="E80" s="240"/>
      <c r="F80" s="241"/>
      <c r="G80" s="19" t="s">
        <v>69</v>
      </c>
      <c r="H80" s="20" t="s">
        <v>70</v>
      </c>
      <c r="I80" s="21">
        <v>0.91400000000000003</v>
      </c>
      <c r="J80" s="21">
        <v>5.1999999999999998E-2</v>
      </c>
      <c r="K80" s="21">
        <v>1.7000000000000001E-2</v>
      </c>
      <c r="L80" s="21"/>
      <c r="M80" s="21"/>
      <c r="N80" s="21">
        <v>0.91400000000000003</v>
      </c>
      <c r="P80"/>
    </row>
    <row r="81" spans="2:16" ht="20" customHeight="1">
      <c r="B81" s="26">
        <v>74</v>
      </c>
      <c r="C81" s="239" t="s">
        <v>439</v>
      </c>
      <c r="D81" s="240"/>
      <c r="E81" s="240"/>
      <c r="F81" s="241"/>
      <c r="G81" s="19" t="s">
        <v>80</v>
      </c>
      <c r="H81" s="20" t="s">
        <v>67</v>
      </c>
      <c r="I81" s="21">
        <v>8.5999999999999993E-2</v>
      </c>
      <c r="J81" s="21">
        <v>6.9000000000000006E-2</v>
      </c>
      <c r="K81" s="21">
        <v>0.20699999999999999</v>
      </c>
      <c r="L81" s="21">
        <v>0.621</v>
      </c>
      <c r="M81" s="21"/>
      <c r="N81" s="21">
        <v>0.621</v>
      </c>
      <c r="P81"/>
    </row>
    <row r="82" spans="2:16" ht="20" customHeight="1">
      <c r="B82" s="41">
        <v>75</v>
      </c>
      <c r="C82" s="257" t="s">
        <v>437</v>
      </c>
      <c r="D82" s="258"/>
      <c r="E82" s="258"/>
      <c r="F82" s="259"/>
      <c r="G82" s="22" t="s">
        <v>69</v>
      </c>
      <c r="H82" s="23" t="s">
        <v>70</v>
      </c>
      <c r="I82" s="24">
        <v>0.91400000000000003</v>
      </c>
      <c r="J82" s="24">
        <v>3.4000000000000002E-2</v>
      </c>
      <c r="K82" s="24">
        <v>1.7000000000000001E-2</v>
      </c>
      <c r="L82" s="24"/>
      <c r="M82" s="24"/>
      <c r="N82" s="24">
        <v>0.91400000000000003</v>
      </c>
      <c r="P82"/>
    </row>
    <row r="83" spans="2:16">
      <c r="N83" s="3" t="s">
        <v>3</v>
      </c>
      <c r="P83"/>
    </row>
    <row r="84" spans="2:16">
      <c r="P84"/>
    </row>
    <row r="85" spans="2:16">
      <c r="P85"/>
    </row>
    <row r="86" spans="2:16">
      <c r="P86"/>
    </row>
    <row r="87" spans="2:16">
      <c r="P87"/>
    </row>
    <row r="88" spans="2:16">
      <c r="P88"/>
    </row>
    <row r="89" spans="2:16">
      <c r="P89"/>
    </row>
    <row r="90" spans="2:16">
      <c r="P90"/>
    </row>
    <row r="91" spans="2:16">
      <c r="P91"/>
    </row>
    <row r="92" spans="2:16">
      <c r="P92"/>
    </row>
    <row r="93" spans="2:16">
      <c r="P93"/>
    </row>
    <row r="94" spans="2:16">
      <c r="P94"/>
    </row>
    <row r="95" spans="2:16">
      <c r="P95"/>
    </row>
    <row r="96" spans="2:16">
      <c r="P96"/>
    </row>
    <row r="97" spans="16:16">
      <c r="P97"/>
    </row>
    <row r="98" spans="16:16">
      <c r="P98"/>
    </row>
    <row r="99" spans="16:16">
      <c r="P99"/>
    </row>
    <row r="100" spans="16:16">
      <c r="P100"/>
    </row>
    <row r="101" spans="16:16">
      <c r="P101"/>
    </row>
    <row r="102" spans="16:16">
      <c r="P102"/>
    </row>
    <row r="103" spans="16:16">
      <c r="P103"/>
    </row>
    <row r="104" spans="16:16">
      <c r="P104"/>
    </row>
    <row r="105" spans="16:16">
      <c r="P105"/>
    </row>
    <row r="106" spans="16:16">
      <c r="P106"/>
    </row>
    <row r="107" spans="16:16">
      <c r="P107"/>
    </row>
    <row r="108" spans="16:16">
      <c r="P108"/>
    </row>
    <row r="109" spans="16:16">
      <c r="P109"/>
    </row>
    <row r="110" spans="16:16">
      <c r="P110"/>
    </row>
    <row r="111" spans="16:16">
      <c r="P111"/>
    </row>
    <row r="112" spans="16:16">
      <c r="P112"/>
    </row>
    <row r="113" spans="2:16">
      <c r="P113"/>
    </row>
    <row r="114" spans="2:16">
      <c r="P114"/>
    </row>
    <row r="115" spans="2:16">
      <c r="P115"/>
    </row>
    <row r="116" spans="2:16">
      <c r="P116"/>
    </row>
    <row r="117" spans="2:16">
      <c r="P117"/>
    </row>
    <row r="118" spans="2:16">
      <c r="P118"/>
    </row>
    <row r="119" spans="2:16">
      <c r="P119"/>
    </row>
    <row r="120" spans="2:16">
      <c r="P120"/>
    </row>
    <row r="121" spans="2:16">
      <c r="P121"/>
    </row>
    <row r="122" spans="2:16">
      <c r="P122"/>
    </row>
    <row r="123" spans="2:16">
      <c r="P123"/>
    </row>
    <row r="124" spans="2:16">
      <c r="P124"/>
    </row>
    <row r="125" spans="2:16">
      <c r="P125"/>
    </row>
    <row r="126" spans="2:16">
      <c r="B126" s="13">
        <f t="shared" ref="B126:B133" si="0">I8</f>
        <v>0.98299999999999998</v>
      </c>
      <c r="C126" s="13"/>
      <c r="D126" s="13"/>
      <c r="E126" s="13"/>
      <c r="F126" s="13"/>
      <c r="G126" s="13">
        <f t="shared" ref="G126:G133" si="1">J8</f>
        <v>0</v>
      </c>
      <c r="H126" s="13">
        <f t="shared" ref="H126:H133" si="2">M8</f>
        <v>0</v>
      </c>
      <c r="I126" s="13" t="e">
        <f>#REF!</f>
        <v>#REF!</v>
      </c>
      <c r="J126" s="13" t="e">
        <f>#REF!</f>
        <v>#REF!</v>
      </c>
      <c r="P126"/>
    </row>
    <row r="127" spans="2:16">
      <c r="B127" s="13">
        <f t="shared" si="0"/>
        <v>0.93100000000000005</v>
      </c>
      <c r="C127" s="13"/>
      <c r="D127" s="13"/>
      <c r="E127" s="13"/>
      <c r="F127" s="13"/>
      <c r="G127" s="13">
        <f t="shared" si="1"/>
        <v>3.4000000000000002E-2</v>
      </c>
      <c r="H127" s="13">
        <f t="shared" si="2"/>
        <v>0</v>
      </c>
      <c r="I127" s="13" t="e">
        <f>#REF!</f>
        <v>#REF!</v>
      </c>
      <c r="J127" s="13" t="e">
        <f>#REF!</f>
        <v>#REF!</v>
      </c>
      <c r="P127"/>
    </row>
    <row r="128" spans="2:16">
      <c r="B128" s="13">
        <f t="shared" si="0"/>
        <v>1.7000000000000001E-2</v>
      </c>
      <c r="C128" s="13"/>
      <c r="D128" s="13"/>
      <c r="E128" s="13"/>
      <c r="F128" s="13"/>
      <c r="G128" s="13">
        <f t="shared" si="1"/>
        <v>0</v>
      </c>
      <c r="H128" s="13">
        <f t="shared" si="2"/>
        <v>0</v>
      </c>
      <c r="I128" s="13" t="e">
        <f>#REF!</f>
        <v>#REF!</v>
      </c>
      <c r="J128" s="13" t="e">
        <f>#REF!</f>
        <v>#REF!</v>
      </c>
      <c r="P128"/>
    </row>
    <row r="129" spans="2:16">
      <c r="B129" s="13">
        <f t="shared" si="0"/>
        <v>1.7000000000000001E-2</v>
      </c>
      <c r="C129" s="13"/>
      <c r="D129" s="13"/>
      <c r="E129" s="13"/>
      <c r="F129" s="13"/>
      <c r="G129" s="13">
        <f t="shared" si="1"/>
        <v>8.5999999999999993E-2</v>
      </c>
      <c r="H129" s="13">
        <f t="shared" si="2"/>
        <v>0</v>
      </c>
      <c r="I129" s="13" t="e">
        <f>#REF!</f>
        <v>#REF!</v>
      </c>
      <c r="J129" s="13" t="e">
        <f>#REF!</f>
        <v>#REF!</v>
      </c>
      <c r="P129"/>
    </row>
    <row r="130" spans="2:16">
      <c r="B130" s="13">
        <f t="shared" si="0"/>
        <v>0</v>
      </c>
      <c r="C130" s="13"/>
      <c r="D130" s="13"/>
      <c r="E130" s="13"/>
      <c r="F130" s="13"/>
      <c r="G130" s="13">
        <f t="shared" si="1"/>
        <v>0.96599999999999997</v>
      </c>
      <c r="H130" s="13">
        <f t="shared" si="2"/>
        <v>0</v>
      </c>
      <c r="I130" s="13" t="e">
        <f>#REF!</f>
        <v>#REF!</v>
      </c>
      <c r="J130" s="13" t="e">
        <f>#REF!</f>
        <v>#REF!</v>
      </c>
      <c r="P130"/>
    </row>
    <row r="131" spans="2:16">
      <c r="B131" s="13">
        <f t="shared" si="0"/>
        <v>1.7000000000000001E-2</v>
      </c>
      <c r="C131" s="13"/>
      <c r="D131" s="13"/>
      <c r="E131" s="13"/>
      <c r="F131" s="13"/>
      <c r="G131" s="13">
        <f t="shared" si="1"/>
        <v>0.879</v>
      </c>
      <c r="H131" s="13">
        <f t="shared" si="2"/>
        <v>0</v>
      </c>
      <c r="I131" s="13" t="e">
        <f>#REF!</f>
        <v>#REF!</v>
      </c>
      <c r="J131" s="13" t="e">
        <f>#REF!</f>
        <v>#REF!</v>
      </c>
      <c r="P131"/>
    </row>
    <row r="132" spans="2:16">
      <c r="B132" s="13">
        <f t="shared" si="0"/>
        <v>0.96599999999999997</v>
      </c>
      <c r="C132" s="13"/>
      <c r="D132" s="13"/>
      <c r="E132" s="13"/>
      <c r="F132" s="13"/>
      <c r="G132" s="13">
        <f t="shared" si="1"/>
        <v>0</v>
      </c>
      <c r="H132" s="13">
        <f t="shared" si="2"/>
        <v>0</v>
      </c>
      <c r="I132" s="13" t="e">
        <f>#REF!</f>
        <v>#REF!</v>
      </c>
      <c r="J132" s="13" t="e">
        <f>#REF!</f>
        <v>#REF!</v>
      </c>
      <c r="P132"/>
    </row>
    <row r="133" spans="2:16">
      <c r="B133" s="13">
        <f t="shared" si="0"/>
        <v>0.77600000000000002</v>
      </c>
      <c r="C133" s="13"/>
      <c r="D133" s="13"/>
      <c r="E133" s="13"/>
      <c r="F133" s="13"/>
      <c r="G133" s="13">
        <f t="shared" si="1"/>
        <v>1.7000000000000001E-2</v>
      </c>
      <c r="H133" s="13">
        <f t="shared" si="2"/>
        <v>0</v>
      </c>
      <c r="I133" s="13" t="e">
        <f>#REF!</f>
        <v>#REF!</v>
      </c>
      <c r="J133" s="13" t="e">
        <f>#REF!</f>
        <v>#REF!</v>
      </c>
      <c r="P133"/>
    </row>
    <row r="134" spans="2:16">
      <c r="B134" s="13" t="e">
        <f>#REF!</f>
        <v>#REF!</v>
      </c>
      <c r="C134" s="13"/>
      <c r="D134" s="13"/>
      <c r="E134" s="13"/>
      <c r="F134" s="13"/>
      <c r="G134" s="13" t="e">
        <f>#REF!</f>
        <v>#REF!</v>
      </c>
      <c r="H134" s="13" t="e">
        <f>#REF!</f>
        <v>#REF!</v>
      </c>
      <c r="I134" s="13" t="e">
        <f>#REF!</f>
        <v>#REF!</v>
      </c>
      <c r="J134" s="13" t="e">
        <f>#REF!</f>
        <v>#REF!</v>
      </c>
      <c r="P134"/>
    </row>
    <row r="135" spans="2:16">
      <c r="B135" s="13" t="e">
        <f>#REF!</f>
        <v>#REF!</v>
      </c>
      <c r="C135" s="13"/>
      <c r="D135" s="13"/>
      <c r="E135" s="13"/>
      <c r="F135" s="13"/>
      <c r="G135" s="13" t="e">
        <f>#REF!</f>
        <v>#REF!</v>
      </c>
      <c r="H135" s="13" t="e">
        <f>#REF!</f>
        <v>#REF!</v>
      </c>
      <c r="I135" s="13" t="e">
        <f>#REF!</f>
        <v>#REF!</v>
      </c>
      <c r="J135" s="13" t="e">
        <f>#REF!</f>
        <v>#REF!</v>
      </c>
      <c r="P135"/>
    </row>
    <row r="136" spans="2:16">
      <c r="B136" s="13" t="e">
        <f>#REF!</f>
        <v>#REF!</v>
      </c>
      <c r="C136" s="13"/>
      <c r="D136" s="13"/>
      <c r="E136" s="13"/>
      <c r="F136" s="13"/>
      <c r="G136" s="13" t="e">
        <f>#REF!</f>
        <v>#REF!</v>
      </c>
      <c r="H136" s="13" t="e">
        <f>#REF!</f>
        <v>#REF!</v>
      </c>
      <c r="I136" s="13" t="e">
        <f>#REF!</f>
        <v>#REF!</v>
      </c>
      <c r="J136" s="13" t="e">
        <f>#REF!</f>
        <v>#REF!</v>
      </c>
      <c r="P136"/>
    </row>
    <row r="137" spans="2:16">
      <c r="B137" s="13" t="e">
        <f>#REF!</f>
        <v>#REF!</v>
      </c>
      <c r="C137" s="13"/>
      <c r="D137" s="13"/>
      <c r="E137" s="13"/>
      <c r="F137" s="13"/>
      <c r="G137" s="13" t="e">
        <f>#REF!</f>
        <v>#REF!</v>
      </c>
      <c r="H137" s="13" t="e">
        <f>#REF!</f>
        <v>#REF!</v>
      </c>
      <c r="I137" s="13" t="e">
        <f>#REF!</f>
        <v>#REF!</v>
      </c>
      <c r="J137" s="13" t="e">
        <f>#REF!</f>
        <v>#REF!</v>
      </c>
      <c r="P137"/>
    </row>
    <row r="138" spans="2:16">
      <c r="B138" s="13" t="e">
        <f>#REF!</f>
        <v>#REF!</v>
      </c>
      <c r="C138" s="13"/>
      <c r="D138" s="13"/>
      <c r="E138" s="13"/>
      <c r="F138" s="13"/>
      <c r="G138" s="13" t="e">
        <f>#REF!</f>
        <v>#REF!</v>
      </c>
      <c r="H138" s="13" t="e">
        <f>#REF!</f>
        <v>#REF!</v>
      </c>
      <c r="I138" s="13" t="e">
        <f>#REF!</f>
        <v>#REF!</v>
      </c>
      <c r="J138" s="13" t="e">
        <f>#REF!</f>
        <v>#REF!</v>
      </c>
      <c r="P138"/>
    </row>
    <row r="139" spans="2:16">
      <c r="B139" s="13" t="e">
        <f>#REF!</f>
        <v>#REF!</v>
      </c>
      <c r="C139" s="13"/>
      <c r="D139" s="13"/>
      <c r="E139" s="13"/>
      <c r="F139" s="13"/>
      <c r="G139" s="13" t="e">
        <f>#REF!</f>
        <v>#REF!</v>
      </c>
      <c r="H139" s="13" t="e">
        <f>#REF!</f>
        <v>#REF!</v>
      </c>
      <c r="I139" s="13" t="e">
        <f>#REF!</f>
        <v>#REF!</v>
      </c>
      <c r="J139" s="13" t="e">
        <f>#REF!</f>
        <v>#REF!</v>
      </c>
      <c r="P139"/>
    </row>
    <row r="140" spans="2:16">
      <c r="B140" s="13" t="e">
        <f>#REF!</f>
        <v>#REF!</v>
      </c>
      <c r="C140" s="13"/>
      <c r="D140" s="13"/>
      <c r="E140" s="13"/>
      <c r="F140" s="13"/>
      <c r="G140" s="13" t="e">
        <f>#REF!</f>
        <v>#REF!</v>
      </c>
      <c r="H140" s="13" t="e">
        <f>#REF!</f>
        <v>#REF!</v>
      </c>
      <c r="I140" s="13" t="e">
        <f>#REF!</f>
        <v>#REF!</v>
      </c>
      <c r="J140" s="13" t="e">
        <f>#REF!</f>
        <v>#REF!</v>
      </c>
      <c r="P140"/>
    </row>
    <row r="141" spans="2:16">
      <c r="B141" s="13" t="e">
        <f>#REF!</f>
        <v>#REF!</v>
      </c>
      <c r="C141" s="13"/>
      <c r="D141" s="13"/>
      <c r="E141" s="13"/>
      <c r="F141" s="13"/>
      <c r="G141" s="13" t="e">
        <f>#REF!</f>
        <v>#REF!</v>
      </c>
      <c r="H141" s="13" t="e">
        <f>#REF!</f>
        <v>#REF!</v>
      </c>
      <c r="I141" s="13" t="e">
        <f>#REF!</f>
        <v>#REF!</v>
      </c>
      <c r="J141" s="13" t="e">
        <f>#REF!</f>
        <v>#REF!</v>
      </c>
      <c r="P141"/>
    </row>
    <row r="142" spans="2:16">
      <c r="B142" s="13" t="e">
        <f>#REF!</f>
        <v>#REF!</v>
      </c>
      <c r="C142" s="13"/>
      <c r="D142" s="13"/>
      <c r="E142" s="13"/>
      <c r="F142" s="13"/>
      <c r="G142" s="13" t="e">
        <f>#REF!</f>
        <v>#REF!</v>
      </c>
      <c r="H142" s="13" t="e">
        <f>#REF!</f>
        <v>#REF!</v>
      </c>
      <c r="I142" s="13" t="e">
        <f>#REF!</f>
        <v>#REF!</v>
      </c>
      <c r="J142" s="13" t="e">
        <f>#REF!</f>
        <v>#REF!</v>
      </c>
      <c r="P142"/>
    </row>
    <row r="143" spans="2:16">
      <c r="B143" s="13" t="e">
        <f>#REF!</f>
        <v>#REF!</v>
      </c>
      <c r="C143" s="13"/>
      <c r="D143" s="13"/>
      <c r="E143" s="13"/>
      <c r="F143" s="13"/>
      <c r="G143" s="13" t="e">
        <f>#REF!</f>
        <v>#REF!</v>
      </c>
      <c r="H143" s="13" t="e">
        <f>#REF!</f>
        <v>#REF!</v>
      </c>
      <c r="I143" s="13" t="e">
        <f>#REF!</f>
        <v>#REF!</v>
      </c>
      <c r="J143" s="13" t="e">
        <f>#REF!</f>
        <v>#REF!</v>
      </c>
      <c r="P143"/>
    </row>
    <row r="144" spans="2:16">
      <c r="B144" s="13" t="e">
        <f>#REF!</f>
        <v>#REF!</v>
      </c>
      <c r="C144" s="13"/>
      <c r="D144" s="13"/>
      <c r="E144" s="13"/>
      <c r="F144" s="13"/>
      <c r="G144" s="13" t="e">
        <f>#REF!</f>
        <v>#REF!</v>
      </c>
      <c r="H144" s="13" t="e">
        <f>#REF!</f>
        <v>#REF!</v>
      </c>
      <c r="I144" s="13" t="e">
        <f>#REF!</f>
        <v>#REF!</v>
      </c>
      <c r="J144" s="13" t="e">
        <f>#REF!</f>
        <v>#REF!</v>
      </c>
      <c r="P144"/>
    </row>
    <row r="145" spans="2:16">
      <c r="B145" s="13" t="e">
        <f>#REF!</f>
        <v>#REF!</v>
      </c>
      <c r="C145" s="13"/>
      <c r="D145" s="13"/>
      <c r="E145" s="13"/>
      <c r="F145" s="13"/>
      <c r="G145" s="13" t="e">
        <f>#REF!</f>
        <v>#REF!</v>
      </c>
      <c r="H145" s="13" t="e">
        <f>#REF!</f>
        <v>#REF!</v>
      </c>
      <c r="I145" s="13" t="e">
        <f>#REF!</f>
        <v>#REF!</v>
      </c>
      <c r="J145" s="13" t="e">
        <f>#REF!</f>
        <v>#REF!</v>
      </c>
      <c r="P145"/>
    </row>
    <row r="146" spans="2:16">
      <c r="P146"/>
    </row>
    <row r="147" spans="2:16">
      <c r="P147"/>
    </row>
    <row r="148" spans="2:16">
      <c r="P148"/>
    </row>
    <row r="149" spans="2:16">
      <c r="P149"/>
    </row>
    <row r="150" spans="2:16">
      <c r="P150"/>
    </row>
    <row r="151" spans="2:16">
      <c r="P151"/>
    </row>
    <row r="152" spans="2:16">
      <c r="P152"/>
    </row>
    <row r="153" spans="2:16">
      <c r="P153"/>
    </row>
    <row r="154" spans="2:16">
      <c r="P154"/>
    </row>
    <row r="155" spans="2:16">
      <c r="P155"/>
    </row>
    <row r="156" spans="2:16">
      <c r="P156"/>
    </row>
    <row r="157" spans="2:16">
      <c r="P157"/>
    </row>
    <row r="158" spans="2:16">
      <c r="P158"/>
    </row>
    <row r="159" spans="2:16">
      <c r="P159"/>
    </row>
    <row r="160" spans="2:16">
      <c r="P160"/>
    </row>
    <row r="161" spans="16:16">
      <c r="P161"/>
    </row>
    <row r="162" spans="16:16">
      <c r="P162"/>
    </row>
    <row r="163" spans="16:16">
      <c r="P163"/>
    </row>
    <row r="164" spans="16:16">
      <c r="P164"/>
    </row>
    <row r="165" spans="16:16">
      <c r="P165"/>
    </row>
    <row r="166" spans="16:16">
      <c r="P166"/>
    </row>
    <row r="167" spans="16:16">
      <c r="P167"/>
    </row>
    <row r="168" spans="16:16">
      <c r="P168"/>
    </row>
    <row r="169" spans="16:16">
      <c r="P169"/>
    </row>
    <row r="170" spans="16:16">
      <c r="P170"/>
    </row>
    <row r="171" spans="16:16">
      <c r="P171"/>
    </row>
    <row r="172" spans="16:16">
      <c r="P172"/>
    </row>
    <row r="173" spans="16:16">
      <c r="P173"/>
    </row>
    <row r="174" spans="16:16">
      <c r="P174"/>
    </row>
    <row r="175" spans="16:16">
      <c r="P175"/>
    </row>
    <row r="176" spans="16:16">
      <c r="P176"/>
    </row>
    <row r="177" spans="16:16">
      <c r="P177"/>
    </row>
    <row r="178" spans="16:16">
      <c r="P178"/>
    </row>
    <row r="179" spans="16:16">
      <c r="P179"/>
    </row>
    <row r="180" spans="16:16">
      <c r="P180"/>
    </row>
    <row r="181" spans="16:16">
      <c r="P181"/>
    </row>
    <row r="182" spans="16:16">
      <c r="P182"/>
    </row>
    <row r="183" spans="16:16">
      <c r="P183"/>
    </row>
    <row r="184" spans="16:16">
      <c r="P184"/>
    </row>
    <row r="185" spans="16:16">
      <c r="P185"/>
    </row>
    <row r="186" spans="16:16">
      <c r="P186"/>
    </row>
    <row r="187" spans="16:16">
      <c r="P187"/>
    </row>
    <row r="188" spans="16:16">
      <c r="P188"/>
    </row>
    <row r="189" spans="16:16">
      <c r="P189"/>
    </row>
    <row r="190" spans="16:16">
      <c r="P190"/>
    </row>
    <row r="191" spans="16:16">
      <c r="P191"/>
    </row>
    <row r="192" spans="16:16">
      <c r="P192"/>
    </row>
    <row r="193" spans="16:16">
      <c r="P193"/>
    </row>
    <row r="194" spans="16:16">
      <c r="P194"/>
    </row>
    <row r="195" spans="16:16">
      <c r="P195"/>
    </row>
    <row r="196" spans="16:16">
      <c r="P196"/>
    </row>
    <row r="197" spans="16:16">
      <c r="P197"/>
    </row>
    <row r="198" spans="16:16">
      <c r="P198"/>
    </row>
    <row r="199" spans="16:16">
      <c r="P199"/>
    </row>
    <row r="200" spans="16:16">
      <c r="P200"/>
    </row>
    <row r="201" spans="16:16">
      <c r="P201"/>
    </row>
    <row r="202" spans="16:16">
      <c r="P202"/>
    </row>
    <row r="203" spans="16:16">
      <c r="P203"/>
    </row>
    <row r="204" spans="16:16">
      <c r="P204"/>
    </row>
    <row r="205" spans="16:16">
      <c r="P205"/>
    </row>
    <row r="206" spans="16:16">
      <c r="P206"/>
    </row>
    <row r="207" spans="16:16">
      <c r="P207"/>
    </row>
    <row r="208" spans="16:16">
      <c r="P208"/>
    </row>
    <row r="209" spans="16:16">
      <c r="P209"/>
    </row>
    <row r="210" spans="16:16">
      <c r="P210"/>
    </row>
    <row r="211" spans="16:16">
      <c r="P211"/>
    </row>
    <row r="212" spans="16:16">
      <c r="P212"/>
    </row>
    <row r="213" spans="16:16">
      <c r="P213"/>
    </row>
    <row r="214" spans="16:16">
      <c r="P214"/>
    </row>
    <row r="215" spans="16:16">
      <c r="P215"/>
    </row>
    <row r="216" spans="16:16">
      <c r="P216"/>
    </row>
    <row r="217" spans="16:16">
      <c r="P217"/>
    </row>
    <row r="218" spans="16:16">
      <c r="P218"/>
    </row>
    <row r="226" spans="2:10">
      <c r="B226" s="12">
        <v>1</v>
      </c>
      <c r="G226" s="12">
        <v>4</v>
      </c>
      <c r="H226" s="12">
        <v>2</v>
      </c>
      <c r="I226" s="12">
        <v>4</v>
      </c>
      <c r="J226" s="12">
        <v>3</v>
      </c>
    </row>
    <row r="227" spans="2:10">
      <c r="B227" s="12">
        <v>5</v>
      </c>
      <c r="G227" s="12">
        <v>1</v>
      </c>
      <c r="H227" s="12">
        <v>2</v>
      </c>
      <c r="I227" s="12">
        <v>3</v>
      </c>
      <c r="J227" s="12">
        <v>3</v>
      </c>
    </row>
    <row r="228" spans="2:10">
      <c r="B228" s="12">
        <v>3</v>
      </c>
      <c r="G228" s="12">
        <v>1</v>
      </c>
      <c r="H228" s="12">
        <v>3</v>
      </c>
      <c r="I228" s="12">
        <v>3</v>
      </c>
      <c r="J228" s="12">
        <v>2</v>
      </c>
    </row>
    <row r="229" spans="2:10">
      <c r="B229" s="12">
        <v>2</v>
      </c>
      <c r="G229" s="12">
        <v>5</v>
      </c>
      <c r="H229" s="12">
        <v>1</v>
      </c>
      <c r="I229" s="12">
        <v>3</v>
      </c>
      <c r="J229" s="12">
        <v>3</v>
      </c>
    </row>
    <row r="230" spans="2:10">
      <c r="B230" s="12">
        <v>1</v>
      </c>
      <c r="G230" s="12">
        <v>2</v>
      </c>
      <c r="H230" s="12">
        <v>2</v>
      </c>
      <c r="I230" s="12">
        <v>4</v>
      </c>
      <c r="J230" s="12">
        <v>4</v>
      </c>
    </row>
    <row r="231" spans="2:10">
      <c r="B231" s="12">
        <v>2</v>
      </c>
      <c r="G231" s="12">
        <v>3</v>
      </c>
      <c r="H231" s="12">
        <v>1</v>
      </c>
      <c r="I231" s="12">
        <v>3</v>
      </c>
      <c r="J231" s="12">
        <v>5</v>
      </c>
    </row>
    <row r="232" spans="2:10">
      <c r="B232" s="12">
        <v>3</v>
      </c>
      <c r="G232" s="12">
        <v>1</v>
      </c>
      <c r="H232" s="12">
        <v>3</v>
      </c>
      <c r="I232" s="12">
        <v>3</v>
      </c>
      <c r="J232" s="12">
        <v>2</v>
      </c>
    </row>
    <row r="233" spans="2:10">
      <c r="B233" s="12">
        <v>4</v>
      </c>
      <c r="G233" s="12">
        <v>2</v>
      </c>
      <c r="H233" s="12">
        <v>3</v>
      </c>
      <c r="I233" s="12">
        <v>1</v>
      </c>
      <c r="J233" s="12">
        <v>4</v>
      </c>
    </row>
    <row r="234" spans="2:10">
      <c r="B234" s="12">
        <v>5</v>
      </c>
      <c r="G234" s="12">
        <v>3</v>
      </c>
      <c r="H234" s="12">
        <v>1</v>
      </c>
      <c r="I234" s="12">
        <v>4</v>
      </c>
      <c r="J234" s="12">
        <v>2</v>
      </c>
    </row>
    <row r="235" spans="2:10">
      <c r="B235" s="12">
        <v>1</v>
      </c>
      <c r="G235" s="12">
        <v>4</v>
      </c>
      <c r="H235" s="12">
        <v>2</v>
      </c>
      <c r="I235" s="12">
        <v>5</v>
      </c>
      <c r="J235" s="12">
        <v>2</v>
      </c>
    </row>
    <row r="236" spans="2:10">
      <c r="B236" s="12">
        <v>4</v>
      </c>
      <c r="G236" s="12">
        <v>4</v>
      </c>
      <c r="H236" s="12">
        <v>2</v>
      </c>
      <c r="I236" s="12">
        <v>2</v>
      </c>
      <c r="J236" s="12">
        <v>1</v>
      </c>
    </row>
    <row r="237" spans="2:10">
      <c r="B237" s="12">
        <v>2</v>
      </c>
      <c r="G237" s="12">
        <v>2</v>
      </c>
      <c r="H237" s="12">
        <v>4</v>
      </c>
      <c r="I237" s="12">
        <v>1</v>
      </c>
      <c r="J237" s="12">
        <v>4</v>
      </c>
    </row>
    <row r="238" spans="2:10">
      <c r="B238" s="12">
        <v>5</v>
      </c>
      <c r="G238" s="12">
        <v>2</v>
      </c>
      <c r="H238" s="12">
        <v>1</v>
      </c>
      <c r="I238" s="12">
        <v>2</v>
      </c>
      <c r="J238" s="12">
        <v>2</v>
      </c>
    </row>
    <row r="239" spans="2:10">
      <c r="B239" s="12">
        <v>4</v>
      </c>
      <c r="G239" s="12">
        <v>1</v>
      </c>
      <c r="H239" s="12">
        <v>4</v>
      </c>
      <c r="I239" s="12">
        <v>3</v>
      </c>
      <c r="J239" s="12">
        <v>2</v>
      </c>
    </row>
    <row r="240" spans="2:10">
      <c r="B240" s="12">
        <v>1</v>
      </c>
      <c r="G240" s="12">
        <v>5</v>
      </c>
      <c r="H240" s="12">
        <v>2</v>
      </c>
      <c r="I240" s="12">
        <v>2</v>
      </c>
      <c r="J240" s="12">
        <v>2</v>
      </c>
    </row>
    <row r="241" spans="2:10">
      <c r="B241" s="12">
        <v>5</v>
      </c>
      <c r="G241" s="12">
        <v>4</v>
      </c>
      <c r="H241" s="12">
        <v>2</v>
      </c>
      <c r="I241" s="12">
        <v>1</v>
      </c>
      <c r="J241" s="12">
        <v>2</v>
      </c>
    </row>
    <row r="242" spans="2:10">
      <c r="B242" s="12">
        <v>3</v>
      </c>
      <c r="G242" s="12">
        <v>2</v>
      </c>
      <c r="H242" s="12">
        <v>1</v>
      </c>
      <c r="I242" s="12">
        <v>5</v>
      </c>
      <c r="J242" s="12">
        <v>3</v>
      </c>
    </row>
    <row r="243" spans="2:10">
      <c r="B243" s="12">
        <v>4</v>
      </c>
      <c r="G243" s="12">
        <v>2</v>
      </c>
      <c r="H243" s="12">
        <v>2</v>
      </c>
      <c r="I243" s="12">
        <v>1</v>
      </c>
      <c r="J243" s="12">
        <v>4</v>
      </c>
    </row>
    <row r="244" spans="2:10">
      <c r="B244" s="12">
        <v>3</v>
      </c>
      <c r="G244" s="12">
        <v>3</v>
      </c>
      <c r="H244" s="12">
        <v>1</v>
      </c>
      <c r="I244" s="12">
        <v>3</v>
      </c>
      <c r="J244" s="12">
        <v>2</v>
      </c>
    </row>
    <row r="245" spans="2:10">
      <c r="B245" s="12">
        <v>2</v>
      </c>
      <c r="G245" s="12">
        <v>2</v>
      </c>
      <c r="H245" s="12">
        <v>2</v>
      </c>
      <c r="I245" s="12">
        <v>5</v>
      </c>
      <c r="J245" s="12">
        <v>1</v>
      </c>
    </row>
  </sheetData>
  <mergeCells count="86">
    <mergeCell ref="C80:F80"/>
    <mergeCell ref="C81:F81"/>
    <mergeCell ref="C82:F82"/>
    <mergeCell ref="C73:F73"/>
    <mergeCell ref="C74:F74"/>
    <mergeCell ref="C75:F75"/>
    <mergeCell ref="C76:F76"/>
    <mergeCell ref="C77:F77"/>
    <mergeCell ref="C78:F78"/>
    <mergeCell ref="C67:F67"/>
    <mergeCell ref="C68:F68"/>
    <mergeCell ref="C69:F69"/>
    <mergeCell ref="H4:I4"/>
    <mergeCell ref="C79:F79"/>
    <mergeCell ref="C72:F72"/>
    <mergeCell ref="C61:F61"/>
    <mergeCell ref="C62:F62"/>
    <mergeCell ref="C63:F63"/>
    <mergeCell ref="C64:F64"/>
    <mergeCell ref="C70:F70"/>
    <mergeCell ref="C71:F71"/>
    <mergeCell ref="C60:F60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5:F65"/>
    <mergeCell ref="C66:F66"/>
    <mergeCell ref="C48:F48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36:F36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24:F24"/>
    <mergeCell ref="C13:F13"/>
    <mergeCell ref="C14:F14"/>
    <mergeCell ref="C15:F15"/>
    <mergeCell ref="C16:F16"/>
    <mergeCell ref="C17:F17"/>
    <mergeCell ref="C18:F18"/>
    <mergeCell ref="C19:F19"/>
    <mergeCell ref="C20:F20"/>
    <mergeCell ref="C21:F21"/>
    <mergeCell ref="C22:F22"/>
    <mergeCell ref="C23:F23"/>
    <mergeCell ref="C12:F12"/>
    <mergeCell ref="B2:N2"/>
    <mergeCell ref="B4:C4"/>
    <mergeCell ref="D4:F4"/>
    <mergeCell ref="M4:N4"/>
    <mergeCell ref="B6:B7"/>
    <mergeCell ref="C6:F7"/>
    <mergeCell ref="G6:G7"/>
    <mergeCell ref="H6:H7"/>
    <mergeCell ref="I6:M6"/>
    <mergeCell ref="N6:N7"/>
    <mergeCell ref="C8:F8"/>
    <mergeCell ref="C9:F9"/>
    <mergeCell ref="C10:F10"/>
    <mergeCell ref="C11:F11"/>
  </mergeCells>
  <phoneticPr fontId="3" type="noConversion"/>
  <conditionalFormatting sqref="N8:N8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1496062992125984" right="0.31496062992125984" top="0.35433070866141736" bottom="0.19685039370078741" header="0.19685039370078741" footer="0.19685039370078741"/>
  <pageSetup scale="82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Drop문항분석표">
              <controlPr defaultSize="0" print="0" autoLine="0" autoPict="0" macro="[0]!MAKE_문항분석표_Sbj">
                <anchor moveWithCells="1">
                  <from>
                    <xdr:col>12</xdr:col>
                    <xdr:colOff>0</xdr:colOff>
                    <xdr:row>3</xdr:row>
                    <xdr:rowOff>12700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유형분석표">
    <tabColor theme="3"/>
    <pageSetUpPr fitToPage="1"/>
  </sheetPr>
  <dimension ref="B1:K30"/>
  <sheetViews>
    <sheetView showGridLines="0" workbookViewId="0"/>
  </sheetViews>
  <sheetFormatPr baseColWidth="10" defaultColWidth="8.83203125" defaultRowHeight="15"/>
  <cols>
    <col min="1" max="1" width="2.5" customWidth="1"/>
    <col min="2" max="2" width="12.5" customWidth="1"/>
    <col min="3" max="4" width="23.5" customWidth="1"/>
    <col min="5" max="7" width="12.33203125" style="1" customWidth="1"/>
    <col min="11" max="11" width="8.83203125" customWidth="1"/>
  </cols>
  <sheetData>
    <row r="1" spans="2:11" s="6" customFormat="1"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2:11" s="6" customFormat="1" ht="18">
      <c r="B2" s="206" t="s">
        <v>317</v>
      </c>
      <c r="C2" s="206"/>
      <c r="D2" s="206"/>
      <c r="E2" s="206"/>
      <c r="F2" s="206"/>
      <c r="G2" s="206"/>
      <c r="J2" s="10"/>
      <c r="K2" s="7"/>
    </row>
    <row r="3" spans="2:11" s="6" customFormat="1" ht="9" customHeight="1">
      <c r="B3" s="11"/>
      <c r="C3" s="11"/>
      <c r="D3" s="11"/>
      <c r="E3" s="11"/>
      <c r="F3" s="11"/>
      <c r="H3" s="12"/>
      <c r="I3" s="12"/>
      <c r="J3" s="12"/>
      <c r="K3" s="12"/>
    </row>
    <row r="4" spans="2:11" s="8" customFormat="1" ht="20.25" customHeight="1">
      <c r="B4" s="85" t="s">
        <v>267</v>
      </c>
      <c r="C4" s="84">
        <v>43661</v>
      </c>
      <c r="D4" s="85" t="s">
        <v>318</v>
      </c>
      <c r="E4" s="84" t="s">
        <v>649</v>
      </c>
      <c r="F4" s="85" t="s">
        <v>20</v>
      </c>
      <c r="G4" s="84">
        <v>43661</v>
      </c>
      <c r="H4"/>
      <c r="I4"/>
      <c r="J4"/>
    </row>
    <row r="5" spans="2:11" s="6" customFormat="1" ht="8.25" customHeight="1">
      <c r="B5" s="11"/>
      <c r="C5" s="11"/>
      <c r="D5" s="11"/>
      <c r="E5" s="11"/>
      <c r="F5" s="11"/>
      <c r="G5" s="11"/>
      <c r="H5" s="12"/>
      <c r="I5" s="12"/>
      <c r="J5" s="12"/>
      <c r="K5" s="12"/>
    </row>
    <row r="6" spans="2:11" ht="39" customHeight="1">
      <c r="B6" s="73" t="s">
        <v>319</v>
      </c>
      <c r="C6" s="73" t="s">
        <v>320</v>
      </c>
      <c r="D6" s="73" t="s">
        <v>321</v>
      </c>
      <c r="E6" s="72" t="s">
        <v>294</v>
      </c>
      <c r="F6" s="73" t="s">
        <v>295</v>
      </c>
      <c r="G6" s="73" t="s">
        <v>254</v>
      </c>
    </row>
    <row r="7" spans="2:11" ht="26.25" customHeight="1">
      <c r="B7" s="260" t="s">
        <v>322</v>
      </c>
      <c r="C7" s="260" t="s">
        <v>256</v>
      </c>
      <c r="D7" s="59" t="s">
        <v>323</v>
      </c>
      <c r="E7" s="86">
        <v>12</v>
      </c>
      <c r="F7" s="86">
        <v>10.431034482758621</v>
      </c>
      <c r="G7" s="74">
        <v>0.86925287356321845</v>
      </c>
    </row>
    <row r="8" spans="2:11" ht="26.25" customHeight="1">
      <c r="B8" s="260"/>
      <c r="C8" s="260"/>
      <c r="D8" s="59" t="s">
        <v>324</v>
      </c>
      <c r="E8" s="86">
        <v>15</v>
      </c>
      <c r="F8" s="86">
        <v>13</v>
      </c>
      <c r="G8" s="74">
        <v>0.8666666666666667</v>
      </c>
    </row>
    <row r="9" spans="2:11" ht="26.25" customHeight="1">
      <c r="B9" s="260"/>
      <c r="C9" s="260"/>
      <c r="D9" s="59" t="s">
        <v>325</v>
      </c>
      <c r="E9" s="86">
        <v>13</v>
      </c>
      <c r="F9" s="86">
        <v>10.655172413793103</v>
      </c>
      <c r="G9" s="74">
        <v>0.81962864721485407</v>
      </c>
    </row>
    <row r="10" spans="2:11" ht="26.25" customHeight="1">
      <c r="B10" s="260"/>
      <c r="C10" s="260" t="s">
        <v>82</v>
      </c>
      <c r="D10" s="59" t="s">
        <v>326</v>
      </c>
      <c r="E10" s="86">
        <v>11</v>
      </c>
      <c r="F10" s="86">
        <v>9.3103448275862064</v>
      </c>
      <c r="G10" s="74">
        <v>0.84639498432601878</v>
      </c>
    </row>
    <row r="11" spans="2:11" ht="26.25" customHeight="1">
      <c r="B11" s="260"/>
      <c r="C11" s="260"/>
      <c r="D11" s="59" t="s">
        <v>327</v>
      </c>
      <c r="E11" s="75">
        <v>7</v>
      </c>
      <c r="F11" s="75">
        <v>5.8275862068965516</v>
      </c>
      <c r="G11" s="76">
        <v>0.83251231527093594</v>
      </c>
    </row>
    <row r="12" spans="2:11" ht="26.25" customHeight="1">
      <c r="B12" s="260"/>
      <c r="C12" s="260"/>
      <c r="D12" s="59" t="s">
        <v>328</v>
      </c>
      <c r="E12" s="75">
        <v>17</v>
      </c>
      <c r="F12" s="75">
        <v>15.03448275862069</v>
      </c>
      <c r="G12" s="76">
        <v>0.88438133874239355</v>
      </c>
    </row>
    <row r="13" spans="2:11" ht="26.25" customHeight="1">
      <c r="B13" s="261" t="s">
        <v>329</v>
      </c>
      <c r="C13" s="261"/>
      <c r="D13" s="261"/>
      <c r="E13" s="77">
        <v>75</v>
      </c>
      <c r="F13" s="77">
        <v>64.258620689655174</v>
      </c>
      <c r="G13" s="78">
        <v>0.85678160919540236</v>
      </c>
    </row>
    <row r="14" spans="2:11" ht="26.25" customHeight="1">
      <c r="B14" s="260" t="s">
        <v>305</v>
      </c>
      <c r="C14" s="260" t="s">
        <v>257</v>
      </c>
      <c r="D14" s="59" t="s">
        <v>330</v>
      </c>
      <c r="E14" s="75">
        <v>13</v>
      </c>
      <c r="F14" s="75">
        <v>11.086206896551724</v>
      </c>
      <c r="G14" s="76">
        <v>0.85278514588859422</v>
      </c>
    </row>
    <row r="15" spans="2:11" ht="26.25" customHeight="1">
      <c r="B15" s="260"/>
      <c r="C15" s="260"/>
      <c r="D15" s="59" t="s">
        <v>331</v>
      </c>
      <c r="E15" s="75">
        <v>11</v>
      </c>
      <c r="F15" s="75">
        <v>10.275862068965518</v>
      </c>
      <c r="G15" s="76">
        <v>0.9341692789968653</v>
      </c>
    </row>
    <row r="16" spans="2:11" ht="26.25" customHeight="1">
      <c r="B16" s="260"/>
      <c r="C16" s="260" t="s">
        <v>249</v>
      </c>
      <c r="D16" s="59" t="s">
        <v>332</v>
      </c>
      <c r="E16" s="75">
        <v>9</v>
      </c>
      <c r="F16" s="75">
        <v>7.7931034482758621</v>
      </c>
      <c r="G16" s="76">
        <v>0.86590038314176243</v>
      </c>
    </row>
    <row r="17" spans="2:7" ht="26.25" customHeight="1">
      <c r="B17" s="260"/>
      <c r="C17" s="260"/>
      <c r="D17" s="59" t="s">
        <v>333</v>
      </c>
      <c r="E17" s="75">
        <v>9</v>
      </c>
      <c r="F17" s="75">
        <v>7.1896551724137927</v>
      </c>
      <c r="G17" s="76">
        <v>0.79885057471264365</v>
      </c>
    </row>
    <row r="18" spans="2:7" ht="26.25" customHeight="1">
      <c r="B18" s="260"/>
      <c r="C18" s="260" t="s">
        <v>335</v>
      </c>
      <c r="D18" s="59" t="s">
        <v>336</v>
      </c>
      <c r="E18" s="75">
        <v>9</v>
      </c>
      <c r="F18" s="75">
        <v>8</v>
      </c>
      <c r="G18" s="76">
        <v>0.88888888888888884</v>
      </c>
    </row>
    <row r="19" spans="2:7" ht="26.25" customHeight="1">
      <c r="B19" s="260"/>
      <c r="C19" s="260"/>
      <c r="D19" s="59" t="s">
        <v>337</v>
      </c>
      <c r="E19" s="75">
        <v>9</v>
      </c>
      <c r="F19" s="75">
        <v>7.7894736842105265</v>
      </c>
      <c r="G19" s="76">
        <v>0.86549707602339188</v>
      </c>
    </row>
    <row r="20" spans="2:7" ht="26.25" customHeight="1">
      <c r="B20" s="261" t="s">
        <v>329</v>
      </c>
      <c r="C20" s="261"/>
      <c r="D20" s="261"/>
      <c r="E20" s="77">
        <v>60</v>
      </c>
      <c r="F20" s="77">
        <v>52</v>
      </c>
      <c r="G20" s="78">
        <v>0.8666666666666667</v>
      </c>
    </row>
    <row r="21" spans="2:7" ht="26.25" customHeight="1">
      <c r="B21" s="260" t="s">
        <v>339</v>
      </c>
      <c r="C21" s="260" t="s">
        <v>340</v>
      </c>
      <c r="D21" s="59" t="s">
        <v>341</v>
      </c>
      <c r="E21" s="86">
        <v>10</v>
      </c>
      <c r="F21" s="86">
        <v>7.4655172413793105</v>
      </c>
      <c r="G21" s="74">
        <v>0.74655172413793103</v>
      </c>
    </row>
    <row r="22" spans="2:7" ht="26.25" customHeight="1">
      <c r="B22" s="260"/>
      <c r="C22" s="260"/>
      <c r="D22" s="59" t="s">
        <v>255</v>
      </c>
      <c r="E22" s="86">
        <v>10</v>
      </c>
      <c r="F22" s="86">
        <v>7.5</v>
      </c>
      <c r="G22" s="74">
        <v>0.75</v>
      </c>
    </row>
    <row r="23" spans="2:7" ht="26.25" customHeight="1">
      <c r="B23" s="260"/>
      <c r="C23" s="260" t="s">
        <v>342</v>
      </c>
      <c r="D23" s="59" t="s">
        <v>343</v>
      </c>
      <c r="E23" s="86">
        <v>10</v>
      </c>
      <c r="F23" s="86">
        <v>8.3508771929824555</v>
      </c>
      <c r="G23" s="74">
        <v>0.83508771929824555</v>
      </c>
    </row>
    <row r="24" spans="2:7" ht="26.25" customHeight="1">
      <c r="B24" s="260"/>
      <c r="C24" s="260"/>
      <c r="D24" s="59" t="s">
        <v>250</v>
      </c>
      <c r="E24" s="86">
        <v>10</v>
      </c>
      <c r="F24" s="86">
        <v>7.2586206896551726</v>
      </c>
      <c r="G24" s="74">
        <v>0.7258620689655173</v>
      </c>
    </row>
    <row r="25" spans="2:7" ht="26.25" customHeight="1">
      <c r="B25" s="261" t="s">
        <v>329</v>
      </c>
      <c r="C25" s="261"/>
      <c r="D25" s="261"/>
      <c r="E25" s="77">
        <v>40</v>
      </c>
      <c r="F25" s="77">
        <v>30.431034482758619</v>
      </c>
      <c r="G25" s="78">
        <v>0.76077586206896552</v>
      </c>
    </row>
    <row r="26" spans="2:7" ht="26.25" customHeight="1">
      <c r="B26" s="260" t="s">
        <v>344</v>
      </c>
      <c r="C26" s="260" t="s">
        <v>345</v>
      </c>
      <c r="D26" s="260"/>
      <c r="E26" s="86">
        <v>15</v>
      </c>
      <c r="F26" s="86">
        <v>12.413793103448276</v>
      </c>
      <c r="G26" s="74">
        <v>0.82758620689655171</v>
      </c>
    </row>
    <row r="27" spans="2:7" ht="26.25" customHeight="1">
      <c r="B27" s="260"/>
      <c r="C27" s="260" t="s">
        <v>346</v>
      </c>
      <c r="D27" s="260"/>
      <c r="E27" s="75">
        <v>18</v>
      </c>
      <c r="F27" s="75">
        <v>14.017241379310345</v>
      </c>
      <c r="G27" s="76">
        <v>0.77873563218390807</v>
      </c>
    </row>
    <row r="28" spans="2:7" ht="26.25" customHeight="1">
      <c r="B28" s="260"/>
      <c r="C28" s="260" t="s">
        <v>347</v>
      </c>
      <c r="D28" s="260"/>
      <c r="E28" s="75">
        <v>7</v>
      </c>
      <c r="F28" s="75">
        <v>4.4385964912280702</v>
      </c>
      <c r="G28" s="76">
        <v>0.63408521303258147</v>
      </c>
    </row>
    <row r="29" spans="2:7" ht="26.25" customHeight="1">
      <c r="B29" s="261" t="s">
        <v>329</v>
      </c>
      <c r="C29" s="261"/>
      <c r="D29" s="261"/>
      <c r="E29" s="77">
        <v>40</v>
      </c>
      <c r="F29" s="77">
        <v>30.793103448275861</v>
      </c>
      <c r="G29" s="78">
        <v>0.76982758620689651</v>
      </c>
    </row>
    <row r="30" spans="2:7" ht="16.5" customHeight="1">
      <c r="G30" s="3" t="s">
        <v>3</v>
      </c>
    </row>
  </sheetData>
  <mergeCells count="19">
    <mergeCell ref="B29:D29"/>
    <mergeCell ref="B20:D20"/>
    <mergeCell ref="B21:B24"/>
    <mergeCell ref="C21:C22"/>
    <mergeCell ref="C23:C24"/>
    <mergeCell ref="B25:D25"/>
    <mergeCell ref="B26:B28"/>
    <mergeCell ref="C26:D26"/>
    <mergeCell ref="C27:D27"/>
    <mergeCell ref="C28:D28"/>
    <mergeCell ref="B14:B19"/>
    <mergeCell ref="C14:C15"/>
    <mergeCell ref="C16:C17"/>
    <mergeCell ref="C18:C19"/>
    <mergeCell ref="B2:G2"/>
    <mergeCell ref="B7:B12"/>
    <mergeCell ref="C7:C9"/>
    <mergeCell ref="C10:C12"/>
    <mergeCell ref="B13:D13"/>
  </mergeCells>
  <phoneticPr fontId="3" type="noConversion"/>
  <printOptions horizontalCentered="1"/>
  <pageMargins left="0.39370078740157483" right="0.39370078740157483" top="0.54" bottom="0.18" header="0.31496062992125984" footer="0.19685039370078741"/>
  <pageSetup scale="9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개인성적표">
    <tabColor theme="3"/>
    <pageSetUpPr fitToPage="1"/>
  </sheetPr>
  <dimension ref="A1:BX124"/>
  <sheetViews>
    <sheetView showGridLines="0" zoomScaleNormal="100" zoomScaleSheetLayoutView="90" workbookViewId="0"/>
  </sheetViews>
  <sheetFormatPr baseColWidth="10" defaultColWidth="9.1640625" defaultRowHeight="14"/>
  <cols>
    <col min="1" max="1" width="3.5" style="103" customWidth="1"/>
    <col min="2" max="2" width="6.5" style="103" customWidth="1"/>
    <col min="3" max="42" width="4.1640625" style="103" customWidth="1"/>
    <col min="43" max="43" width="3.5" style="103" customWidth="1"/>
    <col min="44" max="44" width="8.1640625" style="104" customWidth="1"/>
    <col min="45" max="45" width="8.1640625" style="105" customWidth="1"/>
    <col min="46" max="46" width="17.6640625" style="105" customWidth="1"/>
    <col min="47" max="52" width="9.1640625" style="105" customWidth="1"/>
    <col min="53" max="56" width="9.1640625" style="103" customWidth="1"/>
    <col min="57" max="16384" width="9.1640625" style="103"/>
  </cols>
  <sheetData>
    <row r="1" spans="2:59" s="105" customFormat="1" ht="15" thickBot="1"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4"/>
      <c r="BA1" s="103"/>
      <c r="BB1" s="103"/>
      <c r="BC1" s="103"/>
      <c r="BD1" s="103"/>
    </row>
    <row r="2" spans="2:59" s="105" customFormat="1" ht="26.25" customHeight="1" thickBot="1">
      <c r="B2" s="262" t="s">
        <v>348</v>
      </c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3"/>
      <c r="AP2" s="264"/>
      <c r="AQ2" s="103"/>
      <c r="AR2" s="104"/>
      <c r="BA2" s="103"/>
      <c r="BB2" s="103"/>
      <c r="BC2" s="103"/>
      <c r="BD2" s="103"/>
    </row>
    <row r="3" spans="2:59" s="105" customFormat="1" ht="11.25" customHeight="1" thickBot="1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L3" s="103"/>
      <c r="AM3" s="103"/>
      <c r="AN3" s="103"/>
      <c r="AO3" s="103"/>
      <c r="AP3" s="103"/>
      <c r="AQ3" s="103"/>
      <c r="AR3" s="104"/>
      <c r="BA3" s="103"/>
      <c r="BB3" s="103"/>
      <c r="BC3" s="103"/>
      <c r="BD3" s="103"/>
    </row>
    <row r="4" spans="2:59" s="105" customFormat="1" ht="17.25" customHeight="1" thickTop="1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265" t="s">
        <v>349</v>
      </c>
      <c r="W4" s="266"/>
      <c r="X4" s="266"/>
      <c r="Y4" s="266"/>
      <c r="Z4" s="266"/>
      <c r="AA4" s="266" t="s">
        <v>350</v>
      </c>
      <c r="AB4" s="266"/>
      <c r="AC4" s="266"/>
      <c r="AD4" s="267" t="s">
        <v>351</v>
      </c>
      <c r="AE4" s="268"/>
      <c r="AF4" s="268"/>
      <c r="AG4" s="268"/>
      <c r="AH4" s="265"/>
      <c r="AI4" s="266" t="s">
        <v>352</v>
      </c>
      <c r="AJ4" s="266"/>
      <c r="AK4" s="266"/>
      <c r="AL4" s="267"/>
      <c r="AM4" s="266" t="s">
        <v>353</v>
      </c>
      <c r="AN4" s="266"/>
      <c r="AO4" s="266"/>
      <c r="AP4" s="267"/>
      <c r="AQ4" s="103"/>
      <c r="AR4" s="104"/>
      <c r="BA4" s="103"/>
      <c r="BB4" s="103"/>
      <c r="BC4" s="103"/>
      <c r="BD4" s="103"/>
    </row>
    <row r="5" spans="2:59" s="105" customFormat="1" ht="12.75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269"/>
      <c r="W5" s="270"/>
      <c r="X5" s="270"/>
      <c r="Y5" s="270"/>
      <c r="Z5" s="270"/>
      <c r="AA5" s="273"/>
      <c r="AB5" s="273"/>
      <c r="AC5" s="273"/>
      <c r="AD5" s="275"/>
      <c r="AE5" s="276"/>
      <c r="AF5" s="276"/>
      <c r="AG5" s="276"/>
      <c r="AH5" s="277"/>
      <c r="AI5" s="281"/>
      <c r="AJ5" s="281"/>
      <c r="AK5" s="281"/>
      <c r="AL5" s="282"/>
      <c r="AM5" s="281"/>
      <c r="AN5" s="281"/>
      <c r="AO5" s="281"/>
      <c r="AP5" s="282"/>
      <c r="AQ5" s="103"/>
      <c r="AR5" s="104"/>
      <c r="BA5" s="103"/>
      <c r="BB5" s="103"/>
      <c r="BC5" s="103"/>
      <c r="BD5" s="103"/>
    </row>
    <row r="6" spans="2:59" s="105" customFormat="1" ht="12.75" customHeight="1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271"/>
      <c r="W6" s="272"/>
      <c r="X6" s="272"/>
      <c r="Y6" s="272"/>
      <c r="Z6" s="272"/>
      <c r="AA6" s="274"/>
      <c r="AB6" s="274"/>
      <c r="AC6" s="274"/>
      <c r="AD6" s="278"/>
      <c r="AE6" s="279"/>
      <c r="AF6" s="279"/>
      <c r="AG6" s="279"/>
      <c r="AH6" s="280"/>
      <c r="AI6" s="283"/>
      <c r="AJ6" s="283"/>
      <c r="AK6" s="283"/>
      <c r="AL6" s="284"/>
      <c r="AM6" s="283"/>
      <c r="AN6" s="283"/>
      <c r="AO6" s="283"/>
      <c r="AP6" s="284"/>
      <c r="AQ6" s="103"/>
      <c r="AR6" s="104"/>
      <c r="BA6" s="103"/>
      <c r="BB6" s="103"/>
      <c r="BC6" s="103"/>
      <c r="BD6" s="103"/>
    </row>
    <row r="7" spans="2:59" s="105" customFormat="1" ht="9" customHeight="1"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6"/>
      <c r="AC7" s="106"/>
      <c r="AD7" s="106"/>
      <c r="AE7" s="106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3"/>
      <c r="AR7" s="104"/>
      <c r="BA7" s="103"/>
      <c r="BB7" s="103"/>
      <c r="BC7" s="103"/>
      <c r="BD7" s="103"/>
    </row>
    <row r="8" spans="2:59" s="105" customFormat="1" ht="15" customHeight="1" thickBot="1">
      <c r="B8" s="297" t="s">
        <v>455</v>
      </c>
      <c r="C8" s="297"/>
      <c r="D8" s="297"/>
      <c r="E8" s="297"/>
      <c r="F8" s="297"/>
      <c r="G8" s="297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8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L8" s="103"/>
      <c r="AM8" s="103"/>
      <c r="AN8" s="103"/>
      <c r="AO8" s="103"/>
      <c r="AP8" s="103"/>
      <c r="AQ8" s="103"/>
      <c r="AR8" s="104"/>
      <c r="AU8" s="109"/>
      <c r="AV8" s="109"/>
      <c r="AW8" s="109"/>
      <c r="AX8" s="109"/>
      <c r="AY8" s="109"/>
      <c r="AZ8" s="109"/>
      <c r="BA8" s="109"/>
      <c r="BB8" s="109"/>
      <c r="BC8" s="109"/>
      <c r="BD8" s="109"/>
    </row>
    <row r="9" spans="2:59" s="105" customFormat="1" ht="15" customHeight="1" thickTop="1">
      <c r="B9" s="298" t="s">
        <v>354</v>
      </c>
      <c r="C9" s="298"/>
      <c r="D9" s="298"/>
      <c r="E9" s="298"/>
      <c r="F9" s="299"/>
      <c r="G9" s="302" t="s">
        <v>355</v>
      </c>
      <c r="H9" s="299"/>
      <c r="I9" s="302" t="s">
        <v>356</v>
      </c>
      <c r="J9" s="299"/>
      <c r="K9" s="302" t="s">
        <v>74</v>
      </c>
      <c r="L9" s="299"/>
      <c r="M9" s="304" t="s">
        <v>478</v>
      </c>
      <c r="N9" s="305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03"/>
      <c r="AR9" s="111"/>
      <c r="AT9" s="112" t="s">
        <v>456</v>
      </c>
      <c r="AU9" s="113"/>
      <c r="AV9" s="113"/>
      <c r="AW9" s="113"/>
      <c r="AX9" s="113"/>
      <c r="AY9" s="113"/>
      <c r="AZ9" s="113"/>
      <c r="BA9" s="113"/>
      <c r="BB9" s="113"/>
      <c r="BC9" s="113"/>
      <c r="BD9" s="113"/>
      <c r="BE9" s="114"/>
      <c r="BF9" s="115"/>
      <c r="BG9" s="115"/>
    </row>
    <row r="10" spans="2:59" s="105" customFormat="1" ht="15" customHeight="1">
      <c r="B10" s="300"/>
      <c r="C10" s="300"/>
      <c r="D10" s="300"/>
      <c r="E10" s="300"/>
      <c r="F10" s="301"/>
      <c r="G10" s="303"/>
      <c r="H10" s="301"/>
      <c r="I10" s="303"/>
      <c r="J10" s="301"/>
      <c r="K10" s="303"/>
      <c r="L10" s="301"/>
      <c r="M10" s="306"/>
      <c r="N10" s="307"/>
      <c r="O10" s="103"/>
      <c r="P10" s="103"/>
      <c r="Q10" s="103"/>
      <c r="AQ10" s="103"/>
      <c r="AR10" s="111"/>
      <c r="AS10" s="116"/>
      <c r="AT10" s="109" t="s">
        <v>75</v>
      </c>
      <c r="AU10" s="112"/>
      <c r="AV10" s="112"/>
      <c r="AW10" s="112"/>
      <c r="AX10" s="112"/>
      <c r="AY10" s="112"/>
      <c r="AZ10" s="112"/>
      <c r="BA10" s="112"/>
      <c r="BB10" s="112"/>
      <c r="BC10" s="112"/>
      <c r="BD10" s="112"/>
    </row>
    <row r="11" spans="2:59" s="105" customFormat="1" ht="24" customHeight="1">
      <c r="B11" s="308" t="s">
        <v>75</v>
      </c>
      <c r="C11" s="309"/>
      <c r="D11" s="309"/>
      <c r="E11" s="309"/>
      <c r="F11" s="309"/>
      <c r="G11" s="310"/>
      <c r="H11" s="310"/>
      <c r="I11" s="310"/>
      <c r="J11" s="310"/>
      <c r="K11" s="311"/>
      <c r="L11" s="312"/>
      <c r="M11" s="313">
        <v>0.5</v>
      </c>
      <c r="N11" s="314"/>
      <c r="O11" s="103"/>
      <c r="P11" s="103"/>
      <c r="Q11" s="103"/>
      <c r="AQ11" s="103"/>
      <c r="AR11" s="117"/>
      <c r="AS11" s="116"/>
      <c r="AT11" s="109" t="s">
        <v>305</v>
      </c>
      <c r="AU11" s="112"/>
      <c r="AV11" s="112"/>
      <c r="AW11" s="112"/>
      <c r="AX11" s="112"/>
      <c r="AY11" s="112"/>
      <c r="AZ11" s="112"/>
      <c r="BA11" s="112"/>
      <c r="BB11" s="112"/>
      <c r="BC11" s="112"/>
      <c r="BD11" s="112"/>
    </row>
    <row r="12" spans="2:59" s="105" customFormat="1" ht="24" customHeight="1">
      <c r="B12" s="315" t="s">
        <v>357</v>
      </c>
      <c r="C12" s="316"/>
      <c r="D12" s="316"/>
      <c r="E12" s="316"/>
      <c r="F12" s="316"/>
      <c r="G12" s="317"/>
      <c r="H12" s="317"/>
      <c r="I12" s="317"/>
      <c r="J12" s="317"/>
      <c r="K12" s="318"/>
      <c r="L12" s="319"/>
      <c r="M12" s="320">
        <v>1</v>
      </c>
      <c r="N12" s="321"/>
      <c r="O12" s="103"/>
      <c r="P12" s="103"/>
      <c r="Q12" s="103"/>
      <c r="AQ12" s="103"/>
      <c r="AR12" s="117"/>
      <c r="AS12" s="116"/>
      <c r="AT12" s="109" t="s">
        <v>76</v>
      </c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</row>
    <row r="13" spans="2:59" s="105" customFormat="1" ht="24" customHeight="1">
      <c r="B13" s="315" t="s">
        <v>76</v>
      </c>
      <c r="C13" s="316"/>
      <c r="D13" s="316"/>
      <c r="E13" s="316"/>
      <c r="F13" s="316"/>
      <c r="G13" s="317"/>
      <c r="H13" s="317"/>
      <c r="I13" s="317"/>
      <c r="J13" s="317"/>
      <c r="K13" s="318"/>
      <c r="L13" s="319"/>
      <c r="M13" s="320">
        <v>0.5</v>
      </c>
      <c r="N13" s="321"/>
      <c r="O13" s="103"/>
      <c r="P13" s="103"/>
      <c r="Q13" s="103"/>
      <c r="AQ13" s="103"/>
      <c r="AR13" s="117"/>
      <c r="AS13" s="116"/>
      <c r="AT13" s="109" t="s">
        <v>77</v>
      </c>
      <c r="AU13" s="112"/>
      <c r="AV13" s="112"/>
      <c r="AW13" s="112"/>
      <c r="AX13" s="112"/>
      <c r="AY13" s="112"/>
      <c r="AZ13" s="112"/>
      <c r="BA13" s="112"/>
      <c r="BB13" s="112"/>
      <c r="BC13" s="112"/>
      <c r="BD13" s="112"/>
    </row>
    <row r="14" spans="2:59" s="105" customFormat="1" ht="24" customHeight="1">
      <c r="B14" s="315" t="s">
        <v>77</v>
      </c>
      <c r="C14" s="316"/>
      <c r="D14" s="316"/>
      <c r="E14" s="316"/>
      <c r="F14" s="316"/>
      <c r="G14" s="317"/>
      <c r="H14" s="317"/>
      <c r="I14" s="317"/>
      <c r="J14" s="317"/>
      <c r="K14" s="318"/>
      <c r="L14" s="319"/>
      <c r="M14" s="320"/>
      <c r="N14" s="321"/>
      <c r="O14" s="103"/>
      <c r="P14" s="103"/>
      <c r="Q14" s="103"/>
      <c r="AQ14" s="103"/>
      <c r="AR14" s="117"/>
      <c r="AS14" s="116"/>
      <c r="AT14" s="109" t="s">
        <v>358</v>
      </c>
      <c r="AU14" s="112"/>
      <c r="AV14" s="112"/>
      <c r="AW14" s="112"/>
      <c r="AX14" s="112"/>
      <c r="AY14" s="112"/>
      <c r="AZ14" s="112"/>
      <c r="BA14" s="112"/>
      <c r="BB14" s="112"/>
      <c r="BC14" s="112"/>
      <c r="BD14" s="112"/>
    </row>
    <row r="15" spans="2:59" s="105" customFormat="1" ht="24" customHeight="1" thickBot="1">
      <c r="B15" s="322" t="s">
        <v>359</v>
      </c>
      <c r="C15" s="323"/>
      <c r="D15" s="323"/>
      <c r="E15" s="323"/>
      <c r="F15" s="323"/>
      <c r="G15" s="324"/>
      <c r="H15" s="325"/>
      <c r="I15" s="325"/>
      <c r="J15" s="326"/>
      <c r="K15" s="327"/>
      <c r="L15" s="328"/>
      <c r="M15" s="329"/>
      <c r="N15" s="330"/>
      <c r="O15" s="103"/>
      <c r="P15" s="103"/>
      <c r="Q15" s="103"/>
      <c r="AQ15" s="103"/>
      <c r="AR15" s="111"/>
      <c r="AS15" s="116"/>
      <c r="AT15" s="116"/>
      <c r="AU15" s="116"/>
      <c r="BA15" s="103"/>
      <c r="BB15" s="103"/>
      <c r="BC15" s="103"/>
      <c r="BD15" s="103"/>
    </row>
    <row r="16" spans="2:59" s="105" customFormat="1" ht="24" customHeight="1" thickTop="1" thickBot="1">
      <c r="B16" s="331" t="s">
        <v>264</v>
      </c>
      <c r="C16" s="331"/>
      <c r="D16" s="331"/>
      <c r="E16" s="332"/>
      <c r="F16" s="333"/>
      <c r="G16" s="334"/>
      <c r="H16" s="335"/>
      <c r="I16" s="335"/>
      <c r="J16" s="335"/>
      <c r="K16" s="335"/>
      <c r="L16" s="336"/>
      <c r="M16" s="337">
        <v>0.5</v>
      </c>
      <c r="N16" s="33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03"/>
      <c r="AR16" s="111"/>
      <c r="AS16" s="116"/>
      <c r="AT16" s="116"/>
      <c r="AU16" s="116"/>
      <c r="BA16" s="103"/>
      <c r="BB16" s="103"/>
      <c r="BC16" s="103"/>
      <c r="BD16" s="103"/>
    </row>
    <row r="17" spans="2:47" ht="12" customHeight="1">
      <c r="B17" s="119" t="s">
        <v>457</v>
      </c>
      <c r="S17" s="119"/>
      <c r="AR17" s="111"/>
      <c r="AS17" s="116"/>
      <c r="AT17" s="116"/>
      <c r="AU17" s="116"/>
    </row>
    <row r="18" spans="2:47" ht="9.75" customHeight="1">
      <c r="AR18" s="111"/>
      <c r="AS18" s="116"/>
      <c r="AT18" s="116"/>
      <c r="AU18" s="116"/>
    </row>
    <row r="19" spans="2:47" ht="15" customHeight="1" thickBot="1">
      <c r="B19" s="297" t="s">
        <v>458</v>
      </c>
      <c r="C19" s="297"/>
      <c r="D19" s="297"/>
      <c r="E19" s="297"/>
      <c r="F19" s="297"/>
      <c r="G19" s="297"/>
      <c r="H19" s="119" t="s">
        <v>360</v>
      </c>
      <c r="S19" s="108"/>
      <c r="AF19" s="105"/>
      <c r="AG19" s="105"/>
      <c r="AH19" s="105"/>
      <c r="AI19" s="105"/>
      <c r="AJ19" s="105"/>
      <c r="AK19" s="105"/>
    </row>
    <row r="20" spans="2:47" ht="15" customHeight="1" thickTop="1">
      <c r="B20" s="339" t="s">
        <v>361</v>
      </c>
      <c r="C20" s="340"/>
      <c r="D20" s="343" t="s">
        <v>362</v>
      </c>
      <c r="E20" s="339"/>
      <c r="F20" s="339"/>
      <c r="G20" s="339"/>
      <c r="H20" s="339"/>
      <c r="I20" s="340"/>
      <c r="J20" s="347" t="s">
        <v>363</v>
      </c>
      <c r="K20" s="348"/>
      <c r="L20" s="348"/>
      <c r="M20" s="348"/>
      <c r="N20" s="347" t="s">
        <v>364</v>
      </c>
      <c r="O20" s="348"/>
      <c r="P20" s="348"/>
      <c r="Q20" s="348"/>
      <c r="R20" s="347" t="s">
        <v>365</v>
      </c>
      <c r="S20" s="348"/>
      <c r="T20" s="348"/>
      <c r="U20" s="348"/>
      <c r="W20" s="339" t="s">
        <v>361</v>
      </c>
      <c r="X20" s="340"/>
      <c r="Y20" s="343" t="s">
        <v>366</v>
      </c>
      <c r="Z20" s="339"/>
      <c r="AA20" s="339"/>
      <c r="AB20" s="339"/>
      <c r="AC20" s="339"/>
      <c r="AD20" s="340"/>
      <c r="AE20" s="347" t="s">
        <v>367</v>
      </c>
      <c r="AF20" s="348"/>
      <c r="AG20" s="348"/>
      <c r="AH20" s="348"/>
      <c r="AI20" s="347" t="s">
        <v>364</v>
      </c>
      <c r="AJ20" s="348"/>
      <c r="AK20" s="348"/>
      <c r="AL20" s="348"/>
      <c r="AM20" s="347" t="s">
        <v>368</v>
      </c>
      <c r="AN20" s="348"/>
      <c r="AO20" s="348"/>
      <c r="AP20" s="348"/>
    </row>
    <row r="21" spans="2:47" ht="28.5" customHeight="1">
      <c r="B21" s="341"/>
      <c r="C21" s="342"/>
      <c r="D21" s="344"/>
      <c r="E21" s="345"/>
      <c r="F21" s="345"/>
      <c r="G21" s="345"/>
      <c r="H21" s="345"/>
      <c r="I21" s="346"/>
      <c r="J21" s="120" t="s">
        <v>369</v>
      </c>
      <c r="K21" s="120" t="s">
        <v>370</v>
      </c>
      <c r="L21" s="349" t="s">
        <v>371</v>
      </c>
      <c r="M21" s="350"/>
      <c r="N21" s="349" t="s">
        <v>371</v>
      </c>
      <c r="O21" s="350"/>
      <c r="P21" s="349" t="s">
        <v>372</v>
      </c>
      <c r="Q21" s="350"/>
      <c r="R21" s="120" t="s">
        <v>369</v>
      </c>
      <c r="S21" s="120" t="s">
        <v>370</v>
      </c>
      <c r="T21" s="351" t="s">
        <v>371</v>
      </c>
      <c r="U21" s="352"/>
      <c r="W21" s="341"/>
      <c r="X21" s="342"/>
      <c r="Y21" s="344"/>
      <c r="Z21" s="345"/>
      <c r="AA21" s="345"/>
      <c r="AB21" s="345"/>
      <c r="AC21" s="345"/>
      <c r="AD21" s="346"/>
      <c r="AE21" s="120" t="s">
        <v>369</v>
      </c>
      <c r="AF21" s="120" t="s">
        <v>370</v>
      </c>
      <c r="AG21" s="349" t="s">
        <v>371</v>
      </c>
      <c r="AH21" s="350"/>
      <c r="AI21" s="349" t="s">
        <v>371</v>
      </c>
      <c r="AJ21" s="350"/>
      <c r="AK21" s="349" t="s">
        <v>372</v>
      </c>
      <c r="AL21" s="350"/>
      <c r="AM21" s="120" t="s">
        <v>369</v>
      </c>
      <c r="AN21" s="120" t="s">
        <v>370</v>
      </c>
      <c r="AO21" s="351" t="s">
        <v>371</v>
      </c>
      <c r="AP21" s="352"/>
    </row>
    <row r="22" spans="2:47" ht="21" customHeight="1">
      <c r="B22" s="355" t="s">
        <v>75</v>
      </c>
      <c r="C22" s="356"/>
      <c r="D22" s="362" t="s">
        <v>256</v>
      </c>
      <c r="E22" s="363"/>
      <c r="F22" s="363"/>
      <c r="G22" s="363"/>
      <c r="H22" s="363"/>
      <c r="I22" s="363"/>
      <c r="J22" s="121"/>
      <c r="K22" s="121"/>
      <c r="L22" s="364"/>
      <c r="M22" s="364"/>
      <c r="N22" s="364"/>
      <c r="O22" s="364"/>
      <c r="P22" s="364"/>
      <c r="Q22" s="364"/>
      <c r="R22" s="121"/>
      <c r="S22" s="121"/>
      <c r="T22" s="364"/>
      <c r="U22" s="365"/>
      <c r="W22" s="355" t="s">
        <v>305</v>
      </c>
      <c r="X22" s="356"/>
      <c r="Y22" s="362" t="s">
        <v>257</v>
      </c>
      <c r="Z22" s="363"/>
      <c r="AA22" s="363"/>
      <c r="AB22" s="363"/>
      <c r="AC22" s="363"/>
      <c r="AD22" s="363"/>
      <c r="AE22" s="121"/>
      <c r="AF22" s="121"/>
      <c r="AG22" s="364"/>
      <c r="AH22" s="364"/>
      <c r="AI22" s="364"/>
      <c r="AJ22" s="364"/>
      <c r="AK22" s="364"/>
      <c r="AL22" s="364"/>
      <c r="AM22" s="121"/>
      <c r="AN22" s="121"/>
      <c r="AO22" s="364"/>
      <c r="AP22" s="365"/>
    </row>
    <row r="23" spans="2:47" ht="21" customHeight="1">
      <c r="B23" s="357"/>
      <c r="C23" s="358"/>
      <c r="D23" s="366" t="s">
        <v>373</v>
      </c>
      <c r="E23" s="367"/>
      <c r="F23" s="367"/>
      <c r="G23" s="367"/>
      <c r="H23" s="367"/>
      <c r="I23" s="367"/>
      <c r="J23" s="122"/>
      <c r="K23" s="123"/>
      <c r="L23" s="353"/>
      <c r="M23" s="353"/>
      <c r="N23" s="353"/>
      <c r="O23" s="353"/>
      <c r="P23" s="353"/>
      <c r="Q23" s="353"/>
      <c r="R23" s="122"/>
      <c r="S23" s="123"/>
      <c r="T23" s="353"/>
      <c r="U23" s="354"/>
      <c r="W23" s="357"/>
      <c r="X23" s="358"/>
      <c r="Y23" s="366" t="s">
        <v>374</v>
      </c>
      <c r="Z23" s="367"/>
      <c r="AA23" s="367"/>
      <c r="AB23" s="367"/>
      <c r="AC23" s="367"/>
      <c r="AD23" s="367"/>
      <c r="AE23" s="122"/>
      <c r="AF23" s="123"/>
      <c r="AG23" s="353"/>
      <c r="AH23" s="353"/>
      <c r="AI23" s="353"/>
      <c r="AJ23" s="353"/>
      <c r="AK23" s="353"/>
      <c r="AL23" s="353"/>
      <c r="AM23" s="122"/>
      <c r="AN23" s="123"/>
      <c r="AO23" s="353"/>
      <c r="AP23" s="354"/>
    </row>
    <row r="24" spans="2:47" ht="21" customHeight="1">
      <c r="B24" s="357"/>
      <c r="C24" s="358"/>
      <c r="D24" s="366" t="s">
        <v>375</v>
      </c>
      <c r="E24" s="367"/>
      <c r="F24" s="367"/>
      <c r="G24" s="367"/>
      <c r="H24" s="367"/>
      <c r="I24" s="367"/>
      <c r="J24" s="122"/>
      <c r="K24" s="123"/>
      <c r="L24" s="353"/>
      <c r="M24" s="353"/>
      <c r="N24" s="353"/>
      <c r="O24" s="353"/>
      <c r="P24" s="353"/>
      <c r="Q24" s="353"/>
      <c r="R24" s="122"/>
      <c r="S24" s="123"/>
      <c r="T24" s="353"/>
      <c r="U24" s="354"/>
      <c r="W24" s="357"/>
      <c r="X24" s="358"/>
      <c r="Y24" s="366" t="s">
        <v>376</v>
      </c>
      <c r="Z24" s="367"/>
      <c r="AA24" s="367"/>
      <c r="AB24" s="367"/>
      <c r="AC24" s="367"/>
      <c r="AD24" s="367"/>
      <c r="AE24" s="122"/>
      <c r="AF24" s="123"/>
      <c r="AG24" s="353"/>
      <c r="AH24" s="353"/>
      <c r="AI24" s="353"/>
      <c r="AJ24" s="353"/>
      <c r="AK24" s="353"/>
      <c r="AL24" s="353"/>
      <c r="AM24" s="122"/>
      <c r="AN24" s="123"/>
      <c r="AO24" s="353"/>
      <c r="AP24" s="354"/>
    </row>
    <row r="25" spans="2:47" ht="21" customHeight="1">
      <c r="B25" s="357"/>
      <c r="C25" s="358"/>
      <c r="D25" s="366" t="s">
        <v>280</v>
      </c>
      <c r="E25" s="367"/>
      <c r="F25" s="367"/>
      <c r="G25" s="367"/>
      <c r="H25" s="367"/>
      <c r="I25" s="367"/>
      <c r="J25" s="122"/>
      <c r="K25" s="123"/>
      <c r="L25" s="353"/>
      <c r="M25" s="353"/>
      <c r="N25" s="353"/>
      <c r="O25" s="353"/>
      <c r="P25" s="353"/>
      <c r="Q25" s="353"/>
      <c r="R25" s="122"/>
      <c r="S25" s="123"/>
      <c r="T25" s="353"/>
      <c r="U25" s="354"/>
      <c r="W25" s="357"/>
      <c r="X25" s="358"/>
      <c r="Y25" s="362" t="s">
        <v>258</v>
      </c>
      <c r="Z25" s="363"/>
      <c r="AA25" s="363"/>
      <c r="AB25" s="363"/>
      <c r="AC25" s="363"/>
      <c r="AD25" s="363"/>
      <c r="AE25" s="121"/>
      <c r="AF25" s="121"/>
      <c r="AG25" s="364"/>
      <c r="AH25" s="364"/>
      <c r="AI25" s="364"/>
      <c r="AJ25" s="364"/>
      <c r="AK25" s="364"/>
      <c r="AL25" s="364"/>
      <c r="AM25" s="121"/>
      <c r="AN25" s="121"/>
      <c r="AO25" s="364"/>
      <c r="AP25" s="365"/>
    </row>
    <row r="26" spans="2:47" ht="21" customHeight="1">
      <c r="B26" s="357"/>
      <c r="C26" s="358"/>
      <c r="D26" s="362" t="s">
        <v>82</v>
      </c>
      <c r="E26" s="363"/>
      <c r="F26" s="363"/>
      <c r="G26" s="363"/>
      <c r="H26" s="363"/>
      <c r="I26" s="363"/>
      <c r="J26" s="121"/>
      <c r="K26" s="121"/>
      <c r="L26" s="364"/>
      <c r="M26" s="364"/>
      <c r="N26" s="364"/>
      <c r="O26" s="364"/>
      <c r="P26" s="364"/>
      <c r="Q26" s="364"/>
      <c r="R26" s="121"/>
      <c r="S26" s="121"/>
      <c r="T26" s="364"/>
      <c r="U26" s="365"/>
      <c r="W26" s="357"/>
      <c r="X26" s="358"/>
      <c r="Y26" s="366" t="s">
        <v>377</v>
      </c>
      <c r="Z26" s="367"/>
      <c r="AA26" s="367"/>
      <c r="AB26" s="367"/>
      <c r="AC26" s="367"/>
      <c r="AD26" s="367"/>
      <c r="AE26" s="122"/>
      <c r="AF26" s="123"/>
      <c r="AG26" s="353"/>
      <c r="AH26" s="353"/>
      <c r="AI26" s="353"/>
      <c r="AJ26" s="353"/>
      <c r="AK26" s="353"/>
      <c r="AL26" s="353"/>
      <c r="AM26" s="122"/>
      <c r="AN26" s="123"/>
      <c r="AO26" s="353"/>
      <c r="AP26" s="354"/>
    </row>
    <row r="27" spans="2:47" ht="21" customHeight="1">
      <c r="B27" s="359"/>
      <c r="C27" s="358"/>
      <c r="D27" s="366" t="s">
        <v>281</v>
      </c>
      <c r="E27" s="367"/>
      <c r="F27" s="367"/>
      <c r="G27" s="367"/>
      <c r="H27" s="367"/>
      <c r="I27" s="367"/>
      <c r="J27" s="122"/>
      <c r="K27" s="123"/>
      <c r="L27" s="353"/>
      <c r="M27" s="353"/>
      <c r="N27" s="353"/>
      <c r="O27" s="353"/>
      <c r="P27" s="353"/>
      <c r="Q27" s="353"/>
      <c r="R27" s="122"/>
      <c r="S27" s="123"/>
      <c r="T27" s="353"/>
      <c r="U27" s="354"/>
      <c r="W27" s="359"/>
      <c r="X27" s="358"/>
      <c r="Y27" s="366" t="s">
        <v>378</v>
      </c>
      <c r="Z27" s="367"/>
      <c r="AA27" s="367"/>
      <c r="AB27" s="367"/>
      <c r="AC27" s="367"/>
      <c r="AD27" s="367"/>
      <c r="AE27" s="122"/>
      <c r="AF27" s="123"/>
      <c r="AG27" s="353"/>
      <c r="AH27" s="353"/>
      <c r="AI27" s="353"/>
      <c r="AJ27" s="353"/>
      <c r="AK27" s="353"/>
      <c r="AL27" s="353"/>
      <c r="AM27" s="122"/>
      <c r="AN27" s="123"/>
      <c r="AO27" s="353"/>
      <c r="AP27" s="354"/>
    </row>
    <row r="28" spans="2:47" ht="21" customHeight="1">
      <c r="B28" s="359"/>
      <c r="C28" s="358"/>
      <c r="D28" s="366" t="s">
        <v>282</v>
      </c>
      <c r="E28" s="367"/>
      <c r="F28" s="367"/>
      <c r="G28" s="367"/>
      <c r="H28" s="367"/>
      <c r="I28" s="367"/>
      <c r="J28" s="122"/>
      <c r="K28" s="123"/>
      <c r="L28" s="353"/>
      <c r="M28" s="353"/>
      <c r="N28" s="353"/>
      <c r="O28" s="353"/>
      <c r="P28" s="353"/>
      <c r="Q28" s="353"/>
      <c r="R28" s="122"/>
      <c r="S28" s="123"/>
      <c r="T28" s="353"/>
      <c r="U28" s="354"/>
      <c r="W28" s="359"/>
      <c r="X28" s="358"/>
      <c r="Y28" s="362" t="s">
        <v>284</v>
      </c>
      <c r="Z28" s="363"/>
      <c r="AA28" s="363"/>
      <c r="AB28" s="363"/>
      <c r="AC28" s="363"/>
      <c r="AD28" s="363"/>
      <c r="AE28" s="121"/>
      <c r="AF28" s="121"/>
      <c r="AG28" s="364"/>
      <c r="AH28" s="364"/>
      <c r="AI28" s="364"/>
      <c r="AJ28" s="364"/>
      <c r="AK28" s="364"/>
      <c r="AL28" s="364"/>
      <c r="AM28" s="121"/>
      <c r="AN28" s="121"/>
      <c r="AO28" s="364"/>
      <c r="AP28" s="365"/>
    </row>
    <row r="29" spans="2:47" ht="21" customHeight="1">
      <c r="B29" s="359"/>
      <c r="C29" s="358"/>
      <c r="D29" s="366" t="s">
        <v>283</v>
      </c>
      <c r="E29" s="367"/>
      <c r="F29" s="367"/>
      <c r="G29" s="367"/>
      <c r="H29" s="367"/>
      <c r="I29" s="367"/>
      <c r="J29" s="122"/>
      <c r="K29" s="123"/>
      <c r="L29" s="353"/>
      <c r="M29" s="353"/>
      <c r="N29" s="353"/>
      <c r="O29" s="353"/>
      <c r="P29" s="353"/>
      <c r="Q29" s="353"/>
      <c r="R29" s="122"/>
      <c r="S29" s="123"/>
      <c r="T29" s="353"/>
      <c r="U29" s="354"/>
      <c r="W29" s="359"/>
      <c r="X29" s="358"/>
      <c r="Y29" s="366" t="s">
        <v>379</v>
      </c>
      <c r="Z29" s="367"/>
      <c r="AA29" s="367"/>
      <c r="AB29" s="367"/>
      <c r="AC29" s="367"/>
      <c r="AD29" s="367"/>
      <c r="AE29" s="122"/>
      <c r="AF29" s="123"/>
      <c r="AG29" s="353"/>
      <c r="AH29" s="353"/>
      <c r="AI29" s="353"/>
      <c r="AJ29" s="353"/>
      <c r="AK29" s="353"/>
      <c r="AL29" s="353"/>
      <c r="AM29" s="122"/>
      <c r="AN29" s="123"/>
      <c r="AO29" s="353"/>
      <c r="AP29" s="354"/>
    </row>
    <row r="30" spans="2:47" ht="21" customHeight="1">
      <c r="B30" s="360"/>
      <c r="C30" s="361"/>
      <c r="D30" s="373"/>
      <c r="E30" s="374"/>
      <c r="F30" s="374"/>
      <c r="G30" s="374"/>
      <c r="H30" s="374"/>
      <c r="I30" s="375"/>
      <c r="J30" s="122"/>
      <c r="K30" s="123"/>
      <c r="L30" s="354"/>
      <c r="M30" s="376"/>
      <c r="N30" s="354"/>
      <c r="O30" s="376"/>
      <c r="P30" s="354"/>
      <c r="Q30" s="376"/>
      <c r="R30" s="122"/>
      <c r="S30" s="123"/>
      <c r="T30" s="354"/>
      <c r="U30" s="377"/>
      <c r="W30" s="360"/>
      <c r="X30" s="361"/>
      <c r="Y30" s="366" t="s">
        <v>380</v>
      </c>
      <c r="Z30" s="367"/>
      <c r="AA30" s="367"/>
      <c r="AB30" s="367"/>
      <c r="AC30" s="367"/>
      <c r="AD30" s="367"/>
      <c r="AE30" s="122"/>
      <c r="AF30" s="123"/>
      <c r="AG30" s="353"/>
      <c r="AH30" s="353"/>
      <c r="AI30" s="353"/>
      <c r="AJ30" s="353"/>
      <c r="AK30" s="353"/>
      <c r="AL30" s="353"/>
      <c r="AM30" s="122"/>
      <c r="AN30" s="123"/>
      <c r="AO30" s="353"/>
      <c r="AP30" s="354"/>
    </row>
    <row r="31" spans="2:47" ht="21" customHeight="1" thickBot="1">
      <c r="B31" s="368" t="s">
        <v>382</v>
      </c>
      <c r="C31" s="368"/>
      <c r="D31" s="368"/>
      <c r="E31" s="368"/>
      <c r="F31" s="368"/>
      <c r="G31" s="368"/>
      <c r="H31" s="368"/>
      <c r="I31" s="369"/>
      <c r="J31" s="124"/>
      <c r="K31" s="124"/>
      <c r="L31" s="370"/>
      <c r="M31" s="371"/>
      <c r="N31" s="370"/>
      <c r="O31" s="371"/>
      <c r="P31" s="372"/>
      <c r="Q31" s="372"/>
      <c r="R31" s="124"/>
      <c r="S31" s="124"/>
      <c r="T31" s="370"/>
      <c r="U31" s="371"/>
      <c r="W31" s="368" t="s">
        <v>383</v>
      </c>
      <c r="X31" s="368"/>
      <c r="Y31" s="368"/>
      <c r="Z31" s="368"/>
      <c r="AA31" s="368"/>
      <c r="AB31" s="368"/>
      <c r="AC31" s="368"/>
      <c r="AD31" s="369"/>
      <c r="AE31" s="124"/>
      <c r="AF31" s="124"/>
      <c r="AG31" s="370"/>
      <c r="AH31" s="371"/>
      <c r="AI31" s="370"/>
      <c r="AJ31" s="371"/>
      <c r="AK31" s="372"/>
      <c r="AL31" s="372"/>
      <c r="AM31" s="124"/>
      <c r="AN31" s="124"/>
      <c r="AO31" s="370"/>
      <c r="AP31" s="371"/>
    </row>
    <row r="32" spans="2:47" ht="8.25" customHeight="1" thickBot="1">
      <c r="AB32" s="104"/>
      <c r="AC32" s="104"/>
      <c r="AD32" s="104"/>
      <c r="AR32" s="111"/>
    </row>
    <row r="33" spans="1:56" ht="15" customHeight="1" thickTop="1">
      <c r="B33" s="339" t="s">
        <v>384</v>
      </c>
      <c r="C33" s="340"/>
      <c r="D33" s="343" t="s">
        <v>385</v>
      </c>
      <c r="E33" s="339"/>
      <c r="F33" s="339"/>
      <c r="G33" s="339"/>
      <c r="H33" s="339"/>
      <c r="I33" s="340"/>
      <c r="J33" s="347" t="s">
        <v>386</v>
      </c>
      <c r="K33" s="348"/>
      <c r="L33" s="348"/>
      <c r="M33" s="348"/>
      <c r="N33" s="347" t="s">
        <v>364</v>
      </c>
      <c r="O33" s="348"/>
      <c r="P33" s="348"/>
      <c r="Q33" s="348"/>
      <c r="R33" s="347" t="s">
        <v>387</v>
      </c>
      <c r="S33" s="348"/>
      <c r="T33" s="348"/>
      <c r="U33" s="348"/>
      <c r="W33" s="339" t="s">
        <v>384</v>
      </c>
      <c r="X33" s="340"/>
      <c r="Y33" s="343" t="s">
        <v>388</v>
      </c>
      <c r="Z33" s="339"/>
      <c r="AA33" s="339"/>
      <c r="AB33" s="339"/>
      <c r="AC33" s="339"/>
      <c r="AD33" s="340"/>
      <c r="AE33" s="347" t="s">
        <v>389</v>
      </c>
      <c r="AF33" s="348"/>
      <c r="AG33" s="348"/>
      <c r="AH33" s="348"/>
      <c r="AI33" s="347" t="s">
        <v>364</v>
      </c>
      <c r="AJ33" s="348"/>
      <c r="AK33" s="348"/>
      <c r="AL33" s="348"/>
      <c r="AM33" s="347" t="s">
        <v>390</v>
      </c>
      <c r="AN33" s="348"/>
      <c r="AO33" s="348"/>
      <c r="AP33" s="348"/>
      <c r="AR33" s="125"/>
      <c r="BA33" s="126"/>
      <c r="BB33" s="126"/>
      <c r="BC33" s="126"/>
    </row>
    <row r="34" spans="1:56" ht="28.5" customHeight="1">
      <c r="B34" s="341"/>
      <c r="C34" s="342"/>
      <c r="D34" s="344"/>
      <c r="E34" s="345"/>
      <c r="F34" s="345"/>
      <c r="G34" s="345"/>
      <c r="H34" s="345"/>
      <c r="I34" s="346"/>
      <c r="J34" s="120" t="s">
        <v>391</v>
      </c>
      <c r="K34" s="120" t="s">
        <v>370</v>
      </c>
      <c r="L34" s="349" t="s">
        <v>392</v>
      </c>
      <c r="M34" s="350"/>
      <c r="N34" s="349" t="s">
        <v>392</v>
      </c>
      <c r="O34" s="350"/>
      <c r="P34" s="349" t="s">
        <v>372</v>
      </c>
      <c r="Q34" s="350"/>
      <c r="R34" s="120" t="s">
        <v>393</v>
      </c>
      <c r="S34" s="120" t="s">
        <v>370</v>
      </c>
      <c r="T34" s="351" t="s">
        <v>394</v>
      </c>
      <c r="U34" s="352"/>
      <c r="W34" s="341"/>
      <c r="X34" s="342"/>
      <c r="Y34" s="344"/>
      <c r="Z34" s="345"/>
      <c r="AA34" s="345"/>
      <c r="AB34" s="345"/>
      <c r="AC34" s="345"/>
      <c r="AD34" s="346"/>
      <c r="AE34" s="120" t="s">
        <v>369</v>
      </c>
      <c r="AF34" s="120" t="s">
        <v>370</v>
      </c>
      <c r="AG34" s="349" t="s">
        <v>392</v>
      </c>
      <c r="AH34" s="350"/>
      <c r="AI34" s="349" t="s">
        <v>392</v>
      </c>
      <c r="AJ34" s="350"/>
      <c r="AK34" s="349" t="s">
        <v>372</v>
      </c>
      <c r="AL34" s="350"/>
      <c r="AM34" s="120" t="s">
        <v>391</v>
      </c>
      <c r="AN34" s="120" t="s">
        <v>370</v>
      </c>
      <c r="AO34" s="351" t="s">
        <v>394</v>
      </c>
      <c r="AP34" s="352"/>
      <c r="AR34" s="127"/>
      <c r="BA34" s="126"/>
      <c r="BB34" s="126"/>
      <c r="BC34" s="126"/>
    </row>
    <row r="35" spans="1:56" ht="21" customHeight="1">
      <c r="B35" s="355" t="s">
        <v>76</v>
      </c>
      <c r="C35" s="356"/>
      <c r="D35" s="362" t="s">
        <v>395</v>
      </c>
      <c r="E35" s="363"/>
      <c r="F35" s="363"/>
      <c r="G35" s="363"/>
      <c r="H35" s="363"/>
      <c r="I35" s="363"/>
      <c r="J35" s="121"/>
      <c r="K35" s="121"/>
      <c r="L35" s="364"/>
      <c r="M35" s="364"/>
      <c r="N35" s="364"/>
      <c r="O35" s="364"/>
      <c r="P35" s="364"/>
      <c r="Q35" s="364"/>
      <c r="R35" s="121"/>
      <c r="S35" s="121"/>
      <c r="T35" s="364"/>
      <c r="U35" s="365"/>
      <c r="W35" s="355" t="s">
        <v>77</v>
      </c>
      <c r="X35" s="356"/>
      <c r="Y35" s="378" t="s">
        <v>396</v>
      </c>
      <c r="Z35" s="379"/>
      <c r="AA35" s="379"/>
      <c r="AB35" s="379"/>
      <c r="AC35" s="379"/>
      <c r="AD35" s="379"/>
      <c r="AE35" s="128"/>
      <c r="AF35" s="129"/>
      <c r="AG35" s="380"/>
      <c r="AH35" s="380"/>
      <c r="AI35" s="380"/>
      <c r="AJ35" s="380"/>
      <c r="AK35" s="380"/>
      <c r="AL35" s="380"/>
      <c r="AM35" s="128"/>
      <c r="AN35" s="129"/>
      <c r="AO35" s="380"/>
      <c r="AP35" s="381"/>
      <c r="AR35" s="127"/>
      <c r="BA35" s="126"/>
      <c r="BB35" s="126"/>
      <c r="BC35" s="126"/>
    </row>
    <row r="36" spans="1:56" ht="21" customHeight="1">
      <c r="B36" s="357"/>
      <c r="C36" s="358"/>
      <c r="D36" s="366" t="s">
        <v>285</v>
      </c>
      <c r="E36" s="367"/>
      <c r="F36" s="367"/>
      <c r="G36" s="367"/>
      <c r="H36" s="367"/>
      <c r="I36" s="367"/>
      <c r="J36" s="122"/>
      <c r="K36" s="123"/>
      <c r="L36" s="353"/>
      <c r="M36" s="353"/>
      <c r="N36" s="353"/>
      <c r="O36" s="353"/>
      <c r="P36" s="353"/>
      <c r="Q36" s="353"/>
      <c r="R36" s="122"/>
      <c r="S36" s="123"/>
      <c r="T36" s="353"/>
      <c r="U36" s="354"/>
      <c r="W36" s="357"/>
      <c r="X36" s="358"/>
      <c r="Y36" s="382" t="s">
        <v>397</v>
      </c>
      <c r="Z36" s="383"/>
      <c r="AA36" s="383"/>
      <c r="AB36" s="383"/>
      <c r="AC36" s="383"/>
      <c r="AD36" s="383"/>
      <c r="AE36" s="130"/>
      <c r="AF36" s="129"/>
      <c r="AG36" s="384"/>
      <c r="AH36" s="384"/>
      <c r="AI36" s="380"/>
      <c r="AJ36" s="380"/>
      <c r="AK36" s="384"/>
      <c r="AL36" s="384"/>
      <c r="AM36" s="128"/>
      <c r="AN36" s="129"/>
      <c r="AO36" s="384"/>
      <c r="AP36" s="385"/>
      <c r="AR36" s="127"/>
      <c r="BA36" s="126"/>
      <c r="BB36" s="126"/>
      <c r="BC36" s="126"/>
    </row>
    <row r="37" spans="1:56" ht="21" customHeight="1">
      <c r="B37" s="357"/>
      <c r="C37" s="358"/>
      <c r="D37" s="366" t="s">
        <v>286</v>
      </c>
      <c r="E37" s="367"/>
      <c r="F37" s="367"/>
      <c r="G37" s="367"/>
      <c r="H37" s="367"/>
      <c r="I37" s="367"/>
      <c r="J37" s="122"/>
      <c r="K37" s="123"/>
      <c r="L37" s="353"/>
      <c r="M37" s="353"/>
      <c r="N37" s="353"/>
      <c r="O37" s="353"/>
      <c r="P37" s="353"/>
      <c r="Q37" s="353"/>
      <c r="R37" s="122"/>
      <c r="S37" s="123"/>
      <c r="T37" s="353"/>
      <c r="U37" s="354"/>
      <c r="W37" s="357"/>
      <c r="X37" s="358"/>
      <c r="Y37" s="382" t="s">
        <v>398</v>
      </c>
      <c r="Z37" s="383"/>
      <c r="AA37" s="383"/>
      <c r="AB37" s="383"/>
      <c r="AC37" s="383"/>
      <c r="AD37" s="383"/>
      <c r="AE37" s="130"/>
      <c r="AF37" s="129"/>
      <c r="AG37" s="384"/>
      <c r="AH37" s="384"/>
      <c r="AI37" s="380"/>
      <c r="AJ37" s="380"/>
      <c r="AK37" s="384"/>
      <c r="AL37" s="384"/>
      <c r="AM37" s="128"/>
      <c r="AN37" s="129"/>
      <c r="AO37" s="384"/>
      <c r="AP37" s="385"/>
      <c r="AR37" s="127"/>
      <c r="BA37" s="126"/>
      <c r="BB37" s="126"/>
      <c r="BC37" s="126"/>
    </row>
    <row r="38" spans="1:56" ht="21" customHeight="1">
      <c r="B38" s="357"/>
      <c r="C38" s="358"/>
      <c r="D38" s="362" t="s">
        <v>399</v>
      </c>
      <c r="E38" s="363"/>
      <c r="F38" s="363"/>
      <c r="G38" s="363"/>
      <c r="H38" s="363"/>
      <c r="I38" s="363"/>
      <c r="J38" s="121"/>
      <c r="K38" s="121"/>
      <c r="L38" s="364"/>
      <c r="M38" s="364"/>
      <c r="N38" s="364"/>
      <c r="O38" s="364"/>
      <c r="P38" s="364"/>
      <c r="Q38" s="364"/>
      <c r="R38" s="121"/>
      <c r="S38" s="121"/>
      <c r="T38" s="364"/>
      <c r="U38" s="365"/>
      <c r="W38" s="357"/>
      <c r="X38" s="358"/>
      <c r="Y38" s="382"/>
      <c r="Z38" s="383"/>
      <c r="AA38" s="383"/>
      <c r="AB38" s="383"/>
      <c r="AC38" s="383"/>
      <c r="AD38" s="383"/>
      <c r="AE38" s="130"/>
      <c r="AF38" s="131"/>
      <c r="AG38" s="384"/>
      <c r="AH38" s="384"/>
      <c r="AI38" s="380"/>
      <c r="AJ38" s="380"/>
      <c r="AK38" s="384"/>
      <c r="AL38" s="384"/>
      <c r="AM38" s="130"/>
      <c r="AN38" s="131"/>
      <c r="AO38" s="384"/>
      <c r="AP38" s="385"/>
      <c r="AR38" s="125"/>
      <c r="BA38" s="126"/>
      <c r="BB38" s="126"/>
      <c r="BC38" s="126"/>
    </row>
    <row r="39" spans="1:56" ht="21" customHeight="1">
      <c r="B39" s="357"/>
      <c r="C39" s="358"/>
      <c r="D39" s="366" t="s">
        <v>400</v>
      </c>
      <c r="E39" s="367"/>
      <c r="F39" s="367"/>
      <c r="G39" s="367"/>
      <c r="H39" s="367"/>
      <c r="I39" s="367"/>
      <c r="J39" s="122"/>
      <c r="K39" s="123"/>
      <c r="L39" s="353"/>
      <c r="M39" s="353"/>
      <c r="N39" s="353"/>
      <c r="O39" s="353"/>
      <c r="P39" s="353"/>
      <c r="Q39" s="353"/>
      <c r="R39" s="122"/>
      <c r="S39" s="123"/>
      <c r="T39" s="353"/>
      <c r="U39" s="354"/>
      <c r="W39" s="357"/>
      <c r="X39" s="358"/>
      <c r="Y39" s="388"/>
      <c r="Z39" s="389"/>
      <c r="AA39" s="389"/>
      <c r="AB39" s="389"/>
      <c r="AC39" s="389"/>
      <c r="AD39" s="389"/>
      <c r="AE39" s="132"/>
      <c r="AF39" s="133"/>
      <c r="AG39" s="386"/>
      <c r="AH39" s="386"/>
      <c r="AI39" s="380"/>
      <c r="AJ39" s="380"/>
      <c r="AK39" s="386"/>
      <c r="AL39" s="386"/>
      <c r="AM39" s="132"/>
      <c r="AN39" s="133"/>
      <c r="AO39" s="386"/>
      <c r="AP39" s="387"/>
      <c r="AR39" s="134"/>
      <c r="BA39" s="126"/>
      <c r="BB39" s="126"/>
      <c r="BC39" s="126"/>
    </row>
    <row r="40" spans="1:56" ht="21" customHeight="1">
      <c r="B40" s="360"/>
      <c r="C40" s="361"/>
      <c r="D40" s="366" t="s">
        <v>259</v>
      </c>
      <c r="E40" s="367"/>
      <c r="F40" s="367"/>
      <c r="G40" s="367"/>
      <c r="H40" s="367"/>
      <c r="I40" s="367"/>
      <c r="J40" s="122"/>
      <c r="K40" s="123"/>
      <c r="L40" s="353"/>
      <c r="M40" s="353"/>
      <c r="N40" s="353"/>
      <c r="O40" s="353"/>
      <c r="P40" s="353"/>
      <c r="Q40" s="353"/>
      <c r="R40" s="122"/>
      <c r="S40" s="123"/>
      <c r="T40" s="353"/>
      <c r="U40" s="354"/>
      <c r="W40" s="360"/>
      <c r="X40" s="361"/>
      <c r="Y40" s="388"/>
      <c r="Z40" s="389"/>
      <c r="AA40" s="389"/>
      <c r="AB40" s="389"/>
      <c r="AC40" s="389"/>
      <c r="AD40" s="389"/>
      <c r="AE40" s="132"/>
      <c r="AF40" s="133"/>
      <c r="AG40" s="386"/>
      <c r="AH40" s="386"/>
      <c r="AI40" s="380"/>
      <c r="AJ40" s="380"/>
      <c r="AK40" s="386"/>
      <c r="AL40" s="386"/>
      <c r="AM40" s="132"/>
      <c r="AN40" s="133"/>
      <c r="AO40" s="386"/>
      <c r="AP40" s="387"/>
      <c r="AR40" s="134"/>
      <c r="BA40" s="126"/>
      <c r="BB40" s="126"/>
      <c r="BC40" s="126"/>
    </row>
    <row r="41" spans="1:56" ht="21" customHeight="1" thickBot="1">
      <c r="B41" s="368" t="s">
        <v>401</v>
      </c>
      <c r="C41" s="368"/>
      <c r="D41" s="368"/>
      <c r="E41" s="368"/>
      <c r="F41" s="368"/>
      <c r="G41" s="368"/>
      <c r="H41" s="368"/>
      <c r="I41" s="369"/>
      <c r="J41" s="124"/>
      <c r="K41" s="124"/>
      <c r="L41" s="370"/>
      <c r="M41" s="371"/>
      <c r="N41" s="370"/>
      <c r="O41" s="371"/>
      <c r="P41" s="372"/>
      <c r="Q41" s="372"/>
      <c r="R41" s="124"/>
      <c r="S41" s="124"/>
      <c r="T41" s="370"/>
      <c r="U41" s="371"/>
      <c r="W41" s="368" t="s">
        <v>381</v>
      </c>
      <c r="X41" s="368"/>
      <c r="Y41" s="368"/>
      <c r="Z41" s="368"/>
      <c r="AA41" s="368"/>
      <c r="AB41" s="368"/>
      <c r="AC41" s="368"/>
      <c r="AD41" s="369"/>
      <c r="AE41" s="124"/>
      <c r="AF41" s="124"/>
      <c r="AG41" s="370"/>
      <c r="AH41" s="371"/>
      <c r="AI41" s="370"/>
      <c r="AJ41" s="371"/>
      <c r="AK41" s="372"/>
      <c r="AL41" s="372"/>
      <c r="AM41" s="124"/>
      <c r="AN41" s="124"/>
      <c r="AO41" s="370"/>
      <c r="AP41" s="371"/>
    </row>
    <row r="42" spans="1:56" ht="17.25" customHeight="1" thickBot="1">
      <c r="AP42" s="135" t="s">
        <v>459</v>
      </c>
    </row>
    <row r="43" spans="1:56" ht="21" thickBot="1">
      <c r="A43" s="136"/>
      <c r="B43" s="262" t="s">
        <v>402</v>
      </c>
      <c r="C43" s="263"/>
      <c r="D43" s="263"/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3"/>
      <c r="Q43" s="263"/>
      <c r="R43" s="263"/>
      <c r="S43" s="263"/>
      <c r="T43" s="263"/>
      <c r="U43" s="263"/>
      <c r="V43" s="263"/>
      <c r="W43" s="263"/>
      <c r="X43" s="263"/>
      <c r="Y43" s="263"/>
      <c r="Z43" s="263"/>
      <c r="AA43" s="263"/>
      <c r="AB43" s="263"/>
      <c r="AC43" s="263"/>
      <c r="AD43" s="263"/>
      <c r="AE43" s="263"/>
      <c r="AF43" s="263"/>
      <c r="AG43" s="263"/>
      <c r="AH43" s="263"/>
      <c r="AI43" s="263"/>
      <c r="AJ43" s="263"/>
      <c r="AK43" s="263"/>
      <c r="AL43" s="263"/>
      <c r="AM43" s="263"/>
      <c r="AN43" s="263"/>
      <c r="AO43" s="263"/>
      <c r="AP43" s="264"/>
    </row>
    <row r="44" spans="1:56" ht="15" thickBot="1">
      <c r="A44" s="136"/>
      <c r="B44" s="136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6"/>
      <c r="AG44" s="136"/>
      <c r="AH44" s="136"/>
      <c r="AI44" s="136"/>
      <c r="AJ44" s="136"/>
      <c r="AK44" s="136"/>
      <c r="AL44" s="137"/>
      <c r="AM44" s="137"/>
      <c r="AN44" s="137"/>
      <c r="AO44" s="137"/>
    </row>
    <row r="45" spans="1:56" s="105" customFormat="1" ht="17.25" customHeight="1" thickTop="1"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265" t="s">
        <v>403</v>
      </c>
      <c r="W45" s="266"/>
      <c r="X45" s="266"/>
      <c r="Y45" s="266"/>
      <c r="Z45" s="266"/>
      <c r="AA45" s="266" t="s">
        <v>404</v>
      </c>
      <c r="AB45" s="266"/>
      <c r="AC45" s="266"/>
      <c r="AD45" s="267" t="s">
        <v>405</v>
      </c>
      <c r="AE45" s="268"/>
      <c r="AF45" s="268"/>
      <c r="AG45" s="268"/>
      <c r="AH45" s="265"/>
      <c r="AI45" s="266" t="s">
        <v>406</v>
      </c>
      <c r="AJ45" s="266"/>
      <c r="AK45" s="266"/>
      <c r="AL45" s="267"/>
      <c r="AM45" s="266" t="s">
        <v>407</v>
      </c>
      <c r="AN45" s="266"/>
      <c r="AO45" s="266"/>
      <c r="AP45" s="267"/>
      <c r="AQ45" s="103"/>
      <c r="AR45" s="104"/>
      <c r="BA45" s="103"/>
      <c r="BB45" s="103"/>
      <c r="BC45" s="103"/>
      <c r="BD45" s="103"/>
    </row>
    <row r="46" spans="1:56" s="105" customFormat="1" ht="12.75" customHeight="1">
      <c r="B46" s="103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269"/>
      <c r="W46" s="270"/>
      <c r="X46" s="270"/>
      <c r="Y46" s="270"/>
      <c r="Z46" s="270"/>
      <c r="AA46" s="273"/>
      <c r="AB46" s="273"/>
      <c r="AC46" s="273"/>
      <c r="AD46" s="275"/>
      <c r="AE46" s="276"/>
      <c r="AF46" s="276"/>
      <c r="AG46" s="276"/>
      <c r="AH46" s="277"/>
      <c r="AI46" s="281"/>
      <c r="AJ46" s="281"/>
      <c r="AK46" s="281"/>
      <c r="AL46" s="282"/>
      <c r="AM46" s="281"/>
      <c r="AN46" s="281"/>
      <c r="AO46" s="281"/>
      <c r="AP46" s="282"/>
      <c r="AQ46" s="103"/>
      <c r="AR46" s="104"/>
      <c r="BA46" s="103"/>
      <c r="BB46" s="103"/>
      <c r="BC46" s="103"/>
      <c r="BD46" s="103"/>
    </row>
    <row r="47" spans="1:56" s="105" customFormat="1" ht="12.75" customHeight="1">
      <c r="B47" s="103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271"/>
      <c r="W47" s="272"/>
      <c r="X47" s="272"/>
      <c r="Y47" s="272"/>
      <c r="Z47" s="272"/>
      <c r="AA47" s="274"/>
      <c r="AB47" s="274"/>
      <c r="AC47" s="274"/>
      <c r="AD47" s="278"/>
      <c r="AE47" s="279"/>
      <c r="AF47" s="279"/>
      <c r="AG47" s="279"/>
      <c r="AH47" s="280"/>
      <c r="AI47" s="283"/>
      <c r="AJ47" s="283"/>
      <c r="AK47" s="283"/>
      <c r="AL47" s="284"/>
      <c r="AM47" s="283"/>
      <c r="AN47" s="283"/>
      <c r="AO47" s="283"/>
      <c r="AP47" s="284"/>
      <c r="AQ47" s="103"/>
      <c r="AR47" s="104"/>
      <c r="BA47" s="103"/>
      <c r="BB47" s="103"/>
      <c r="BC47" s="103"/>
      <c r="BD47" s="103"/>
    </row>
    <row r="48" spans="1:56" ht="15.75" customHeight="1" thickBot="1">
      <c r="A48" s="136"/>
      <c r="B48" s="136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8"/>
      <c r="AC48" s="138"/>
      <c r="AD48" s="138"/>
      <c r="AE48" s="138"/>
      <c r="AF48" s="139"/>
      <c r="AG48" s="139"/>
      <c r="AH48" s="139"/>
      <c r="AI48" s="139"/>
      <c r="AJ48" s="139"/>
      <c r="AK48" s="139"/>
      <c r="AL48" s="139"/>
      <c r="AM48" s="139"/>
      <c r="AN48" s="139"/>
      <c r="AO48" s="139"/>
      <c r="AP48" s="136"/>
      <c r="AQ48" s="136"/>
      <c r="AR48" s="136"/>
    </row>
    <row r="49" spans="1:76" s="105" customFormat="1" ht="23" customHeight="1">
      <c r="A49" s="103"/>
      <c r="B49" s="402"/>
      <c r="C49" s="403"/>
      <c r="D49" s="403"/>
      <c r="E49" s="403"/>
      <c r="F49" s="403"/>
      <c r="G49" s="403"/>
      <c r="H49" s="403"/>
      <c r="I49" s="403"/>
      <c r="J49" s="403"/>
      <c r="K49" s="403"/>
      <c r="L49" s="403"/>
      <c r="M49" s="140">
        <v>1</v>
      </c>
      <c r="N49" s="140">
        <v>2</v>
      </c>
      <c r="O49" s="140">
        <v>3</v>
      </c>
      <c r="P49" s="140">
        <v>4</v>
      </c>
      <c r="Q49" s="140">
        <v>5</v>
      </c>
      <c r="R49" s="140">
        <v>6</v>
      </c>
      <c r="S49" s="140">
        <v>7</v>
      </c>
      <c r="T49" s="140">
        <v>8</v>
      </c>
      <c r="U49" s="140">
        <v>9</v>
      </c>
      <c r="V49" s="140">
        <v>10</v>
      </c>
      <c r="W49" s="140">
        <v>11</v>
      </c>
      <c r="X49" s="140">
        <v>12</v>
      </c>
      <c r="Y49" s="140">
        <v>13</v>
      </c>
      <c r="Z49" s="140">
        <v>14</v>
      </c>
      <c r="AA49" s="140">
        <v>15</v>
      </c>
      <c r="AB49" s="140">
        <v>16</v>
      </c>
      <c r="AC49" s="140">
        <v>17</v>
      </c>
      <c r="AD49" s="140">
        <v>18</v>
      </c>
      <c r="AE49" s="140">
        <v>19</v>
      </c>
      <c r="AF49" s="140">
        <v>20</v>
      </c>
      <c r="AG49" s="140">
        <v>21</v>
      </c>
      <c r="AH49" s="140">
        <v>22</v>
      </c>
      <c r="AI49" s="140">
        <v>23</v>
      </c>
      <c r="AJ49" s="140">
        <v>24</v>
      </c>
      <c r="AK49" s="140">
        <v>25</v>
      </c>
      <c r="AL49" s="140">
        <v>26</v>
      </c>
      <c r="AM49" s="140">
        <v>27</v>
      </c>
      <c r="AN49" s="140">
        <v>28</v>
      </c>
      <c r="AO49" s="140">
        <v>29</v>
      </c>
      <c r="AP49" s="141">
        <v>30</v>
      </c>
      <c r="AQ49" s="103"/>
      <c r="AR49" s="104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  <c r="BM49" s="103"/>
      <c r="BN49" s="103"/>
      <c r="BO49" s="103"/>
      <c r="BP49" s="103"/>
      <c r="BQ49" s="103"/>
      <c r="BR49" s="103"/>
      <c r="BS49" s="103"/>
      <c r="BT49" s="103"/>
      <c r="BU49" s="103"/>
      <c r="BV49" s="103"/>
      <c r="BW49" s="103"/>
      <c r="BX49" s="103"/>
    </row>
    <row r="50" spans="1:76" s="105" customFormat="1" ht="23" customHeight="1">
      <c r="A50" s="103"/>
      <c r="B50" s="390" t="s">
        <v>408</v>
      </c>
      <c r="C50" s="391"/>
      <c r="D50" s="391"/>
      <c r="E50" s="391"/>
      <c r="F50" s="391"/>
      <c r="G50" s="391"/>
      <c r="H50" s="391"/>
      <c r="I50" s="391"/>
      <c r="J50" s="391"/>
      <c r="K50" s="391"/>
      <c r="L50" s="391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3"/>
      <c r="AQ50" s="103"/>
      <c r="AR50" s="104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  <c r="BM50" s="103"/>
      <c r="BN50" s="103"/>
      <c r="BO50" s="103"/>
      <c r="BP50" s="103"/>
      <c r="BQ50" s="103"/>
      <c r="BR50" s="103"/>
      <c r="BS50" s="103"/>
      <c r="BT50" s="103"/>
      <c r="BU50" s="103"/>
      <c r="BV50" s="103"/>
      <c r="BW50" s="103"/>
      <c r="BX50" s="103"/>
    </row>
    <row r="51" spans="1:76" s="105" customFormat="1" ht="23" customHeight="1" thickBot="1">
      <c r="A51" s="103"/>
      <c r="B51" s="392" t="s">
        <v>409</v>
      </c>
      <c r="C51" s="393"/>
      <c r="D51" s="393"/>
      <c r="E51" s="393"/>
      <c r="F51" s="393"/>
      <c r="G51" s="393"/>
      <c r="H51" s="393"/>
      <c r="I51" s="393"/>
      <c r="J51" s="393"/>
      <c r="K51" s="393"/>
      <c r="L51" s="393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  <c r="AF51" s="144"/>
      <c r="AG51" s="144"/>
      <c r="AH51" s="144"/>
      <c r="AI51" s="144"/>
      <c r="AJ51" s="144"/>
      <c r="AK51" s="144"/>
      <c r="AL51" s="144"/>
      <c r="AM51" s="144"/>
      <c r="AN51" s="144"/>
      <c r="AO51" s="144"/>
      <c r="AP51" s="145"/>
      <c r="AQ51" s="103"/>
      <c r="AR51" s="104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  <c r="BM51" s="103"/>
      <c r="BN51" s="103"/>
      <c r="BO51" s="103"/>
      <c r="BP51" s="103"/>
      <c r="BQ51" s="103"/>
      <c r="BR51" s="103"/>
      <c r="BS51" s="103"/>
      <c r="BT51" s="103"/>
      <c r="BU51" s="103"/>
      <c r="BV51" s="103"/>
      <c r="BW51" s="103"/>
      <c r="BX51" s="103"/>
    </row>
    <row r="52" spans="1:76" s="105" customFormat="1" ht="15" customHeight="1" thickBot="1">
      <c r="A52" s="103"/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  <c r="AH52" s="146"/>
      <c r="AI52" s="146"/>
      <c r="AJ52" s="146"/>
      <c r="AK52" s="146"/>
      <c r="AL52" s="146"/>
      <c r="AM52" s="146"/>
      <c r="AN52" s="146"/>
      <c r="AO52" s="146"/>
      <c r="AP52" s="147"/>
      <c r="AQ52" s="103"/>
      <c r="AR52" s="104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  <c r="BM52" s="103"/>
      <c r="BN52" s="103"/>
      <c r="BO52" s="103"/>
      <c r="BP52" s="103"/>
      <c r="BQ52" s="103"/>
      <c r="BR52" s="103"/>
      <c r="BS52" s="103"/>
      <c r="BT52" s="103"/>
      <c r="BU52" s="103"/>
      <c r="BV52" s="103"/>
      <c r="BW52" s="103"/>
      <c r="BX52" s="103"/>
    </row>
    <row r="53" spans="1:76" s="105" customFormat="1" ht="23" customHeight="1">
      <c r="A53" s="103"/>
      <c r="B53" s="394" t="s">
        <v>410</v>
      </c>
      <c r="C53" s="395"/>
      <c r="D53" s="395"/>
      <c r="E53" s="398" t="s">
        <v>411</v>
      </c>
      <c r="F53" s="398"/>
      <c r="G53" s="398"/>
      <c r="H53" s="398"/>
      <c r="I53" s="398"/>
      <c r="J53" s="398"/>
      <c r="K53" s="399" t="s">
        <v>412</v>
      </c>
      <c r="L53" s="399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9"/>
      <c r="AQ53" s="103"/>
      <c r="AR53" s="104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  <c r="BM53" s="103"/>
      <c r="BN53" s="103"/>
      <c r="BO53" s="103"/>
      <c r="BP53" s="103"/>
      <c r="BQ53" s="103"/>
      <c r="BR53" s="103"/>
      <c r="BS53" s="103"/>
      <c r="BT53" s="103"/>
      <c r="BU53" s="103"/>
      <c r="BV53" s="103"/>
      <c r="BW53" s="103"/>
      <c r="BX53" s="103"/>
    </row>
    <row r="54" spans="1:76" s="105" customFormat="1" ht="23" customHeight="1">
      <c r="A54" s="103"/>
      <c r="B54" s="396"/>
      <c r="C54" s="397"/>
      <c r="D54" s="397"/>
      <c r="E54" s="400" t="s">
        <v>82</v>
      </c>
      <c r="F54" s="400"/>
      <c r="G54" s="400"/>
      <c r="H54" s="400"/>
      <c r="I54" s="400"/>
      <c r="J54" s="400"/>
      <c r="K54" s="401" t="s">
        <v>413</v>
      </c>
      <c r="L54" s="401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150"/>
      <c r="AC54" s="150"/>
      <c r="AD54" s="150"/>
      <c r="AE54" s="150"/>
      <c r="AF54" s="150"/>
      <c r="AG54" s="150"/>
      <c r="AH54" s="150"/>
      <c r="AI54" s="150"/>
      <c r="AJ54" s="150"/>
      <c r="AK54" s="150"/>
      <c r="AL54" s="150"/>
      <c r="AM54" s="150"/>
      <c r="AN54" s="150"/>
      <c r="AO54" s="150"/>
      <c r="AP54" s="151"/>
      <c r="AQ54" s="103"/>
      <c r="AR54" s="104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  <c r="BM54" s="103"/>
      <c r="BN54" s="103"/>
      <c r="BO54" s="103"/>
      <c r="BP54" s="103"/>
      <c r="BQ54" s="103"/>
      <c r="BR54" s="103"/>
      <c r="BS54" s="103"/>
      <c r="BT54" s="103"/>
      <c r="BU54" s="103"/>
      <c r="BV54" s="103"/>
      <c r="BW54" s="103"/>
      <c r="BX54" s="103"/>
    </row>
    <row r="55" spans="1:76" s="105" customFormat="1" ht="23" customHeight="1">
      <c r="A55" s="103"/>
      <c r="B55" s="404" t="s">
        <v>414</v>
      </c>
      <c r="C55" s="405"/>
      <c r="D55" s="405"/>
      <c r="E55" s="405"/>
      <c r="F55" s="405"/>
      <c r="G55" s="405"/>
      <c r="H55" s="405"/>
      <c r="I55" s="405"/>
      <c r="J55" s="405"/>
      <c r="K55" s="405" t="s">
        <v>415</v>
      </c>
      <c r="L55" s="405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152"/>
      <c r="AF55" s="152"/>
      <c r="AG55" s="152"/>
      <c r="AH55" s="152"/>
      <c r="AI55" s="152"/>
      <c r="AJ55" s="152"/>
      <c r="AK55" s="152"/>
      <c r="AL55" s="152"/>
      <c r="AM55" s="152"/>
      <c r="AN55" s="152"/>
      <c r="AO55" s="152"/>
      <c r="AP55" s="153"/>
      <c r="AQ55" s="103"/>
      <c r="AR55" s="104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  <c r="BM55" s="103"/>
      <c r="BN55" s="103"/>
      <c r="BO55" s="103"/>
      <c r="BP55" s="103"/>
      <c r="BQ55" s="103"/>
      <c r="BR55" s="103"/>
      <c r="BS55" s="103"/>
      <c r="BT55" s="103"/>
      <c r="BU55" s="103"/>
      <c r="BV55" s="103"/>
      <c r="BW55" s="103"/>
      <c r="BX55" s="103"/>
    </row>
    <row r="56" spans="1:76" s="105" customFormat="1" ht="23" customHeight="1" thickBot="1">
      <c r="A56" s="103"/>
      <c r="B56" s="406" t="s">
        <v>416</v>
      </c>
      <c r="C56" s="407"/>
      <c r="D56" s="407"/>
      <c r="E56" s="407"/>
      <c r="F56" s="407"/>
      <c r="G56" s="407"/>
      <c r="H56" s="407"/>
      <c r="I56" s="407"/>
      <c r="J56" s="407"/>
      <c r="K56" s="407" t="s">
        <v>417</v>
      </c>
      <c r="L56" s="407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4"/>
      <c r="AC56" s="154"/>
      <c r="AD56" s="154"/>
      <c r="AE56" s="154"/>
      <c r="AF56" s="154"/>
      <c r="AG56" s="154"/>
      <c r="AH56" s="154"/>
      <c r="AI56" s="154"/>
      <c r="AJ56" s="154"/>
      <c r="AK56" s="154"/>
      <c r="AL56" s="154"/>
      <c r="AM56" s="154"/>
      <c r="AN56" s="154"/>
      <c r="AO56" s="154"/>
      <c r="AP56" s="155"/>
      <c r="AQ56" s="103"/>
      <c r="AR56" s="104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  <c r="BM56" s="103"/>
      <c r="BN56" s="103"/>
      <c r="BO56" s="103"/>
      <c r="BP56" s="103"/>
      <c r="BQ56" s="103"/>
      <c r="BR56" s="103"/>
      <c r="BS56" s="103"/>
      <c r="BT56" s="103"/>
      <c r="BU56" s="103"/>
      <c r="BV56" s="103"/>
      <c r="BW56" s="103"/>
      <c r="BX56" s="103"/>
    </row>
    <row r="57" spans="1:76" s="105" customFormat="1" ht="15" customHeight="1" thickBot="1">
      <c r="A57" s="103"/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  <c r="AF57" s="146"/>
      <c r="AG57" s="146"/>
      <c r="AH57" s="146"/>
      <c r="AI57" s="146"/>
      <c r="AJ57" s="146"/>
      <c r="AK57" s="146"/>
      <c r="AL57" s="146"/>
      <c r="AM57" s="146"/>
      <c r="AN57" s="146"/>
      <c r="AO57" s="146"/>
      <c r="AP57" s="147"/>
      <c r="AQ57" s="103"/>
      <c r="AR57" s="104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  <c r="BM57" s="103"/>
      <c r="BN57" s="103"/>
      <c r="BO57" s="103"/>
      <c r="BP57" s="103"/>
      <c r="BQ57" s="103"/>
      <c r="BR57" s="103"/>
      <c r="BS57" s="103"/>
      <c r="BT57" s="103"/>
      <c r="BU57" s="103"/>
      <c r="BV57" s="103"/>
      <c r="BW57" s="103"/>
      <c r="BX57" s="103"/>
    </row>
    <row r="58" spans="1:76" s="105" customFormat="1" ht="23" customHeight="1">
      <c r="A58" s="103"/>
      <c r="B58" s="408" t="s">
        <v>418</v>
      </c>
      <c r="C58" s="409"/>
      <c r="D58" s="409"/>
      <c r="E58" s="398" t="s">
        <v>257</v>
      </c>
      <c r="F58" s="398"/>
      <c r="G58" s="398"/>
      <c r="H58" s="398"/>
      <c r="I58" s="398"/>
      <c r="J58" s="398"/>
      <c r="K58" s="399" t="s">
        <v>419</v>
      </c>
      <c r="L58" s="399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9"/>
      <c r="AQ58" s="103"/>
      <c r="AR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  <c r="BM58" s="103"/>
      <c r="BN58" s="103"/>
      <c r="BO58" s="103"/>
      <c r="BP58" s="103"/>
      <c r="BQ58" s="103"/>
      <c r="BR58" s="103"/>
      <c r="BS58" s="103"/>
      <c r="BT58" s="103"/>
      <c r="BU58" s="103"/>
      <c r="BV58" s="103"/>
      <c r="BW58" s="103"/>
      <c r="BX58" s="103"/>
    </row>
    <row r="59" spans="1:76" s="105" customFormat="1" ht="23" customHeight="1">
      <c r="A59" s="103"/>
      <c r="B59" s="410"/>
      <c r="C59" s="411"/>
      <c r="D59" s="411"/>
      <c r="E59" s="400" t="s">
        <v>249</v>
      </c>
      <c r="F59" s="400"/>
      <c r="G59" s="400"/>
      <c r="H59" s="400"/>
      <c r="I59" s="400"/>
      <c r="J59" s="400"/>
      <c r="K59" s="401" t="s">
        <v>420</v>
      </c>
      <c r="L59" s="401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  <c r="AC59" s="150"/>
      <c r="AD59" s="150"/>
      <c r="AE59" s="150"/>
      <c r="AF59" s="150"/>
      <c r="AG59" s="150"/>
      <c r="AH59" s="150"/>
      <c r="AI59" s="150"/>
      <c r="AJ59" s="150"/>
      <c r="AK59" s="150"/>
      <c r="AL59" s="150"/>
      <c r="AM59" s="150"/>
      <c r="AN59" s="150"/>
      <c r="AO59" s="150"/>
      <c r="AP59" s="151"/>
      <c r="AQ59" s="103"/>
      <c r="AR59" s="104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  <c r="BM59" s="103"/>
      <c r="BN59" s="103"/>
      <c r="BO59" s="103"/>
      <c r="BP59" s="103"/>
      <c r="BQ59" s="103"/>
      <c r="BR59" s="103"/>
      <c r="BS59" s="103"/>
      <c r="BT59" s="103"/>
      <c r="BU59" s="103"/>
      <c r="BV59" s="103"/>
      <c r="BW59" s="103"/>
      <c r="BX59" s="103"/>
    </row>
    <row r="60" spans="1:76" s="105" customFormat="1" ht="23" customHeight="1">
      <c r="A60" s="103"/>
      <c r="B60" s="410"/>
      <c r="C60" s="411"/>
      <c r="D60" s="411"/>
      <c r="E60" s="400" t="s">
        <v>334</v>
      </c>
      <c r="F60" s="400"/>
      <c r="G60" s="400"/>
      <c r="H60" s="400"/>
      <c r="I60" s="400"/>
      <c r="J60" s="400"/>
      <c r="K60" s="401" t="s">
        <v>420</v>
      </c>
      <c r="L60" s="401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  <c r="AH60" s="150"/>
      <c r="AI60" s="150"/>
      <c r="AJ60" s="150"/>
      <c r="AK60" s="150"/>
      <c r="AL60" s="150"/>
      <c r="AM60" s="150"/>
      <c r="AN60" s="150"/>
      <c r="AO60" s="150"/>
      <c r="AP60" s="151"/>
      <c r="AQ60" s="103"/>
      <c r="AR60" s="104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  <c r="BM60" s="103"/>
      <c r="BN60" s="103"/>
      <c r="BO60" s="103"/>
      <c r="BP60" s="103"/>
      <c r="BQ60" s="103"/>
      <c r="BR60" s="103"/>
      <c r="BS60" s="103"/>
      <c r="BT60" s="103"/>
      <c r="BU60" s="103"/>
      <c r="BV60" s="103"/>
      <c r="BW60" s="103"/>
      <c r="BX60" s="103"/>
    </row>
    <row r="61" spans="1:76" s="105" customFormat="1" ht="23" customHeight="1">
      <c r="A61" s="103"/>
      <c r="B61" s="404" t="s">
        <v>421</v>
      </c>
      <c r="C61" s="405"/>
      <c r="D61" s="405"/>
      <c r="E61" s="405"/>
      <c r="F61" s="405"/>
      <c r="G61" s="405"/>
      <c r="H61" s="405"/>
      <c r="I61" s="405"/>
      <c r="J61" s="405"/>
      <c r="K61" s="405" t="s">
        <v>422</v>
      </c>
      <c r="L61" s="405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156"/>
      <c r="AC61" s="156"/>
      <c r="AD61" s="156"/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  <c r="AP61" s="157"/>
      <c r="AQ61" s="103"/>
      <c r="AR61" s="104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  <c r="BM61" s="103"/>
      <c r="BN61" s="103"/>
      <c r="BO61" s="103"/>
      <c r="BP61" s="103"/>
      <c r="BQ61" s="103"/>
      <c r="BR61" s="103"/>
      <c r="BS61" s="103"/>
      <c r="BT61" s="103"/>
      <c r="BU61" s="103"/>
      <c r="BV61" s="103"/>
      <c r="BW61" s="103"/>
      <c r="BX61" s="103"/>
    </row>
    <row r="62" spans="1:76" s="105" customFormat="1" ht="23" customHeight="1" thickBot="1">
      <c r="A62" s="103"/>
      <c r="B62" s="406" t="s">
        <v>423</v>
      </c>
      <c r="C62" s="407"/>
      <c r="D62" s="407"/>
      <c r="E62" s="407"/>
      <c r="F62" s="407"/>
      <c r="G62" s="407"/>
      <c r="H62" s="407"/>
      <c r="I62" s="407"/>
      <c r="J62" s="407"/>
      <c r="K62" s="407" t="s">
        <v>417</v>
      </c>
      <c r="L62" s="407"/>
      <c r="M62" s="154"/>
      <c r="N62" s="154"/>
      <c r="O62" s="154"/>
      <c r="P62" s="154"/>
      <c r="Q62" s="154"/>
      <c r="R62" s="154"/>
      <c r="S62" s="154"/>
      <c r="T62" s="154"/>
      <c r="U62" s="154"/>
      <c r="V62" s="154"/>
      <c r="W62" s="154"/>
      <c r="X62" s="154"/>
      <c r="Y62" s="154"/>
      <c r="Z62" s="154"/>
      <c r="AA62" s="154"/>
      <c r="AB62" s="154"/>
      <c r="AC62" s="154"/>
      <c r="AD62" s="154"/>
      <c r="AE62" s="154"/>
      <c r="AF62" s="154"/>
      <c r="AG62" s="154"/>
      <c r="AH62" s="154"/>
      <c r="AI62" s="154"/>
      <c r="AJ62" s="154"/>
      <c r="AK62" s="154"/>
      <c r="AL62" s="154"/>
      <c r="AM62" s="154"/>
      <c r="AN62" s="154"/>
      <c r="AO62" s="154"/>
      <c r="AP62" s="155"/>
      <c r="AQ62" s="103"/>
      <c r="AR62" s="104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  <c r="BM62" s="103"/>
      <c r="BN62" s="103"/>
      <c r="BO62" s="103"/>
      <c r="BP62" s="103"/>
      <c r="BQ62" s="103"/>
      <c r="BR62" s="103"/>
      <c r="BS62" s="103"/>
      <c r="BT62" s="103"/>
      <c r="BU62" s="103"/>
      <c r="BV62" s="103"/>
      <c r="BW62" s="103"/>
      <c r="BX62" s="103"/>
    </row>
    <row r="63" spans="1:76" s="105" customFormat="1" ht="15" customHeight="1" thickBot="1">
      <c r="A63" s="103"/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  <c r="AN63" s="146"/>
      <c r="AO63" s="146"/>
      <c r="AP63" s="146"/>
      <c r="AQ63" s="103"/>
      <c r="AR63" s="104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  <c r="BM63" s="103"/>
      <c r="BN63" s="103"/>
      <c r="BO63" s="103"/>
      <c r="BP63" s="103"/>
      <c r="BQ63" s="103"/>
      <c r="BR63" s="103"/>
      <c r="BS63" s="103"/>
      <c r="BT63" s="103"/>
      <c r="BU63" s="103"/>
      <c r="BV63" s="103"/>
      <c r="BW63" s="103"/>
      <c r="BX63" s="103"/>
    </row>
    <row r="64" spans="1:76" s="105" customFormat="1" ht="23" customHeight="1">
      <c r="A64" s="103"/>
      <c r="B64" s="394" t="s">
        <v>338</v>
      </c>
      <c r="C64" s="395"/>
      <c r="D64" s="395"/>
      <c r="E64" s="398" t="s">
        <v>395</v>
      </c>
      <c r="F64" s="398"/>
      <c r="G64" s="398"/>
      <c r="H64" s="398"/>
      <c r="I64" s="398"/>
      <c r="J64" s="398"/>
      <c r="K64" s="399" t="s">
        <v>424</v>
      </c>
      <c r="L64" s="399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9"/>
      <c r="AQ64" s="103"/>
      <c r="AR64" s="104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  <c r="BM64" s="103"/>
      <c r="BN64" s="103"/>
      <c r="BO64" s="103"/>
      <c r="BP64" s="103"/>
      <c r="BQ64" s="103"/>
      <c r="BR64" s="103"/>
      <c r="BS64" s="103"/>
      <c r="BT64" s="103"/>
      <c r="BU64" s="103"/>
      <c r="BV64" s="103"/>
      <c r="BW64" s="103"/>
      <c r="BX64" s="103"/>
    </row>
    <row r="65" spans="1:76" s="105" customFormat="1" ht="23" customHeight="1">
      <c r="A65" s="103"/>
      <c r="B65" s="396"/>
      <c r="C65" s="397"/>
      <c r="D65" s="397"/>
      <c r="E65" s="400" t="s">
        <v>399</v>
      </c>
      <c r="F65" s="400"/>
      <c r="G65" s="400"/>
      <c r="H65" s="400"/>
      <c r="I65" s="400"/>
      <c r="J65" s="400"/>
      <c r="K65" s="401" t="s">
        <v>424</v>
      </c>
      <c r="L65" s="401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1"/>
      <c r="AQ65" s="103"/>
      <c r="AR65" s="104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  <c r="BM65" s="103"/>
      <c r="BN65" s="103"/>
      <c r="BO65" s="103"/>
      <c r="BP65" s="103"/>
      <c r="BQ65" s="103"/>
      <c r="BR65" s="103"/>
      <c r="BS65" s="103"/>
      <c r="BT65" s="103"/>
      <c r="BU65" s="103"/>
      <c r="BV65" s="103"/>
      <c r="BW65" s="103"/>
      <c r="BX65" s="103"/>
    </row>
    <row r="66" spans="1:76" s="105" customFormat="1" ht="23" customHeight="1">
      <c r="A66" s="103"/>
      <c r="B66" s="404" t="s">
        <v>425</v>
      </c>
      <c r="C66" s="405"/>
      <c r="D66" s="405"/>
      <c r="E66" s="405"/>
      <c r="F66" s="405"/>
      <c r="G66" s="405"/>
      <c r="H66" s="405"/>
      <c r="I66" s="405"/>
      <c r="J66" s="405"/>
      <c r="K66" s="405" t="s">
        <v>412</v>
      </c>
      <c r="L66" s="405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56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7"/>
      <c r="AQ66" s="103"/>
      <c r="AR66" s="104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  <c r="BM66" s="103"/>
      <c r="BN66" s="103"/>
      <c r="BO66" s="103"/>
      <c r="BP66" s="103"/>
      <c r="BQ66" s="103"/>
      <c r="BR66" s="103"/>
      <c r="BS66" s="103"/>
      <c r="BT66" s="103"/>
      <c r="BU66" s="103"/>
      <c r="BV66" s="103"/>
      <c r="BW66" s="103"/>
      <c r="BX66" s="103"/>
    </row>
    <row r="67" spans="1:76" s="105" customFormat="1" ht="23" customHeight="1" thickBot="1">
      <c r="A67" s="103"/>
      <c r="B67" s="406" t="s">
        <v>426</v>
      </c>
      <c r="C67" s="407"/>
      <c r="D67" s="407"/>
      <c r="E67" s="407"/>
      <c r="F67" s="407"/>
      <c r="G67" s="407"/>
      <c r="H67" s="407"/>
      <c r="I67" s="407"/>
      <c r="J67" s="407"/>
      <c r="K67" s="407" t="s">
        <v>417</v>
      </c>
      <c r="L67" s="407"/>
      <c r="M67" s="154"/>
      <c r="N67" s="154"/>
      <c r="O67" s="154"/>
      <c r="P67" s="154"/>
      <c r="Q67" s="154"/>
      <c r="R67" s="154"/>
      <c r="S67" s="154"/>
      <c r="T67" s="154"/>
      <c r="U67" s="154"/>
      <c r="V67" s="154"/>
      <c r="W67" s="154"/>
      <c r="X67" s="154"/>
      <c r="Y67" s="154"/>
      <c r="Z67" s="154"/>
      <c r="AA67" s="154"/>
      <c r="AB67" s="154"/>
      <c r="AC67" s="154"/>
      <c r="AD67" s="154"/>
      <c r="AE67" s="154"/>
      <c r="AF67" s="154"/>
      <c r="AG67" s="154"/>
      <c r="AH67" s="154"/>
      <c r="AI67" s="154"/>
      <c r="AJ67" s="154"/>
      <c r="AK67" s="154"/>
      <c r="AL67" s="154"/>
      <c r="AM67" s="154"/>
      <c r="AN67" s="154"/>
      <c r="AO67" s="154"/>
      <c r="AP67" s="155"/>
      <c r="AQ67" s="103"/>
      <c r="AR67" s="104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  <c r="BM67" s="103"/>
      <c r="BN67" s="103"/>
      <c r="BO67" s="103"/>
      <c r="BP67" s="103"/>
      <c r="BQ67" s="103"/>
      <c r="BR67" s="103"/>
      <c r="BS67" s="103"/>
      <c r="BT67" s="103"/>
      <c r="BU67" s="103"/>
      <c r="BV67" s="103"/>
      <c r="BW67" s="103"/>
      <c r="BX67" s="103"/>
    </row>
    <row r="68" spans="1:76" s="105" customFormat="1" ht="15" customHeight="1" thickBot="1">
      <c r="A68" s="103"/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  <c r="AF68" s="146"/>
      <c r="AG68" s="146"/>
      <c r="AH68" s="146"/>
      <c r="AI68" s="146"/>
      <c r="AJ68" s="146"/>
      <c r="AK68" s="146"/>
      <c r="AL68" s="146"/>
      <c r="AM68" s="146"/>
      <c r="AN68" s="146"/>
      <c r="AO68" s="146"/>
      <c r="AP68" s="146"/>
      <c r="AQ68" s="103"/>
      <c r="AR68" s="104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  <c r="BM68" s="103"/>
      <c r="BN68" s="103"/>
      <c r="BO68" s="103"/>
      <c r="BP68" s="103"/>
      <c r="BQ68" s="103"/>
      <c r="BR68" s="103"/>
      <c r="BS68" s="103"/>
      <c r="BT68" s="103"/>
      <c r="BU68" s="103"/>
      <c r="BV68" s="103"/>
      <c r="BW68" s="103"/>
      <c r="BX68" s="103"/>
    </row>
    <row r="69" spans="1:76" s="105" customFormat="1" ht="23" customHeight="1">
      <c r="A69" s="103"/>
      <c r="B69" s="408" t="s">
        <v>344</v>
      </c>
      <c r="C69" s="409"/>
      <c r="D69" s="409"/>
      <c r="E69" s="398" t="s">
        <v>396</v>
      </c>
      <c r="F69" s="398"/>
      <c r="G69" s="398"/>
      <c r="H69" s="398"/>
      <c r="I69" s="398"/>
      <c r="J69" s="398"/>
      <c r="K69" s="399" t="s">
        <v>427</v>
      </c>
      <c r="L69" s="399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9"/>
      <c r="AQ69" s="103"/>
      <c r="AR69" s="103"/>
      <c r="AS69" s="103"/>
      <c r="AT69" s="103"/>
      <c r="AU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  <c r="BM69" s="103"/>
      <c r="BN69" s="103"/>
      <c r="BO69" s="103"/>
      <c r="BP69" s="103"/>
      <c r="BQ69" s="103"/>
      <c r="BR69" s="103"/>
      <c r="BS69" s="103"/>
      <c r="BT69" s="103"/>
      <c r="BU69" s="103"/>
      <c r="BV69" s="103"/>
      <c r="BW69" s="103"/>
      <c r="BX69" s="103"/>
    </row>
    <row r="70" spans="1:76" s="105" customFormat="1" ht="23" customHeight="1">
      <c r="A70" s="103"/>
      <c r="B70" s="410"/>
      <c r="C70" s="411"/>
      <c r="D70" s="411"/>
      <c r="E70" s="400" t="s">
        <v>397</v>
      </c>
      <c r="F70" s="400"/>
      <c r="G70" s="400"/>
      <c r="H70" s="400"/>
      <c r="I70" s="400"/>
      <c r="J70" s="400"/>
      <c r="K70" s="401" t="s">
        <v>420</v>
      </c>
      <c r="L70" s="401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  <c r="AH70" s="150"/>
      <c r="AI70" s="150"/>
      <c r="AJ70" s="150"/>
      <c r="AK70" s="150"/>
      <c r="AL70" s="150"/>
      <c r="AM70" s="150"/>
      <c r="AN70" s="150"/>
      <c r="AO70" s="150"/>
      <c r="AP70" s="151"/>
      <c r="AQ70" s="103"/>
      <c r="AR70" s="104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  <c r="BM70" s="103"/>
      <c r="BN70" s="103"/>
      <c r="BO70" s="103"/>
      <c r="BP70" s="103"/>
      <c r="BQ70" s="103"/>
      <c r="BR70" s="103"/>
      <c r="BS70" s="103"/>
      <c r="BT70" s="103"/>
      <c r="BU70" s="103"/>
      <c r="BV70" s="103"/>
      <c r="BW70" s="103"/>
      <c r="BX70" s="103"/>
    </row>
    <row r="71" spans="1:76" s="105" customFormat="1" ht="23" customHeight="1">
      <c r="A71" s="103"/>
      <c r="B71" s="410"/>
      <c r="C71" s="411"/>
      <c r="D71" s="411"/>
      <c r="E71" s="400" t="s">
        <v>398</v>
      </c>
      <c r="F71" s="400"/>
      <c r="G71" s="400"/>
      <c r="H71" s="400"/>
      <c r="I71" s="400"/>
      <c r="J71" s="400"/>
      <c r="K71" s="401" t="s">
        <v>428</v>
      </c>
      <c r="L71" s="401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150"/>
      <c r="AC71" s="150"/>
      <c r="AD71" s="150"/>
      <c r="AE71" s="150"/>
      <c r="AF71" s="150"/>
      <c r="AG71" s="150"/>
      <c r="AH71" s="150"/>
      <c r="AI71" s="150"/>
      <c r="AJ71" s="150"/>
      <c r="AK71" s="150"/>
      <c r="AL71" s="150"/>
      <c r="AM71" s="150"/>
      <c r="AN71" s="150"/>
      <c r="AO71" s="150"/>
      <c r="AP71" s="151"/>
      <c r="AQ71" s="103"/>
      <c r="AR71" s="104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  <c r="BM71" s="103"/>
      <c r="BN71" s="103"/>
      <c r="BO71" s="103"/>
      <c r="BP71" s="103"/>
      <c r="BQ71" s="103"/>
      <c r="BR71" s="103"/>
      <c r="BS71" s="103"/>
      <c r="BT71" s="103"/>
      <c r="BU71" s="103"/>
      <c r="BV71" s="103"/>
      <c r="BW71" s="103"/>
      <c r="BX71" s="103"/>
    </row>
    <row r="72" spans="1:76" s="105" customFormat="1" ht="23" customHeight="1">
      <c r="A72" s="103"/>
      <c r="B72" s="404" t="s">
        <v>429</v>
      </c>
      <c r="C72" s="405"/>
      <c r="D72" s="405"/>
      <c r="E72" s="405"/>
      <c r="F72" s="405"/>
      <c r="G72" s="405"/>
      <c r="H72" s="405"/>
      <c r="I72" s="405"/>
      <c r="J72" s="405"/>
      <c r="K72" s="405" t="s">
        <v>412</v>
      </c>
      <c r="L72" s="405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7"/>
      <c r="AQ72" s="103"/>
      <c r="AR72" s="104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  <c r="BM72" s="103"/>
      <c r="BN72" s="103"/>
      <c r="BO72" s="103"/>
      <c r="BP72" s="103"/>
      <c r="BQ72" s="103"/>
      <c r="BR72" s="103"/>
      <c r="BS72" s="103"/>
      <c r="BT72" s="103"/>
      <c r="BU72" s="103"/>
      <c r="BV72" s="103"/>
      <c r="BW72" s="103"/>
      <c r="BX72" s="103"/>
    </row>
    <row r="73" spans="1:76" s="105" customFormat="1" ht="23" customHeight="1" thickBot="1">
      <c r="A73" s="103"/>
      <c r="B73" s="406" t="s">
        <v>430</v>
      </c>
      <c r="C73" s="407"/>
      <c r="D73" s="407"/>
      <c r="E73" s="407"/>
      <c r="F73" s="407"/>
      <c r="G73" s="407"/>
      <c r="H73" s="407"/>
      <c r="I73" s="407"/>
      <c r="J73" s="407"/>
      <c r="K73" s="407" t="s">
        <v>417</v>
      </c>
      <c r="L73" s="407"/>
      <c r="M73" s="154"/>
      <c r="N73" s="154"/>
      <c r="O73" s="154"/>
      <c r="P73" s="154"/>
      <c r="Q73" s="154"/>
      <c r="R73" s="154"/>
      <c r="S73" s="154"/>
      <c r="T73" s="154"/>
      <c r="U73" s="154"/>
      <c r="V73" s="154"/>
      <c r="W73" s="154"/>
      <c r="X73" s="154"/>
      <c r="Y73" s="154"/>
      <c r="Z73" s="154"/>
      <c r="AA73" s="154"/>
      <c r="AB73" s="154"/>
      <c r="AC73" s="154"/>
      <c r="AD73" s="154"/>
      <c r="AE73" s="154"/>
      <c r="AF73" s="154"/>
      <c r="AG73" s="154"/>
      <c r="AH73" s="154"/>
      <c r="AI73" s="154"/>
      <c r="AJ73" s="154"/>
      <c r="AK73" s="154"/>
      <c r="AL73" s="154"/>
      <c r="AM73" s="154"/>
      <c r="AN73" s="154"/>
      <c r="AO73" s="154"/>
      <c r="AP73" s="155"/>
      <c r="AQ73" s="103"/>
      <c r="AR73" s="104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  <c r="BM73" s="103"/>
      <c r="BN73" s="103"/>
      <c r="BO73" s="103"/>
      <c r="BP73" s="103"/>
      <c r="BQ73" s="103"/>
      <c r="BR73" s="103"/>
      <c r="BS73" s="103"/>
      <c r="BT73" s="103"/>
      <c r="BU73" s="103"/>
      <c r="BV73" s="103"/>
      <c r="BW73" s="103"/>
      <c r="BX73" s="103"/>
    </row>
    <row r="74" spans="1:76" s="105" customFormat="1" ht="15" customHeight="1" thickBot="1">
      <c r="A74" s="103"/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  <c r="AF74" s="146"/>
      <c r="AG74" s="146"/>
      <c r="AH74" s="146"/>
      <c r="AI74" s="146"/>
      <c r="AJ74" s="146"/>
      <c r="AK74" s="146"/>
      <c r="AL74" s="146"/>
      <c r="AM74" s="146"/>
      <c r="AN74" s="146"/>
      <c r="AO74" s="146"/>
      <c r="AP74" s="146"/>
      <c r="AQ74" s="103"/>
      <c r="AR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  <c r="BM74" s="103"/>
      <c r="BN74" s="103"/>
      <c r="BO74" s="103"/>
      <c r="BP74" s="103"/>
      <c r="BQ74" s="103"/>
      <c r="BR74" s="103"/>
      <c r="BS74" s="103"/>
      <c r="BT74" s="103"/>
      <c r="BU74" s="103"/>
      <c r="BV74" s="103"/>
      <c r="BW74" s="103"/>
      <c r="BX74" s="103"/>
    </row>
    <row r="75" spans="1:76" s="105" customFormat="1" ht="23" customHeight="1">
      <c r="A75" s="103"/>
      <c r="B75" s="416" t="s">
        <v>431</v>
      </c>
      <c r="C75" s="417"/>
      <c r="D75" s="417"/>
      <c r="E75" s="417"/>
      <c r="F75" s="417"/>
      <c r="G75" s="417"/>
      <c r="H75" s="417"/>
      <c r="I75" s="417"/>
      <c r="J75" s="417"/>
      <c r="K75" s="418" t="s">
        <v>432</v>
      </c>
      <c r="L75" s="41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8"/>
      <c r="AI75" s="158"/>
      <c r="AJ75" s="158"/>
      <c r="AK75" s="158"/>
      <c r="AL75" s="158"/>
      <c r="AM75" s="158"/>
      <c r="AN75" s="158"/>
      <c r="AO75" s="158"/>
      <c r="AP75" s="159"/>
      <c r="AQ75" s="103"/>
      <c r="AR75" s="104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  <c r="BM75" s="103"/>
      <c r="BN75" s="103"/>
      <c r="BO75" s="103"/>
      <c r="BP75" s="103"/>
      <c r="BQ75" s="103"/>
      <c r="BR75" s="103"/>
      <c r="BS75" s="103"/>
      <c r="BT75" s="103"/>
      <c r="BU75" s="103"/>
      <c r="BV75" s="103"/>
      <c r="BW75" s="103"/>
      <c r="BX75" s="103"/>
    </row>
    <row r="76" spans="1:76" s="105" customFormat="1" ht="23" customHeight="1" thickBot="1">
      <c r="A76" s="103"/>
      <c r="B76" s="406" t="s">
        <v>433</v>
      </c>
      <c r="C76" s="407"/>
      <c r="D76" s="407"/>
      <c r="E76" s="407"/>
      <c r="F76" s="407"/>
      <c r="G76" s="407"/>
      <c r="H76" s="407"/>
      <c r="I76" s="407"/>
      <c r="J76" s="407"/>
      <c r="K76" s="407" t="s">
        <v>417</v>
      </c>
      <c r="L76" s="407"/>
      <c r="M76" s="154"/>
      <c r="N76" s="154"/>
      <c r="O76" s="154"/>
      <c r="P76" s="154"/>
      <c r="Q76" s="154"/>
      <c r="R76" s="154"/>
      <c r="S76" s="154"/>
      <c r="T76" s="154"/>
      <c r="U76" s="154"/>
      <c r="V76" s="154"/>
      <c r="W76" s="154"/>
      <c r="X76" s="154"/>
      <c r="Y76" s="154"/>
      <c r="Z76" s="154"/>
      <c r="AA76" s="154"/>
      <c r="AB76" s="154"/>
      <c r="AC76" s="154"/>
      <c r="AD76" s="154"/>
      <c r="AE76" s="154"/>
      <c r="AF76" s="154"/>
      <c r="AG76" s="154"/>
      <c r="AH76" s="154"/>
      <c r="AI76" s="154"/>
      <c r="AJ76" s="154"/>
      <c r="AK76" s="154"/>
      <c r="AL76" s="154"/>
      <c r="AM76" s="154"/>
      <c r="AN76" s="154"/>
      <c r="AO76" s="154"/>
      <c r="AP76" s="155"/>
      <c r="AQ76" s="103"/>
      <c r="AR76" s="104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  <c r="BM76" s="103"/>
      <c r="BN76" s="103"/>
      <c r="BO76" s="103"/>
      <c r="BP76" s="103"/>
      <c r="BQ76" s="103"/>
      <c r="BR76" s="103"/>
      <c r="BS76" s="103"/>
      <c r="BT76" s="103"/>
      <c r="BU76" s="103"/>
      <c r="BV76" s="103"/>
      <c r="BW76" s="103"/>
      <c r="BX76" s="103"/>
    </row>
    <row r="77" spans="1:76" ht="15" customHeight="1" thickBot="1"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  <c r="AF77" s="146"/>
      <c r="AG77" s="146"/>
      <c r="AH77" s="146"/>
      <c r="AI77" s="146"/>
      <c r="AJ77" s="146"/>
      <c r="AK77" s="146"/>
      <c r="AL77" s="146"/>
      <c r="AM77" s="146"/>
      <c r="AN77" s="146"/>
      <c r="AO77" s="146"/>
      <c r="AP77" s="147"/>
    </row>
    <row r="78" spans="1:76" ht="23" customHeight="1">
      <c r="B78" s="412"/>
      <c r="C78" s="413"/>
      <c r="D78" s="413"/>
      <c r="E78" s="413"/>
      <c r="F78" s="413"/>
      <c r="G78" s="413"/>
      <c r="H78" s="413"/>
      <c r="I78" s="413"/>
      <c r="J78" s="413"/>
      <c r="K78" s="413"/>
      <c r="L78" s="413"/>
      <c r="M78" s="140">
        <v>1</v>
      </c>
      <c r="N78" s="140">
        <v>2</v>
      </c>
      <c r="O78" s="140">
        <v>3</v>
      </c>
      <c r="P78" s="140">
        <v>4</v>
      </c>
      <c r="Q78" s="140">
        <v>5</v>
      </c>
      <c r="R78" s="140">
        <v>6</v>
      </c>
      <c r="S78" s="140">
        <v>7</v>
      </c>
      <c r="T78" s="140">
        <v>8</v>
      </c>
      <c r="U78" s="140">
        <v>9</v>
      </c>
      <c r="V78" s="140">
        <v>10</v>
      </c>
      <c r="W78" s="140">
        <v>11</v>
      </c>
      <c r="X78" s="140">
        <v>12</v>
      </c>
      <c r="Y78" s="140">
        <v>13</v>
      </c>
      <c r="Z78" s="140">
        <v>14</v>
      </c>
      <c r="AA78" s="140">
        <v>15</v>
      </c>
      <c r="AB78" s="140">
        <v>16</v>
      </c>
      <c r="AC78" s="140">
        <v>17</v>
      </c>
      <c r="AD78" s="140">
        <v>18</v>
      </c>
      <c r="AE78" s="140">
        <v>19</v>
      </c>
      <c r="AF78" s="140">
        <v>20</v>
      </c>
      <c r="AG78" s="140">
        <v>21</v>
      </c>
      <c r="AH78" s="140">
        <v>22</v>
      </c>
      <c r="AI78" s="140">
        <v>23</v>
      </c>
      <c r="AJ78" s="140">
        <v>24</v>
      </c>
      <c r="AK78" s="140">
        <v>25</v>
      </c>
      <c r="AL78" s="140">
        <v>26</v>
      </c>
      <c r="AM78" s="140">
        <v>27</v>
      </c>
      <c r="AN78" s="140">
        <v>28</v>
      </c>
      <c r="AO78" s="140">
        <v>29</v>
      </c>
      <c r="AP78" s="141">
        <v>30</v>
      </c>
    </row>
    <row r="79" spans="1:76" ht="23" customHeight="1" thickBot="1">
      <c r="B79" s="414" t="s">
        <v>434</v>
      </c>
      <c r="C79" s="415"/>
      <c r="D79" s="415"/>
      <c r="E79" s="415"/>
      <c r="F79" s="415"/>
      <c r="G79" s="415"/>
      <c r="H79" s="415"/>
      <c r="I79" s="415"/>
      <c r="J79" s="415"/>
      <c r="K79" s="415"/>
      <c r="L79" s="415"/>
      <c r="M79" s="160"/>
      <c r="N79" s="160"/>
      <c r="O79" s="160"/>
      <c r="P79" s="160"/>
      <c r="Q79" s="160"/>
      <c r="R79" s="160"/>
      <c r="S79" s="160"/>
      <c r="T79" s="160"/>
      <c r="U79" s="160"/>
      <c r="V79" s="160"/>
      <c r="W79" s="160"/>
      <c r="X79" s="160"/>
      <c r="Y79" s="160"/>
      <c r="Z79" s="160"/>
      <c r="AA79" s="160"/>
      <c r="AB79" s="160"/>
      <c r="AC79" s="160"/>
      <c r="AD79" s="160"/>
      <c r="AE79" s="160"/>
      <c r="AF79" s="160"/>
      <c r="AG79" s="160"/>
      <c r="AH79" s="160"/>
      <c r="AI79" s="160"/>
      <c r="AJ79" s="160"/>
      <c r="AK79" s="160"/>
      <c r="AL79" s="160"/>
      <c r="AM79" s="160"/>
      <c r="AN79" s="160"/>
      <c r="AO79" s="160"/>
      <c r="AP79" s="161"/>
      <c r="AR79" s="103"/>
      <c r="AS79" s="103"/>
      <c r="AT79" s="103"/>
      <c r="AU79" s="103"/>
      <c r="AV79" s="103"/>
      <c r="AW79" s="103"/>
      <c r="AX79" s="103"/>
      <c r="AY79" s="103"/>
      <c r="AZ79" s="103"/>
    </row>
    <row r="80" spans="1:76" s="162" customFormat="1" ht="20" customHeight="1" thickBot="1">
      <c r="AP80" s="3" t="s">
        <v>460</v>
      </c>
      <c r="AR80" s="163"/>
      <c r="AS80" s="164"/>
      <c r="AT80" s="164"/>
      <c r="AU80" s="164"/>
      <c r="AV80" s="164"/>
      <c r="AW80" s="164"/>
      <c r="AX80" s="164"/>
      <c r="AY80" s="164"/>
      <c r="AZ80" s="164"/>
    </row>
    <row r="81" spans="1:56" ht="21" thickBot="1">
      <c r="A81" s="136"/>
      <c r="B81" s="262" t="s">
        <v>472</v>
      </c>
      <c r="C81" s="263"/>
      <c r="D81" s="263"/>
      <c r="E81" s="263"/>
      <c r="F81" s="263"/>
      <c r="G81" s="263"/>
      <c r="H81" s="263"/>
      <c r="I81" s="263"/>
      <c r="J81" s="263"/>
      <c r="K81" s="263"/>
      <c r="L81" s="263"/>
      <c r="M81" s="263"/>
      <c r="N81" s="263"/>
      <c r="O81" s="263"/>
      <c r="P81" s="263"/>
      <c r="Q81" s="263"/>
      <c r="R81" s="263"/>
      <c r="S81" s="263"/>
      <c r="T81" s="263"/>
      <c r="U81" s="263"/>
      <c r="V81" s="263"/>
      <c r="W81" s="263"/>
      <c r="X81" s="263"/>
      <c r="Y81" s="263"/>
      <c r="Z81" s="263"/>
      <c r="AA81" s="263"/>
      <c r="AB81" s="263"/>
      <c r="AC81" s="263"/>
      <c r="AD81" s="263"/>
      <c r="AE81" s="263"/>
      <c r="AF81" s="263"/>
      <c r="AG81" s="263"/>
      <c r="AH81" s="263"/>
      <c r="AI81" s="263"/>
      <c r="AJ81" s="263"/>
      <c r="AK81" s="263"/>
      <c r="AL81" s="263"/>
      <c r="AM81" s="263"/>
      <c r="AN81" s="263"/>
      <c r="AO81" s="263"/>
      <c r="AP81" s="264"/>
    </row>
    <row r="82" spans="1:56" ht="15" thickBot="1">
      <c r="A82" s="136"/>
      <c r="B82" s="136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6"/>
      <c r="AG82" s="136"/>
      <c r="AH82" s="136"/>
      <c r="AI82" s="136"/>
      <c r="AJ82" s="136"/>
      <c r="AK82" s="136"/>
      <c r="AL82" s="137"/>
      <c r="AM82" s="137"/>
      <c r="AN82" s="137"/>
      <c r="AO82" s="137"/>
    </row>
    <row r="83" spans="1:56" s="105" customFormat="1" ht="17.25" customHeight="1" thickTop="1"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103"/>
      <c r="S83" s="103"/>
      <c r="T83" s="103"/>
      <c r="U83" s="103"/>
      <c r="V83" s="265" t="s">
        <v>349</v>
      </c>
      <c r="W83" s="266"/>
      <c r="X83" s="266"/>
      <c r="Y83" s="266"/>
      <c r="Z83" s="266"/>
      <c r="AA83" s="266" t="s">
        <v>350</v>
      </c>
      <c r="AB83" s="266"/>
      <c r="AC83" s="266"/>
      <c r="AD83" s="267" t="s">
        <v>405</v>
      </c>
      <c r="AE83" s="268"/>
      <c r="AF83" s="268"/>
      <c r="AG83" s="268"/>
      <c r="AH83" s="265"/>
      <c r="AI83" s="266" t="s">
        <v>352</v>
      </c>
      <c r="AJ83" s="266"/>
      <c r="AK83" s="266"/>
      <c r="AL83" s="267"/>
      <c r="AM83" s="266" t="s">
        <v>353</v>
      </c>
      <c r="AN83" s="266"/>
      <c r="AO83" s="266"/>
      <c r="AP83" s="267"/>
      <c r="AQ83" s="103"/>
      <c r="AR83" s="104"/>
      <c r="BA83" s="103"/>
      <c r="BB83" s="103"/>
      <c r="BC83" s="103"/>
      <c r="BD83" s="103"/>
    </row>
    <row r="84" spans="1:56" s="105" customFormat="1" ht="12.75" customHeight="1">
      <c r="B84" s="103"/>
      <c r="C84" s="10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269"/>
      <c r="W84" s="270"/>
      <c r="X84" s="270"/>
      <c r="Y84" s="270"/>
      <c r="Z84" s="270"/>
      <c r="AA84" s="273"/>
      <c r="AB84" s="273"/>
      <c r="AC84" s="273"/>
      <c r="AD84" s="275"/>
      <c r="AE84" s="276"/>
      <c r="AF84" s="276"/>
      <c r="AG84" s="276"/>
      <c r="AH84" s="277"/>
      <c r="AI84" s="281"/>
      <c r="AJ84" s="281"/>
      <c r="AK84" s="281"/>
      <c r="AL84" s="282"/>
      <c r="AM84" s="281"/>
      <c r="AN84" s="281"/>
      <c r="AO84" s="281"/>
      <c r="AP84" s="282"/>
      <c r="AQ84" s="103"/>
      <c r="AR84" s="104"/>
      <c r="BA84" s="103"/>
      <c r="BB84" s="103"/>
      <c r="BC84" s="103"/>
      <c r="BD84" s="103"/>
    </row>
    <row r="85" spans="1:56" s="105" customFormat="1" ht="12.75" customHeight="1">
      <c r="B85" s="103"/>
      <c r="C85" s="103"/>
      <c r="D85" s="103"/>
      <c r="E85" s="103"/>
      <c r="F85" s="103"/>
      <c r="G85" s="103"/>
      <c r="H85" s="103"/>
      <c r="I85" s="103"/>
      <c r="J85" s="103"/>
      <c r="K85" s="103"/>
      <c r="L85" s="103"/>
      <c r="M85" s="103"/>
      <c r="N85" s="103"/>
      <c r="O85" s="103"/>
      <c r="P85" s="103"/>
      <c r="Q85" s="103"/>
      <c r="R85" s="103"/>
      <c r="S85" s="103"/>
      <c r="T85" s="103"/>
      <c r="U85" s="103"/>
      <c r="V85" s="271"/>
      <c r="W85" s="272"/>
      <c r="X85" s="272"/>
      <c r="Y85" s="272"/>
      <c r="Z85" s="272"/>
      <c r="AA85" s="274"/>
      <c r="AB85" s="274"/>
      <c r="AC85" s="274"/>
      <c r="AD85" s="278"/>
      <c r="AE85" s="279"/>
      <c r="AF85" s="279"/>
      <c r="AG85" s="279"/>
      <c r="AH85" s="280"/>
      <c r="AI85" s="283"/>
      <c r="AJ85" s="283"/>
      <c r="AK85" s="283"/>
      <c r="AL85" s="284"/>
      <c r="AM85" s="283"/>
      <c r="AN85" s="283"/>
      <c r="AO85" s="283"/>
      <c r="AP85" s="284"/>
      <c r="AQ85" s="103"/>
      <c r="AR85" s="104"/>
      <c r="BA85" s="103"/>
      <c r="BB85" s="103"/>
      <c r="BC85" s="103"/>
      <c r="BD85" s="103"/>
    </row>
    <row r="86" spans="1:56" ht="15.75" customHeight="1" thickBot="1">
      <c r="A86" s="136"/>
      <c r="B86" s="136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8"/>
      <c r="AC86" s="138"/>
      <c r="AD86" s="138"/>
      <c r="AE86" s="138"/>
      <c r="AF86" s="139"/>
      <c r="AG86" s="139"/>
      <c r="AH86" s="139"/>
      <c r="AI86" s="139"/>
      <c r="AJ86" s="139"/>
      <c r="AK86" s="139"/>
      <c r="AL86" s="139"/>
      <c r="AM86" s="139"/>
      <c r="AN86" s="139"/>
      <c r="AO86" s="139"/>
      <c r="AP86" s="136"/>
      <c r="AQ86" s="136"/>
      <c r="AR86" s="136"/>
    </row>
    <row r="87" spans="1:56" s="42" customFormat="1" ht="18.5" customHeight="1" thickBot="1">
      <c r="B87" s="285" t="s">
        <v>471</v>
      </c>
      <c r="C87" s="286"/>
      <c r="D87" s="287"/>
      <c r="E87" s="288" t="s">
        <v>462</v>
      </c>
      <c r="F87" s="289"/>
      <c r="G87" s="289"/>
      <c r="H87" s="290"/>
      <c r="AA87" s="43"/>
      <c r="AB87" s="43"/>
      <c r="AC87" s="43"/>
      <c r="AD87" s="43"/>
      <c r="AE87" s="43"/>
      <c r="AF87" s="43"/>
    </row>
    <row r="88" spans="1:56" s="42" customFormat="1" ht="18.5" customHeight="1">
      <c r="B88" s="165" t="s">
        <v>463</v>
      </c>
      <c r="C88" s="166"/>
      <c r="D88" s="166"/>
      <c r="E88" s="166"/>
      <c r="F88" s="166"/>
      <c r="G88" s="166"/>
      <c r="H88" s="166"/>
      <c r="I88" s="166"/>
      <c r="J88" s="166"/>
      <c r="K88" s="166"/>
      <c r="L88" s="166"/>
      <c r="M88" s="166"/>
      <c r="N88" s="166"/>
      <c r="O88" s="166"/>
      <c r="P88" s="166"/>
      <c r="Q88" s="166"/>
      <c r="R88" s="166"/>
      <c r="S88" s="166"/>
      <c r="T88" s="166"/>
      <c r="U88" s="166"/>
      <c r="V88" s="166"/>
      <c r="W88" s="166"/>
      <c r="X88" s="166"/>
      <c r="Y88" s="166"/>
      <c r="Z88" s="166"/>
      <c r="AA88" s="166"/>
      <c r="AB88" s="166"/>
      <c r="AC88" s="166"/>
      <c r="AD88" s="166"/>
      <c r="AE88" s="166"/>
      <c r="AF88" s="166"/>
      <c r="AG88" s="166"/>
      <c r="AH88" s="166"/>
      <c r="AI88" s="166"/>
      <c r="AJ88" s="166"/>
      <c r="AK88" s="167"/>
      <c r="AL88" s="166"/>
      <c r="AM88" s="166"/>
      <c r="AN88" s="166"/>
      <c r="AO88" s="166"/>
      <c r="AP88" s="167"/>
    </row>
    <row r="89" spans="1:56" s="42" customFormat="1" ht="18.5" customHeight="1">
      <c r="B89" s="168" t="s">
        <v>464</v>
      </c>
      <c r="C89" s="169"/>
      <c r="D89" s="169"/>
      <c r="E89" s="169"/>
      <c r="F89" s="169"/>
      <c r="G89" s="169"/>
      <c r="H89" s="169"/>
      <c r="I89" s="169"/>
      <c r="J89" s="169"/>
      <c r="K89" s="169"/>
      <c r="L89" s="169"/>
      <c r="M89" s="169"/>
      <c r="N89" s="169"/>
      <c r="O89" s="169"/>
      <c r="P89" s="169"/>
      <c r="Q89" s="169"/>
      <c r="R89" s="169"/>
      <c r="S89" s="169"/>
      <c r="T89" s="169"/>
      <c r="U89" s="169"/>
      <c r="V89" s="170"/>
      <c r="W89" s="169"/>
      <c r="X89" s="169"/>
      <c r="Y89" s="169"/>
      <c r="Z89" s="169"/>
      <c r="AA89" s="169"/>
      <c r="AB89" s="169"/>
      <c r="AC89" s="169"/>
      <c r="AD89" s="169"/>
      <c r="AE89" s="169"/>
      <c r="AF89" s="169"/>
      <c r="AG89" s="169"/>
      <c r="AH89" s="169"/>
      <c r="AI89" s="169"/>
      <c r="AJ89" s="169"/>
      <c r="AK89" s="171"/>
      <c r="AL89" s="169"/>
      <c r="AM89" s="169"/>
      <c r="AN89" s="169"/>
      <c r="AO89" s="169"/>
      <c r="AP89" s="171"/>
      <c r="AS89" s="172"/>
      <c r="AU89" s="172"/>
      <c r="AV89" s="43"/>
      <c r="AW89" s="43"/>
      <c r="AX89" s="43"/>
      <c r="AY89" s="43"/>
      <c r="AZ89" s="43"/>
      <c r="BA89" s="43"/>
      <c r="BB89" s="43"/>
      <c r="BC89" s="43"/>
    </row>
    <row r="90" spans="1:56" s="42" customFormat="1" ht="18.5" customHeight="1">
      <c r="B90" s="173" t="s">
        <v>465</v>
      </c>
      <c r="C90" s="174"/>
      <c r="D90" s="174"/>
      <c r="E90" s="174"/>
      <c r="F90" s="174"/>
      <c r="G90" s="174"/>
      <c r="H90" s="174"/>
      <c r="I90" s="174"/>
      <c r="J90" s="174"/>
      <c r="K90" s="174"/>
      <c r="L90" s="174"/>
      <c r="M90" s="174"/>
      <c r="N90" s="174"/>
      <c r="O90" s="174"/>
      <c r="P90" s="174"/>
      <c r="Q90" s="174"/>
      <c r="R90" s="174"/>
      <c r="S90" s="174"/>
      <c r="T90" s="174"/>
      <c r="U90" s="174"/>
      <c r="V90" s="175"/>
      <c r="W90" s="174"/>
      <c r="X90" s="174"/>
      <c r="Y90" s="174"/>
      <c r="Z90" s="174"/>
      <c r="AA90" s="174"/>
      <c r="AB90" s="174"/>
      <c r="AC90" s="174"/>
      <c r="AD90" s="174"/>
      <c r="AE90" s="174"/>
      <c r="AF90" s="174"/>
      <c r="AG90" s="174"/>
      <c r="AH90" s="174"/>
      <c r="AI90" s="174"/>
      <c r="AJ90" s="174"/>
      <c r="AK90" s="176"/>
      <c r="AL90" s="174"/>
      <c r="AM90" s="174"/>
      <c r="AN90" s="174"/>
      <c r="AO90" s="174"/>
      <c r="AP90" s="176"/>
      <c r="AS90" s="172"/>
      <c r="AU90" s="172"/>
      <c r="AV90" s="43"/>
      <c r="AW90" s="43"/>
      <c r="AX90" s="43"/>
      <c r="AY90" s="43"/>
      <c r="AZ90" s="43"/>
      <c r="BA90" s="43"/>
      <c r="BB90" s="43"/>
      <c r="BC90" s="43"/>
    </row>
    <row r="91" spans="1:56" s="42" customFormat="1" ht="18.5" customHeight="1">
      <c r="B91" s="177" t="s">
        <v>466</v>
      </c>
      <c r="C91" s="178"/>
      <c r="D91" s="178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  <c r="R91" s="178"/>
      <c r="S91" s="178"/>
      <c r="T91" s="178"/>
      <c r="U91" s="178"/>
      <c r="V91" s="179"/>
      <c r="W91" s="178"/>
      <c r="X91" s="178"/>
      <c r="Y91" s="178"/>
      <c r="Z91" s="178"/>
      <c r="AA91" s="178"/>
      <c r="AB91" s="178"/>
      <c r="AC91" s="178"/>
      <c r="AD91" s="178"/>
      <c r="AE91" s="178"/>
      <c r="AF91" s="178"/>
      <c r="AG91" s="178"/>
      <c r="AH91" s="178"/>
      <c r="AI91" s="178"/>
      <c r="AJ91" s="178"/>
      <c r="AK91" s="180"/>
      <c r="AL91" s="178"/>
      <c r="AM91" s="178"/>
      <c r="AN91" s="178"/>
      <c r="AO91" s="178"/>
      <c r="AP91" s="180"/>
      <c r="AS91" s="172"/>
      <c r="AU91" s="172"/>
      <c r="AV91" s="43"/>
      <c r="AW91" s="43"/>
      <c r="AX91" s="43"/>
      <c r="AY91" s="43"/>
      <c r="AZ91" s="43"/>
      <c r="BA91" s="43"/>
      <c r="BB91" s="43"/>
      <c r="BC91" s="43"/>
    </row>
    <row r="92" spans="1:56" s="42" customFormat="1" ht="18.5" customHeight="1" thickBot="1">
      <c r="B92" s="181" t="s">
        <v>467</v>
      </c>
      <c r="C92" s="182"/>
      <c r="D92" s="182"/>
      <c r="E92" s="182"/>
      <c r="F92" s="182"/>
      <c r="G92" s="182"/>
      <c r="H92" s="182"/>
      <c r="I92" s="182"/>
      <c r="J92" s="182"/>
      <c r="K92" s="182"/>
      <c r="L92" s="182"/>
      <c r="M92" s="182"/>
      <c r="N92" s="182"/>
      <c r="O92" s="182"/>
      <c r="P92" s="182"/>
      <c r="Q92" s="182"/>
      <c r="R92" s="182"/>
      <c r="S92" s="182"/>
      <c r="T92" s="182"/>
      <c r="U92" s="182"/>
      <c r="V92" s="183"/>
      <c r="W92" s="182"/>
      <c r="X92" s="182"/>
      <c r="Y92" s="182"/>
      <c r="Z92" s="182"/>
      <c r="AA92" s="182"/>
      <c r="AB92" s="182"/>
      <c r="AC92" s="182"/>
      <c r="AD92" s="182"/>
      <c r="AE92" s="182"/>
      <c r="AF92" s="182"/>
      <c r="AG92" s="182"/>
      <c r="AH92" s="182"/>
      <c r="AI92" s="182"/>
      <c r="AJ92" s="182"/>
      <c r="AK92" s="184"/>
      <c r="AL92" s="182"/>
      <c r="AM92" s="182"/>
      <c r="AN92" s="182"/>
      <c r="AO92" s="182"/>
      <c r="AP92" s="184"/>
      <c r="AS92" s="172"/>
      <c r="AU92" s="172"/>
      <c r="AV92" s="43"/>
    </row>
    <row r="93" spans="1:56" s="42" customFormat="1" ht="18.5" customHeight="1">
      <c r="B93" s="165" t="s">
        <v>463</v>
      </c>
      <c r="C93" s="166"/>
      <c r="D93" s="166"/>
      <c r="E93" s="166"/>
      <c r="F93" s="166"/>
      <c r="G93" s="166"/>
      <c r="H93" s="166"/>
      <c r="I93" s="166"/>
      <c r="J93" s="166"/>
      <c r="K93" s="166"/>
      <c r="L93" s="166"/>
      <c r="M93" s="166"/>
      <c r="N93" s="166"/>
      <c r="O93" s="166"/>
      <c r="P93" s="166"/>
      <c r="Q93" s="166"/>
      <c r="R93" s="166"/>
      <c r="S93" s="166"/>
      <c r="T93" s="166"/>
      <c r="U93" s="166"/>
      <c r="V93" s="166"/>
      <c r="W93" s="166"/>
      <c r="X93" s="166"/>
      <c r="Y93" s="166"/>
      <c r="Z93" s="166"/>
      <c r="AA93" s="166"/>
      <c r="AB93" s="166"/>
      <c r="AC93" s="166"/>
      <c r="AD93" s="166"/>
      <c r="AE93" s="166"/>
      <c r="AF93" s="166"/>
      <c r="AG93" s="166"/>
      <c r="AH93" s="166"/>
      <c r="AI93" s="166"/>
      <c r="AJ93" s="166"/>
      <c r="AK93" s="166"/>
      <c r="AL93" s="291"/>
      <c r="AM93" s="292"/>
      <c r="AN93" s="292"/>
      <c r="AO93" s="292"/>
      <c r="AP93" s="292"/>
      <c r="AS93" s="172"/>
      <c r="AU93" s="172"/>
      <c r="AV93" s="43"/>
      <c r="AW93" s="43"/>
      <c r="AX93" s="43"/>
      <c r="AY93" s="43"/>
    </row>
    <row r="94" spans="1:56" s="42" customFormat="1" ht="18.5" customHeight="1">
      <c r="B94" s="168" t="s">
        <v>464</v>
      </c>
      <c r="C94" s="169"/>
      <c r="D94" s="169"/>
      <c r="E94" s="169"/>
      <c r="F94" s="169"/>
      <c r="G94" s="169"/>
      <c r="H94" s="169"/>
      <c r="I94" s="169"/>
      <c r="J94" s="169"/>
      <c r="K94" s="169"/>
      <c r="L94" s="169"/>
      <c r="M94" s="169"/>
      <c r="N94" s="169"/>
      <c r="O94" s="169"/>
      <c r="P94" s="169"/>
      <c r="Q94" s="169"/>
      <c r="R94" s="169"/>
      <c r="S94" s="169"/>
      <c r="T94" s="169"/>
      <c r="U94" s="169"/>
      <c r="V94" s="170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169"/>
      <c r="AH94" s="169"/>
      <c r="AI94" s="169"/>
      <c r="AJ94" s="169"/>
      <c r="AK94" s="171"/>
      <c r="AL94" s="293"/>
      <c r="AM94" s="294"/>
      <c r="AN94" s="294"/>
      <c r="AO94" s="294"/>
      <c r="AP94" s="294"/>
      <c r="AS94" s="172"/>
      <c r="AU94" s="172"/>
      <c r="AV94" s="43"/>
      <c r="AW94" s="43"/>
      <c r="AX94" s="43"/>
      <c r="AY94" s="43"/>
    </row>
    <row r="95" spans="1:56" s="42" customFormat="1" ht="18.5" customHeight="1">
      <c r="B95" s="173" t="s">
        <v>465</v>
      </c>
      <c r="C95" s="174"/>
      <c r="D95" s="174"/>
      <c r="E95" s="174"/>
      <c r="F95" s="174"/>
      <c r="G95" s="174"/>
      <c r="H95" s="174"/>
      <c r="I95" s="174"/>
      <c r="J95" s="174"/>
      <c r="K95" s="174"/>
      <c r="L95" s="174"/>
      <c r="M95" s="174"/>
      <c r="N95" s="174"/>
      <c r="O95" s="174"/>
      <c r="P95" s="174"/>
      <c r="Q95" s="174"/>
      <c r="R95" s="174"/>
      <c r="S95" s="174"/>
      <c r="T95" s="174"/>
      <c r="U95" s="174"/>
      <c r="V95" s="175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  <c r="AH95" s="174"/>
      <c r="AI95" s="174"/>
      <c r="AJ95" s="174"/>
      <c r="AK95" s="176"/>
      <c r="AL95" s="293"/>
      <c r="AM95" s="294"/>
      <c r="AN95" s="294"/>
      <c r="AO95" s="294"/>
      <c r="AP95" s="294"/>
      <c r="AS95" s="172"/>
      <c r="AU95" s="172"/>
      <c r="AV95" s="43"/>
      <c r="AW95" s="43"/>
      <c r="AX95" s="43"/>
      <c r="AY95" s="43"/>
    </row>
    <row r="96" spans="1:56" s="42" customFormat="1" ht="18.5" customHeight="1">
      <c r="B96" s="177" t="s">
        <v>466</v>
      </c>
      <c r="C96" s="178"/>
      <c r="D96" s="178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  <c r="R96" s="178"/>
      <c r="S96" s="178"/>
      <c r="T96" s="178"/>
      <c r="U96" s="178"/>
      <c r="V96" s="179"/>
      <c r="W96" s="178"/>
      <c r="X96" s="178"/>
      <c r="Y96" s="178"/>
      <c r="Z96" s="178"/>
      <c r="AA96" s="178"/>
      <c r="AB96" s="178"/>
      <c r="AC96" s="178"/>
      <c r="AD96" s="178"/>
      <c r="AE96" s="178"/>
      <c r="AF96" s="178"/>
      <c r="AG96" s="178"/>
      <c r="AH96" s="178"/>
      <c r="AI96" s="178"/>
      <c r="AJ96" s="178"/>
      <c r="AK96" s="180"/>
      <c r="AL96" s="293"/>
      <c r="AM96" s="294"/>
      <c r="AN96" s="294"/>
      <c r="AO96" s="294"/>
      <c r="AP96" s="294"/>
      <c r="AS96" s="172"/>
      <c r="AU96" s="172"/>
      <c r="AV96" s="43"/>
      <c r="AW96" s="43"/>
      <c r="AX96" s="43"/>
      <c r="AY96" s="43"/>
    </row>
    <row r="97" spans="2:55" s="42" customFormat="1" ht="18.5" customHeight="1" thickBot="1">
      <c r="B97" s="181" t="s">
        <v>467</v>
      </c>
      <c r="C97" s="182"/>
      <c r="D97" s="182"/>
      <c r="E97" s="182"/>
      <c r="F97" s="182"/>
      <c r="G97" s="182"/>
      <c r="H97" s="182"/>
      <c r="I97" s="182"/>
      <c r="J97" s="182"/>
      <c r="K97" s="182"/>
      <c r="L97" s="182"/>
      <c r="M97" s="182"/>
      <c r="N97" s="182"/>
      <c r="O97" s="182"/>
      <c r="P97" s="182"/>
      <c r="Q97" s="182"/>
      <c r="R97" s="182"/>
      <c r="S97" s="182"/>
      <c r="T97" s="182"/>
      <c r="U97" s="182"/>
      <c r="V97" s="183"/>
      <c r="W97" s="182"/>
      <c r="X97" s="182"/>
      <c r="Y97" s="182"/>
      <c r="Z97" s="182"/>
      <c r="AA97" s="182"/>
      <c r="AB97" s="182"/>
      <c r="AC97" s="182"/>
      <c r="AD97" s="182"/>
      <c r="AE97" s="182"/>
      <c r="AF97" s="182"/>
      <c r="AG97" s="182"/>
      <c r="AH97" s="182"/>
      <c r="AI97" s="182"/>
      <c r="AJ97" s="182"/>
      <c r="AK97" s="184"/>
      <c r="AL97" s="295"/>
      <c r="AM97" s="296"/>
      <c r="AN97" s="296"/>
      <c r="AO97" s="296"/>
      <c r="AP97" s="296"/>
      <c r="AS97" s="172"/>
      <c r="AU97" s="172"/>
      <c r="AV97" s="43"/>
    </row>
    <row r="98" spans="2:55" s="42" customFormat="1" ht="14" customHeight="1" thickBot="1">
      <c r="AS98" s="172"/>
    </row>
    <row r="99" spans="2:55" s="42" customFormat="1" ht="18.5" customHeight="1" thickBot="1">
      <c r="B99" s="285" t="s">
        <v>461</v>
      </c>
      <c r="C99" s="286"/>
      <c r="D99" s="286"/>
      <c r="E99" s="288" t="s">
        <v>479</v>
      </c>
      <c r="F99" s="289"/>
      <c r="G99" s="289"/>
      <c r="H99" s="290"/>
      <c r="AA99" s="43"/>
      <c r="AB99" s="43"/>
      <c r="AC99" s="43"/>
      <c r="AD99" s="43"/>
      <c r="AE99" s="43"/>
      <c r="AF99" s="43"/>
      <c r="AS99" s="172"/>
      <c r="AU99" s="172"/>
      <c r="AV99" s="43"/>
    </row>
    <row r="100" spans="2:55" s="42" customFormat="1" ht="18.5" customHeight="1">
      <c r="B100" s="165" t="s">
        <v>463</v>
      </c>
      <c r="C100" s="166"/>
      <c r="D100" s="166"/>
      <c r="E100" s="166"/>
      <c r="F100" s="166"/>
      <c r="G100" s="166"/>
      <c r="H100" s="166"/>
      <c r="I100" s="166"/>
      <c r="J100" s="166"/>
      <c r="K100" s="166"/>
      <c r="L100" s="166"/>
      <c r="M100" s="166"/>
      <c r="N100" s="166"/>
      <c r="O100" s="166"/>
      <c r="P100" s="166"/>
      <c r="Q100" s="166"/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7"/>
      <c r="AL100" s="166"/>
      <c r="AM100" s="166"/>
      <c r="AN100" s="166"/>
      <c r="AO100" s="166"/>
      <c r="AP100" s="167"/>
      <c r="AS100" s="185"/>
      <c r="AU100" s="172"/>
      <c r="AV100" s="43"/>
      <c r="AW100" s="43"/>
      <c r="AX100" s="43"/>
      <c r="AY100" s="43"/>
      <c r="AZ100" s="43"/>
      <c r="BA100" s="43"/>
      <c r="BB100" s="43"/>
      <c r="BC100" s="43"/>
    </row>
    <row r="101" spans="2:55" s="42" customFormat="1" ht="18.5" customHeight="1">
      <c r="B101" s="168" t="s">
        <v>464</v>
      </c>
      <c r="C101" s="169"/>
      <c r="D101" s="169"/>
      <c r="E101" s="169"/>
      <c r="F101" s="169"/>
      <c r="G101" s="169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70"/>
      <c r="W101" s="169"/>
      <c r="X101" s="169"/>
      <c r="Y101" s="169"/>
      <c r="Z101" s="169"/>
      <c r="AA101" s="169"/>
      <c r="AB101" s="169"/>
      <c r="AC101" s="169"/>
      <c r="AD101" s="169"/>
      <c r="AE101" s="169"/>
      <c r="AF101" s="169"/>
      <c r="AG101" s="169"/>
      <c r="AH101" s="169"/>
      <c r="AI101" s="169"/>
      <c r="AJ101" s="169"/>
      <c r="AK101" s="171"/>
      <c r="AL101" s="169"/>
      <c r="AM101" s="169"/>
      <c r="AN101" s="169"/>
      <c r="AO101" s="169"/>
      <c r="AP101" s="171"/>
      <c r="AS101" s="185"/>
      <c r="AU101" s="172"/>
      <c r="AV101" s="43"/>
      <c r="AW101" s="43"/>
      <c r="AX101" s="43"/>
      <c r="AY101" s="43"/>
      <c r="AZ101" s="43"/>
      <c r="BA101" s="43"/>
      <c r="BB101" s="43"/>
      <c r="BC101" s="43"/>
    </row>
    <row r="102" spans="2:55" s="42" customFormat="1" ht="18.5" customHeight="1">
      <c r="B102" s="173" t="s">
        <v>465</v>
      </c>
      <c r="C102" s="174"/>
      <c r="D102" s="174"/>
      <c r="E102" s="174"/>
      <c r="F102" s="174"/>
      <c r="G102" s="174"/>
      <c r="H102" s="174"/>
      <c r="I102" s="174"/>
      <c r="J102" s="174"/>
      <c r="K102" s="174"/>
      <c r="L102" s="174"/>
      <c r="M102" s="174"/>
      <c r="N102" s="174"/>
      <c r="O102" s="174"/>
      <c r="P102" s="174"/>
      <c r="Q102" s="174"/>
      <c r="R102" s="174"/>
      <c r="S102" s="174"/>
      <c r="T102" s="174"/>
      <c r="U102" s="174"/>
      <c r="V102" s="175"/>
      <c r="W102" s="174"/>
      <c r="X102" s="174"/>
      <c r="Y102" s="174"/>
      <c r="Z102" s="174"/>
      <c r="AA102" s="174"/>
      <c r="AB102" s="174"/>
      <c r="AC102" s="174"/>
      <c r="AD102" s="174"/>
      <c r="AE102" s="174"/>
      <c r="AF102" s="174"/>
      <c r="AG102" s="174"/>
      <c r="AH102" s="174"/>
      <c r="AI102" s="174"/>
      <c r="AJ102" s="174"/>
      <c r="AK102" s="176"/>
      <c r="AL102" s="174"/>
      <c r="AM102" s="174"/>
      <c r="AN102" s="174"/>
      <c r="AO102" s="174"/>
      <c r="AP102" s="176"/>
      <c r="AS102" s="185"/>
      <c r="AU102" s="172"/>
      <c r="AV102" s="43"/>
      <c r="AW102" s="43"/>
      <c r="AX102" s="43"/>
      <c r="AY102" s="43"/>
      <c r="AZ102" s="43"/>
      <c r="BA102" s="43"/>
      <c r="BB102" s="43"/>
      <c r="BC102" s="43"/>
    </row>
    <row r="103" spans="2:55" s="42" customFormat="1" ht="18.5" customHeight="1">
      <c r="B103" s="177" t="s">
        <v>466</v>
      </c>
      <c r="C103" s="178"/>
      <c r="D103" s="178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  <c r="R103" s="178"/>
      <c r="S103" s="178"/>
      <c r="T103" s="178"/>
      <c r="U103" s="178"/>
      <c r="V103" s="179"/>
      <c r="W103" s="178"/>
      <c r="X103" s="178"/>
      <c r="Y103" s="178"/>
      <c r="Z103" s="178"/>
      <c r="AA103" s="178"/>
      <c r="AB103" s="178"/>
      <c r="AC103" s="178"/>
      <c r="AD103" s="178"/>
      <c r="AE103" s="178"/>
      <c r="AF103" s="178"/>
      <c r="AG103" s="178"/>
      <c r="AH103" s="178"/>
      <c r="AI103" s="178"/>
      <c r="AJ103" s="178"/>
      <c r="AK103" s="180"/>
      <c r="AL103" s="178"/>
      <c r="AM103" s="178"/>
      <c r="AN103" s="178"/>
      <c r="AO103" s="178"/>
      <c r="AP103" s="180"/>
      <c r="AS103" s="185"/>
      <c r="AU103" s="172"/>
      <c r="AV103" s="43"/>
      <c r="AW103" s="43"/>
      <c r="AX103" s="43"/>
      <c r="AY103" s="43"/>
      <c r="AZ103" s="43"/>
      <c r="BA103" s="43"/>
      <c r="BB103" s="43"/>
      <c r="BC103" s="43"/>
    </row>
    <row r="104" spans="2:55" s="42" customFormat="1" ht="18.5" customHeight="1" thickBot="1">
      <c r="B104" s="181" t="s">
        <v>467</v>
      </c>
      <c r="C104" s="182"/>
      <c r="D104" s="182"/>
      <c r="E104" s="182"/>
      <c r="F104" s="182"/>
      <c r="G104" s="182"/>
      <c r="H104" s="182"/>
      <c r="I104" s="182"/>
      <c r="J104" s="182"/>
      <c r="K104" s="182"/>
      <c r="L104" s="182"/>
      <c r="M104" s="182"/>
      <c r="N104" s="182"/>
      <c r="O104" s="182"/>
      <c r="P104" s="182"/>
      <c r="Q104" s="182"/>
      <c r="R104" s="182"/>
      <c r="S104" s="182"/>
      <c r="T104" s="182"/>
      <c r="U104" s="182"/>
      <c r="V104" s="183"/>
      <c r="W104" s="182"/>
      <c r="X104" s="182"/>
      <c r="Y104" s="182"/>
      <c r="Z104" s="182"/>
      <c r="AA104" s="182"/>
      <c r="AB104" s="182"/>
      <c r="AC104" s="182"/>
      <c r="AD104" s="182"/>
      <c r="AE104" s="182"/>
      <c r="AF104" s="182"/>
      <c r="AG104" s="182"/>
      <c r="AH104" s="182"/>
      <c r="AI104" s="182"/>
      <c r="AJ104" s="182"/>
      <c r="AK104" s="184"/>
      <c r="AL104" s="182"/>
      <c r="AM104" s="182"/>
      <c r="AN104" s="182"/>
      <c r="AO104" s="182"/>
      <c r="AP104" s="184"/>
      <c r="AS104" s="185"/>
      <c r="AU104" s="172"/>
      <c r="AV104" s="43"/>
      <c r="AW104" s="43"/>
      <c r="AX104" s="43"/>
      <c r="AY104" s="43"/>
      <c r="AZ104" s="43"/>
      <c r="BA104" s="43"/>
      <c r="BB104" s="43"/>
      <c r="BC104" s="43"/>
    </row>
    <row r="105" spans="2:55" s="42" customFormat="1" ht="18.5" customHeight="1">
      <c r="B105" s="165" t="s">
        <v>463</v>
      </c>
      <c r="C105" s="166"/>
      <c r="D105" s="166"/>
      <c r="E105" s="166"/>
      <c r="F105" s="166"/>
      <c r="G105" s="166"/>
      <c r="H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291"/>
      <c r="X105" s="292"/>
      <c r="Y105" s="292"/>
      <c r="Z105" s="292"/>
      <c r="AA105" s="292"/>
      <c r="AB105" s="292"/>
      <c r="AC105" s="292"/>
      <c r="AD105" s="292"/>
      <c r="AE105" s="292"/>
      <c r="AF105" s="292"/>
      <c r="AG105" s="292"/>
      <c r="AH105" s="292"/>
      <c r="AI105" s="292"/>
      <c r="AJ105" s="292"/>
      <c r="AK105" s="292"/>
      <c r="AL105" s="292"/>
      <c r="AM105" s="292"/>
      <c r="AN105" s="292"/>
      <c r="AO105" s="292"/>
      <c r="AP105" s="292"/>
      <c r="AS105" s="185"/>
      <c r="AU105" s="172"/>
      <c r="AV105" s="43"/>
      <c r="AW105" s="43"/>
      <c r="AX105" s="43"/>
      <c r="AY105" s="43"/>
      <c r="AZ105" s="43"/>
      <c r="BA105" s="43"/>
      <c r="BB105" s="43"/>
      <c r="BC105" s="43"/>
    </row>
    <row r="106" spans="2:55" s="42" customFormat="1" ht="18.5" customHeight="1">
      <c r="B106" s="168" t="s">
        <v>464</v>
      </c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70"/>
      <c r="W106" s="293"/>
      <c r="X106" s="294"/>
      <c r="Y106" s="294"/>
      <c r="Z106" s="294"/>
      <c r="AA106" s="294"/>
      <c r="AB106" s="294"/>
      <c r="AC106" s="294"/>
      <c r="AD106" s="294"/>
      <c r="AE106" s="294"/>
      <c r="AF106" s="294"/>
      <c r="AG106" s="294"/>
      <c r="AH106" s="294"/>
      <c r="AI106" s="294"/>
      <c r="AJ106" s="294"/>
      <c r="AK106" s="294"/>
      <c r="AL106" s="294"/>
      <c r="AM106" s="294"/>
      <c r="AN106" s="294"/>
      <c r="AO106" s="294"/>
      <c r="AP106" s="294"/>
      <c r="AS106" s="185"/>
      <c r="AU106" s="172"/>
      <c r="AV106" s="43"/>
      <c r="AW106" s="43"/>
      <c r="AX106" s="43"/>
      <c r="AY106" s="43"/>
      <c r="AZ106" s="43"/>
      <c r="BA106" s="43"/>
      <c r="BB106" s="43"/>
      <c r="BC106" s="43"/>
    </row>
    <row r="107" spans="2:55" s="42" customFormat="1" ht="18.5" customHeight="1">
      <c r="B107" s="173" t="s">
        <v>465</v>
      </c>
      <c r="C107" s="174"/>
      <c r="D107" s="174"/>
      <c r="E107" s="174"/>
      <c r="F107" s="174"/>
      <c r="G107" s="174"/>
      <c r="H107" s="174"/>
      <c r="I107" s="174"/>
      <c r="J107" s="174"/>
      <c r="K107" s="174"/>
      <c r="L107" s="174"/>
      <c r="M107" s="174"/>
      <c r="N107" s="174"/>
      <c r="O107" s="174"/>
      <c r="P107" s="174"/>
      <c r="Q107" s="174"/>
      <c r="R107" s="174"/>
      <c r="S107" s="174"/>
      <c r="T107" s="174"/>
      <c r="U107" s="174"/>
      <c r="V107" s="175"/>
      <c r="W107" s="293"/>
      <c r="X107" s="294"/>
      <c r="Y107" s="294"/>
      <c r="Z107" s="294"/>
      <c r="AA107" s="294"/>
      <c r="AB107" s="294"/>
      <c r="AC107" s="294"/>
      <c r="AD107" s="294"/>
      <c r="AE107" s="294"/>
      <c r="AF107" s="294"/>
      <c r="AG107" s="294"/>
      <c r="AH107" s="294"/>
      <c r="AI107" s="294"/>
      <c r="AJ107" s="294"/>
      <c r="AK107" s="294"/>
      <c r="AL107" s="294"/>
      <c r="AM107" s="294"/>
      <c r="AN107" s="294"/>
      <c r="AO107" s="294"/>
      <c r="AP107" s="294"/>
      <c r="AS107" s="185"/>
      <c r="AU107" s="172"/>
      <c r="AV107" s="43"/>
      <c r="AW107" s="43"/>
      <c r="AX107" s="43"/>
      <c r="AY107" s="43"/>
      <c r="AZ107" s="43"/>
      <c r="BA107" s="43"/>
      <c r="BB107" s="43"/>
      <c r="BC107" s="43"/>
    </row>
    <row r="108" spans="2:55" s="42" customFormat="1" ht="18.5" customHeight="1">
      <c r="B108" s="177" t="s">
        <v>466</v>
      </c>
      <c r="C108" s="178"/>
      <c r="D108" s="178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  <c r="R108" s="178"/>
      <c r="S108" s="178"/>
      <c r="T108" s="178"/>
      <c r="U108" s="178"/>
      <c r="V108" s="179"/>
      <c r="W108" s="293"/>
      <c r="X108" s="294"/>
      <c r="Y108" s="294"/>
      <c r="Z108" s="294"/>
      <c r="AA108" s="294"/>
      <c r="AB108" s="294"/>
      <c r="AC108" s="294"/>
      <c r="AD108" s="294"/>
      <c r="AE108" s="294"/>
      <c r="AF108" s="294"/>
      <c r="AG108" s="294"/>
      <c r="AH108" s="294"/>
      <c r="AI108" s="294"/>
      <c r="AJ108" s="294"/>
      <c r="AK108" s="294"/>
      <c r="AL108" s="294"/>
      <c r="AM108" s="294"/>
      <c r="AN108" s="294"/>
      <c r="AO108" s="294"/>
      <c r="AP108" s="294"/>
      <c r="AS108" s="185"/>
      <c r="AU108" s="172"/>
      <c r="AV108" s="43"/>
      <c r="AW108" s="43"/>
      <c r="AX108" s="43"/>
      <c r="AY108" s="43"/>
      <c r="AZ108" s="43"/>
      <c r="BA108" s="43"/>
      <c r="BB108" s="43"/>
      <c r="BC108" s="43"/>
    </row>
    <row r="109" spans="2:55" s="42" customFormat="1" ht="18.5" customHeight="1" thickBot="1">
      <c r="B109" s="181" t="s">
        <v>467</v>
      </c>
      <c r="C109" s="182"/>
      <c r="D109" s="182"/>
      <c r="E109" s="182"/>
      <c r="F109" s="182"/>
      <c r="G109" s="182"/>
      <c r="H109" s="182"/>
      <c r="I109" s="182"/>
      <c r="J109" s="182"/>
      <c r="K109" s="182"/>
      <c r="L109" s="182"/>
      <c r="M109" s="182"/>
      <c r="N109" s="182"/>
      <c r="O109" s="182"/>
      <c r="P109" s="182"/>
      <c r="Q109" s="182"/>
      <c r="R109" s="182"/>
      <c r="S109" s="182"/>
      <c r="T109" s="182"/>
      <c r="U109" s="182"/>
      <c r="V109" s="183"/>
      <c r="W109" s="295"/>
      <c r="X109" s="296"/>
      <c r="Y109" s="296"/>
      <c r="Z109" s="296"/>
      <c r="AA109" s="296"/>
      <c r="AB109" s="296"/>
      <c r="AC109" s="296"/>
      <c r="AD109" s="296"/>
      <c r="AE109" s="296"/>
      <c r="AF109" s="296"/>
      <c r="AG109" s="296"/>
      <c r="AH109" s="296"/>
      <c r="AI109" s="296"/>
      <c r="AJ109" s="296"/>
      <c r="AK109" s="296"/>
      <c r="AL109" s="296"/>
      <c r="AM109" s="296"/>
      <c r="AN109" s="296"/>
      <c r="AO109" s="296"/>
      <c r="AP109" s="296"/>
      <c r="AS109" s="185"/>
      <c r="AT109" s="172"/>
      <c r="AU109" s="172"/>
      <c r="AV109" s="43"/>
      <c r="AW109" s="43"/>
      <c r="AX109" s="43"/>
      <c r="AY109" s="43"/>
      <c r="AZ109" s="43"/>
      <c r="BA109" s="43"/>
      <c r="BB109" s="43"/>
      <c r="BC109" s="43"/>
    </row>
    <row r="110" spans="2:55" s="42" customFormat="1" ht="14" customHeight="1" thickBot="1"/>
    <row r="111" spans="2:55" s="42" customFormat="1" ht="18.5" customHeight="1" thickBot="1">
      <c r="B111" s="285" t="s">
        <v>461</v>
      </c>
      <c r="C111" s="286"/>
      <c r="D111" s="286"/>
      <c r="E111" s="288" t="s">
        <v>468</v>
      </c>
      <c r="F111" s="289"/>
      <c r="G111" s="289"/>
      <c r="H111" s="290"/>
      <c r="AA111" s="43"/>
      <c r="AB111" s="43"/>
      <c r="AC111" s="43"/>
      <c r="AD111" s="43"/>
      <c r="AE111" s="43"/>
      <c r="AF111" s="43"/>
      <c r="AS111" s="185"/>
      <c r="AT111" s="172"/>
      <c r="AU111" s="172"/>
      <c r="AV111" s="43"/>
      <c r="AW111" s="43"/>
      <c r="AX111" s="43"/>
      <c r="AY111" s="43"/>
      <c r="AZ111" s="43"/>
      <c r="BA111" s="43"/>
      <c r="BB111" s="43"/>
      <c r="BC111" s="43"/>
    </row>
    <row r="112" spans="2:55" s="42" customFormat="1" ht="18.5" customHeight="1">
      <c r="B112" s="165" t="s">
        <v>463</v>
      </c>
      <c r="C112" s="166"/>
      <c r="D112" s="166"/>
      <c r="E112" s="166"/>
      <c r="F112" s="166"/>
      <c r="G112" s="166"/>
      <c r="H112" s="166"/>
      <c r="I112" s="166"/>
      <c r="J112" s="166"/>
      <c r="K112" s="166"/>
      <c r="L112" s="166"/>
      <c r="M112" s="166"/>
      <c r="N112" s="166"/>
      <c r="O112" s="166"/>
      <c r="P112" s="166"/>
      <c r="Q112" s="166"/>
      <c r="R112" s="166"/>
      <c r="S112" s="166"/>
      <c r="T112" s="166"/>
      <c r="U112" s="166"/>
      <c r="V112" s="166"/>
      <c r="W112" s="166"/>
      <c r="X112" s="166"/>
      <c r="Y112" s="166"/>
      <c r="Z112" s="166"/>
      <c r="AA112" s="166"/>
      <c r="AB112" s="166"/>
      <c r="AC112" s="166"/>
      <c r="AD112" s="166"/>
      <c r="AE112" s="166"/>
      <c r="AF112" s="166"/>
      <c r="AG112" s="166"/>
      <c r="AH112" s="166"/>
      <c r="AI112" s="166"/>
      <c r="AJ112" s="166"/>
      <c r="AK112" s="167"/>
      <c r="AL112" s="166"/>
      <c r="AM112" s="166"/>
      <c r="AN112" s="166"/>
      <c r="AO112" s="166"/>
      <c r="AP112" s="167"/>
      <c r="AS112" s="185"/>
      <c r="AT112" s="172"/>
      <c r="AU112" s="172"/>
      <c r="AV112" s="43"/>
      <c r="AW112" s="43"/>
      <c r="AX112" s="43"/>
      <c r="AY112" s="43"/>
      <c r="AZ112" s="43"/>
      <c r="BA112" s="43"/>
      <c r="BB112" s="43"/>
      <c r="BC112" s="43"/>
    </row>
    <row r="113" spans="2:55" s="42" customFormat="1" ht="18.5" customHeight="1">
      <c r="B113" s="168" t="s">
        <v>464</v>
      </c>
      <c r="C113" s="169"/>
      <c r="D113" s="169"/>
      <c r="E113" s="169"/>
      <c r="F113" s="169"/>
      <c r="G113" s="169"/>
      <c r="H113" s="169"/>
      <c r="I113" s="169"/>
      <c r="J113" s="169"/>
      <c r="K113" s="169"/>
      <c r="L113" s="169"/>
      <c r="M113" s="169"/>
      <c r="N113" s="169"/>
      <c r="O113" s="169"/>
      <c r="P113" s="169"/>
      <c r="Q113" s="169"/>
      <c r="R113" s="169"/>
      <c r="S113" s="169"/>
      <c r="T113" s="169"/>
      <c r="U113" s="169"/>
      <c r="V113" s="170"/>
      <c r="W113" s="169"/>
      <c r="X113" s="169"/>
      <c r="Y113" s="169"/>
      <c r="Z113" s="169"/>
      <c r="AA113" s="169"/>
      <c r="AB113" s="169"/>
      <c r="AC113" s="169"/>
      <c r="AD113" s="169"/>
      <c r="AE113" s="169"/>
      <c r="AF113" s="169"/>
      <c r="AG113" s="169"/>
      <c r="AH113" s="169"/>
      <c r="AI113" s="169"/>
      <c r="AJ113" s="169"/>
      <c r="AK113" s="171"/>
      <c r="AL113" s="169"/>
      <c r="AM113" s="169"/>
      <c r="AN113" s="169"/>
      <c r="AO113" s="169"/>
      <c r="AP113" s="171"/>
      <c r="AS113" s="185"/>
      <c r="AT113" s="172"/>
      <c r="AU113" s="172"/>
      <c r="AV113" s="43"/>
      <c r="AW113" s="43"/>
      <c r="AX113" s="43"/>
      <c r="AY113" s="43"/>
      <c r="AZ113" s="43"/>
      <c r="BA113" s="43"/>
      <c r="BB113" s="43"/>
      <c r="BC113" s="43"/>
    </row>
    <row r="114" spans="2:55" s="42" customFormat="1" ht="18.5" customHeight="1">
      <c r="B114" s="173" t="s">
        <v>465</v>
      </c>
      <c r="C114" s="174"/>
      <c r="D114" s="174"/>
      <c r="E114" s="174"/>
      <c r="F114" s="174"/>
      <c r="G114" s="174"/>
      <c r="H114" s="174"/>
      <c r="I114" s="174"/>
      <c r="J114" s="174"/>
      <c r="K114" s="174"/>
      <c r="L114" s="174"/>
      <c r="M114" s="174"/>
      <c r="N114" s="174"/>
      <c r="O114" s="174"/>
      <c r="P114" s="174"/>
      <c r="Q114" s="174"/>
      <c r="R114" s="174"/>
      <c r="S114" s="174"/>
      <c r="T114" s="174"/>
      <c r="U114" s="174"/>
      <c r="V114" s="175"/>
      <c r="W114" s="174"/>
      <c r="X114" s="174"/>
      <c r="Y114" s="174"/>
      <c r="Z114" s="174"/>
      <c r="AA114" s="174"/>
      <c r="AB114" s="174"/>
      <c r="AC114" s="174"/>
      <c r="AD114" s="174"/>
      <c r="AE114" s="174"/>
      <c r="AF114" s="174"/>
      <c r="AG114" s="174"/>
      <c r="AH114" s="174"/>
      <c r="AI114" s="174"/>
      <c r="AJ114" s="174"/>
      <c r="AK114" s="176"/>
      <c r="AL114" s="174"/>
      <c r="AM114" s="174"/>
      <c r="AN114" s="174"/>
      <c r="AO114" s="174"/>
      <c r="AP114" s="176"/>
      <c r="AS114" s="185"/>
      <c r="AT114" s="172"/>
      <c r="AU114" s="172"/>
      <c r="AV114" s="43"/>
      <c r="AW114" s="43"/>
      <c r="AX114" s="43"/>
      <c r="AY114" s="43"/>
      <c r="AZ114" s="43"/>
      <c r="BA114" s="43"/>
      <c r="BB114" s="43"/>
      <c r="BC114" s="43"/>
    </row>
    <row r="115" spans="2:55" s="42" customFormat="1" ht="18.5" customHeight="1">
      <c r="B115" s="177" t="s">
        <v>466</v>
      </c>
      <c r="C115" s="178"/>
      <c r="D115" s="178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  <c r="R115" s="178"/>
      <c r="S115" s="178"/>
      <c r="T115" s="178"/>
      <c r="U115" s="178"/>
      <c r="V115" s="179"/>
      <c r="W115" s="178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178"/>
      <c r="AH115" s="178"/>
      <c r="AI115" s="178"/>
      <c r="AJ115" s="178"/>
      <c r="AK115" s="180"/>
      <c r="AL115" s="178"/>
      <c r="AM115" s="178"/>
      <c r="AN115" s="178"/>
      <c r="AO115" s="178"/>
      <c r="AP115" s="180"/>
      <c r="AS115" s="185"/>
      <c r="AT115" s="172"/>
      <c r="AU115" s="172"/>
      <c r="AV115" s="43"/>
      <c r="AW115" s="43"/>
      <c r="AX115" s="43"/>
      <c r="AY115" s="43"/>
      <c r="AZ115" s="43"/>
      <c r="BA115" s="43"/>
      <c r="BB115" s="43"/>
      <c r="BC115" s="43"/>
    </row>
    <row r="116" spans="2:55" s="42" customFormat="1" ht="18.5" customHeight="1" thickBot="1">
      <c r="B116" s="181" t="s">
        <v>467</v>
      </c>
      <c r="C116" s="182"/>
      <c r="D116" s="182"/>
      <c r="E116" s="182"/>
      <c r="F116" s="182"/>
      <c r="G116" s="182"/>
      <c r="H116" s="182"/>
      <c r="I116" s="182"/>
      <c r="J116" s="182"/>
      <c r="K116" s="182"/>
      <c r="L116" s="182"/>
      <c r="M116" s="182"/>
      <c r="N116" s="182"/>
      <c r="O116" s="182"/>
      <c r="P116" s="182"/>
      <c r="Q116" s="182"/>
      <c r="R116" s="182"/>
      <c r="S116" s="182"/>
      <c r="T116" s="182"/>
      <c r="U116" s="182"/>
      <c r="V116" s="183"/>
      <c r="W116" s="182"/>
      <c r="X116" s="182"/>
      <c r="Y116" s="182"/>
      <c r="Z116" s="182"/>
      <c r="AA116" s="182"/>
      <c r="AB116" s="182"/>
      <c r="AC116" s="182"/>
      <c r="AD116" s="182"/>
      <c r="AE116" s="182"/>
      <c r="AF116" s="182"/>
      <c r="AG116" s="182"/>
      <c r="AH116" s="182"/>
      <c r="AI116" s="182"/>
      <c r="AJ116" s="182"/>
      <c r="AK116" s="184"/>
      <c r="AL116" s="182"/>
      <c r="AM116" s="182"/>
      <c r="AN116" s="182"/>
      <c r="AO116" s="182"/>
      <c r="AP116" s="184"/>
      <c r="AS116" s="185"/>
      <c r="AT116" s="172"/>
      <c r="AU116" s="172"/>
      <c r="AV116" s="43"/>
      <c r="AW116" s="43"/>
      <c r="AX116" s="43"/>
      <c r="AY116" s="43"/>
      <c r="AZ116" s="43"/>
      <c r="BA116" s="43"/>
      <c r="BB116" s="43"/>
      <c r="BC116" s="43"/>
    </row>
    <row r="117" spans="2:55" s="42" customFormat="1" ht="14" customHeight="1" thickBot="1"/>
    <row r="118" spans="2:55" s="42" customFormat="1" ht="18.5" customHeight="1" thickBot="1">
      <c r="B118" s="285" t="s">
        <v>461</v>
      </c>
      <c r="C118" s="286"/>
      <c r="D118" s="286"/>
      <c r="E118" s="288" t="s">
        <v>469</v>
      </c>
      <c r="F118" s="289"/>
      <c r="G118" s="289"/>
      <c r="H118" s="290"/>
      <c r="AA118" s="43"/>
      <c r="AB118" s="43"/>
      <c r="AC118" s="43"/>
      <c r="AD118" s="43"/>
      <c r="AE118" s="43"/>
      <c r="AF118" s="43"/>
      <c r="AS118" s="185"/>
      <c r="AT118" s="172"/>
      <c r="AU118" s="172"/>
      <c r="AV118" s="43"/>
      <c r="AW118" s="43"/>
      <c r="AX118" s="43"/>
      <c r="AY118" s="43"/>
      <c r="AZ118" s="43"/>
      <c r="BA118" s="43"/>
      <c r="BB118" s="43"/>
      <c r="BC118" s="43"/>
    </row>
    <row r="119" spans="2:55" s="42" customFormat="1" ht="18.5" customHeight="1">
      <c r="B119" s="165" t="s">
        <v>463</v>
      </c>
      <c r="C119" s="166"/>
      <c r="D119" s="166"/>
      <c r="E119" s="166"/>
      <c r="F119" s="166"/>
      <c r="G119" s="166"/>
      <c r="H119" s="166"/>
      <c r="I119" s="166"/>
      <c r="J119" s="166"/>
      <c r="K119" s="166"/>
      <c r="L119" s="166"/>
      <c r="M119" s="166"/>
      <c r="N119" s="166"/>
      <c r="O119" s="166"/>
      <c r="P119" s="166"/>
      <c r="Q119" s="166"/>
      <c r="R119" s="166"/>
      <c r="S119" s="166"/>
      <c r="T119" s="166"/>
      <c r="U119" s="166"/>
      <c r="V119" s="166"/>
      <c r="W119" s="166"/>
      <c r="X119" s="166"/>
      <c r="Y119" s="166"/>
      <c r="Z119" s="166"/>
      <c r="AA119" s="166"/>
      <c r="AB119" s="166"/>
      <c r="AC119" s="166"/>
      <c r="AD119" s="166"/>
      <c r="AE119" s="166"/>
      <c r="AF119" s="166"/>
      <c r="AG119" s="166"/>
      <c r="AH119" s="166"/>
      <c r="AI119" s="166"/>
      <c r="AJ119" s="166"/>
      <c r="AK119" s="167"/>
      <c r="AL119" s="166"/>
      <c r="AM119" s="166"/>
      <c r="AN119" s="166"/>
      <c r="AO119" s="166"/>
      <c r="AP119" s="167"/>
      <c r="AS119" s="185"/>
      <c r="AT119" s="172"/>
      <c r="AU119" s="172"/>
      <c r="AV119" s="43"/>
      <c r="AW119" s="43"/>
      <c r="AX119" s="43"/>
      <c r="AY119" s="43"/>
      <c r="AZ119" s="43"/>
      <c r="BA119" s="43"/>
      <c r="BB119" s="43"/>
      <c r="BC119" s="43"/>
    </row>
    <row r="120" spans="2:55" s="42" customFormat="1" ht="18.5" customHeight="1">
      <c r="B120" s="168" t="s">
        <v>464</v>
      </c>
      <c r="C120" s="169"/>
      <c r="D120" s="169"/>
      <c r="E120" s="169"/>
      <c r="F120" s="169"/>
      <c r="G120" s="169"/>
      <c r="H120" s="169"/>
      <c r="I120" s="169"/>
      <c r="J120" s="169"/>
      <c r="K120" s="169"/>
      <c r="L120" s="169"/>
      <c r="M120" s="169"/>
      <c r="N120" s="169"/>
      <c r="O120" s="169"/>
      <c r="P120" s="169"/>
      <c r="Q120" s="169"/>
      <c r="R120" s="169"/>
      <c r="S120" s="169"/>
      <c r="T120" s="169"/>
      <c r="U120" s="169"/>
      <c r="V120" s="170"/>
      <c r="W120" s="169"/>
      <c r="X120" s="169"/>
      <c r="Y120" s="169"/>
      <c r="Z120" s="169"/>
      <c r="AA120" s="169"/>
      <c r="AB120" s="169"/>
      <c r="AC120" s="169"/>
      <c r="AD120" s="169"/>
      <c r="AE120" s="169"/>
      <c r="AF120" s="169"/>
      <c r="AG120" s="169"/>
      <c r="AH120" s="169"/>
      <c r="AI120" s="169"/>
      <c r="AJ120" s="169"/>
      <c r="AK120" s="171"/>
      <c r="AL120" s="169"/>
      <c r="AM120" s="169"/>
      <c r="AN120" s="169"/>
      <c r="AO120" s="169"/>
      <c r="AP120" s="171"/>
      <c r="AS120" s="185"/>
      <c r="AT120" s="172"/>
      <c r="AU120" s="172"/>
      <c r="AV120" s="43"/>
      <c r="AW120" s="43"/>
      <c r="AX120" s="43"/>
      <c r="AY120" s="43"/>
      <c r="AZ120" s="43"/>
      <c r="BA120" s="43"/>
      <c r="BB120" s="43"/>
      <c r="BC120" s="43"/>
    </row>
    <row r="121" spans="2:55" s="42" customFormat="1" ht="18.5" customHeight="1">
      <c r="B121" s="173" t="s">
        <v>465</v>
      </c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4"/>
      <c r="P121" s="174"/>
      <c r="Q121" s="174"/>
      <c r="R121" s="174"/>
      <c r="S121" s="174"/>
      <c r="T121" s="174"/>
      <c r="U121" s="174"/>
      <c r="V121" s="175"/>
      <c r="W121" s="174"/>
      <c r="X121" s="174"/>
      <c r="Y121" s="174"/>
      <c r="Z121" s="174"/>
      <c r="AA121" s="174"/>
      <c r="AB121" s="174"/>
      <c r="AC121" s="174"/>
      <c r="AD121" s="174"/>
      <c r="AE121" s="174"/>
      <c r="AF121" s="174"/>
      <c r="AG121" s="174"/>
      <c r="AH121" s="174"/>
      <c r="AI121" s="174"/>
      <c r="AJ121" s="174"/>
      <c r="AK121" s="176"/>
      <c r="AL121" s="174"/>
      <c r="AM121" s="174"/>
      <c r="AN121" s="174"/>
      <c r="AO121" s="174"/>
      <c r="AP121" s="176"/>
      <c r="AS121" s="185"/>
      <c r="AT121" s="172"/>
      <c r="AU121" s="172"/>
      <c r="AV121" s="43"/>
      <c r="AW121" s="43"/>
      <c r="AX121" s="43"/>
      <c r="AY121" s="43"/>
      <c r="AZ121" s="43"/>
      <c r="BA121" s="43"/>
      <c r="BB121" s="43"/>
      <c r="BC121" s="43"/>
    </row>
    <row r="122" spans="2:55" s="42" customFormat="1" ht="18.5" customHeight="1">
      <c r="B122" s="177" t="s">
        <v>466</v>
      </c>
      <c r="C122" s="178"/>
      <c r="D122" s="178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  <c r="R122" s="178"/>
      <c r="S122" s="178"/>
      <c r="T122" s="178"/>
      <c r="U122" s="178"/>
      <c r="V122" s="179"/>
      <c r="W122" s="178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178"/>
      <c r="AH122" s="178"/>
      <c r="AI122" s="178"/>
      <c r="AJ122" s="178"/>
      <c r="AK122" s="180"/>
      <c r="AL122" s="178"/>
      <c r="AM122" s="178"/>
      <c r="AN122" s="178"/>
      <c r="AO122" s="178"/>
      <c r="AP122" s="180"/>
      <c r="AS122" s="185"/>
      <c r="AT122" s="172"/>
      <c r="AU122" s="172"/>
      <c r="AV122" s="43"/>
      <c r="AW122" s="43"/>
      <c r="AX122" s="43"/>
      <c r="AY122" s="43"/>
      <c r="AZ122" s="43"/>
      <c r="BA122" s="43"/>
      <c r="BB122" s="43"/>
      <c r="BC122" s="43"/>
    </row>
    <row r="123" spans="2:55" s="42" customFormat="1" ht="18.5" customHeight="1" thickBot="1">
      <c r="B123" s="181" t="s">
        <v>467</v>
      </c>
      <c r="C123" s="182"/>
      <c r="D123" s="182"/>
      <c r="E123" s="182"/>
      <c r="F123" s="182"/>
      <c r="G123" s="182"/>
      <c r="H123" s="182"/>
      <c r="I123" s="182"/>
      <c r="J123" s="182"/>
      <c r="K123" s="182"/>
      <c r="L123" s="182"/>
      <c r="M123" s="182"/>
      <c r="N123" s="182"/>
      <c r="O123" s="182"/>
      <c r="P123" s="182"/>
      <c r="Q123" s="182"/>
      <c r="R123" s="182"/>
      <c r="S123" s="182"/>
      <c r="T123" s="182"/>
      <c r="U123" s="182"/>
      <c r="V123" s="183"/>
      <c r="W123" s="182"/>
      <c r="X123" s="182"/>
      <c r="Y123" s="182"/>
      <c r="Z123" s="182"/>
      <c r="AA123" s="182"/>
      <c r="AB123" s="182"/>
      <c r="AC123" s="182"/>
      <c r="AD123" s="182"/>
      <c r="AE123" s="182"/>
      <c r="AF123" s="182"/>
      <c r="AG123" s="182"/>
      <c r="AH123" s="182"/>
      <c r="AI123" s="182"/>
      <c r="AJ123" s="182"/>
      <c r="AK123" s="184"/>
      <c r="AL123" s="182"/>
      <c r="AM123" s="182"/>
      <c r="AN123" s="182"/>
      <c r="AO123" s="182"/>
      <c r="AP123" s="184"/>
      <c r="AS123" s="185"/>
      <c r="AT123" s="172"/>
      <c r="AU123" s="172"/>
      <c r="AV123" s="43"/>
      <c r="AW123" s="43"/>
      <c r="AX123" s="43"/>
      <c r="AY123" s="43"/>
      <c r="AZ123" s="43"/>
      <c r="BA123" s="43"/>
      <c r="BB123" s="43"/>
      <c r="BC123" s="43"/>
    </row>
    <row r="124" spans="2:55" s="162" customFormat="1" ht="20" customHeight="1">
      <c r="AP124" s="3" t="s">
        <v>460</v>
      </c>
      <c r="AR124" s="163"/>
      <c r="AS124" s="164"/>
      <c r="AT124" s="164"/>
      <c r="AU124" s="164"/>
      <c r="AV124" s="164"/>
      <c r="AW124" s="164"/>
      <c r="AX124" s="164"/>
      <c r="AY124" s="164"/>
      <c r="AZ124" s="164"/>
    </row>
  </sheetData>
  <mergeCells count="336">
    <mergeCell ref="B76:J76"/>
    <mergeCell ref="K76:L76"/>
    <mergeCell ref="B78:L78"/>
    <mergeCell ref="B79:L79"/>
    <mergeCell ref="K71:L71"/>
    <mergeCell ref="B72:J72"/>
    <mergeCell ref="K72:L72"/>
    <mergeCell ref="B73:J73"/>
    <mergeCell ref="K73:L73"/>
    <mergeCell ref="B75:J75"/>
    <mergeCell ref="K75:L75"/>
    <mergeCell ref="B66:J66"/>
    <mergeCell ref="K66:L66"/>
    <mergeCell ref="B67:J67"/>
    <mergeCell ref="K67:L67"/>
    <mergeCell ref="B69:D71"/>
    <mergeCell ref="E69:J69"/>
    <mergeCell ref="K69:L69"/>
    <mergeCell ref="E70:J70"/>
    <mergeCell ref="K70:L70"/>
    <mergeCell ref="E71:J71"/>
    <mergeCell ref="B61:J61"/>
    <mergeCell ref="K61:L61"/>
    <mergeCell ref="B62:J62"/>
    <mergeCell ref="K62:L62"/>
    <mergeCell ref="B64:D65"/>
    <mergeCell ref="E64:J64"/>
    <mergeCell ref="K64:L64"/>
    <mergeCell ref="E65:J65"/>
    <mergeCell ref="K65:L65"/>
    <mergeCell ref="B55:J55"/>
    <mergeCell ref="K55:L55"/>
    <mergeCell ref="B56:J56"/>
    <mergeCell ref="K56:L56"/>
    <mergeCell ref="B58:D60"/>
    <mergeCell ref="E58:J58"/>
    <mergeCell ref="K58:L58"/>
    <mergeCell ref="E59:J59"/>
    <mergeCell ref="K59:L59"/>
    <mergeCell ref="E60:J60"/>
    <mergeCell ref="K60:L60"/>
    <mergeCell ref="B50:L50"/>
    <mergeCell ref="B51:L51"/>
    <mergeCell ref="B53:D54"/>
    <mergeCell ref="E53:J53"/>
    <mergeCell ref="K53:L53"/>
    <mergeCell ref="E54:J54"/>
    <mergeCell ref="K54:L54"/>
    <mergeCell ref="V46:Z47"/>
    <mergeCell ref="AA46:AC47"/>
    <mergeCell ref="B49:L49"/>
    <mergeCell ref="AI41:AJ41"/>
    <mergeCell ref="AK41:AL41"/>
    <mergeCell ref="AO41:AP41"/>
    <mergeCell ref="B43:AP43"/>
    <mergeCell ref="V45:Z45"/>
    <mergeCell ref="AA45:AC45"/>
    <mergeCell ref="AD45:AH45"/>
    <mergeCell ref="AI45:AL45"/>
    <mergeCell ref="AM45:AP45"/>
    <mergeCell ref="B41:I41"/>
    <mergeCell ref="L41:M41"/>
    <mergeCell ref="N41:O41"/>
    <mergeCell ref="P41:Q41"/>
    <mergeCell ref="T41:U41"/>
    <mergeCell ref="W41:AD41"/>
    <mergeCell ref="AD46:AH47"/>
    <mergeCell ref="AI46:AL47"/>
    <mergeCell ref="AM46:AP47"/>
    <mergeCell ref="AO39:AP39"/>
    <mergeCell ref="D40:I40"/>
    <mergeCell ref="L40:M40"/>
    <mergeCell ref="N40:O40"/>
    <mergeCell ref="P40:Q40"/>
    <mergeCell ref="T40:U40"/>
    <mergeCell ref="Y40:AD40"/>
    <mergeCell ref="AG40:AH40"/>
    <mergeCell ref="AI40:AJ40"/>
    <mergeCell ref="AK40:AL40"/>
    <mergeCell ref="AO40:AP40"/>
    <mergeCell ref="D39:I39"/>
    <mergeCell ref="L39:M39"/>
    <mergeCell ref="N39:O39"/>
    <mergeCell ref="P39:Q39"/>
    <mergeCell ref="T39:U39"/>
    <mergeCell ref="Y39:AD39"/>
    <mergeCell ref="AG39:AH39"/>
    <mergeCell ref="AI39:AJ39"/>
    <mergeCell ref="AK39:AL39"/>
    <mergeCell ref="AG41:AH41"/>
    <mergeCell ref="AO37:AP37"/>
    <mergeCell ref="D38:I38"/>
    <mergeCell ref="L38:M38"/>
    <mergeCell ref="N38:O38"/>
    <mergeCell ref="P38:Q38"/>
    <mergeCell ref="T38:U38"/>
    <mergeCell ref="Y38:AD38"/>
    <mergeCell ref="AG38:AH38"/>
    <mergeCell ref="AI38:AJ38"/>
    <mergeCell ref="AK38:AL38"/>
    <mergeCell ref="AO38:AP38"/>
    <mergeCell ref="D37:I37"/>
    <mergeCell ref="L37:M37"/>
    <mergeCell ref="N37:O37"/>
    <mergeCell ref="P37:Q37"/>
    <mergeCell ref="T37:U37"/>
    <mergeCell ref="Y37:AD37"/>
    <mergeCell ref="AG37:AH37"/>
    <mergeCell ref="AI37:AJ37"/>
    <mergeCell ref="AK37:AL37"/>
    <mergeCell ref="AG34:AH34"/>
    <mergeCell ref="AI34:AJ34"/>
    <mergeCell ref="AG35:AH35"/>
    <mergeCell ref="AI35:AJ35"/>
    <mergeCell ref="AK35:AL35"/>
    <mergeCell ref="AO35:AP35"/>
    <mergeCell ref="D36:I36"/>
    <mergeCell ref="L36:M36"/>
    <mergeCell ref="N36:O36"/>
    <mergeCell ref="P36:Q36"/>
    <mergeCell ref="T36:U36"/>
    <mergeCell ref="Y36:AD36"/>
    <mergeCell ref="AG36:AH36"/>
    <mergeCell ref="AI36:AJ36"/>
    <mergeCell ref="AK36:AL36"/>
    <mergeCell ref="AO36:AP36"/>
    <mergeCell ref="B33:C34"/>
    <mergeCell ref="D33:I34"/>
    <mergeCell ref="J33:M33"/>
    <mergeCell ref="N33:Q33"/>
    <mergeCell ref="R33:U33"/>
    <mergeCell ref="W33:X34"/>
    <mergeCell ref="AK34:AL34"/>
    <mergeCell ref="AO34:AP34"/>
    <mergeCell ref="B35:C40"/>
    <mergeCell ref="D35:I35"/>
    <mergeCell ref="L35:M35"/>
    <mergeCell ref="N35:O35"/>
    <mergeCell ref="P35:Q35"/>
    <mergeCell ref="T35:U35"/>
    <mergeCell ref="W35:X40"/>
    <mergeCell ref="Y35:AD35"/>
    <mergeCell ref="Y33:AD34"/>
    <mergeCell ref="AE33:AH33"/>
    <mergeCell ref="AI33:AL33"/>
    <mergeCell ref="AM33:AP33"/>
    <mergeCell ref="L34:M34"/>
    <mergeCell ref="N34:O34"/>
    <mergeCell ref="P34:Q34"/>
    <mergeCell ref="T34:U34"/>
    <mergeCell ref="AO30:AP30"/>
    <mergeCell ref="B31:I31"/>
    <mergeCell ref="L31:M31"/>
    <mergeCell ref="N31:O31"/>
    <mergeCell ref="P31:Q31"/>
    <mergeCell ref="T31:U31"/>
    <mergeCell ref="W31:AD31"/>
    <mergeCell ref="B22:C30"/>
    <mergeCell ref="D22:I22"/>
    <mergeCell ref="L22:M22"/>
    <mergeCell ref="N22:O22"/>
    <mergeCell ref="P22:Q22"/>
    <mergeCell ref="T22:U22"/>
    <mergeCell ref="AG31:AH31"/>
    <mergeCell ref="AI31:AJ31"/>
    <mergeCell ref="AK31:AL31"/>
    <mergeCell ref="AO31:AP31"/>
    <mergeCell ref="D30:I30"/>
    <mergeCell ref="L30:M30"/>
    <mergeCell ref="N30:O30"/>
    <mergeCell ref="P30:Q30"/>
    <mergeCell ref="T30:U30"/>
    <mergeCell ref="Y30:AD30"/>
    <mergeCell ref="AG30:AH30"/>
    <mergeCell ref="AI30:AJ30"/>
    <mergeCell ref="AK30:AL30"/>
    <mergeCell ref="D29:I29"/>
    <mergeCell ref="L29:M29"/>
    <mergeCell ref="N29:O29"/>
    <mergeCell ref="P29:Q29"/>
    <mergeCell ref="T29:U29"/>
    <mergeCell ref="Y29:AD29"/>
    <mergeCell ref="AG29:AH29"/>
    <mergeCell ref="AI29:AJ29"/>
    <mergeCell ref="AK29:AL29"/>
    <mergeCell ref="D28:I28"/>
    <mergeCell ref="L28:M28"/>
    <mergeCell ref="N28:O28"/>
    <mergeCell ref="P28:Q28"/>
    <mergeCell ref="T28:U28"/>
    <mergeCell ref="Y28:AD28"/>
    <mergeCell ref="AG28:AH28"/>
    <mergeCell ref="AI28:AJ28"/>
    <mergeCell ref="AK28:AL28"/>
    <mergeCell ref="D27:I27"/>
    <mergeCell ref="L27:M27"/>
    <mergeCell ref="N27:O27"/>
    <mergeCell ref="P27:Q27"/>
    <mergeCell ref="T27:U27"/>
    <mergeCell ref="Y27:AD27"/>
    <mergeCell ref="AG27:AH27"/>
    <mergeCell ref="AI27:AJ27"/>
    <mergeCell ref="AK27:AL27"/>
    <mergeCell ref="D26:I26"/>
    <mergeCell ref="L26:M26"/>
    <mergeCell ref="N26:O26"/>
    <mergeCell ref="P26:Q26"/>
    <mergeCell ref="T26:U26"/>
    <mergeCell ref="Y26:AD26"/>
    <mergeCell ref="D25:I25"/>
    <mergeCell ref="L25:M25"/>
    <mergeCell ref="N25:O25"/>
    <mergeCell ref="P25:Q25"/>
    <mergeCell ref="T25:U25"/>
    <mergeCell ref="Y25:AD25"/>
    <mergeCell ref="D24:I24"/>
    <mergeCell ref="L24:M24"/>
    <mergeCell ref="N24:O24"/>
    <mergeCell ref="P24:Q24"/>
    <mergeCell ref="T24:U24"/>
    <mergeCell ref="Y24:AD24"/>
    <mergeCell ref="T23:U23"/>
    <mergeCell ref="Y23:AD23"/>
    <mergeCell ref="AG23:AH23"/>
    <mergeCell ref="D23:I23"/>
    <mergeCell ref="L23:M23"/>
    <mergeCell ref="N23:O23"/>
    <mergeCell ref="P23:Q23"/>
    <mergeCell ref="AI23:AJ23"/>
    <mergeCell ref="AK23:AL23"/>
    <mergeCell ref="AO23:AP23"/>
    <mergeCell ref="W22:X30"/>
    <mergeCell ref="Y22:AD22"/>
    <mergeCell ref="AG22:AH22"/>
    <mergeCell ref="AI22:AJ22"/>
    <mergeCell ref="AK22:AL22"/>
    <mergeCell ref="AO22:AP22"/>
    <mergeCell ref="AG24:AH24"/>
    <mergeCell ref="AI24:AJ24"/>
    <mergeCell ref="AK24:AL24"/>
    <mergeCell ref="AO24:AP24"/>
    <mergeCell ref="AG25:AH25"/>
    <mergeCell ref="AI25:AJ25"/>
    <mergeCell ref="AK25:AL25"/>
    <mergeCell ref="AO25:AP25"/>
    <mergeCell ref="AG26:AH26"/>
    <mergeCell ref="AI26:AJ26"/>
    <mergeCell ref="AK26:AL26"/>
    <mergeCell ref="AO26:AP26"/>
    <mergeCell ref="AO27:AP27"/>
    <mergeCell ref="AO28:AP28"/>
    <mergeCell ref="AO29:AP29"/>
    <mergeCell ref="T21:U21"/>
    <mergeCell ref="AG21:AH21"/>
    <mergeCell ref="AI21:AJ21"/>
    <mergeCell ref="AK21:AL21"/>
    <mergeCell ref="AO21:AP21"/>
    <mergeCell ref="R20:U20"/>
    <mergeCell ref="W20:X21"/>
    <mergeCell ref="Y20:AD21"/>
    <mergeCell ref="AE20:AH20"/>
    <mergeCell ref="AI20:AL20"/>
    <mergeCell ref="AM20:AP20"/>
    <mergeCell ref="B16:F16"/>
    <mergeCell ref="G16:L16"/>
    <mergeCell ref="M16:N16"/>
    <mergeCell ref="B19:G19"/>
    <mergeCell ref="B20:C21"/>
    <mergeCell ref="D20:I21"/>
    <mergeCell ref="J20:M20"/>
    <mergeCell ref="N20:Q20"/>
    <mergeCell ref="L21:M21"/>
    <mergeCell ref="N21:O21"/>
    <mergeCell ref="P21:Q21"/>
    <mergeCell ref="B14:F14"/>
    <mergeCell ref="G14:H14"/>
    <mergeCell ref="I14:J14"/>
    <mergeCell ref="K14:L14"/>
    <mergeCell ref="M14:N14"/>
    <mergeCell ref="B15:F15"/>
    <mergeCell ref="G15:J15"/>
    <mergeCell ref="K15:L15"/>
    <mergeCell ref="M15:N15"/>
    <mergeCell ref="B12:F12"/>
    <mergeCell ref="G12:H12"/>
    <mergeCell ref="I12:J12"/>
    <mergeCell ref="K12:L12"/>
    <mergeCell ref="M12:N12"/>
    <mergeCell ref="B13:F13"/>
    <mergeCell ref="G13:H13"/>
    <mergeCell ref="I13:J13"/>
    <mergeCell ref="K13:L13"/>
    <mergeCell ref="M13:N13"/>
    <mergeCell ref="B9:F10"/>
    <mergeCell ref="G9:H10"/>
    <mergeCell ref="I9:J10"/>
    <mergeCell ref="K9:L10"/>
    <mergeCell ref="M9:N10"/>
    <mergeCell ref="B11:F11"/>
    <mergeCell ref="G11:H11"/>
    <mergeCell ref="I11:J11"/>
    <mergeCell ref="K11:L11"/>
    <mergeCell ref="M11:N11"/>
    <mergeCell ref="V5:Z6"/>
    <mergeCell ref="AA5:AC6"/>
    <mergeCell ref="AD5:AH6"/>
    <mergeCell ref="AI5:AL6"/>
    <mergeCell ref="AM5:AP6"/>
    <mergeCell ref="B8:G8"/>
    <mergeCell ref="B2:AP2"/>
    <mergeCell ref="V4:Z4"/>
    <mergeCell ref="AA4:AC4"/>
    <mergeCell ref="AD4:AH4"/>
    <mergeCell ref="AI4:AL4"/>
    <mergeCell ref="AM4:AP4"/>
    <mergeCell ref="B87:D87"/>
    <mergeCell ref="E87:H87"/>
    <mergeCell ref="AL93:AP97"/>
    <mergeCell ref="B99:D99"/>
    <mergeCell ref="E99:H99"/>
    <mergeCell ref="W105:AP109"/>
    <mergeCell ref="B111:D111"/>
    <mergeCell ref="E111:H111"/>
    <mergeCell ref="B118:D118"/>
    <mergeCell ref="E118:H118"/>
    <mergeCell ref="B81:AP81"/>
    <mergeCell ref="V83:Z83"/>
    <mergeCell ref="AA83:AC83"/>
    <mergeCell ref="AD83:AH83"/>
    <mergeCell ref="AI83:AL83"/>
    <mergeCell ref="AM83:AP83"/>
    <mergeCell ref="V84:Z85"/>
    <mergeCell ref="AA84:AC85"/>
    <mergeCell ref="AD84:AH85"/>
    <mergeCell ref="AI84:AL85"/>
    <mergeCell ref="AM84:AP85"/>
  </mergeCells>
  <phoneticPr fontId="3" type="noConversion"/>
  <printOptions horizontalCentered="1"/>
  <pageMargins left="0.31496062992126" right="0.31496062992126" top="0.10433070899999999" bottom="0.196850393700787" header="0.27559055118110198" footer="0.15748031496063"/>
  <pageSetup scale="76" fitToHeight="3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환산표">
    <pageSetUpPr fitToPage="1"/>
  </sheetPr>
  <dimension ref="B2:J40"/>
  <sheetViews>
    <sheetView workbookViewId="0"/>
  </sheetViews>
  <sheetFormatPr baseColWidth="10" defaultColWidth="9" defaultRowHeight="15"/>
  <cols>
    <col min="1" max="1" width="4.1640625" style="43" customWidth="1"/>
    <col min="2" max="2" width="9.83203125" style="43" customWidth="1"/>
    <col min="3" max="9" width="12.83203125" style="43" customWidth="1"/>
    <col min="10" max="10" width="9.83203125" style="43" customWidth="1"/>
    <col min="11" max="16384" width="9" style="43"/>
  </cols>
  <sheetData>
    <row r="2" spans="2:10" ht="29.25" customHeight="1">
      <c r="B2" s="419" t="s">
        <v>91</v>
      </c>
      <c r="C2" s="419"/>
      <c r="D2" s="419"/>
      <c r="E2" s="419"/>
      <c r="F2" s="419"/>
      <c r="G2" s="419"/>
      <c r="H2" s="419"/>
      <c r="I2" s="419"/>
      <c r="J2" s="419"/>
    </row>
    <row r="3" spans="2:10" ht="27.75" customHeight="1">
      <c r="B3" s="420" t="s">
        <v>74</v>
      </c>
      <c r="C3" s="61" t="s">
        <v>75</v>
      </c>
      <c r="D3" s="61" t="s">
        <v>418</v>
      </c>
      <c r="E3" s="61" t="s">
        <v>76</v>
      </c>
      <c r="F3" s="44" t="s">
        <v>77</v>
      </c>
      <c r="G3" s="44" t="s">
        <v>78</v>
      </c>
      <c r="H3" s="422" t="s">
        <v>92</v>
      </c>
      <c r="I3" s="423"/>
      <c r="J3" s="420" t="s">
        <v>74</v>
      </c>
    </row>
    <row r="4" spans="2:10" ht="43.5" customHeight="1">
      <c r="B4" s="421"/>
      <c r="C4" s="45" t="s">
        <v>75</v>
      </c>
      <c r="D4" s="45" t="s">
        <v>418</v>
      </c>
      <c r="E4" s="45" t="s">
        <v>76</v>
      </c>
      <c r="F4" s="45" t="s">
        <v>77</v>
      </c>
      <c r="G4" s="45" t="s">
        <v>78</v>
      </c>
      <c r="H4" s="45" t="s">
        <v>92</v>
      </c>
      <c r="I4" s="46" t="s">
        <v>93</v>
      </c>
      <c r="J4" s="421"/>
    </row>
    <row r="5" spans="2:10" ht="18.75" customHeight="1">
      <c r="B5" s="60" t="s">
        <v>94</v>
      </c>
      <c r="C5" s="47" t="s">
        <v>95</v>
      </c>
      <c r="D5" s="47" t="s">
        <v>95</v>
      </c>
      <c r="E5" s="47" t="s">
        <v>95</v>
      </c>
      <c r="F5" s="47" t="s">
        <v>95</v>
      </c>
      <c r="G5" s="47" t="s">
        <v>95</v>
      </c>
      <c r="H5" s="47" t="s">
        <v>95</v>
      </c>
      <c r="I5" s="48"/>
      <c r="J5" s="60" t="s">
        <v>94</v>
      </c>
    </row>
    <row r="6" spans="2:10" ht="18.75" customHeight="1">
      <c r="B6" s="60" t="s">
        <v>96</v>
      </c>
      <c r="C6" s="49" t="s">
        <v>95</v>
      </c>
      <c r="D6" s="49" t="s">
        <v>95</v>
      </c>
      <c r="E6" s="49" t="s">
        <v>95</v>
      </c>
      <c r="F6" s="49" t="s">
        <v>95</v>
      </c>
      <c r="G6" s="49" t="s">
        <v>95</v>
      </c>
      <c r="H6" s="49" t="s">
        <v>95</v>
      </c>
      <c r="I6" s="50"/>
      <c r="J6" s="60" t="s">
        <v>96</v>
      </c>
    </row>
    <row r="7" spans="2:10" ht="18.75" customHeight="1">
      <c r="B7" s="60" t="s">
        <v>97</v>
      </c>
      <c r="C7" s="47" t="s">
        <v>98</v>
      </c>
      <c r="D7" s="47" t="s">
        <v>95</v>
      </c>
      <c r="E7" s="47" t="s">
        <v>95</v>
      </c>
      <c r="F7" s="47" t="s">
        <v>95</v>
      </c>
      <c r="G7" s="47" t="s">
        <v>95</v>
      </c>
      <c r="H7" s="47" t="s">
        <v>95</v>
      </c>
      <c r="I7" s="48"/>
      <c r="J7" s="60" t="s">
        <v>97</v>
      </c>
    </row>
    <row r="8" spans="2:10" ht="18.75" customHeight="1">
      <c r="B8" s="60" t="s">
        <v>99</v>
      </c>
      <c r="C8" s="49" t="s">
        <v>100</v>
      </c>
      <c r="D8" s="49" t="s">
        <v>98</v>
      </c>
      <c r="E8" s="49" t="s">
        <v>100</v>
      </c>
      <c r="F8" s="49" t="s">
        <v>95</v>
      </c>
      <c r="G8" s="49" t="s">
        <v>95</v>
      </c>
      <c r="H8" s="49" t="s">
        <v>95</v>
      </c>
      <c r="I8" s="50"/>
      <c r="J8" s="60" t="s">
        <v>99</v>
      </c>
    </row>
    <row r="9" spans="2:10" ht="18.75" customHeight="1">
      <c r="B9" s="60" t="s">
        <v>101</v>
      </c>
      <c r="C9" s="47" t="s">
        <v>102</v>
      </c>
      <c r="D9" s="47" t="s">
        <v>100</v>
      </c>
      <c r="E9" s="47" t="s">
        <v>103</v>
      </c>
      <c r="F9" s="47" t="s">
        <v>98</v>
      </c>
      <c r="G9" s="47" t="s">
        <v>98</v>
      </c>
      <c r="H9" s="47" t="s">
        <v>95</v>
      </c>
      <c r="I9" s="48"/>
      <c r="J9" s="60" t="s">
        <v>101</v>
      </c>
    </row>
    <row r="10" spans="2:10" ht="18.75" customHeight="1">
      <c r="B10" s="60" t="s">
        <v>104</v>
      </c>
      <c r="C10" s="49" t="s">
        <v>105</v>
      </c>
      <c r="D10" s="49" t="s">
        <v>102</v>
      </c>
      <c r="E10" s="49" t="s">
        <v>106</v>
      </c>
      <c r="F10" s="49" t="s">
        <v>98</v>
      </c>
      <c r="G10" s="49" t="s">
        <v>100</v>
      </c>
      <c r="H10" s="49" t="s">
        <v>98</v>
      </c>
      <c r="I10" s="50"/>
      <c r="J10" s="60" t="s">
        <v>104</v>
      </c>
    </row>
    <row r="11" spans="2:10" ht="18.75" customHeight="1">
      <c r="B11" s="60" t="s">
        <v>107</v>
      </c>
      <c r="C11" s="47" t="s">
        <v>108</v>
      </c>
      <c r="D11" s="47" t="s">
        <v>103</v>
      </c>
      <c r="E11" s="47" t="s">
        <v>109</v>
      </c>
      <c r="F11" s="47" t="s">
        <v>100</v>
      </c>
      <c r="G11" s="47" t="s">
        <v>102</v>
      </c>
      <c r="H11" s="47" t="s">
        <v>103</v>
      </c>
      <c r="I11" s="48"/>
      <c r="J11" s="60" t="s">
        <v>107</v>
      </c>
    </row>
    <row r="12" spans="2:10" ht="18.75" customHeight="1">
      <c r="B12" s="60" t="s">
        <v>110</v>
      </c>
      <c r="C12" s="49" t="s">
        <v>111</v>
      </c>
      <c r="D12" s="49" t="s">
        <v>106</v>
      </c>
      <c r="E12" s="49" t="s">
        <v>112</v>
      </c>
      <c r="F12" s="49" t="s">
        <v>103</v>
      </c>
      <c r="G12" s="49" t="s">
        <v>105</v>
      </c>
      <c r="H12" s="49" t="s">
        <v>106</v>
      </c>
      <c r="I12" s="50"/>
      <c r="J12" s="60" t="s">
        <v>110</v>
      </c>
    </row>
    <row r="13" spans="2:10" ht="18.75" customHeight="1">
      <c r="B13" s="60" t="s">
        <v>113</v>
      </c>
      <c r="C13" s="47" t="s">
        <v>112</v>
      </c>
      <c r="D13" s="47" t="s">
        <v>109</v>
      </c>
      <c r="E13" s="47" t="s">
        <v>114</v>
      </c>
      <c r="F13" s="47" t="s">
        <v>105</v>
      </c>
      <c r="G13" s="47" t="s">
        <v>109</v>
      </c>
      <c r="H13" s="47" t="s">
        <v>111</v>
      </c>
      <c r="I13" s="48"/>
      <c r="J13" s="60" t="s">
        <v>113</v>
      </c>
    </row>
    <row r="14" spans="2:10" ht="18.75" customHeight="1">
      <c r="B14" s="60" t="s">
        <v>115</v>
      </c>
      <c r="C14" s="49" t="s">
        <v>114</v>
      </c>
      <c r="D14" s="49" t="s">
        <v>112</v>
      </c>
      <c r="E14" s="49" t="s">
        <v>116</v>
      </c>
      <c r="F14" s="49" t="s">
        <v>109</v>
      </c>
      <c r="G14" s="49" t="s">
        <v>112</v>
      </c>
      <c r="H14" s="49" t="s">
        <v>117</v>
      </c>
      <c r="I14" s="50"/>
      <c r="J14" s="60" t="s">
        <v>115</v>
      </c>
    </row>
    <row r="15" spans="2:10" ht="18.75" customHeight="1">
      <c r="B15" s="60" t="s">
        <v>118</v>
      </c>
      <c r="C15" s="47" t="s">
        <v>119</v>
      </c>
      <c r="D15" s="47" t="s">
        <v>120</v>
      </c>
      <c r="E15" s="47" t="s">
        <v>121</v>
      </c>
      <c r="F15" s="47" t="s">
        <v>112</v>
      </c>
      <c r="G15" s="47" t="s">
        <v>120</v>
      </c>
      <c r="H15" s="47" t="s">
        <v>120</v>
      </c>
      <c r="I15" s="48"/>
      <c r="J15" s="60" t="s">
        <v>118</v>
      </c>
    </row>
    <row r="16" spans="2:10" ht="18.75" customHeight="1">
      <c r="B16" s="60" t="s">
        <v>122</v>
      </c>
      <c r="C16" s="49" t="s">
        <v>121</v>
      </c>
      <c r="D16" s="49" t="s">
        <v>123</v>
      </c>
      <c r="E16" s="49" t="s">
        <v>124</v>
      </c>
      <c r="F16" s="49" t="s">
        <v>120</v>
      </c>
      <c r="G16" s="49" t="s">
        <v>125</v>
      </c>
      <c r="H16" s="49" t="s">
        <v>123</v>
      </c>
      <c r="I16" s="50"/>
      <c r="J16" s="60" t="s">
        <v>122</v>
      </c>
    </row>
    <row r="17" spans="2:10" ht="18.75" customHeight="1">
      <c r="B17" s="60" t="s">
        <v>126</v>
      </c>
      <c r="C17" s="47" t="s">
        <v>124</v>
      </c>
      <c r="D17" s="47" t="s">
        <v>127</v>
      </c>
      <c r="E17" s="47" t="s">
        <v>128</v>
      </c>
      <c r="F17" s="47" t="s">
        <v>129</v>
      </c>
      <c r="G17" s="47" t="s">
        <v>124</v>
      </c>
      <c r="H17" s="47" t="s">
        <v>124</v>
      </c>
      <c r="I17" s="48"/>
      <c r="J17" s="60" t="s">
        <v>126</v>
      </c>
    </row>
    <row r="18" spans="2:10" ht="18.75" customHeight="1">
      <c r="B18" s="60" t="s">
        <v>130</v>
      </c>
      <c r="C18" s="49" t="s">
        <v>131</v>
      </c>
      <c r="D18" s="49" t="s">
        <v>132</v>
      </c>
      <c r="E18" s="49" t="s">
        <v>133</v>
      </c>
      <c r="F18" s="49" t="s">
        <v>134</v>
      </c>
      <c r="G18" s="49" t="s">
        <v>135</v>
      </c>
      <c r="H18" s="49" t="s">
        <v>135</v>
      </c>
      <c r="I18" s="50"/>
      <c r="J18" s="60" t="s">
        <v>130</v>
      </c>
    </row>
    <row r="19" spans="2:10" ht="18.75" customHeight="1">
      <c r="B19" s="60" t="s">
        <v>136</v>
      </c>
      <c r="C19" s="47" t="s">
        <v>137</v>
      </c>
      <c r="D19" s="47" t="s">
        <v>138</v>
      </c>
      <c r="E19" s="47" t="s">
        <v>139</v>
      </c>
      <c r="F19" s="47" t="s">
        <v>140</v>
      </c>
      <c r="G19" s="47" t="s">
        <v>141</v>
      </c>
      <c r="H19" s="47" t="s">
        <v>138</v>
      </c>
      <c r="I19" s="48"/>
      <c r="J19" s="60" t="s">
        <v>136</v>
      </c>
    </row>
    <row r="20" spans="2:10" ht="18.75" customHeight="1">
      <c r="B20" s="60" t="s">
        <v>142</v>
      </c>
      <c r="C20" s="49" t="s">
        <v>143</v>
      </c>
      <c r="D20" s="49" t="s">
        <v>144</v>
      </c>
      <c r="E20" s="49" t="s">
        <v>145</v>
      </c>
      <c r="F20" s="49" t="s">
        <v>146</v>
      </c>
      <c r="G20" s="49" t="s">
        <v>144</v>
      </c>
      <c r="H20" s="49" t="s">
        <v>144</v>
      </c>
      <c r="I20" s="50"/>
      <c r="J20" s="60" t="s">
        <v>142</v>
      </c>
    </row>
    <row r="21" spans="2:10" ht="18.75" customHeight="1">
      <c r="B21" s="60" t="s">
        <v>147</v>
      </c>
      <c r="C21" s="47" t="s">
        <v>148</v>
      </c>
      <c r="D21" s="47" t="s">
        <v>149</v>
      </c>
      <c r="E21" s="47" t="s">
        <v>150</v>
      </c>
      <c r="F21" s="47" t="s">
        <v>150</v>
      </c>
      <c r="G21" s="47" t="s">
        <v>150</v>
      </c>
      <c r="H21" s="47" t="s">
        <v>151</v>
      </c>
      <c r="I21" s="48"/>
      <c r="J21" s="60" t="s">
        <v>147</v>
      </c>
    </row>
    <row r="22" spans="2:10" ht="18.75" customHeight="1">
      <c r="B22" s="60" t="s">
        <v>152</v>
      </c>
      <c r="C22" s="49" t="s">
        <v>153</v>
      </c>
      <c r="D22" s="49" t="s">
        <v>151</v>
      </c>
      <c r="E22" s="49" t="s">
        <v>154</v>
      </c>
      <c r="F22" s="49" t="s">
        <v>155</v>
      </c>
      <c r="G22" s="49" t="s">
        <v>154</v>
      </c>
      <c r="H22" s="49" t="s">
        <v>156</v>
      </c>
      <c r="I22" s="50"/>
      <c r="J22" s="60" t="s">
        <v>152</v>
      </c>
    </row>
    <row r="23" spans="2:10" ht="18.75" customHeight="1">
      <c r="B23" s="60" t="s">
        <v>157</v>
      </c>
      <c r="C23" s="47" t="s">
        <v>155</v>
      </c>
      <c r="D23" s="47" t="s">
        <v>154</v>
      </c>
      <c r="E23" s="47" t="s">
        <v>96</v>
      </c>
      <c r="F23" s="47" t="s">
        <v>107</v>
      </c>
      <c r="G23" s="47" t="s">
        <v>97</v>
      </c>
      <c r="H23" s="47" t="s">
        <v>97</v>
      </c>
      <c r="I23" s="48"/>
      <c r="J23" s="60" t="s">
        <v>157</v>
      </c>
    </row>
    <row r="24" spans="2:10" ht="18.75" customHeight="1">
      <c r="B24" s="60" t="s">
        <v>158</v>
      </c>
      <c r="C24" s="49" t="s">
        <v>97</v>
      </c>
      <c r="D24" s="49" t="s">
        <v>97</v>
      </c>
      <c r="E24" s="49" t="s">
        <v>107</v>
      </c>
      <c r="F24" s="49" t="s">
        <v>130</v>
      </c>
      <c r="G24" s="49" t="s">
        <v>115</v>
      </c>
      <c r="H24" s="49" t="s">
        <v>113</v>
      </c>
      <c r="I24" s="50"/>
      <c r="J24" s="60" t="s">
        <v>158</v>
      </c>
    </row>
    <row r="25" spans="2:10" ht="18.75" customHeight="1">
      <c r="B25" s="60" t="s">
        <v>159</v>
      </c>
      <c r="C25" s="47" t="s">
        <v>110</v>
      </c>
      <c r="D25" s="47" t="s">
        <v>118</v>
      </c>
      <c r="E25" s="47" t="s">
        <v>122</v>
      </c>
      <c r="F25" s="47" t="s">
        <v>157</v>
      </c>
      <c r="G25" s="47" t="s">
        <v>142</v>
      </c>
      <c r="H25" s="47" t="s">
        <v>130</v>
      </c>
      <c r="I25" s="48"/>
      <c r="J25" s="60" t="s">
        <v>159</v>
      </c>
    </row>
    <row r="26" spans="2:10" ht="18.75" customHeight="1">
      <c r="B26" s="60" t="s">
        <v>160</v>
      </c>
      <c r="C26" s="49" t="s">
        <v>126</v>
      </c>
      <c r="D26" s="49" t="s">
        <v>161</v>
      </c>
      <c r="E26" s="49" t="s">
        <v>152</v>
      </c>
      <c r="F26" s="49" t="s">
        <v>161</v>
      </c>
      <c r="G26" s="49" t="s">
        <v>160</v>
      </c>
      <c r="H26" s="49" t="s">
        <v>157</v>
      </c>
      <c r="I26" s="50"/>
      <c r="J26" s="60" t="s">
        <v>160</v>
      </c>
    </row>
    <row r="27" spans="2:10" ht="18.75" customHeight="1">
      <c r="B27" s="60" t="s">
        <v>161</v>
      </c>
      <c r="C27" s="47" t="s">
        <v>152</v>
      </c>
      <c r="D27" s="47" t="s">
        <v>162</v>
      </c>
      <c r="E27" s="47" t="s">
        <v>161</v>
      </c>
      <c r="F27" s="47" t="s">
        <v>163</v>
      </c>
      <c r="G27" s="47" t="s">
        <v>163</v>
      </c>
      <c r="H27" s="47" t="s">
        <v>161</v>
      </c>
      <c r="I27" s="48"/>
      <c r="J27" s="60" t="s">
        <v>161</v>
      </c>
    </row>
    <row r="28" spans="2:10" ht="18.75" customHeight="1">
      <c r="B28" s="60" t="s">
        <v>164</v>
      </c>
      <c r="C28" s="49" t="s">
        <v>161</v>
      </c>
      <c r="D28" s="49" t="s">
        <v>165</v>
      </c>
      <c r="E28" s="49" t="s">
        <v>163</v>
      </c>
      <c r="F28" s="49" t="s">
        <v>166</v>
      </c>
      <c r="G28" s="49" t="s">
        <v>167</v>
      </c>
      <c r="H28" s="49" t="s">
        <v>163</v>
      </c>
      <c r="I28" s="50"/>
      <c r="J28" s="60" t="s">
        <v>164</v>
      </c>
    </row>
    <row r="29" spans="2:10" ht="18.75" customHeight="1">
      <c r="B29" s="60" t="s">
        <v>168</v>
      </c>
      <c r="C29" s="47" t="s">
        <v>168</v>
      </c>
      <c r="D29" s="47" t="s">
        <v>169</v>
      </c>
      <c r="E29" s="47" t="s">
        <v>167</v>
      </c>
      <c r="F29" s="47" t="s">
        <v>162</v>
      </c>
      <c r="G29" s="47" t="s">
        <v>171</v>
      </c>
      <c r="H29" s="47" t="s">
        <v>166</v>
      </c>
      <c r="I29" s="48" t="s">
        <v>95</v>
      </c>
      <c r="J29" s="60" t="s">
        <v>168</v>
      </c>
    </row>
    <row r="30" spans="2:10" ht="18.75" customHeight="1">
      <c r="B30" s="60" t="s">
        <v>172</v>
      </c>
      <c r="C30" s="49" t="s">
        <v>173</v>
      </c>
      <c r="D30" s="49" t="s">
        <v>169</v>
      </c>
      <c r="E30" s="49" t="s">
        <v>171</v>
      </c>
      <c r="F30" s="49" t="s">
        <v>171</v>
      </c>
      <c r="G30" s="49" t="s">
        <v>169</v>
      </c>
      <c r="H30" s="49" t="s">
        <v>162</v>
      </c>
      <c r="I30" s="50" t="s">
        <v>95</v>
      </c>
      <c r="J30" s="60" t="s">
        <v>172</v>
      </c>
    </row>
    <row r="31" spans="2:10" ht="18.75" customHeight="1">
      <c r="B31" s="60" t="s">
        <v>163</v>
      </c>
      <c r="C31" s="47" t="s">
        <v>167</v>
      </c>
      <c r="D31" s="47" t="s">
        <v>169</v>
      </c>
      <c r="E31" s="47" t="s">
        <v>169</v>
      </c>
      <c r="F31" s="47" t="s">
        <v>169</v>
      </c>
      <c r="G31" s="47" t="s">
        <v>169</v>
      </c>
      <c r="H31" s="47" t="s">
        <v>171</v>
      </c>
      <c r="I31" s="48" t="s">
        <v>95</v>
      </c>
      <c r="J31" s="60" t="s">
        <v>163</v>
      </c>
    </row>
    <row r="32" spans="2:10" ht="18.75" customHeight="1">
      <c r="B32" s="60" t="s">
        <v>176</v>
      </c>
      <c r="C32" s="49" t="s">
        <v>177</v>
      </c>
      <c r="D32" s="49" t="s">
        <v>169</v>
      </c>
      <c r="E32" s="49" t="s">
        <v>169</v>
      </c>
      <c r="F32" s="49" t="s">
        <v>169</v>
      </c>
      <c r="G32" s="49" t="s">
        <v>169</v>
      </c>
      <c r="H32" s="49" t="s">
        <v>165</v>
      </c>
      <c r="I32" s="50" t="s">
        <v>106</v>
      </c>
      <c r="J32" s="60" t="s">
        <v>176</v>
      </c>
    </row>
    <row r="33" spans="2:10" ht="18.75" customHeight="1">
      <c r="B33" s="60" t="s">
        <v>180</v>
      </c>
      <c r="C33" s="47" t="s">
        <v>165</v>
      </c>
      <c r="D33" s="47" t="s">
        <v>169</v>
      </c>
      <c r="E33" s="47" t="s">
        <v>169</v>
      </c>
      <c r="F33" s="47" t="s">
        <v>169</v>
      </c>
      <c r="G33" s="47" t="s">
        <v>169</v>
      </c>
      <c r="H33" s="47" t="s">
        <v>169</v>
      </c>
      <c r="I33" s="48" t="s">
        <v>120</v>
      </c>
      <c r="J33" s="60" t="s">
        <v>180</v>
      </c>
    </row>
    <row r="34" spans="2:10" ht="18.75" customHeight="1">
      <c r="B34" s="60" t="s">
        <v>181</v>
      </c>
      <c r="C34" s="49" t="s">
        <v>169</v>
      </c>
      <c r="D34" s="49" t="s">
        <v>169</v>
      </c>
      <c r="E34" s="49" t="s">
        <v>169</v>
      </c>
      <c r="F34" s="49" t="s">
        <v>169</v>
      </c>
      <c r="G34" s="49" t="s">
        <v>169</v>
      </c>
      <c r="H34" s="49" t="s">
        <v>169</v>
      </c>
      <c r="I34" s="50" t="s">
        <v>174</v>
      </c>
      <c r="J34" s="60" t="s">
        <v>181</v>
      </c>
    </row>
    <row r="35" spans="2:10" ht="18.75" customHeight="1">
      <c r="B35" s="60" t="s">
        <v>182</v>
      </c>
      <c r="C35" s="47" t="s">
        <v>169</v>
      </c>
      <c r="D35" s="47" t="s">
        <v>169</v>
      </c>
      <c r="E35" s="47" t="s">
        <v>169</v>
      </c>
      <c r="F35" s="47" t="s">
        <v>169</v>
      </c>
      <c r="G35" s="47" t="s">
        <v>169</v>
      </c>
      <c r="H35" s="47" t="s">
        <v>169</v>
      </c>
      <c r="I35" s="48" t="s">
        <v>96</v>
      </c>
      <c r="J35" s="60" t="s">
        <v>182</v>
      </c>
    </row>
    <row r="36" spans="2:10" ht="18.75" customHeight="1">
      <c r="B36" s="60" t="s">
        <v>183</v>
      </c>
      <c r="C36" s="49" t="s">
        <v>169</v>
      </c>
      <c r="D36" s="49" t="s">
        <v>169</v>
      </c>
      <c r="E36" s="49" t="s">
        <v>169</v>
      </c>
      <c r="F36" s="49" t="s">
        <v>169</v>
      </c>
      <c r="G36" s="49" t="s">
        <v>169</v>
      </c>
      <c r="H36" s="49" t="s">
        <v>169</v>
      </c>
      <c r="I36" s="50" t="s">
        <v>163</v>
      </c>
      <c r="J36" s="60" t="s">
        <v>183</v>
      </c>
    </row>
    <row r="37" spans="2:10" ht="18.75" customHeight="1">
      <c r="B37" s="60" t="s">
        <v>184</v>
      </c>
      <c r="C37" s="47" t="s">
        <v>169</v>
      </c>
      <c r="D37" s="47" t="s">
        <v>169</v>
      </c>
      <c r="E37" s="47" t="s">
        <v>169</v>
      </c>
      <c r="F37" s="47" t="s">
        <v>169</v>
      </c>
      <c r="G37" s="47" t="s">
        <v>169</v>
      </c>
      <c r="H37" s="47" t="s">
        <v>169</v>
      </c>
      <c r="I37" s="52" t="s">
        <v>167</v>
      </c>
      <c r="J37" s="60" t="s">
        <v>184</v>
      </c>
    </row>
    <row r="38" spans="2:10" ht="18.75" customHeight="1">
      <c r="B38" s="60" t="s">
        <v>185</v>
      </c>
      <c r="C38" s="49" t="s">
        <v>169</v>
      </c>
      <c r="D38" s="49" t="s">
        <v>169</v>
      </c>
      <c r="E38" s="49" t="s">
        <v>169</v>
      </c>
      <c r="F38" s="49" t="s">
        <v>169</v>
      </c>
      <c r="G38" s="49" t="s">
        <v>169</v>
      </c>
      <c r="H38" s="49" t="s">
        <v>169</v>
      </c>
      <c r="I38" s="51" t="s">
        <v>165</v>
      </c>
      <c r="J38" s="60" t="s">
        <v>185</v>
      </c>
    </row>
    <row r="39" spans="2:10" ht="18.75" customHeight="1">
      <c r="B39" s="60" t="s">
        <v>186</v>
      </c>
      <c r="C39" s="47" t="s">
        <v>169</v>
      </c>
      <c r="D39" s="47" t="s">
        <v>169</v>
      </c>
      <c r="E39" s="47" t="s">
        <v>169</v>
      </c>
      <c r="F39" s="47" t="s">
        <v>169</v>
      </c>
      <c r="G39" s="47" t="s">
        <v>169</v>
      </c>
      <c r="H39" s="47" t="s">
        <v>169</v>
      </c>
      <c r="I39" s="52" t="s">
        <v>169</v>
      </c>
      <c r="J39" s="60" t="s">
        <v>186</v>
      </c>
    </row>
    <row r="40" spans="2:10" ht="18.75" customHeight="1">
      <c r="B40" s="60" t="s">
        <v>187</v>
      </c>
      <c r="C40" s="49" t="s">
        <v>169</v>
      </c>
      <c r="D40" s="49" t="s">
        <v>169</v>
      </c>
      <c r="E40" s="49" t="s">
        <v>169</v>
      </c>
      <c r="F40" s="49" t="s">
        <v>169</v>
      </c>
      <c r="G40" s="49" t="s">
        <v>169</v>
      </c>
      <c r="H40" s="49" t="s">
        <v>169</v>
      </c>
      <c r="I40" s="50" t="s">
        <v>169</v>
      </c>
      <c r="J40" s="60" t="s">
        <v>187</v>
      </c>
    </row>
  </sheetData>
  <mergeCells count="4">
    <mergeCell ref="B2:J2"/>
    <mergeCell ref="B3:B4"/>
    <mergeCell ref="H3:I3"/>
    <mergeCell ref="J3:J4"/>
  </mergeCells>
  <phoneticPr fontId="3" type="noConversion"/>
  <printOptions horizontalCentered="1"/>
  <pageMargins left="0.23" right="0.23" top="0.43307086614173229" bottom="0.39370078740157483" header="0.31496062992125984" footer="0.31496062992125984"/>
  <pageSetup paperSize="9" scale="6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환산표"/>
  <dimension ref="B2:G40"/>
  <sheetViews>
    <sheetView workbookViewId="0">
      <selection activeCell="F18" sqref="F18"/>
    </sheetView>
  </sheetViews>
  <sheetFormatPr baseColWidth="10" defaultColWidth="9" defaultRowHeight="15"/>
  <cols>
    <col min="1" max="1" width="9" style="43"/>
    <col min="2" max="2" width="9.5" style="43" customWidth="1"/>
    <col min="3" max="6" width="12" style="43" customWidth="1"/>
    <col min="7" max="7" width="9.5" style="43" customWidth="1"/>
    <col min="8" max="16384" width="9" style="43"/>
  </cols>
  <sheetData>
    <row r="2" spans="2:7" ht="29.25" customHeight="1">
      <c r="B2" s="419" t="s">
        <v>188</v>
      </c>
      <c r="C2" s="419"/>
      <c r="D2" s="419"/>
      <c r="E2" s="419"/>
      <c r="F2" s="419"/>
      <c r="G2" s="419"/>
    </row>
    <row r="3" spans="2:7" ht="18.75" customHeight="1">
      <c r="B3" s="420" t="s">
        <v>189</v>
      </c>
      <c r="C3" s="422" t="s">
        <v>190</v>
      </c>
      <c r="D3" s="423"/>
      <c r="E3" s="423"/>
      <c r="F3" s="424"/>
      <c r="G3" s="420" t="s">
        <v>189</v>
      </c>
    </row>
    <row r="4" spans="2:7" ht="18.75" customHeight="1">
      <c r="B4" s="421"/>
      <c r="C4" s="44" t="s">
        <v>75</v>
      </c>
      <c r="D4" s="44" t="s">
        <v>418</v>
      </c>
      <c r="E4" s="44" t="s">
        <v>76</v>
      </c>
      <c r="F4" s="44" t="s">
        <v>77</v>
      </c>
      <c r="G4" s="421"/>
    </row>
    <row r="5" spans="2:7" ht="18.75" customHeight="1">
      <c r="B5" s="60" t="s">
        <v>94</v>
      </c>
      <c r="C5" s="53" t="s">
        <v>170</v>
      </c>
      <c r="D5" s="53" t="s">
        <v>139</v>
      </c>
      <c r="E5" s="53" t="s">
        <v>191</v>
      </c>
      <c r="F5" s="53" t="s">
        <v>156</v>
      </c>
      <c r="G5" s="60" t="s">
        <v>94</v>
      </c>
    </row>
    <row r="6" spans="2:7" ht="18.75" customHeight="1">
      <c r="B6" s="60" t="s">
        <v>96</v>
      </c>
      <c r="C6" s="54" t="s">
        <v>124</v>
      </c>
      <c r="D6" s="54" t="s">
        <v>192</v>
      </c>
      <c r="E6" s="54" t="s">
        <v>155</v>
      </c>
      <c r="F6" s="54" t="s">
        <v>179</v>
      </c>
      <c r="G6" s="60" t="s">
        <v>96</v>
      </c>
    </row>
    <row r="7" spans="2:7" ht="18.75" customHeight="1">
      <c r="B7" s="60" t="s">
        <v>97</v>
      </c>
      <c r="C7" s="53" t="s">
        <v>127</v>
      </c>
      <c r="D7" s="53" t="s">
        <v>143</v>
      </c>
      <c r="E7" s="53" t="s">
        <v>178</v>
      </c>
      <c r="F7" s="53" t="s">
        <v>193</v>
      </c>
      <c r="G7" s="60" t="s">
        <v>97</v>
      </c>
    </row>
    <row r="8" spans="2:7" ht="18.75" customHeight="1">
      <c r="B8" s="60" t="s">
        <v>99</v>
      </c>
      <c r="C8" s="54" t="s">
        <v>194</v>
      </c>
      <c r="D8" s="54" t="s">
        <v>146</v>
      </c>
      <c r="E8" s="54" t="s">
        <v>94</v>
      </c>
      <c r="F8" s="54" t="s">
        <v>155</v>
      </c>
      <c r="G8" s="60" t="s">
        <v>99</v>
      </c>
    </row>
    <row r="9" spans="2:7" ht="18.75" customHeight="1">
      <c r="B9" s="60" t="s">
        <v>101</v>
      </c>
      <c r="C9" s="53" t="s">
        <v>134</v>
      </c>
      <c r="D9" s="53" t="s">
        <v>144</v>
      </c>
      <c r="E9" s="53" t="s">
        <v>96</v>
      </c>
      <c r="F9" s="53" t="s">
        <v>193</v>
      </c>
      <c r="G9" s="60" t="s">
        <v>101</v>
      </c>
    </row>
    <row r="10" spans="2:7" ht="18.75" customHeight="1">
      <c r="B10" s="60" t="s">
        <v>104</v>
      </c>
      <c r="C10" s="54" t="s">
        <v>128</v>
      </c>
      <c r="D10" s="54" t="s">
        <v>195</v>
      </c>
      <c r="E10" s="54" t="s">
        <v>97</v>
      </c>
      <c r="F10" s="54" t="s">
        <v>178</v>
      </c>
      <c r="G10" s="60" t="s">
        <v>104</v>
      </c>
    </row>
    <row r="11" spans="2:7" ht="18.75" customHeight="1">
      <c r="B11" s="60" t="s">
        <v>107</v>
      </c>
      <c r="C11" s="53" t="s">
        <v>135</v>
      </c>
      <c r="D11" s="53" t="s">
        <v>175</v>
      </c>
      <c r="E11" s="53" t="s">
        <v>99</v>
      </c>
      <c r="F11" s="53" t="s">
        <v>193</v>
      </c>
      <c r="G11" s="60" t="s">
        <v>107</v>
      </c>
    </row>
    <row r="12" spans="2:7" ht="18.75" customHeight="1">
      <c r="B12" s="60" t="s">
        <v>110</v>
      </c>
      <c r="C12" s="54" t="s">
        <v>196</v>
      </c>
      <c r="D12" s="54" t="s">
        <v>197</v>
      </c>
      <c r="E12" s="54" t="s">
        <v>101</v>
      </c>
      <c r="F12" s="54" t="s">
        <v>94</v>
      </c>
      <c r="G12" s="60" t="s">
        <v>110</v>
      </c>
    </row>
    <row r="13" spans="2:7" ht="18.75" customHeight="1">
      <c r="B13" s="60" t="s">
        <v>113</v>
      </c>
      <c r="C13" s="53" t="s">
        <v>133</v>
      </c>
      <c r="D13" s="53" t="s">
        <v>198</v>
      </c>
      <c r="E13" s="53" t="s">
        <v>104</v>
      </c>
      <c r="F13" s="53" t="s">
        <v>96</v>
      </c>
      <c r="G13" s="60" t="s">
        <v>113</v>
      </c>
    </row>
    <row r="14" spans="2:7" ht="18.75" customHeight="1">
      <c r="B14" s="60" t="s">
        <v>115</v>
      </c>
      <c r="C14" s="55" t="s">
        <v>199</v>
      </c>
      <c r="D14" s="54" t="s">
        <v>200</v>
      </c>
      <c r="E14" s="54" t="s">
        <v>107</v>
      </c>
      <c r="F14" s="54" t="s">
        <v>201</v>
      </c>
      <c r="G14" s="60" t="s">
        <v>115</v>
      </c>
    </row>
    <row r="15" spans="2:7" ht="18.75" customHeight="1">
      <c r="B15" s="60" t="s">
        <v>118</v>
      </c>
      <c r="C15" s="53" t="s">
        <v>137</v>
      </c>
      <c r="D15" s="53" t="s">
        <v>202</v>
      </c>
      <c r="E15" s="53" t="s">
        <v>203</v>
      </c>
      <c r="F15" s="53" t="s">
        <v>101</v>
      </c>
      <c r="G15" s="60" t="s">
        <v>118</v>
      </c>
    </row>
    <row r="16" spans="2:7" ht="18.75" customHeight="1">
      <c r="B16" s="60" t="s">
        <v>122</v>
      </c>
      <c r="C16" s="54" t="s">
        <v>204</v>
      </c>
      <c r="D16" s="54" t="s">
        <v>205</v>
      </c>
      <c r="E16" s="54" t="s">
        <v>115</v>
      </c>
      <c r="F16" s="54" t="s">
        <v>206</v>
      </c>
      <c r="G16" s="60" t="s">
        <v>122</v>
      </c>
    </row>
    <row r="17" spans="2:7" ht="18.75" customHeight="1">
      <c r="B17" s="60" t="s">
        <v>126</v>
      </c>
      <c r="C17" s="53" t="s">
        <v>207</v>
      </c>
      <c r="D17" s="53" t="s">
        <v>191</v>
      </c>
      <c r="E17" s="53" t="s">
        <v>118</v>
      </c>
      <c r="F17" s="53" t="s">
        <v>110</v>
      </c>
      <c r="G17" s="60" t="s">
        <v>126</v>
      </c>
    </row>
    <row r="18" spans="2:7" ht="18.75" customHeight="1">
      <c r="B18" s="60" t="s">
        <v>130</v>
      </c>
      <c r="C18" s="54" t="s">
        <v>208</v>
      </c>
      <c r="D18" s="54" t="s">
        <v>209</v>
      </c>
      <c r="E18" s="54" t="s">
        <v>122</v>
      </c>
      <c r="F18" s="54" t="s">
        <v>210</v>
      </c>
      <c r="G18" s="60" t="s">
        <v>130</v>
      </c>
    </row>
    <row r="19" spans="2:7" ht="18.75" customHeight="1">
      <c r="B19" s="60" t="s">
        <v>136</v>
      </c>
      <c r="C19" s="53" t="s">
        <v>211</v>
      </c>
      <c r="D19" s="53" t="s">
        <v>212</v>
      </c>
      <c r="E19" s="53" t="s">
        <v>213</v>
      </c>
      <c r="F19" s="53" t="s">
        <v>118</v>
      </c>
      <c r="G19" s="60" t="s">
        <v>136</v>
      </c>
    </row>
    <row r="20" spans="2:7" ht="18.75" customHeight="1">
      <c r="B20" s="60" t="s">
        <v>142</v>
      </c>
      <c r="C20" s="54" t="s">
        <v>214</v>
      </c>
      <c r="D20" s="54" t="s">
        <v>201</v>
      </c>
      <c r="E20" s="54" t="s">
        <v>136</v>
      </c>
      <c r="F20" s="54" t="s">
        <v>215</v>
      </c>
      <c r="G20" s="60" t="s">
        <v>142</v>
      </c>
    </row>
    <row r="21" spans="2:7" ht="18.75" customHeight="1">
      <c r="B21" s="60" t="s">
        <v>147</v>
      </c>
      <c r="C21" s="53" t="s">
        <v>216</v>
      </c>
      <c r="D21" s="53" t="s">
        <v>217</v>
      </c>
      <c r="E21" s="53" t="s">
        <v>142</v>
      </c>
      <c r="F21" s="53" t="s">
        <v>218</v>
      </c>
      <c r="G21" s="60" t="s">
        <v>147</v>
      </c>
    </row>
    <row r="22" spans="2:7" ht="18.75" customHeight="1">
      <c r="B22" s="60" t="s">
        <v>152</v>
      </c>
      <c r="C22" s="54" t="s">
        <v>219</v>
      </c>
      <c r="D22" s="54" t="s">
        <v>220</v>
      </c>
      <c r="E22" s="54" t="s">
        <v>147</v>
      </c>
      <c r="F22" s="54" t="s">
        <v>142</v>
      </c>
      <c r="G22" s="60" t="s">
        <v>152</v>
      </c>
    </row>
    <row r="23" spans="2:7" ht="18.75" customHeight="1">
      <c r="B23" s="60" t="s">
        <v>157</v>
      </c>
      <c r="C23" s="53" t="s">
        <v>221</v>
      </c>
      <c r="D23" s="53" t="s">
        <v>222</v>
      </c>
      <c r="E23" s="53" t="s">
        <v>152</v>
      </c>
      <c r="F23" s="53" t="s">
        <v>223</v>
      </c>
      <c r="G23" s="60" t="s">
        <v>157</v>
      </c>
    </row>
    <row r="24" spans="2:7" ht="18.75" customHeight="1">
      <c r="B24" s="60" t="s">
        <v>158</v>
      </c>
      <c r="C24" s="56" t="s">
        <v>224</v>
      </c>
      <c r="D24" s="56" t="s">
        <v>225</v>
      </c>
      <c r="E24" s="56" t="s">
        <v>157</v>
      </c>
      <c r="F24" s="56" t="s">
        <v>158</v>
      </c>
      <c r="G24" s="60" t="s">
        <v>158</v>
      </c>
    </row>
    <row r="25" spans="2:7" ht="18.75" customHeight="1">
      <c r="B25" s="60" t="s">
        <v>159</v>
      </c>
      <c r="C25" s="53" t="s">
        <v>226</v>
      </c>
      <c r="D25" s="53" t="s">
        <v>227</v>
      </c>
      <c r="E25" s="53" t="s">
        <v>158</v>
      </c>
      <c r="F25" s="53" t="s">
        <v>228</v>
      </c>
      <c r="G25" s="60" t="s">
        <v>159</v>
      </c>
    </row>
    <row r="26" spans="2:7" ht="18.75" customHeight="1">
      <c r="B26" s="60" t="s">
        <v>160</v>
      </c>
      <c r="C26" s="54" t="s">
        <v>229</v>
      </c>
      <c r="D26" s="54" t="s">
        <v>230</v>
      </c>
      <c r="E26" s="54" t="s">
        <v>228</v>
      </c>
      <c r="F26" s="54" t="s">
        <v>161</v>
      </c>
      <c r="G26" s="60" t="s">
        <v>160</v>
      </c>
    </row>
    <row r="27" spans="2:7" ht="18.75" customHeight="1">
      <c r="B27" s="60" t="s">
        <v>161</v>
      </c>
      <c r="C27" s="53" t="s">
        <v>201</v>
      </c>
      <c r="D27" s="53" t="s">
        <v>231</v>
      </c>
      <c r="E27" s="53" t="s">
        <v>161</v>
      </c>
      <c r="F27" s="53" t="s">
        <v>231</v>
      </c>
      <c r="G27" s="60" t="s">
        <v>161</v>
      </c>
    </row>
    <row r="28" spans="2:7" ht="18.75" customHeight="1">
      <c r="B28" s="60" t="s">
        <v>164</v>
      </c>
      <c r="C28" s="54" t="s">
        <v>232</v>
      </c>
      <c r="D28" s="54" t="s">
        <v>233</v>
      </c>
      <c r="E28" s="54" t="s">
        <v>231</v>
      </c>
      <c r="F28" s="54" t="s">
        <v>172</v>
      </c>
      <c r="G28" s="60" t="s">
        <v>164</v>
      </c>
    </row>
    <row r="29" spans="2:7" ht="18.75" customHeight="1">
      <c r="B29" s="60" t="s">
        <v>168</v>
      </c>
      <c r="C29" s="53" t="s">
        <v>234</v>
      </c>
      <c r="D29" s="53" t="s">
        <v>180</v>
      </c>
      <c r="E29" s="53" t="s">
        <v>233</v>
      </c>
      <c r="F29" s="53" t="s">
        <v>163</v>
      </c>
      <c r="G29" s="60" t="s">
        <v>168</v>
      </c>
    </row>
    <row r="30" spans="2:7" ht="18.75" customHeight="1">
      <c r="B30" s="60" t="s">
        <v>172</v>
      </c>
      <c r="C30" s="54" t="s">
        <v>235</v>
      </c>
      <c r="D30" s="54" t="s">
        <v>236</v>
      </c>
      <c r="E30" s="54" t="s">
        <v>180</v>
      </c>
      <c r="F30" s="54" t="s">
        <v>237</v>
      </c>
      <c r="G30" s="60" t="s">
        <v>172</v>
      </c>
    </row>
    <row r="31" spans="2:7" ht="18.75" customHeight="1">
      <c r="B31" s="60" t="s">
        <v>163</v>
      </c>
      <c r="C31" s="53" t="s">
        <v>215</v>
      </c>
      <c r="D31" s="53" t="s">
        <v>183</v>
      </c>
      <c r="E31" s="53" t="s">
        <v>236</v>
      </c>
      <c r="F31" s="53" t="s">
        <v>181</v>
      </c>
      <c r="G31" s="60" t="s">
        <v>163</v>
      </c>
    </row>
    <row r="32" spans="2:7" ht="18.75" customHeight="1">
      <c r="B32" s="60" t="s">
        <v>176</v>
      </c>
      <c r="C32" s="54" t="s">
        <v>238</v>
      </c>
      <c r="D32" s="54" t="s">
        <v>184</v>
      </c>
      <c r="E32" s="54" t="s">
        <v>193</v>
      </c>
      <c r="F32" s="54" t="s">
        <v>182</v>
      </c>
      <c r="G32" s="60" t="s">
        <v>176</v>
      </c>
    </row>
    <row r="33" spans="2:7" ht="18.75" customHeight="1">
      <c r="B33" s="60" t="s">
        <v>180</v>
      </c>
      <c r="C33" s="53" t="s">
        <v>239</v>
      </c>
      <c r="D33" s="53" t="s">
        <v>185</v>
      </c>
      <c r="E33" s="53" t="s">
        <v>183</v>
      </c>
      <c r="F33" s="53" t="s">
        <v>183</v>
      </c>
      <c r="G33" s="60" t="s">
        <v>180</v>
      </c>
    </row>
    <row r="34" spans="2:7" ht="18.75" customHeight="1">
      <c r="B34" s="60" t="s">
        <v>181</v>
      </c>
      <c r="C34" s="54" t="s">
        <v>230</v>
      </c>
      <c r="D34" s="54" t="s">
        <v>193</v>
      </c>
      <c r="E34" s="54" t="s">
        <v>184</v>
      </c>
      <c r="F34" s="54" t="s">
        <v>184</v>
      </c>
      <c r="G34" s="60" t="s">
        <v>181</v>
      </c>
    </row>
    <row r="35" spans="2:7" ht="18.75" customHeight="1">
      <c r="B35" s="60" t="s">
        <v>182</v>
      </c>
      <c r="C35" s="57" t="s">
        <v>240</v>
      </c>
      <c r="D35" s="53" t="s">
        <v>186</v>
      </c>
      <c r="E35" s="53" t="s">
        <v>193</v>
      </c>
      <c r="F35" s="53" t="s">
        <v>185</v>
      </c>
      <c r="G35" s="60" t="s">
        <v>182</v>
      </c>
    </row>
    <row r="36" spans="2:7" ht="18.75" customHeight="1">
      <c r="B36" s="60" t="s">
        <v>183</v>
      </c>
      <c r="C36" s="55" t="s">
        <v>241</v>
      </c>
      <c r="D36" s="54" t="s">
        <v>193</v>
      </c>
      <c r="E36" s="54" t="s">
        <v>185</v>
      </c>
      <c r="F36" s="54" t="s">
        <v>186</v>
      </c>
      <c r="G36" s="60" t="s">
        <v>183</v>
      </c>
    </row>
    <row r="37" spans="2:7" ht="18.75" customHeight="1">
      <c r="B37" s="60" t="s">
        <v>184</v>
      </c>
      <c r="C37" s="57" t="s">
        <v>242</v>
      </c>
      <c r="D37" s="53" t="s">
        <v>193</v>
      </c>
      <c r="E37" s="53" t="s">
        <v>186</v>
      </c>
      <c r="F37" s="53" t="s">
        <v>193</v>
      </c>
      <c r="G37" s="60" t="s">
        <v>184</v>
      </c>
    </row>
    <row r="38" spans="2:7" ht="18.75" customHeight="1">
      <c r="B38" s="60" t="s">
        <v>185</v>
      </c>
      <c r="C38" s="54" t="s">
        <v>183</v>
      </c>
      <c r="D38" s="54" t="s">
        <v>187</v>
      </c>
      <c r="E38" s="55" t="s">
        <v>193</v>
      </c>
      <c r="F38" s="54" t="s">
        <v>187</v>
      </c>
      <c r="G38" s="60" t="s">
        <v>185</v>
      </c>
    </row>
    <row r="39" spans="2:7" ht="18.75" customHeight="1">
      <c r="B39" s="60" t="s">
        <v>186</v>
      </c>
      <c r="C39" s="57" t="s">
        <v>243</v>
      </c>
      <c r="D39" s="53" t="s">
        <v>193</v>
      </c>
      <c r="E39" s="53" t="s">
        <v>187</v>
      </c>
      <c r="F39" s="53" t="s">
        <v>193</v>
      </c>
      <c r="G39" s="60" t="s">
        <v>186</v>
      </c>
    </row>
    <row r="40" spans="2:7" ht="18.75" customHeight="1">
      <c r="B40" s="60" t="s">
        <v>187</v>
      </c>
      <c r="C40" s="54" t="s">
        <v>244</v>
      </c>
      <c r="D40" s="54" t="s">
        <v>245</v>
      </c>
      <c r="E40" s="54" t="s">
        <v>245</v>
      </c>
      <c r="F40" s="54" t="s">
        <v>245</v>
      </c>
      <c r="G40" s="60" t="s">
        <v>187</v>
      </c>
    </row>
  </sheetData>
  <mergeCells count="4">
    <mergeCell ref="B2:G2"/>
    <mergeCell ref="B3:B4"/>
    <mergeCell ref="C3:F3"/>
    <mergeCell ref="G3:G4"/>
  </mergeCells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환산표"/>
  <dimension ref="B2:M40"/>
  <sheetViews>
    <sheetView workbookViewId="0"/>
  </sheetViews>
  <sheetFormatPr baseColWidth="10" defaultColWidth="9" defaultRowHeight="15"/>
  <cols>
    <col min="1" max="1" width="9" style="43"/>
    <col min="2" max="2" width="9.5" style="43" customWidth="1"/>
    <col min="3" max="13" width="7.83203125" style="43" customWidth="1"/>
    <col min="14" max="16384" width="9" style="43"/>
  </cols>
  <sheetData>
    <row r="2" spans="2:13" ht="29.25" customHeight="1">
      <c r="B2" s="419" t="s">
        <v>246</v>
      </c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</row>
    <row r="3" spans="2:13" ht="18.75" customHeight="1">
      <c r="B3" s="420" t="s">
        <v>247</v>
      </c>
      <c r="C3" s="422" t="s">
        <v>248</v>
      </c>
      <c r="D3" s="423"/>
      <c r="E3" s="423"/>
      <c r="F3" s="423"/>
      <c r="G3" s="423"/>
      <c r="H3" s="423"/>
      <c r="I3" s="423"/>
      <c r="J3" s="423"/>
      <c r="K3" s="423"/>
      <c r="L3" s="423"/>
      <c r="M3" s="424"/>
    </row>
    <row r="4" spans="2:13" ht="18.75" customHeight="1">
      <c r="B4" s="421"/>
      <c r="C4" s="44">
        <v>2</v>
      </c>
      <c r="D4" s="44">
        <v>3</v>
      </c>
      <c r="E4" s="44">
        <v>4</v>
      </c>
      <c r="F4" s="44">
        <v>5</v>
      </c>
      <c r="G4" s="44">
        <v>6</v>
      </c>
      <c r="H4" s="44">
        <v>7</v>
      </c>
      <c r="I4" s="44">
        <v>8</v>
      </c>
      <c r="J4" s="44">
        <v>9</v>
      </c>
      <c r="K4" s="44">
        <v>10</v>
      </c>
      <c r="L4" s="44">
        <v>11</v>
      </c>
      <c r="M4" s="44">
        <v>12</v>
      </c>
    </row>
    <row r="5" spans="2:13" ht="18.75" customHeight="1">
      <c r="B5" s="60" t="s">
        <v>187</v>
      </c>
      <c r="C5" s="50" t="s">
        <v>187</v>
      </c>
      <c r="D5" s="50" t="s">
        <v>186</v>
      </c>
      <c r="E5" s="50" t="s">
        <v>185</v>
      </c>
      <c r="F5" s="50" t="s">
        <v>184</v>
      </c>
      <c r="G5" s="50" t="s">
        <v>183</v>
      </c>
      <c r="H5" s="50" t="s">
        <v>182</v>
      </c>
      <c r="I5" s="50" t="s">
        <v>28</v>
      </c>
      <c r="J5" s="51" t="s">
        <v>180</v>
      </c>
      <c r="K5" s="50" t="s">
        <v>30</v>
      </c>
      <c r="L5" s="50" t="s">
        <v>163</v>
      </c>
      <c r="M5" s="50" t="s">
        <v>172</v>
      </c>
    </row>
    <row r="6" spans="2:13" ht="18.75" customHeight="1">
      <c r="B6" s="60" t="s">
        <v>186</v>
      </c>
      <c r="C6" s="50" t="s">
        <v>186</v>
      </c>
      <c r="D6" s="50" t="s">
        <v>185</v>
      </c>
      <c r="E6" s="50" t="s">
        <v>184</v>
      </c>
      <c r="F6" s="50" t="s">
        <v>183</v>
      </c>
      <c r="G6" s="50" t="s">
        <v>182</v>
      </c>
      <c r="H6" s="50" t="s">
        <v>182</v>
      </c>
      <c r="I6" s="50" t="s">
        <v>181</v>
      </c>
      <c r="J6" s="50" t="s">
        <v>180</v>
      </c>
      <c r="K6" s="50" t="s">
        <v>176</v>
      </c>
      <c r="L6" s="50" t="s">
        <v>163</v>
      </c>
      <c r="M6" s="50" t="s">
        <v>172</v>
      </c>
    </row>
    <row r="7" spans="2:13" ht="18.75" customHeight="1">
      <c r="B7" s="60" t="s">
        <v>185</v>
      </c>
      <c r="C7" s="50" t="s">
        <v>186</v>
      </c>
      <c r="D7" s="50" t="s">
        <v>185</v>
      </c>
      <c r="E7" s="50" t="s">
        <v>184</v>
      </c>
      <c r="F7" s="50" t="s">
        <v>183</v>
      </c>
      <c r="G7" s="50" t="s">
        <v>182</v>
      </c>
      <c r="H7" s="50" t="s">
        <v>181</v>
      </c>
      <c r="I7" s="51" t="s">
        <v>180</v>
      </c>
      <c r="J7" s="50" t="s">
        <v>176</v>
      </c>
      <c r="K7" s="50" t="s">
        <v>163</v>
      </c>
      <c r="L7" s="50" t="s">
        <v>172</v>
      </c>
      <c r="M7" s="50" t="s">
        <v>168</v>
      </c>
    </row>
    <row r="8" spans="2:13" ht="18.75" customHeight="1">
      <c r="B8" s="60" t="s">
        <v>184</v>
      </c>
      <c r="C8" s="50" t="s">
        <v>185</v>
      </c>
      <c r="D8" s="50" t="s">
        <v>184</v>
      </c>
      <c r="E8" s="50" t="s">
        <v>183</v>
      </c>
      <c r="F8" s="50" t="s">
        <v>182</v>
      </c>
      <c r="G8" s="50" t="s">
        <v>181</v>
      </c>
      <c r="H8" s="51" t="s">
        <v>180</v>
      </c>
      <c r="I8" s="50" t="s">
        <v>176</v>
      </c>
      <c r="J8" s="50" t="s">
        <v>163</v>
      </c>
      <c r="K8" s="50" t="s">
        <v>172</v>
      </c>
      <c r="L8" s="50" t="s">
        <v>168</v>
      </c>
      <c r="M8" s="50" t="s">
        <v>164</v>
      </c>
    </row>
    <row r="9" spans="2:13" ht="18.75" customHeight="1">
      <c r="B9" s="60" t="s">
        <v>183</v>
      </c>
      <c r="C9" s="50" t="s">
        <v>184</v>
      </c>
      <c r="D9" s="50" t="s">
        <v>183</v>
      </c>
      <c r="E9" s="50" t="s">
        <v>182</v>
      </c>
      <c r="F9" s="50" t="s">
        <v>181</v>
      </c>
      <c r="G9" s="51" t="s">
        <v>180</v>
      </c>
      <c r="H9" s="50" t="s">
        <v>176</v>
      </c>
      <c r="I9" s="50" t="s">
        <v>163</v>
      </c>
      <c r="J9" s="50" t="s">
        <v>172</v>
      </c>
      <c r="K9" s="50" t="s">
        <v>168</v>
      </c>
      <c r="L9" s="50" t="s">
        <v>168</v>
      </c>
      <c r="M9" s="50" t="s">
        <v>164</v>
      </c>
    </row>
    <row r="10" spans="2:13" ht="18.75" customHeight="1">
      <c r="B10" s="60" t="s">
        <v>182</v>
      </c>
      <c r="C10" s="50" t="s">
        <v>183</v>
      </c>
      <c r="D10" s="50" t="s">
        <v>182</v>
      </c>
      <c r="E10" s="50" t="s">
        <v>181</v>
      </c>
      <c r="F10" s="51" t="s">
        <v>181</v>
      </c>
      <c r="G10" s="50" t="s">
        <v>180</v>
      </c>
      <c r="H10" s="50" t="s">
        <v>176</v>
      </c>
      <c r="I10" s="50" t="s">
        <v>163</v>
      </c>
      <c r="J10" s="50" t="s">
        <v>172</v>
      </c>
      <c r="K10" s="50" t="s">
        <v>168</v>
      </c>
      <c r="L10" s="50" t="s">
        <v>164</v>
      </c>
      <c r="M10" s="50" t="s">
        <v>161</v>
      </c>
    </row>
    <row r="11" spans="2:13" ht="18.75" customHeight="1">
      <c r="B11" s="60" t="s">
        <v>181</v>
      </c>
      <c r="C11" s="50" t="s">
        <v>183</v>
      </c>
      <c r="D11" s="50" t="s">
        <v>182</v>
      </c>
      <c r="E11" s="51" t="s">
        <v>181</v>
      </c>
      <c r="F11" s="50" t="s">
        <v>180</v>
      </c>
      <c r="G11" s="50" t="s">
        <v>176</v>
      </c>
      <c r="H11" s="50" t="s">
        <v>163</v>
      </c>
      <c r="I11" s="50" t="s">
        <v>172</v>
      </c>
      <c r="J11" s="50" t="s">
        <v>168</v>
      </c>
      <c r="K11" s="50" t="s">
        <v>164</v>
      </c>
      <c r="L11" s="50" t="s">
        <v>161</v>
      </c>
      <c r="M11" s="50" t="s">
        <v>160</v>
      </c>
    </row>
    <row r="12" spans="2:13" ht="18.75" customHeight="1">
      <c r="B12" s="60" t="s">
        <v>180</v>
      </c>
      <c r="C12" s="50" t="s">
        <v>182</v>
      </c>
      <c r="D12" s="51" t="s">
        <v>181</v>
      </c>
      <c r="E12" s="50" t="s">
        <v>180</v>
      </c>
      <c r="F12" s="50" t="s">
        <v>176</v>
      </c>
      <c r="G12" s="50" t="s">
        <v>163</v>
      </c>
      <c r="H12" s="50" t="s">
        <v>172</v>
      </c>
      <c r="I12" s="50" t="s">
        <v>168</v>
      </c>
      <c r="J12" s="50" t="s">
        <v>164</v>
      </c>
      <c r="K12" s="50" t="s">
        <v>161</v>
      </c>
      <c r="L12" s="50" t="s">
        <v>160</v>
      </c>
      <c r="M12" s="50" t="s">
        <v>159</v>
      </c>
    </row>
    <row r="13" spans="2:13" ht="18.75" customHeight="1">
      <c r="B13" s="60" t="s">
        <v>176</v>
      </c>
      <c r="C13" s="50" t="s">
        <v>181</v>
      </c>
      <c r="D13" s="50" t="s">
        <v>180</v>
      </c>
      <c r="E13" s="50" t="s">
        <v>176</v>
      </c>
      <c r="F13" s="50" t="s">
        <v>163</v>
      </c>
      <c r="G13" s="50" t="s">
        <v>172</v>
      </c>
      <c r="H13" s="50" t="s">
        <v>168</v>
      </c>
      <c r="I13" s="50" t="s">
        <v>164</v>
      </c>
      <c r="J13" s="50" t="s">
        <v>164</v>
      </c>
      <c r="K13" s="50" t="s">
        <v>161</v>
      </c>
      <c r="L13" s="50" t="s">
        <v>160</v>
      </c>
      <c r="M13" s="50" t="s">
        <v>159</v>
      </c>
    </row>
    <row r="14" spans="2:13" ht="18.75" customHeight="1">
      <c r="B14" s="60" t="s">
        <v>163</v>
      </c>
      <c r="C14" s="51" t="s">
        <v>180</v>
      </c>
      <c r="D14" s="50" t="s">
        <v>176</v>
      </c>
      <c r="E14" s="50" t="s">
        <v>176</v>
      </c>
      <c r="F14" s="50" t="s">
        <v>163</v>
      </c>
      <c r="G14" s="50" t="s">
        <v>172</v>
      </c>
      <c r="H14" s="50" t="s">
        <v>168</v>
      </c>
      <c r="I14" s="50" t="s">
        <v>164</v>
      </c>
      <c r="J14" s="50" t="s">
        <v>161</v>
      </c>
      <c r="K14" s="50" t="s">
        <v>160</v>
      </c>
      <c r="L14" s="50" t="s">
        <v>159</v>
      </c>
      <c r="M14" s="50" t="s">
        <v>158</v>
      </c>
    </row>
    <row r="15" spans="2:13" ht="18.75" customHeight="1">
      <c r="B15" s="60" t="s">
        <v>172</v>
      </c>
      <c r="C15" s="50" t="s">
        <v>180</v>
      </c>
      <c r="D15" s="50" t="s">
        <v>176</v>
      </c>
      <c r="E15" s="50" t="s">
        <v>163</v>
      </c>
      <c r="F15" s="50" t="s">
        <v>172</v>
      </c>
      <c r="G15" s="50" t="s">
        <v>168</v>
      </c>
      <c r="H15" s="50" t="s">
        <v>164</v>
      </c>
      <c r="I15" s="50" t="s">
        <v>161</v>
      </c>
      <c r="J15" s="50" t="s">
        <v>160</v>
      </c>
      <c r="K15" s="50" t="s">
        <v>159</v>
      </c>
      <c r="L15" s="50" t="s">
        <v>158</v>
      </c>
      <c r="M15" s="50" t="s">
        <v>157</v>
      </c>
    </row>
    <row r="16" spans="2:13" ht="18.75" customHeight="1">
      <c r="B16" s="60" t="s">
        <v>168</v>
      </c>
      <c r="C16" s="50" t="s">
        <v>176</v>
      </c>
      <c r="D16" s="50" t="s">
        <v>163</v>
      </c>
      <c r="E16" s="50" t="s">
        <v>172</v>
      </c>
      <c r="F16" s="50" t="s">
        <v>168</v>
      </c>
      <c r="G16" s="50" t="s">
        <v>164</v>
      </c>
      <c r="H16" s="50" t="s">
        <v>161</v>
      </c>
      <c r="I16" s="50" t="s">
        <v>160</v>
      </c>
      <c r="J16" s="50" t="s">
        <v>159</v>
      </c>
      <c r="K16" s="50" t="s">
        <v>158</v>
      </c>
      <c r="L16" s="50" t="s">
        <v>157</v>
      </c>
      <c r="M16" s="50" t="s">
        <v>152</v>
      </c>
    </row>
    <row r="17" spans="2:13" ht="18.75" customHeight="1">
      <c r="B17" s="60" t="s">
        <v>164</v>
      </c>
      <c r="C17" s="50" t="s">
        <v>163</v>
      </c>
      <c r="D17" s="50" t="s">
        <v>172</v>
      </c>
      <c r="E17" s="50" t="s">
        <v>168</v>
      </c>
      <c r="F17" s="50" t="s">
        <v>164</v>
      </c>
      <c r="G17" s="50" t="s">
        <v>161</v>
      </c>
      <c r="H17" s="50" t="s">
        <v>161</v>
      </c>
      <c r="I17" s="50" t="s">
        <v>160</v>
      </c>
      <c r="J17" s="50" t="s">
        <v>159</v>
      </c>
      <c r="K17" s="50" t="s">
        <v>158</v>
      </c>
      <c r="L17" s="50" t="s">
        <v>157</v>
      </c>
      <c r="M17" s="50" t="s">
        <v>152</v>
      </c>
    </row>
    <row r="18" spans="2:13" ht="18.75" customHeight="1">
      <c r="B18" s="60" t="s">
        <v>161</v>
      </c>
      <c r="C18" s="50" t="s">
        <v>163</v>
      </c>
      <c r="D18" s="50" t="s">
        <v>172</v>
      </c>
      <c r="E18" s="50" t="s">
        <v>168</v>
      </c>
      <c r="F18" s="50" t="s">
        <v>164</v>
      </c>
      <c r="G18" s="50" t="s">
        <v>161</v>
      </c>
      <c r="H18" s="50" t="s">
        <v>160</v>
      </c>
      <c r="I18" s="50" t="s">
        <v>159</v>
      </c>
      <c r="J18" s="50" t="s">
        <v>158</v>
      </c>
      <c r="K18" s="50" t="s">
        <v>157</v>
      </c>
      <c r="L18" s="50" t="s">
        <v>152</v>
      </c>
      <c r="M18" s="50" t="s">
        <v>147</v>
      </c>
    </row>
    <row r="19" spans="2:13" ht="18.75" customHeight="1">
      <c r="B19" s="60" t="s">
        <v>160</v>
      </c>
      <c r="C19" s="50" t="s">
        <v>172</v>
      </c>
      <c r="D19" s="50" t="s">
        <v>168</v>
      </c>
      <c r="E19" s="50" t="s">
        <v>164</v>
      </c>
      <c r="F19" s="50" t="s">
        <v>161</v>
      </c>
      <c r="G19" s="50" t="s">
        <v>160</v>
      </c>
      <c r="H19" s="50" t="s">
        <v>159</v>
      </c>
      <c r="I19" s="50" t="s">
        <v>158</v>
      </c>
      <c r="J19" s="50" t="s">
        <v>157</v>
      </c>
      <c r="K19" s="50" t="s">
        <v>152</v>
      </c>
      <c r="L19" s="50" t="s">
        <v>147</v>
      </c>
      <c r="M19" s="50" t="s">
        <v>142</v>
      </c>
    </row>
    <row r="20" spans="2:13" ht="18.75" customHeight="1">
      <c r="B20" s="60" t="s">
        <v>159</v>
      </c>
      <c r="C20" s="50" t="s">
        <v>168</v>
      </c>
      <c r="D20" s="50" t="s">
        <v>164</v>
      </c>
      <c r="E20" s="50" t="s">
        <v>161</v>
      </c>
      <c r="F20" s="50" t="s">
        <v>160</v>
      </c>
      <c r="G20" s="50" t="s">
        <v>159</v>
      </c>
      <c r="H20" s="50" t="s">
        <v>158</v>
      </c>
      <c r="I20" s="50" t="s">
        <v>157</v>
      </c>
      <c r="J20" s="50" t="s">
        <v>152</v>
      </c>
      <c r="K20" s="50" t="s">
        <v>147</v>
      </c>
      <c r="L20" s="50" t="s">
        <v>147</v>
      </c>
      <c r="M20" s="50" t="s">
        <v>142</v>
      </c>
    </row>
    <row r="21" spans="2:13" ht="18.75" customHeight="1">
      <c r="B21" s="60" t="s">
        <v>158</v>
      </c>
      <c r="C21" s="50" t="s">
        <v>164</v>
      </c>
      <c r="D21" s="50" t="s">
        <v>161</v>
      </c>
      <c r="E21" s="50" t="s">
        <v>160</v>
      </c>
      <c r="F21" s="50" t="s">
        <v>159</v>
      </c>
      <c r="G21" s="50" t="s">
        <v>159</v>
      </c>
      <c r="H21" s="50" t="s">
        <v>158</v>
      </c>
      <c r="I21" s="50" t="s">
        <v>157</v>
      </c>
      <c r="J21" s="50" t="s">
        <v>152</v>
      </c>
      <c r="K21" s="50" t="s">
        <v>147</v>
      </c>
      <c r="L21" s="50" t="s">
        <v>142</v>
      </c>
      <c r="M21" s="51" t="s">
        <v>136</v>
      </c>
    </row>
    <row r="22" spans="2:13" ht="18.75" customHeight="1">
      <c r="B22" s="60" t="s">
        <v>157</v>
      </c>
      <c r="C22" s="50" t="s">
        <v>164</v>
      </c>
      <c r="D22" s="50" t="s">
        <v>161</v>
      </c>
      <c r="E22" s="50" t="s">
        <v>160</v>
      </c>
      <c r="F22" s="50" t="s">
        <v>159</v>
      </c>
      <c r="G22" s="50" t="s">
        <v>158</v>
      </c>
      <c r="H22" s="50" t="s">
        <v>157</v>
      </c>
      <c r="I22" s="50" t="s">
        <v>152</v>
      </c>
      <c r="J22" s="50" t="s">
        <v>147</v>
      </c>
      <c r="K22" s="50" t="s">
        <v>142</v>
      </c>
      <c r="L22" s="50" t="s">
        <v>136</v>
      </c>
      <c r="M22" s="51" t="s">
        <v>130</v>
      </c>
    </row>
    <row r="23" spans="2:13" ht="18.75" customHeight="1">
      <c r="B23" s="60" t="s">
        <v>152</v>
      </c>
      <c r="C23" s="50" t="s">
        <v>161</v>
      </c>
      <c r="D23" s="50" t="s">
        <v>160</v>
      </c>
      <c r="E23" s="50" t="s">
        <v>159</v>
      </c>
      <c r="F23" s="50" t="s">
        <v>158</v>
      </c>
      <c r="G23" s="50" t="s">
        <v>157</v>
      </c>
      <c r="H23" s="50" t="s">
        <v>152</v>
      </c>
      <c r="I23" s="50" t="s">
        <v>147</v>
      </c>
      <c r="J23" s="50" t="s">
        <v>142</v>
      </c>
      <c r="K23" s="50" t="s">
        <v>136</v>
      </c>
      <c r="L23" s="51" t="s">
        <v>130</v>
      </c>
      <c r="M23" s="51" t="s">
        <v>126</v>
      </c>
    </row>
    <row r="24" spans="2:13" ht="18.75" customHeight="1">
      <c r="B24" s="60" t="s">
        <v>147</v>
      </c>
      <c r="C24" s="50" t="s">
        <v>160</v>
      </c>
      <c r="D24" s="50" t="s">
        <v>159</v>
      </c>
      <c r="E24" s="50" t="s">
        <v>158</v>
      </c>
      <c r="F24" s="50" t="s">
        <v>157</v>
      </c>
      <c r="G24" s="50" t="s">
        <v>152</v>
      </c>
      <c r="H24" s="50" t="s">
        <v>147</v>
      </c>
      <c r="I24" s="50" t="s">
        <v>142</v>
      </c>
      <c r="J24" s="50" t="s">
        <v>142</v>
      </c>
      <c r="K24" s="50" t="s">
        <v>136</v>
      </c>
      <c r="L24" s="51" t="s">
        <v>130</v>
      </c>
      <c r="M24" s="50" t="s">
        <v>126</v>
      </c>
    </row>
    <row r="25" spans="2:13" ht="18.75" customHeight="1">
      <c r="B25" s="60" t="s">
        <v>142</v>
      </c>
      <c r="C25" s="50" t="s">
        <v>159</v>
      </c>
      <c r="D25" s="50" t="s">
        <v>158</v>
      </c>
      <c r="E25" s="50" t="s">
        <v>158</v>
      </c>
      <c r="F25" s="50" t="s">
        <v>157</v>
      </c>
      <c r="G25" s="50" t="s">
        <v>152</v>
      </c>
      <c r="H25" s="50" t="s">
        <v>147</v>
      </c>
      <c r="I25" s="50" t="s">
        <v>142</v>
      </c>
      <c r="J25" s="50" t="s">
        <v>136</v>
      </c>
      <c r="K25" s="51" t="s">
        <v>130</v>
      </c>
      <c r="L25" s="51" t="s">
        <v>126</v>
      </c>
      <c r="M25" s="51" t="s">
        <v>122</v>
      </c>
    </row>
    <row r="26" spans="2:13" ht="18.75" customHeight="1">
      <c r="B26" s="60" t="s">
        <v>136</v>
      </c>
      <c r="C26" s="50" t="s">
        <v>159</v>
      </c>
      <c r="D26" s="50" t="s">
        <v>158</v>
      </c>
      <c r="E26" s="50" t="s">
        <v>157</v>
      </c>
      <c r="F26" s="50" t="s">
        <v>152</v>
      </c>
      <c r="G26" s="50" t="s">
        <v>147</v>
      </c>
      <c r="H26" s="50" t="s">
        <v>142</v>
      </c>
      <c r="I26" s="50" t="s">
        <v>136</v>
      </c>
      <c r="J26" s="51" t="s">
        <v>130</v>
      </c>
      <c r="K26" s="51" t="s">
        <v>126</v>
      </c>
      <c r="L26" s="50" t="s">
        <v>122</v>
      </c>
      <c r="M26" s="50" t="s">
        <v>118</v>
      </c>
    </row>
    <row r="27" spans="2:13" ht="18.75" customHeight="1">
      <c r="B27" s="60" t="s">
        <v>130</v>
      </c>
      <c r="C27" s="50" t="s">
        <v>158</v>
      </c>
      <c r="D27" s="50" t="s">
        <v>157</v>
      </c>
      <c r="E27" s="50" t="s">
        <v>152</v>
      </c>
      <c r="F27" s="50" t="s">
        <v>147</v>
      </c>
      <c r="G27" s="50" t="s">
        <v>142</v>
      </c>
      <c r="H27" s="50" t="s">
        <v>136</v>
      </c>
      <c r="I27" s="50" t="s">
        <v>130</v>
      </c>
      <c r="J27" s="51" t="s">
        <v>126</v>
      </c>
      <c r="K27" s="51" t="s">
        <v>122</v>
      </c>
      <c r="L27" s="51" t="s">
        <v>118</v>
      </c>
      <c r="M27" s="50" t="s">
        <v>115</v>
      </c>
    </row>
    <row r="28" spans="2:13" ht="18.75" customHeight="1">
      <c r="B28" s="60" t="s">
        <v>126</v>
      </c>
      <c r="C28" s="50" t="s">
        <v>157</v>
      </c>
      <c r="D28" s="50" t="s">
        <v>152</v>
      </c>
      <c r="E28" s="50" t="s">
        <v>147</v>
      </c>
      <c r="F28" s="50" t="s">
        <v>142</v>
      </c>
      <c r="G28" s="50" t="s">
        <v>136</v>
      </c>
      <c r="H28" s="50" t="s">
        <v>130</v>
      </c>
      <c r="I28" s="51" t="s">
        <v>130</v>
      </c>
      <c r="J28" s="51" t="s">
        <v>126</v>
      </c>
      <c r="K28" s="50" t="s">
        <v>122</v>
      </c>
      <c r="L28" s="50" t="s">
        <v>118</v>
      </c>
      <c r="M28" s="50" t="s">
        <v>115</v>
      </c>
    </row>
    <row r="29" spans="2:13" ht="18.75" customHeight="1">
      <c r="B29" s="60" t="s">
        <v>122</v>
      </c>
      <c r="C29" s="50" t="s">
        <v>157</v>
      </c>
      <c r="D29" s="50" t="s">
        <v>152</v>
      </c>
      <c r="E29" s="50" t="s">
        <v>147</v>
      </c>
      <c r="F29" s="50" t="s">
        <v>142</v>
      </c>
      <c r="G29" s="50" t="s">
        <v>136</v>
      </c>
      <c r="H29" s="51" t="s">
        <v>130</v>
      </c>
      <c r="I29" s="51" t="s">
        <v>126</v>
      </c>
      <c r="J29" s="50" t="s">
        <v>122</v>
      </c>
      <c r="K29" s="51" t="s">
        <v>118</v>
      </c>
      <c r="L29" s="50" t="s">
        <v>115</v>
      </c>
      <c r="M29" s="50" t="s">
        <v>113</v>
      </c>
    </row>
    <row r="30" spans="2:13" ht="18.75" customHeight="1">
      <c r="B30" s="60" t="s">
        <v>118</v>
      </c>
      <c r="C30" s="50" t="s">
        <v>152</v>
      </c>
      <c r="D30" s="50" t="s">
        <v>147</v>
      </c>
      <c r="E30" s="50" t="s">
        <v>142</v>
      </c>
      <c r="F30" s="50" t="s">
        <v>136</v>
      </c>
      <c r="G30" s="51" t="s">
        <v>130</v>
      </c>
      <c r="H30" s="51" t="s">
        <v>126</v>
      </c>
      <c r="I30" s="51" t="s">
        <v>122</v>
      </c>
      <c r="J30" s="51" t="s">
        <v>118</v>
      </c>
      <c r="K30" s="50" t="s">
        <v>115</v>
      </c>
      <c r="L30" s="50" t="s">
        <v>113</v>
      </c>
      <c r="M30" s="50" t="s">
        <v>110</v>
      </c>
    </row>
    <row r="31" spans="2:13" ht="18.75" customHeight="1">
      <c r="B31" s="60" t="s">
        <v>115</v>
      </c>
      <c r="C31" s="50" t="s">
        <v>147</v>
      </c>
      <c r="D31" s="50" t="s">
        <v>142</v>
      </c>
      <c r="E31" s="50" t="s">
        <v>136</v>
      </c>
      <c r="F31" s="51" t="s">
        <v>130</v>
      </c>
      <c r="G31" s="51" t="s">
        <v>126</v>
      </c>
      <c r="H31" s="51" t="s">
        <v>122</v>
      </c>
      <c r="I31" s="50" t="s">
        <v>118</v>
      </c>
      <c r="J31" s="50" t="s">
        <v>115</v>
      </c>
      <c r="K31" s="50" t="s">
        <v>113</v>
      </c>
      <c r="L31" s="50" t="s">
        <v>113</v>
      </c>
      <c r="M31" s="50" t="s">
        <v>110</v>
      </c>
    </row>
    <row r="32" spans="2:13" ht="18.75" customHeight="1">
      <c r="B32" s="60" t="s">
        <v>113</v>
      </c>
      <c r="C32" s="50" t="s">
        <v>142</v>
      </c>
      <c r="D32" s="50" t="s">
        <v>136</v>
      </c>
      <c r="E32" s="51" t="s">
        <v>130</v>
      </c>
      <c r="F32" s="51" t="s">
        <v>126</v>
      </c>
      <c r="G32" s="51" t="s">
        <v>126</v>
      </c>
      <c r="H32" s="50" t="s">
        <v>122</v>
      </c>
      <c r="I32" s="51" t="s">
        <v>118</v>
      </c>
      <c r="J32" s="50" t="s">
        <v>115</v>
      </c>
      <c r="K32" s="50" t="s">
        <v>113</v>
      </c>
      <c r="L32" s="50" t="s">
        <v>110</v>
      </c>
      <c r="M32" s="50" t="s">
        <v>107</v>
      </c>
    </row>
    <row r="33" spans="2:13" ht="18.75" customHeight="1">
      <c r="B33" s="60" t="s">
        <v>110</v>
      </c>
      <c r="C33" s="50" t="s">
        <v>142</v>
      </c>
      <c r="D33" s="51" t="s">
        <v>136</v>
      </c>
      <c r="E33" s="51" t="s">
        <v>130</v>
      </c>
      <c r="F33" s="51" t="s">
        <v>126</v>
      </c>
      <c r="G33" s="50" t="s">
        <v>122</v>
      </c>
      <c r="H33" s="51" t="s">
        <v>118</v>
      </c>
      <c r="I33" s="50" t="s">
        <v>115</v>
      </c>
      <c r="J33" s="50" t="s">
        <v>113</v>
      </c>
      <c r="K33" s="50" t="s">
        <v>110</v>
      </c>
      <c r="L33" s="50" t="s">
        <v>107</v>
      </c>
      <c r="M33" s="50" t="s">
        <v>104</v>
      </c>
    </row>
    <row r="34" spans="2:13" ht="18.75" customHeight="1">
      <c r="B34" s="60" t="s">
        <v>107</v>
      </c>
      <c r="C34" s="50" t="s">
        <v>136</v>
      </c>
      <c r="D34" s="51" t="s">
        <v>130</v>
      </c>
      <c r="E34" s="51" t="s">
        <v>126</v>
      </c>
      <c r="F34" s="50" t="s">
        <v>122</v>
      </c>
      <c r="G34" s="51" t="s">
        <v>118</v>
      </c>
      <c r="H34" s="50" t="s">
        <v>115</v>
      </c>
      <c r="I34" s="50" t="s">
        <v>113</v>
      </c>
      <c r="J34" s="50" t="s">
        <v>110</v>
      </c>
      <c r="K34" s="50" t="s">
        <v>107</v>
      </c>
      <c r="L34" s="50" t="s">
        <v>104</v>
      </c>
      <c r="M34" s="50" t="s">
        <v>101</v>
      </c>
    </row>
    <row r="35" spans="2:13" ht="18.75" customHeight="1">
      <c r="B35" s="60" t="s">
        <v>104</v>
      </c>
      <c r="C35" s="51" t="s">
        <v>130</v>
      </c>
      <c r="D35" s="51" t="s">
        <v>126</v>
      </c>
      <c r="E35" s="50" t="s">
        <v>122</v>
      </c>
      <c r="F35" s="51" t="s">
        <v>118</v>
      </c>
      <c r="G35" s="50" t="s">
        <v>115</v>
      </c>
      <c r="H35" s="50" t="s">
        <v>113</v>
      </c>
      <c r="I35" s="50" t="s">
        <v>110</v>
      </c>
      <c r="J35" s="50" t="s">
        <v>107</v>
      </c>
      <c r="K35" s="50" t="s">
        <v>107</v>
      </c>
      <c r="L35" s="50" t="s">
        <v>104</v>
      </c>
      <c r="M35" s="50" t="s">
        <v>101</v>
      </c>
    </row>
    <row r="36" spans="2:13" ht="18.75" customHeight="1">
      <c r="B36" s="60" t="s">
        <v>101</v>
      </c>
      <c r="C36" s="51" t="s">
        <v>126</v>
      </c>
      <c r="D36" s="50" t="s">
        <v>122</v>
      </c>
      <c r="E36" s="51" t="s">
        <v>122</v>
      </c>
      <c r="F36" s="50" t="s">
        <v>118</v>
      </c>
      <c r="G36" s="50" t="s">
        <v>115</v>
      </c>
      <c r="H36" s="50" t="s">
        <v>113</v>
      </c>
      <c r="I36" s="50" t="s">
        <v>110</v>
      </c>
      <c r="J36" s="50" t="s">
        <v>107</v>
      </c>
      <c r="K36" s="50" t="s">
        <v>104</v>
      </c>
      <c r="L36" s="50" t="s">
        <v>101</v>
      </c>
      <c r="M36" s="50" t="s">
        <v>99</v>
      </c>
    </row>
    <row r="37" spans="2:13" ht="18.75" customHeight="1">
      <c r="B37" s="60" t="s">
        <v>99</v>
      </c>
      <c r="C37" s="51" t="s">
        <v>126</v>
      </c>
      <c r="D37" s="51" t="s">
        <v>122</v>
      </c>
      <c r="E37" s="50" t="s">
        <v>118</v>
      </c>
      <c r="F37" s="50" t="s">
        <v>115</v>
      </c>
      <c r="G37" s="50" t="s">
        <v>113</v>
      </c>
      <c r="H37" s="50" t="s">
        <v>110</v>
      </c>
      <c r="I37" s="50" t="s">
        <v>107</v>
      </c>
      <c r="J37" s="50" t="s">
        <v>104</v>
      </c>
      <c r="K37" s="50" t="s">
        <v>101</v>
      </c>
      <c r="L37" s="50" t="s">
        <v>99</v>
      </c>
      <c r="M37" s="50" t="s">
        <v>97</v>
      </c>
    </row>
    <row r="38" spans="2:13" ht="18.75" customHeight="1">
      <c r="B38" s="60" t="s">
        <v>97</v>
      </c>
      <c r="C38" s="50" t="s">
        <v>122</v>
      </c>
      <c r="D38" s="50" t="s">
        <v>118</v>
      </c>
      <c r="E38" s="50" t="s">
        <v>115</v>
      </c>
      <c r="F38" s="50" t="s">
        <v>113</v>
      </c>
      <c r="G38" s="50" t="s">
        <v>110</v>
      </c>
      <c r="H38" s="50" t="s">
        <v>107</v>
      </c>
      <c r="I38" s="50" t="s">
        <v>104</v>
      </c>
      <c r="J38" s="50" t="s">
        <v>101</v>
      </c>
      <c r="K38" s="50" t="s">
        <v>99</v>
      </c>
      <c r="L38" s="50" t="s">
        <v>97</v>
      </c>
      <c r="M38" s="50" t="s">
        <v>96</v>
      </c>
    </row>
    <row r="39" spans="2:13" ht="18.75" customHeight="1">
      <c r="B39" s="60" t="s">
        <v>96</v>
      </c>
      <c r="C39" s="51" t="s">
        <v>118</v>
      </c>
      <c r="D39" s="50" t="s">
        <v>115</v>
      </c>
      <c r="E39" s="50" t="s">
        <v>113</v>
      </c>
      <c r="F39" s="50" t="s">
        <v>110</v>
      </c>
      <c r="G39" s="50" t="s">
        <v>107</v>
      </c>
      <c r="H39" s="50" t="s">
        <v>104</v>
      </c>
      <c r="I39" s="50" t="s">
        <v>104</v>
      </c>
      <c r="J39" s="50" t="s">
        <v>101</v>
      </c>
      <c r="K39" s="50" t="s">
        <v>99</v>
      </c>
      <c r="L39" s="50" t="s">
        <v>97</v>
      </c>
      <c r="M39" s="50" t="s">
        <v>96</v>
      </c>
    </row>
    <row r="40" spans="2:13" ht="18.75" customHeight="1">
      <c r="B40" s="60" t="s">
        <v>94</v>
      </c>
      <c r="C40" s="50" t="s">
        <v>118</v>
      </c>
      <c r="D40" s="50" t="s">
        <v>115</v>
      </c>
      <c r="E40" s="50" t="s">
        <v>113</v>
      </c>
      <c r="F40" s="50" t="s">
        <v>110</v>
      </c>
      <c r="G40" s="50" t="s">
        <v>107</v>
      </c>
      <c r="H40" s="50" t="s">
        <v>104</v>
      </c>
      <c r="I40" s="50" t="s">
        <v>101</v>
      </c>
      <c r="J40" s="50" t="s">
        <v>99</v>
      </c>
      <c r="K40" s="50" t="s">
        <v>97</v>
      </c>
      <c r="L40" s="50" t="s">
        <v>96</v>
      </c>
      <c r="M40" s="50" t="s">
        <v>94</v>
      </c>
    </row>
  </sheetData>
  <mergeCells count="3">
    <mergeCell ref="B2:M2"/>
    <mergeCell ref="B3:B4"/>
    <mergeCell ref="C3:M3"/>
  </mergeCells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E23"/>
  <sheetViews>
    <sheetView workbookViewId="0"/>
  </sheetViews>
  <sheetFormatPr baseColWidth="10" defaultColWidth="8.83203125" defaultRowHeight="15"/>
  <cols>
    <col min="1" max="1" width="3.83203125" customWidth="1"/>
    <col min="2" max="2" width="12.6640625" customWidth="1"/>
    <col min="3" max="3" width="34.5" bestFit="1" customWidth="1"/>
    <col min="4" max="4" width="22.5" customWidth="1"/>
    <col min="5" max="5" width="83.1640625" customWidth="1"/>
    <col min="6" max="6" width="19.83203125" customWidth="1"/>
  </cols>
  <sheetData>
    <row r="2" spans="2:5">
      <c r="B2" s="79" t="s">
        <v>287</v>
      </c>
      <c r="C2" s="79"/>
      <c r="D2" s="79"/>
    </row>
    <row r="3" spans="2:5">
      <c r="B3" s="58"/>
      <c r="C3" s="58"/>
      <c r="D3" s="58"/>
      <c r="E3" s="58"/>
    </row>
    <row r="4" spans="2:5">
      <c r="B4" s="93" t="s">
        <v>268</v>
      </c>
      <c r="C4" s="93" t="s">
        <v>320</v>
      </c>
      <c r="D4" s="93" t="s">
        <v>321</v>
      </c>
      <c r="E4" s="80" t="s">
        <v>288</v>
      </c>
    </row>
    <row r="5" spans="2:5">
      <c r="B5" s="90" t="s">
        <v>75</v>
      </c>
      <c r="C5" s="91" t="s">
        <v>289</v>
      </c>
      <c r="D5" s="92" t="s">
        <v>290</v>
      </c>
      <c r="E5" s="59" t="str">
        <f>C5&amp;" - "&amp;D5</f>
        <v>Usage/Mechanics - Punctuation</v>
      </c>
    </row>
    <row r="6" spans="2:5">
      <c r="B6" s="90" t="s">
        <v>75</v>
      </c>
      <c r="C6" s="91" t="s">
        <v>289</v>
      </c>
      <c r="D6" s="92" t="s">
        <v>375</v>
      </c>
      <c r="E6" s="59" t="str">
        <f t="shared" ref="E6:E23" si="0">C6&amp;" - "&amp;D6</f>
        <v>Usage/Mechanics - Grammar/Usage</v>
      </c>
    </row>
    <row r="7" spans="2:5">
      <c r="B7" s="90" t="s">
        <v>75</v>
      </c>
      <c r="C7" s="91" t="s">
        <v>289</v>
      </c>
      <c r="D7" s="92" t="s">
        <v>280</v>
      </c>
      <c r="E7" s="59" t="str">
        <f t="shared" si="0"/>
        <v>Usage/Mechanics - Sentence Structure</v>
      </c>
    </row>
    <row r="8" spans="2:5">
      <c r="B8" s="90" t="s">
        <v>75</v>
      </c>
      <c r="C8" s="91" t="s">
        <v>291</v>
      </c>
      <c r="D8" s="92" t="s">
        <v>326</v>
      </c>
      <c r="E8" s="59" t="str">
        <f t="shared" si="0"/>
        <v>Rhetorical Skills - Strategy</v>
      </c>
    </row>
    <row r="9" spans="2:5">
      <c r="B9" s="90" t="s">
        <v>75</v>
      </c>
      <c r="C9" s="91" t="s">
        <v>291</v>
      </c>
      <c r="D9" s="92" t="s">
        <v>327</v>
      </c>
      <c r="E9" s="59" t="str">
        <f t="shared" si="0"/>
        <v>Rhetorical Skills - Organization</v>
      </c>
    </row>
    <row r="10" spans="2:5">
      <c r="B10" s="90" t="s">
        <v>75</v>
      </c>
      <c r="C10" s="91" t="s">
        <v>291</v>
      </c>
      <c r="D10" s="92" t="s">
        <v>328</v>
      </c>
      <c r="E10" s="59" t="str">
        <f t="shared" si="0"/>
        <v>Rhetorical Skills - Style</v>
      </c>
    </row>
    <row r="11" spans="2:5">
      <c r="B11" s="90" t="s">
        <v>305</v>
      </c>
      <c r="C11" s="91" t="s">
        <v>292</v>
      </c>
      <c r="D11" s="92" t="s">
        <v>374</v>
      </c>
      <c r="E11" s="59" t="str">
        <f t="shared" si="0"/>
        <v>Pre-Algebra/Elementary Algebra - Pre-Algebra</v>
      </c>
    </row>
    <row r="12" spans="2:5">
      <c r="B12" s="90" t="s">
        <v>305</v>
      </c>
      <c r="C12" s="91" t="s">
        <v>292</v>
      </c>
      <c r="D12" s="92" t="s">
        <v>331</v>
      </c>
      <c r="E12" s="59" t="str">
        <f t="shared" si="0"/>
        <v>Pre-Algebra/Elementary Algebra - Elementary Algebra</v>
      </c>
    </row>
    <row r="13" spans="2:5">
      <c r="B13" s="90" t="s">
        <v>305</v>
      </c>
      <c r="C13" s="91" t="s">
        <v>249</v>
      </c>
      <c r="D13" s="92" t="s">
        <v>332</v>
      </c>
      <c r="E13" s="59" t="str">
        <f t="shared" si="0"/>
        <v>Intermediate Algebra/Coordinate Geometry - Intermediate Algebra</v>
      </c>
    </row>
    <row r="14" spans="2:5">
      <c r="B14" s="90" t="s">
        <v>305</v>
      </c>
      <c r="C14" s="91" t="s">
        <v>249</v>
      </c>
      <c r="D14" s="92" t="s">
        <v>452</v>
      </c>
      <c r="E14" s="59" t="str">
        <f t="shared" si="0"/>
        <v>Intermediate Algebra/Coordinate Geometry - Coordinate Geometry</v>
      </c>
    </row>
    <row r="15" spans="2:5">
      <c r="B15" s="90" t="s">
        <v>305</v>
      </c>
      <c r="C15" s="91" t="s">
        <v>334</v>
      </c>
      <c r="D15" s="92" t="s">
        <v>379</v>
      </c>
      <c r="E15" s="59" t="str">
        <f t="shared" si="0"/>
        <v>Plane Geometry/Trigonometry - Plane Geometry</v>
      </c>
    </row>
    <row r="16" spans="2:5">
      <c r="B16" s="90" t="s">
        <v>305</v>
      </c>
      <c r="C16" s="91" t="s">
        <v>334</v>
      </c>
      <c r="D16" s="92" t="s">
        <v>380</v>
      </c>
      <c r="E16" s="59" t="str">
        <f t="shared" si="0"/>
        <v>Plane Geometry/Trigonometry - Trignometry</v>
      </c>
    </row>
    <row r="17" spans="2:5">
      <c r="B17" s="90" t="s">
        <v>76</v>
      </c>
      <c r="C17" s="91" t="s">
        <v>340</v>
      </c>
      <c r="D17" s="92" t="s">
        <v>285</v>
      </c>
      <c r="E17" s="59" t="str">
        <f t="shared" si="0"/>
        <v>Social Studies/Sciences - Social Studies</v>
      </c>
    </row>
    <row r="18" spans="2:5">
      <c r="B18" s="90" t="s">
        <v>76</v>
      </c>
      <c r="C18" s="91" t="s">
        <v>340</v>
      </c>
      <c r="D18" s="92" t="s">
        <v>286</v>
      </c>
      <c r="E18" s="59" t="str">
        <f t="shared" si="0"/>
        <v>Social Studies/Sciences - Natural Sciences</v>
      </c>
    </row>
    <row r="19" spans="2:5">
      <c r="B19" s="90" t="s">
        <v>76</v>
      </c>
      <c r="C19" s="91" t="s">
        <v>342</v>
      </c>
      <c r="D19" s="92" t="s">
        <v>400</v>
      </c>
      <c r="E19" s="59" t="str">
        <f t="shared" si="0"/>
        <v>Arts/Literature - Literary Narrative/Prose Fiction</v>
      </c>
    </row>
    <row r="20" spans="2:5">
      <c r="B20" s="90" t="s">
        <v>76</v>
      </c>
      <c r="C20" s="91" t="s">
        <v>342</v>
      </c>
      <c r="D20" s="92" t="s">
        <v>259</v>
      </c>
      <c r="E20" s="59" t="str">
        <f t="shared" si="0"/>
        <v>Arts/Literature - Humanities</v>
      </c>
    </row>
    <row r="21" spans="2:5">
      <c r="B21" s="90" t="s">
        <v>77</v>
      </c>
      <c r="C21" s="91" t="s">
        <v>345</v>
      </c>
      <c r="D21" s="91" t="s">
        <v>453</v>
      </c>
      <c r="E21" s="59" t="str">
        <f t="shared" si="0"/>
        <v xml:space="preserve">Data Representation - Data Representation </v>
      </c>
    </row>
    <row r="22" spans="2:5">
      <c r="B22" s="90" t="s">
        <v>77</v>
      </c>
      <c r="C22" s="91" t="s">
        <v>346</v>
      </c>
      <c r="D22" s="91" t="s">
        <v>454</v>
      </c>
      <c r="E22" s="59" t="str">
        <f t="shared" si="0"/>
        <v xml:space="preserve">Research Summaries - Research Summaries </v>
      </c>
    </row>
    <row r="23" spans="2:5">
      <c r="B23" s="90" t="s">
        <v>77</v>
      </c>
      <c r="C23" s="91" t="s">
        <v>347</v>
      </c>
      <c r="D23" s="91" t="s">
        <v>398</v>
      </c>
      <c r="E23" s="59" t="str">
        <f t="shared" si="0"/>
        <v>Conflicting Viewpoints - Conflicting Viewpoints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리스트"/>
  <dimension ref="O1:O12"/>
  <sheetViews>
    <sheetView topLeftCell="F1" workbookViewId="0">
      <selection activeCell="Q1" sqref="Q1"/>
    </sheetView>
  </sheetViews>
  <sheetFormatPr baseColWidth="10" defaultColWidth="8.83203125" defaultRowHeight="15"/>
  <cols>
    <col min="1" max="1" width="26.1640625" customWidth="1"/>
    <col min="2" max="2" width="15.1640625" customWidth="1"/>
  </cols>
  <sheetData>
    <row r="1" spans="15:15">
      <c r="O1" t="s">
        <v>514</v>
      </c>
    </row>
    <row r="2" spans="15:15">
      <c r="O2" t="s">
        <v>522</v>
      </c>
    </row>
    <row r="3" spans="15:15">
      <c r="O3" t="s">
        <v>529</v>
      </c>
    </row>
    <row r="4" spans="15:15">
      <c r="O4" t="s">
        <v>537</v>
      </c>
    </row>
    <row r="5" spans="15:15">
      <c r="O5" t="s">
        <v>570</v>
      </c>
    </row>
    <row r="6" spans="15:15">
      <c r="O6" t="s">
        <v>583</v>
      </c>
    </row>
    <row r="7" spans="15:15">
      <c r="O7" t="s">
        <v>590</v>
      </c>
    </row>
    <row r="8" spans="15:15">
      <c r="O8" t="s">
        <v>599</v>
      </c>
    </row>
    <row r="9" spans="15:15">
      <c r="O9" t="s">
        <v>627</v>
      </c>
    </row>
    <row r="10" spans="15:15">
      <c r="O10" t="s">
        <v>636</v>
      </c>
    </row>
    <row r="11" spans="15:15">
      <c r="O11" t="s">
        <v>648</v>
      </c>
    </row>
    <row r="12" spans="15:15">
      <c r="O12" t="s">
        <v>766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ork_문항"/>
  <dimension ref="A9:S224"/>
  <sheetViews>
    <sheetView workbookViewId="0">
      <selection activeCell="G33" sqref="G33"/>
    </sheetView>
  </sheetViews>
  <sheetFormatPr baseColWidth="10" defaultColWidth="8.83203125" defaultRowHeight="15"/>
  <sheetData>
    <row r="9" spans="1:18">
      <c r="A9" t="s">
        <v>89</v>
      </c>
      <c r="B9" t="s">
        <v>54</v>
      </c>
      <c r="C9" t="s">
        <v>55</v>
      </c>
      <c r="D9" t="s">
        <v>90</v>
      </c>
      <c r="G9" t="s">
        <v>56</v>
      </c>
      <c r="H9" t="s">
        <v>473</v>
      </c>
      <c r="I9" t="s">
        <v>57</v>
      </c>
      <c r="J9" t="s">
        <v>58</v>
      </c>
      <c r="K9" t="s">
        <v>59</v>
      </c>
      <c r="L9" t="s">
        <v>60</v>
      </c>
      <c r="M9" t="s">
        <v>61</v>
      </c>
      <c r="N9" t="s">
        <v>62</v>
      </c>
    </row>
    <row r="10" spans="1:18">
      <c r="A10" t="s">
        <v>75</v>
      </c>
      <c r="B10">
        <v>1</v>
      </c>
      <c r="C10">
        <v>1</v>
      </c>
      <c r="D10" t="s">
        <v>436</v>
      </c>
      <c r="G10" t="s">
        <v>69</v>
      </c>
      <c r="H10" t="s">
        <v>80</v>
      </c>
      <c r="I10">
        <v>0.98299999999999998</v>
      </c>
      <c r="L10">
        <v>1.7000000000000001E-2</v>
      </c>
      <c r="N10">
        <v>0.98299999999999998</v>
      </c>
      <c r="O10">
        <v>0</v>
      </c>
      <c r="R10">
        <v>1.7000000000000001E-2</v>
      </c>
    </row>
    <row r="11" spans="1:18">
      <c r="A11" t="s">
        <v>75</v>
      </c>
      <c r="B11">
        <v>1</v>
      </c>
      <c r="C11">
        <v>2</v>
      </c>
      <c r="D11" t="s">
        <v>440</v>
      </c>
      <c r="G11" t="s">
        <v>81</v>
      </c>
      <c r="H11" t="s">
        <v>661</v>
      </c>
      <c r="I11">
        <v>0.93100000000000005</v>
      </c>
      <c r="J11">
        <v>3.4000000000000002E-2</v>
      </c>
      <c r="K11">
        <v>3.4000000000000002E-2</v>
      </c>
      <c r="N11">
        <v>0.93100000000000005</v>
      </c>
      <c r="O11">
        <v>0</v>
      </c>
      <c r="P11">
        <v>3.4000000000000002E-2</v>
      </c>
      <c r="Q11">
        <v>3.4000000000000002E-2</v>
      </c>
    </row>
    <row r="12" spans="1:18">
      <c r="A12" t="s">
        <v>75</v>
      </c>
      <c r="B12">
        <v>1</v>
      </c>
      <c r="C12">
        <v>3</v>
      </c>
      <c r="D12" t="s">
        <v>435</v>
      </c>
      <c r="G12" t="s">
        <v>67</v>
      </c>
      <c r="H12" t="s">
        <v>81</v>
      </c>
      <c r="I12">
        <v>1.7000000000000001E-2</v>
      </c>
      <c r="K12">
        <v>0.98299999999999998</v>
      </c>
      <c r="N12">
        <v>0.98299999999999998</v>
      </c>
      <c r="O12">
        <v>1.7000000000000001E-2</v>
      </c>
      <c r="Q12">
        <v>0</v>
      </c>
    </row>
    <row r="13" spans="1:18">
      <c r="A13" t="s">
        <v>75</v>
      </c>
      <c r="B13">
        <v>1</v>
      </c>
      <c r="C13">
        <v>4</v>
      </c>
      <c r="D13" t="s">
        <v>437</v>
      </c>
      <c r="G13" t="s">
        <v>83</v>
      </c>
      <c r="H13" t="s">
        <v>79</v>
      </c>
      <c r="I13">
        <v>1.7000000000000001E-2</v>
      </c>
      <c r="J13">
        <v>8.5999999999999993E-2</v>
      </c>
      <c r="K13">
        <v>0.86199999999999999</v>
      </c>
      <c r="L13">
        <v>3.4000000000000002E-2</v>
      </c>
      <c r="N13">
        <v>0.86199999999999999</v>
      </c>
      <c r="O13">
        <v>1.7000000000000001E-2</v>
      </c>
      <c r="P13">
        <v>8.5999999999999993E-2</v>
      </c>
      <c r="Q13">
        <v>0</v>
      </c>
      <c r="R13">
        <v>3.4000000000000002E-2</v>
      </c>
    </row>
    <row r="14" spans="1:18">
      <c r="A14" t="s">
        <v>75</v>
      </c>
      <c r="B14">
        <v>1</v>
      </c>
      <c r="C14">
        <v>5</v>
      </c>
      <c r="D14" t="s">
        <v>435</v>
      </c>
      <c r="G14" t="s">
        <v>70</v>
      </c>
      <c r="H14" t="s">
        <v>618</v>
      </c>
      <c r="J14">
        <v>0.96599999999999997</v>
      </c>
      <c r="K14">
        <v>1.7000000000000001E-2</v>
      </c>
      <c r="L14">
        <v>1.7000000000000001E-2</v>
      </c>
      <c r="N14">
        <v>0.96599999999999997</v>
      </c>
      <c r="P14">
        <v>0</v>
      </c>
      <c r="Q14">
        <v>1.7000000000000001E-2</v>
      </c>
      <c r="R14">
        <v>1.7000000000000001E-2</v>
      </c>
    </row>
    <row r="15" spans="1:18">
      <c r="A15" t="s">
        <v>75</v>
      </c>
      <c r="B15">
        <v>1</v>
      </c>
      <c r="C15">
        <v>6</v>
      </c>
      <c r="D15" t="s">
        <v>439</v>
      </c>
      <c r="G15" t="s">
        <v>79</v>
      </c>
      <c r="H15" t="s">
        <v>71</v>
      </c>
      <c r="I15">
        <v>1.7000000000000001E-2</v>
      </c>
      <c r="J15">
        <v>0.879</v>
      </c>
      <c r="L15">
        <v>8.5999999999999993E-2</v>
      </c>
      <c r="N15">
        <v>0.879</v>
      </c>
      <c r="O15">
        <v>1.7000000000000001E-2</v>
      </c>
      <c r="P15">
        <v>0</v>
      </c>
      <c r="R15">
        <v>8.5999999999999993E-2</v>
      </c>
    </row>
    <row r="16" spans="1:18">
      <c r="A16" t="s">
        <v>75</v>
      </c>
      <c r="B16">
        <v>1</v>
      </c>
      <c r="C16">
        <v>7</v>
      </c>
      <c r="D16" t="s">
        <v>436</v>
      </c>
      <c r="G16" t="s">
        <v>69</v>
      </c>
      <c r="H16" t="s">
        <v>67</v>
      </c>
      <c r="I16">
        <v>0.96599999999999997</v>
      </c>
      <c r="K16">
        <v>3.4000000000000002E-2</v>
      </c>
      <c r="N16">
        <v>0.96599999999999997</v>
      </c>
      <c r="O16">
        <v>0</v>
      </c>
      <c r="Q16">
        <v>3.4000000000000002E-2</v>
      </c>
    </row>
    <row r="17" spans="1:18">
      <c r="A17" t="s">
        <v>75</v>
      </c>
      <c r="B17">
        <v>1</v>
      </c>
      <c r="C17">
        <v>8</v>
      </c>
      <c r="D17" t="s">
        <v>437</v>
      </c>
      <c r="G17" t="s">
        <v>81</v>
      </c>
      <c r="H17" t="s">
        <v>71</v>
      </c>
      <c r="I17">
        <v>0.77600000000000002</v>
      </c>
      <c r="J17">
        <v>1.7000000000000001E-2</v>
      </c>
      <c r="K17">
        <v>3.4000000000000002E-2</v>
      </c>
      <c r="L17">
        <v>0.17199999999999999</v>
      </c>
      <c r="N17">
        <v>0.77600000000000002</v>
      </c>
      <c r="O17">
        <v>0</v>
      </c>
      <c r="P17">
        <v>1.7000000000000001E-2</v>
      </c>
      <c r="Q17">
        <v>3.4000000000000002E-2</v>
      </c>
      <c r="R17">
        <v>0.17199999999999999</v>
      </c>
    </row>
    <row r="18" spans="1:18">
      <c r="A18" t="s">
        <v>75</v>
      </c>
      <c r="B18">
        <v>1</v>
      </c>
      <c r="C18">
        <v>9</v>
      </c>
      <c r="D18" t="s">
        <v>440</v>
      </c>
      <c r="G18" t="s">
        <v>71</v>
      </c>
      <c r="H18" t="s">
        <v>70</v>
      </c>
      <c r="I18">
        <v>1.7000000000000001E-2</v>
      </c>
      <c r="J18">
        <v>3.4000000000000002E-2</v>
      </c>
      <c r="L18">
        <v>0.94799999999999995</v>
      </c>
      <c r="N18">
        <v>0.94799999999999995</v>
      </c>
      <c r="O18">
        <v>1.7000000000000001E-2</v>
      </c>
      <c r="P18">
        <v>3.4000000000000002E-2</v>
      </c>
      <c r="R18">
        <v>0</v>
      </c>
    </row>
    <row r="19" spans="1:18">
      <c r="A19" t="s">
        <v>75</v>
      </c>
      <c r="B19">
        <v>1</v>
      </c>
      <c r="C19">
        <v>10</v>
      </c>
      <c r="D19" t="s">
        <v>435</v>
      </c>
      <c r="G19" t="s">
        <v>80</v>
      </c>
      <c r="H19" t="s">
        <v>67</v>
      </c>
      <c r="J19">
        <v>1.7000000000000001E-2</v>
      </c>
      <c r="K19">
        <v>0.121</v>
      </c>
      <c r="L19">
        <v>0.86199999999999999</v>
      </c>
      <c r="N19">
        <v>0.86199999999999999</v>
      </c>
      <c r="P19">
        <v>1.7000000000000001E-2</v>
      </c>
      <c r="Q19">
        <v>0.121</v>
      </c>
      <c r="R19">
        <v>0</v>
      </c>
    </row>
    <row r="20" spans="1:18">
      <c r="A20" t="s">
        <v>75</v>
      </c>
      <c r="B20">
        <v>1</v>
      </c>
      <c r="C20">
        <v>11</v>
      </c>
      <c r="D20" t="s">
        <v>436</v>
      </c>
      <c r="G20" t="s">
        <v>67</v>
      </c>
      <c r="H20" t="s">
        <v>71</v>
      </c>
      <c r="K20">
        <v>0.86199999999999999</v>
      </c>
      <c r="L20">
        <v>0.13800000000000001</v>
      </c>
      <c r="N20">
        <v>0.86199999999999999</v>
      </c>
      <c r="Q20">
        <v>0</v>
      </c>
      <c r="R20">
        <v>0.13800000000000001</v>
      </c>
    </row>
    <row r="21" spans="1:18">
      <c r="A21" t="s">
        <v>75</v>
      </c>
      <c r="B21">
        <v>1</v>
      </c>
      <c r="C21">
        <v>12</v>
      </c>
      <c r="D21" t="s">
        <v>438</v>
      </c>
      <c r="G21" t="s">
        <v>81</v>
      </c>
      <c r="H21" t="s">
        <v>618</v>
      </c>
      <c r="I21">
        <v>0.75900000000000001</v>
      </c>
      <c r="J21">
        <v>6.9000000000000006E-2</v>
      </c>
      <c r="K21">
        <v>8.5999999999999993E-2</v>
      </c>
      <c r="L21">
        <v>8.5999999999999993E-2</v>
      </c>
      <c r="N21">
        <v>0.75900000000000001</v>
      </c>
      <c r="O21">
        <v>0</v>
      </c>
      <c r="P21">
        <v>6.9000000000000006E-2</v>
      </c>
      <c r="Q21">
        <v>8.5999999999999993E-2</v>
      </c>
      <c r="R21">
        <v>8.5999999999999993E-2</v>
      </c>
    </row>
    <row r="22" spans="1:18">
      <c r="A22" t="s">
        <v>75</v>
      </c>
      <c r="B22">
        <v>1</v>
      </c>
      <c r="C22">
        <v>13</v>
      </c>
      <c r="D22" t="s">
        <v>440</v>
      </c>
      <c r="G22" t="s">
        <v>69</v>
      </c>
      <c r="H22" t="s">
        <v>67</v>
      </c>
      <c r="I22">
        <v>0.879</v>
      </c>
      <c r="J22">
        <v>5.1999999999999998E-2</v>
      </c>
      <c r="K22">
        <v>6.9000000000000006E-2</v>
      </c>
      <c r="N22">
        <v>0.879</v>
      </c>
      <c r="O22">
        <v>0</v>
      </c>
      <c r="P22">
        <v>5.1999999999999998E-2</v>
      </c>
      <c r="Q22">
        <v>6.9000000000000006E-2</v>
      </c>
    </row>
    <row r="23" spans="1:18">
      <c r="A23" t="s">
        <v>75</v>
      </c>
      <c r="B23">
        <v>1</v>
      </c>
      <c r="C23">
        <v>14</v>
      </c>
      <c r="D23" t="s">
        <v>439</v>
      </c>
      <c r="G23" t="s">
        <v>83</v>
      </c>
      <c r="H23" t="s">
        <v>71</v>
      </c>
      <c r="I23">
        <v>3.4000000000000002E-2</v>
      </c>
      <c r="J23">
        <v>6.9000000000000006E-2</v>
      </c>
      <c r="K23">
        <v>0.77600000000000002</v>
      </c>
      <c r="L23">
        <v>0.121</v>
      </c>
      <c r="N23">
        <v>0.77600000000000002</v>
      </c>
      <c r="O23">
        <v>3.4000000000000002E-2</v>
      </c>
      <c r="P23">
        <v>6.9000000000000006E-2</v>
      </c>
      <c r="Q23">
        <v>0</v>
      </c>
      <c r="R23">
        <v>0.121</v>
      </c>
    </row>
    <row r="24" spans="1:18">
      <c r="A24" t="s">
        <v>75</v>
      </c>
      <c r="B24">
        <v>1</v>
      </c>
      <c r="C24">
        <v>15</v>
      </c>
      <c r="D24" t="s">
        <v>438</v>
      </c>
      <c r="G24" t="s">
        <v>71</v>
      </c>
      <c r="H24" t="s">
        <v>69</v>
      </c>
      <c r="I24">
        <v>1.7000000000000001E-2</v>
      </c>
      <c r="L24">
        <v>0.98299999999999998</v>
      </c>
      <c r="N24">
        <v>0.98299999999999998</v>
      </c>
      <c r="O24">
        <v>1.7000000000000001E-2</v>
      </c>
      <c r="R24">
        <v>0</v>
      </c>
    </row>
    <row r="25" spans="1:18">
      <c r="A25" t="s">
        <v>75</v>
      </c>
      <c r="B25">
        <v>1</v>
      </c>
      <c r="C25">
        <v>16</v>
      </c>
      <c r="D25" t="s">
        <v>440</v>
      </c>
      <c r="G25" t="s">
        <v>80</v>
      </c>
      <c r="H25" t="s">
        <v>67</v>
      </c>
      <c r="I25">
        <v>1.7000000000000001E-2</v>
      </c>
      <c r="J25">
        <v>1.7000000000000001E-2</v>
      </c>
      <c r="K25">
        <v>3.4000000000000002E-2</v>
      </c>
      <c r="L25">
        <v>0.93100000000000005</v>
      </c>
      <c r="N25">
        <v>0.93100000000000005</v>
      </c>
      <c r="O25">
        <v>1.7000000000000001E-2</v>
      </c>
      <c r="P25">
        <v>1.7000000000000001E-2</v>
      </c>
      <c r="Q25">
        <v>3.4000000000000002E-2</v>
      </c>
      <c r="R25">
        <v>0</v>
      </c>
    </row>
    <row r="26" spans="1:18">
      <c r="A26" t="s">
        <v>75</v>
      </c>
      <c r="B26">
        <v>1</v>
      </c>
      <c r="C26">
        <v>17</v>
      </c>
      <c r="D26" t="s">
        <v>438</v>
      </c>
      <c r="G26" t="s">
        <v>69</v>
      </c>
      <c r="H26" t="s">
        <v>71</v>
      </c>
      <c r="I26">
        <v>0.94799999999999995</v>
      </c>
      <c r="K26">
        <v>1.7000000000000001E-2</v>
      </c>
      <c r="L26">
        <v>3.4000000000000002E-2</v>
      </c>
      <c r="N26">
        <v>0.94799999999999995</v>
      </c>
      <c r="O26">
        <v>0</v>
      </c>
      <c r="Q26">
        <v>1.7000000000000001E-2</v>
      </c>
      <c r="R26">
        <v>3.4000000000000002E-2</v>
      </c>
    </row>
    <row r="27" spans="1:18">
      <c r="A27" t="s">
        <v>75</v>
      </c>
      <c r="B27">
        <v>1</v>
      </c>
      <c r="C27">
        <v>18</v>
      </c>
      <c r="D27" t="s">
        <v>435</v>
      </c>
      <c r="G27" t="s">
        <v>83</v>
      </c>
      <c r="H27" t="s">
        <v>70</v>
      </c>
      <c r="I27">
        <v>5.1999999999999998E-2</v>
      </c>
      <c r="J27">
        <v>0.17199999999999999</v>
      </c>
      <c r="K27">
        <v>0.75900000000000001</v>
      </c>
      <c r="L27">
        <v>1.7000000000000001E-2</v>
      </c>
      <c r="N27">
        <v>0.75900000000000001</v>
      </c>
      <c r="O27">
        <v>5.1999999999999998E-2</v>
      </c>
      <c r="P27">
        <v>0.17199999999999999</v>
      </c>
      <c r="Q27">
        <v>0</v>
      </c>
      <c r="R27">
        <v>1.7000000000000001E-2</v>
      </c>
    </row>
    <row r="28" spans="1:18">
      <c r="A28" t="s">
        <v>75</v>
      </c>
      <c r="B28">
        <v>1</v>
      </c>
      <c r="C28">
        <v>19</v>
      </c>
      <c r="D28" t="s">
        <v>440</v>
      </c>
      <c r="G28" t="s">
        <v>67</v>
      </c>
      <c r="H28" t="s">
        <v>69</v>
      </c>
      <c r="I28">
        <v>0.224</v>
      </c>
      <c r="J28">
        <v>0.155</v>
      </c>
      <c r="K28">
        <v>0.58599999999999997</v>
      </c>
      <c r="L28">
        <v>1.7000000000000001E-2</v>
      </c>
      <c r="N28">
        <v>0.58599999999999997</v>
      </c>
      <c r="O28">
        <v>0.224</v>
      </c>
      <c r="P28">
        <v>0.155</v>
      </c>
      <c r="Q28">
        <v>0</v>
      </c>
      <c r="R28">
        <v>1.7000000000000001E-2</v>
      </c>
    </row>
    <row r="29" spans="1:18">
      <c r="A29" t="s">
        <v>75</v>
      </c>
      <c r="B29">
        <v>1</v>
      </c>
      <c r="C29">
        <v>20</v>
      </c>
      <c r="D29" t="s">
        <v>439</v>
      </c>
      <c r="G29" t="s">
        <v>83</v>
      </c>
      <c r="H29" t="s">
        <v>69</v>
      </c>
      <c r="I29">
        <v>6.9000000000000006E-2</v>
      </c>
      <c r="K29">
        <v>0.93100000000000005</v>
      </c>
      <c r="N29">
        <v>0.93100000000000005</v>
      </c>
      <c r="O29">
        <v>6.9000000000000006E-2</v>
      </c>
      <c r="Q29">
        <v>0</v>
      </c>
    </row>
    <row r="30" spans="1:18">
      <c r="A30" t="s">
        <v>75</v>
      </c>
      <c r="B30">
        <v>1</v>
      </c>
      <c r="C30">
        <v>21</v>
      </c>
      <c r="D30" t="s">
        <v>435</v>
      </c>
      <c r="G30" t="s">
        <v>71</v>
      </c>
      <c r="H30" t="s">
        <v>67</v>
      </c>
      <c r="I30">
        <v>1.7000000000000001E-2</v>
      </c>
      <c r="K30">
        <v>5.1999999999999998E-2</v>
      </c>
      <c r="L30">
        <v>0.93100000000000005</v>
      </c>
      <c r="N30">
        <v>0.93100000000000005</v>
      </c>
      <c r="O30">
        <v>1.7000000000000001E-2</v>
      </c>
      <c r="Q30">
        <v>5.1999999999999998E-2</v>
      </c>
      <c r="R30">
        <v>0</v>
      </c>
    </row>
    <row r="31" spans="1:18">
      <c r="A31" t="s">
        <v>75</v>
      </c>
      <c r="B31">
        <v>1</v>
      </c>
      <c r="C31">
        <v>22</v>
      </c>
      <c r="D31" t="s">
        <v>436</v>
      </c>
      <c r="G31" t="s">
        <v>81</v>
      </c>
      <c r="H31" t="s">
        <v>67</v>
      </c>
      <c r="I31">
        <v>0.93100000000000005</v>
      </c>
      <c r="J31">
        <v>1.7000000000000001E-2</v>
      </c>
      <c r="K31">
        <v>3.4000000000000002E-2</v>
      </c>
      <c r="L31">
        <v>1.7000000000000001E-2</v>
      </c>
      <c r="N31">
        <v>0.93100000000000005</v>
      </c>
      <c r="O31">
        <v>0</v>
      </c>
      <c r="P31">
        <v>1.7000000000000001E-2</v>
      </c>
      <c r="Q31">
        <v>3.4000000000000002E-2</v>
      </c>
      <c r="R31">
        <v>1.7000000000000001E-2</v>
      </c>
    </row>
    <row r="32" spans="1:18">
      <c r="A32" t="s">
        <v>75</v>
      </c>
      <c r="B32">
        <v>1</v>
      </c>
      <c r="C32">
        <v>23</v>
      </c>
      <c r="D32" t="s">
        <v>436</v>
      </c>
      <c r="G32" t="s">
        <v>67</v>
      </c>
      <c r="H32" t="s">
        <v>70</v>
      </c>
      <c r="I32">
        <v>3.4000000000000002E-2</v>
      </c>
      <c r="J32">
        <v>5.1999999999999998E-2</v>
      </c>
      <c r="K32">
        <v>0.91400000000000003</v>
      </c>
      <c r="N32">
        <v>0.91400000000000003</v>
      </c>
      <c r="O32">
        <v>3.4000000000000002E-2</v>
      </c>
      <c r="P32">
        <v>5.1999999999999998E-2</v>
      </c>
      <c r="Q32">
        <v>0</v>
      </c>
    </row>
    <row r="33" spans="1:18">
      <c r="A33" t="s">
        <v>75</v>
      </c>
      <c r="B33">
        <v>1</v>
      </c>
      <c r="C33">
        <v>24</v>
      </c>
      <c r="D33" t="s">
        <v>440</v>
      </c>
      <c r="G33" t="s">
        <v>80</v>
      </c>
      <c r="H33" t="s">
        <v>69</v>
      </c>
      <c r="I33">
        <v>1.7000000000000001E-2</v>
      </c>
      <c r="L33">
        <v>0.96599999999999997</v>
      </c>
      <c r="N33">
        <v>0.96599999999999997</v>
      </c>
      <c r="O33">
        <v>1.7000000000000001E-2</v>
      </c>
      <c r="R33">
        <v>0</v>
      </c>
    </row>
    <row r="34" spans="1:18">
      <c r="A34" t="s">
        <v>75</v>
      </c>
      <c r="B34">
        <v>1</v>
      </c>
      <c r="C34">
        <v>25</v>
      </c>
      <c r="D34" t="s">
        <v>439</v>
      </c>
      <c r="G34" t="s">
        <v>70</v>
      </c>
      <c r="H34" t="s">
        <v>67</v>
      </c>
      <c r="J34">
        <v>0.86199999999999999</v>
      </c>
      <c r="K34">
        <v>0.121</v>
      </c>
      <c r="L34">
        <v>1.7000000000000001E-2</v>
      </c>
      <c r="N34">
        <v>0.86199999999999999</v>
      </c>
      <c r="P34">
        <v>0</v>
      </c>
      <c r="Q34">
        <v>0.121</v>
      </c>
      <c r="R34">
        <v>1.7000000000000001E-2</v>
      </c>
    </row>
    <row r="35" spans="1:18">
      <c r="A35" t="s">
        <v>75</v>
      </c>
      <c r="B35">
        <v>1</v>
      </c>
      <c r="C35">
        <v>26</v>
      </c>
      <c r="D35" t="s">
        <v>436</v>
      </c>
      <c r="G35" t="s">
        <v>81</v>
      </c>
      <c r="H35" t="s">
        <v>71</v>
      </c>
      <c r="I35">
        <v>0.74099999999999999</v>
      </c>
      <c r="J35">
        <v>3.4000000000000002E-2</v>
      </c>
      <c r="K35">
        <v>6.9000000000000006E-2</v>
      </c>
      <c r="L35">
        <v>0.155</v>
      </c>
      <c r="N35">
        <v>0.74099999999999999</v>
      </c>
      <c r="O35">
        <v>0</v>
      </c>
      <c r="P35">
        <v>3.4000000000000002E-2</v>
      </c>
      <c r="Q35">
        <v>6.9000000000000006E-2</v>
      </c>
      <c r="R35">
        <v>0.155</v>
      </c>
    </row>
    <row r="36" spans="1:18">
      <c r="A36" t="s">
        <v>75</v>
      </c>
      <c r="B36">
        <v>1</v>
      </c>
      <c r="C36">
        <v>27</v>
      </c>
      <c r="D36" t="s">
        <v>435</v>
      </c>
      <c r="G36" t="s">
        <v>67</v>
      </c>
      <c r="H36" t="s">
        <v>70</v>
      </c>
      <c r="I36">
        <v>1.7000000000000001E-2</v>
      </c>
      <c r="J36">
        <v>5.1999999999999998E-2</v>
      </c>
      <c r="K36">
        <v>0.91400000000000003</v>
      </c>
      <c r="L36">
        <v>1.7000000000000001E-2</v>
      </c>
      <c r="N36">
        <v>0.91400000000000003</v>
      </c>
      <c r="O36">
        <v>1.7000000000000001E-2</v>
      </c>
      <c r="P36">
        <v>5.1999999999999998E-2</v>
      </c>
      <c r="Q36">
        <v>0</v>
      </c>
      <c r="R36">
        <v>1.7000000000000001E-2</v>
      </c>
    </row>
    <row r="37" spans="1:18">
      <c r="A37" t="s">
        <v>75</v>
      </c>
      <c r="B37">
        <v>1</v>
      </c>
      <c r="C37">
        <v>28</v>
      </c>
      <c r="D37" t="s">
        <v>438</v>
      </c>
      <c r="G37" t="s">
        <v>81</v>
      </c>
      <c r="H37" t="s">
        <v>71</v>
      </c>
      <c r="I37">
        <v>0.65500000000000003</v>
      </c>
      <c r="J37">
        <v>3.4000000000000002E-2</v>
      </c>
      <c r="L37">
        <v>0.31</v>
      </c>
      <c r="N37">
        <v>0.65500000000000003</v>
      </c>
      <c r="O37">
        <v>0</v>
      </c>
      <c r="P37">
        <v>3.4000000000000002E-2</v>
      </c>
      <c r="R37">
        <v>0.31</v>
      </c>
    </row>
    <row r="38" spans="1:18">
      <c r="A38" t="s">
        <v>75</v>
      </c>
      <c r="B38">
        <v>1</v>
      </c>
      <c r="C38">
        <v>29</v>
      </c>
      <c r="D38" t="s">
        <v>436</v>
      </c>
      <c r="G38" t="s">
        <v>70</v>
      </c>
      <c r="H38" t="s">
        <v>487</v>
      </c>
      <c r="I38">
        <v>5.1999999999999998E-2</v>
      </c>
      <c r="J38">
        <v>0.89700000000000002</v>
      </c>
      <c r="K38">
        <v>5.1999999999999998E-2</v>
      </c>
      <c r="N38">
        <v>0.89700000000000002</v>
      </c>
      <c r="O38">
        <v>5.1999999999999998E-2</v>
      </c>
      <c r="P38">
        <v>0</v>
      </c>
      <c r="Q38">
        <v>5.1999999999999998E-2</v>
      </c>
    </row>
    <row r="39" spans="1:18">
      <c r="A39" t="s">
        <v>75</v>
      </c>
      <c r="B39">
        <v>1</v>
      </c>
      <c r="C39">
        <v>30</v>
      </c>
      <c r="D39" t="s">
        <v>438</v>
      </c>
      <c r="G39" t="s">
        <v>79</v>
      </c>
      <c r="H39" t="s">
        <v>67</v>
      </c>
      <c r="J39">
        <v>0.91400000000000003</v>
      </c>
      <c r="K39">
        <v>6.9000000000000006E-2</v>
      </c>
      <c r="L39">
        <v>1.7000000000000001E-2</v>
      </c>
      <c r="N39">
        <v>0.91400000000000003</v>
      </c>
      <c r="P39">
        <v>0</v>
      </c>
      <c r="Q39">
        <v>6.9000000000000006E-2</v>
      </c>
      <c r="R39">
        <v>1.7000000000000001E-2</v>
      </c>
    </row>
    <row r="40" spans="1:18">
      <c r="A40" t="s">
        <v>75</v>
      </c>
      <c r="B40">
        <v>1</v>
      </c>
      <c r="C40">
        <v>31</v>
      </c>
      <c r="D40" t="s">
        <v>438</v>
      </c>
      <c r="G40" t="s">
        <v>70</v>
      </c>
      <c r="H40" t="s">
        <v>755</v>
      </c>
      <c r="I40">
        <v>1.7000000000000001E-2</v>
      </c>
      <c r="J40">
        <v>0.94799999999999995</v>
      </c>
      <c r="K40">
        <v>1.7000000000000001E-2</v>
      </c>
      <c r="L40">
        <v>1.7000000000000001E-2</v>
      </c>
      <c r="N40">
        <v>0.94799999999999995</v>
      </c>
      <c r="O40">
        <v>1.7000000000000001E-2</v>
      </c>
      <c r="P40">
        <v>0</v>
      </c>
      <c r="Q40">
        <v>1.7000000000000001E-2</v>
      </c>
      <c r="R40">
        <v>1.7000000000000001E-2</v>
      </c>
    </row>
    <row r="41" spans="1:18">
      <c r="A41" t="s">
        <v>75</v>
      </c>
      <c r="B41">
        <v>1</v>
      </c>
      <c r="C41">
        <v>32</v>
      </c>
      <c r="D41" t="s">
        <v>435</v>
      </c>
      <c r="G41" t="s">
        <v>80</v>
      </c>
      <c r="H41" t="s">
        <v>69</v>
      </c>
      <c r="I41">
        <v>6.9000000000000006E-2</v>
      </c>
      <c r="K41">
        <v>3.4000000000000002E-2</v>
      </c>
      <c r="L41">
        <v>0.89700000000000002</v>
      </c>
      <c r="N41">
        <v>0.89700000000000002</v>
      </c>
      <c r="O41">
        <v>6.9000000000000006E-2</v>
      </c>
      <c r="Q41">
        <v>3.4000000000000002E-2</v>
      </c>
      <c r="R41">
        <v>0</v>
      </c>
    </row>
    <row r="42" spans="1:18">
      <c r="A42" t="s">
        <v>75</v>
      </c>
      <c r="B42">
        <v>1</v>
      </c>
      <c r="C42">
        <v>33</v>
      </c>
      <c r="D42" t="s">
        <v>440</v>
      </c>
      <c r="G42" t="s">
        <v>70</v>
      </c>
      <c r="H42" t="s">
        <v>69</v>
      </c>
      <c r="I42">
        <v>0.121</v>
      </c>
      <c r="J42">
        <v>0.879</v>
      </c>
      <c r="N42">
        <v>0.879</v>
      </c>
      <c r="O42">
        <v>0.121</v>
      </c>
      <c r="P42">
        <v>0</v>
      </c>
    </row>
    <row r="43" spans="1:18">
      <c r="A43" t="s">
        <v>75</v>
      </c>
      <c r="B43">
        <v>1</v>
      </c>
      <c r="C43">
        <v>34</v>
      </c>
      <c r="D43" t="s">
        <v>440</v>
      </c>
      <c r="G43" t="s">
        <v>79</v>
      </c>
      <c r="H43" t="s">
        <v>69</v>
      </c>
      <c r="I43">
        <v>3.4000000000000002E-2</v>
      </c>
      <c r="J43">
        <v>0.96599999999999997</v>
      </c>
      <c r="N43">
        <v>0.96599999999999997</v>
      </c>
      <c r="O43">
        <v>3.4000000000000002E-2</v>
      </c>
      <c r="P43">
        <v>0</v>
      </c>
    </row>
    <row r="44" spans="1:18">
      <c r="A44" t="s">
        <v>75</v>
      </c>
      <c r="B44">
        <v>1</v>
      </c>
      <c r="C44">
        <v>35</v>
      </c>
      <c r="D44" t="s">
        <v>438</v>
      </c>
      <c r="G44" t="s">
        <v>70</v>
      </c>
      <c r="H44" t="s">
        <v>71</v>
      </c>
      <c r="I44">
        <v>6.9000000000000006E-2</v>
      </c>
      <c r="J44">
        <v>0.67200000000000004</v>
      </c>
      <c r="K44">
        <v>5.1999999999999998E-2</v>
      </c>
      <c r="L44">
        <v>0.20699999999999999</v>
      </c>
      <c r="N44">
        <v>0.67200000000000004</v>
      </c>
      <c r="O44">
        <v>6.9000000000000006E-2</v>
      </c>
      <c r="P44">
        <v>0</v>
      </c>
      <c r="Q44">
        <v>5.1999999999999998E-2</v>
      </c>
      <c r="R44">
        <v>0.20699999999999999</v>
      </c>
    </row>
    <row r="45" spans="1:18">
      <c r="A45" t="s">
        <v>75</v>
      </c>
      <c r="B45">
        <v>1</v>
      </c>
      <c r="C45">
        <v>36</v>
      </c>
      <c r="D45" t="s">
        <v>438</v>
      </c>
      <c r="G45" t="s">
        <v>81</v>
      </c>
      <c r="H45" t="s">
        <v>67</v>
      </c>
      <c r="I45">
        <v>0.879</v>
      </c>
      <c r="K45">
        <v>0.121</v>
      </c>
      <c r="N45">
        <v>0.879</v>
      </c>
      <c r="O45">
        <v>0</v>
      </c>
      <c r="Q45">
        <v>0.121</v>
      </c>
    </row>
    <row r="46" spans="1:18">
      <c r="A46" t="s">
        <v>75</v>
      </c>
      <c r="B46">
        <v>1</v>
      </c>
      <c r="C46">
        <v>37</v>
      </c>
      <c r="D46" t="s">
        <v>436</v>
      </c>
      <c r="G46" t="s">
        <v>70</v>
      </c>
      <c r="H46" t="s">
        <v>67</v>
      </c>
      <c r="I46">
        <v>8.5999999999999993E-2</v>
      </c>
      <c r="J46">
        <v>0.621</v>
      </c>
      <c r="K46">
        <v>0.27600000000000002</v>
      </c>
      <c r="L46">
        <v>1.7000000000000001E-2</v>
      </c>
      <c r="N46">
        <v>0.621</v>
      </c>
      <c r="O46">
        <v>8.5999999999999993E-2</v>
      </c>
      <c r="P46">
        <v>0</v>
      </c>
      <c r="Q46">
        <v>0.27600000000000002</v>
      </c>
      <c r="R46">
        <v>1.7000000000000001E-2</v>
      </c>
    </row>
    <row r="47" spans="1:18">
      <c r="A47" t="s">
        <v>75</v>
      </c>
      <c r="B47">
        <v>1</v>
      </c>
      <c r="C47">
        <v>38</v>
      </c>
      <c r="D47" t="s">
        <v>435</v>
      </c>
      <c r="G47" t="s">
        <v>81</v>
      </c>
      <c r="H47" t="s">
        <v>70</v>
      </c>
      <c r="I47">
        <v>0.94799999999999995</v>
      </c>
      <c r="J47">
        <v>5.1999999999999998E-2</v>
      </c>
      <c r="N47">
        <v>0.94799999999999995</v>
      </c>
      <c r="O47">
        <v>0</v>
      </c>
      <c r="P47">
        <v>5.1999999999999998E-2</v>
      </c>
    </row>
    <row r="48" spans="1:18">
      <c r="A48" t="s">
        <v>75</v>
      </c>
      <c r="B48">
        <v>1</v>
      </c>
      <c r="C48">
        <v>39</v>
      </c>
      <c r="D48" t="s">
        <v>437</v>
      </c>
      <c r="G48" t="s">
        <v>71</v>
      </c>
      <c r="H48" t="s">
        <v>67</v>
      </c>
      <c r="I48">
        <v>5.1999999999999998E-2</v>
      </c>
      <c r="K48">
        <v>6.9000000000000006E-2</v>
      </c>
      <c r="L48">
        <v>0.879</v>
      </c>
      <c r="N48">
        <v>0.879</v>
      </c>
      <c r="O48">
        <v>5.1999999999999998E-2</v>
      </c>
      <c r="Q48">
        <v>6.9000000000000006E-2</v>
      </c>
      <c r="R48">
        <v>0</v>
      </c>
    </row>
    <row r="49" spans="1:18">
      <c r="A49" t="s">
        <v>75</v>
      </c>
      <c r="B49">
        <v>1</v>
      </c>
      <c r="C49">
        <v>40</v>
      </c>
      <c r="D49" t="s">
        <v>440</v>
      </c>
      <c r="G49" t="s">
        <v>81</v>
      </c>
      <c r="H49" t="s">
        <v>67</v>
      </c>
      <c r="I49">
        <v>0.81</v>
      </c>
      <c r="K49">
        <v>0.155</v>
      </c>
      <c r="L49">
        <v>3.4000000000000002E-2</v>
      </c>
      <c r="N49">
        <v>0.81</v>
      </c>
      <c r="O49">
        <v>0</v>
      </c>
      <c r="Q49">
        <v>0.155</v>
      </c>
      <c r="R49">
        <v>3.4000000000000002E-2</v>
      </c>
    </row>
    <row r="50" spans="1:18">
      <c r="A50" t="s">
        <v>75</v>
      </c>
      <c r="B50">
        <v>1</v>
      </c>
      <c r="C50">
        <v>41</v>
      </c>
      <c r="D50" t="s">
        <v>437</v>
      </c>
      <c r="G50" t="s">
        <v>70</v>
      </c>
      <c r="H50" t="s">
        <v>69</v>
      </c>
      <c r="I50">
        <v>0.13800000000000001</v>
      </c>
      <c r="J50">
        <v>0.81</v>
      </c>
      <c r="K50">
        <v>5.1999999999999998E-2</v>
      </c>
      <c r="N50">
        <v>0.81</v>
      </c>
      <c r="O50">
        <v>0.13800000000000001</v>
      </c>
      <c r="P50">
        <v>0</v>
      </c>
      <c r="Q50">
        <v>5.1999999999999998E-2</v>
      </c>
    </row>
    <row r="51" spans="1:18">
      <c r="A51" t="s">
        <v>75</v>
      </c>
      <c r="B51">
        <v>1</v>
      </c>
      <c r="C51">
        <v>42</v>
      </c>
      <c r="D51" t="s">
        <v>437</v>
      </c>
      <c r="G51" t="s">
        <v>80</v>
      </c>
      <c r="H51" t="s">
        <v>487</v>
      </c>
      <c r="I51">
        <v>1.7000000000000001E-2</v>
      </c>
      <c r="K51">
        <v>1.7000000000000001E-2</v>
      </c>
      <c r="L51">
        <v>0.96599999999999997</v>
      </c>
      <c r="N51">
        <v>0.96599999999999997</v>
      </c>
      <c r="O51">
        <v>1.7000000000000001E-2</v>
      </c>
      <c r="Q51">
        <v>1.7000000000000001E-2</v>
      </c>
      <c r="R51">
        <v>0</v>
      </c>
    </row>
    <row r="52" spans="1:18">
      <c r="A52" t="s">
        <v>75</v>
      </c>
      <c r="B52">
        <v>1</v>
      </c>
      <c r="C52">
        <v>43</v>
      </c>
      <c r="D52" t="s">
        <v>440</v>
      </c>
      <c r="G52" t="s">
        <v>71</v>
      </c>
      <c r="H52" t="s">
        <v>69</v>
      </c>
      <c r="I52">
        <v>3.4000000000000002E-2</v>
      </c>
      <c r="L52">
        <v>0.96599999999999997</v>
      </c>
      <c r="N52">
        <v>0.96599999999999997</v>
      </c>
      <c r="O52">
        <v>3.4000000000000002E-2</v>
      </c>
      <c r="R52">
        <v>0</v>
      </c>
    </row>
    <row r="53" spans="1:18">
      <c r="A53" t="s">
        <v>75</v>
      </c>
      <c r="B53">
        <v>1</v>
      </c>
      <c r="C53">
        <v>44</v>
      </c>
      <c r="D53" t="s">
        <v>438</v>
      </c>
      <c r="G53" t="s">
        <v>83</v>
      </c>
      <c r="H53" t="s">
        <v>70</v>
      </c>
      <c r="I53">
        <v>1.7000000000000001E-2</v>
      </c>
      <c r="J53">
        <v>3.4000000000000002E-2</v>
      </c>
      <c r="K53">
        <v>0.94799999999999995</v>
      </c>
      <c r="N53">
        <v>0.94799999999999995</v>
      </c>
      <c r="O53">
        <v>1.7000000000000001E-2</v>
      </c>
      <c r="P53">
        <v>3.4000000000000002E-2</v>
      </c>
      <c r="Q53">
        <v>0</v>
      </c>
    </row>
    <row r="54" spans="1:18">
      <c r="A54" t="s">
        <v>75</v>
      </c>
      <c r="B54">
        <v>1</v>
      </c>
      <c r="C54">
        <v>45</v>
      </c>
      <c r="D54" t="s">
        <v>439</v>
      </c>
      <c r="G54" t="s">
        <v>69</v>
      </c>
      <c r="H54" t="s">
        <v>67</v>
      </c>
      <c r="I54">
        <v>0.84499999999999997</v>
      </c>
      <c r="J54">
        <v>3.4000000000000002E-2</v>
      </c>
      <c r="K54">
        <v>6.9000000000000006E-2</v>
      </c>
      <c r="L54">
        <v>5.1999999999999998E-2</v>
      </c>
      <c r="N54">
        <v>0.84499999999999997</v>
      </c>
      <c r="O54">
        <v>0</v>
      </c>
      <c r="P54">
        <v>3.4000000000000002E-2</v>
      </c>
      <c r="Q54">
        <v>6.9000000000000006E-2</v>
      </c>
      <c r="R54">
        <v>5.1999999999999998E-2</v>
      </c>
    </row>
    <row r="55" spans="1:18">
      <c r="A55" t="s">
        <v>75</v>
      </c>
      <c r="B55">
        <v>1</v>
      </c>
      <c r="C55">
        <v>46</v>
      </c>
      <c r="D55" t="s">
        <v>437</v>
      </c>
      <c r="G55" t="s">
        <v>79</v>
      </c>
      <c r="H55" t="s">
        <v>69</v>
      </c>
      <c r="I55">
        <v>0.13800000000000001</v>
      </c>
      <c r="J55">
        <v>0.74099999999999999</v>
      </c>
      <c r="K55">
        <v>5.1999999999999998E-2</v>
      </c>
      <c r="L55">
        <v>6.9000000000000006E-2</v>
      </c>
      <c r="N55">
        <v>0.74099999999999999</v>
      </c>
      <c r="O55">
        <v>0.13800000000000001</v>
      </c>
      <c r="P55">
        <v>0</v>
      </c>
      <c r="Q55">
        <v>5.1999999999999998E-2</v>
      </c>
      <c r="R55">
        <v>6.9000000000000006E-2</v>
      </c>
    </row>
    <row r="56" spans="1:18">
      <c r="A56" t="s">
        <v>75</v>
      </c>
      <c r="B56">
        <v>1</v>
      </c>
      <c r="C56">
        <v>47</v>
      </c>
      <c r="D56" t="s">
        <v>435</v>
      </c>
      <c r="G56" t="s">
        <v>67</v>
      </c>
      <c r="H56" t="s">
        <v>488</v>
      </c>
      <c r="I56">
        <v>8.5999999999999993E-2</v>
      </c>
      <c r="J56">
        <v>8.5999999999999993E-2</v>
      </c>
      <c r="K56">
        <v>0.81</v>
      </c>
      <c r="L56">
        <v>1.7000000000000001E-2</v>
      </c>
      <c r="N56">
        <v>0.81</v>
      </c>
      <c r="O56">
        <v>8.5999999999999993E-2</v>
      </c>
      <c r="P56">
        <v>8.5999999999999993E-2</v>
      </c>
      <c r="Q56">
        <v>0</v>
      </c>
      <c r="R56">
        <v>1.7000000000000001E-2</v>
      </c>
    </row>
    <row r="57" spans="1:18">
      <c r="A57" t="s">
        <v>75</v>
      </c>
      <c r="B57">
        <v>1</v>
      </c>
      <c r="C57">
        <v>48</v>
      </c>
      <c r="D57" t="s">
        <v>435</v>
      </c>
      <c r="G57" t="s">
        <v>81</v>
      </c>
      <c r="H57" t="s">
        <v>71</v>
      </c>
      <c r="I57">
        <v>0.75900000000000001</v>
      </c>
      <c r="J57">
        <v>6.9000000000000006E-2</v>
      </c>
      <c r="K57">
        <v>1.7000000000000001E-2</v>
      </c>
      <c r="L57">
        <v>0.155</v>
      </c>
      <c r="N57">
        <v>0.75900000000000001</v>
      </c>
      <c r="O57">
        <v>0</v>
      </c>
      <c r="P57">
        <v>6.9000000000000006E-2</v>
      </c>
      <c r="Q57">
        <v>1.7000000000000001E-2</v>
      </c>
      <c r="R57">
        <v>0.155</v>
      </c>
    </row>
    <row r="58" spans="1:18">
      <c r="A58" t="s">
        <v>75</v>
      </c>
      <c r="B58">
        <v>1</v>
      </c>
      <c r="C58">
        <v>49</v>
      </c>
      <c r="D58" t="s">
        <v>440</v>
      </c>
      <c r="G58" t="s">
        <v>71</v>
      </c>
      <c r="H58" t="s">
        <v>491</v>
      </c>
      <c r="J58">
        <v>1.7000000000000001E-2</v>
      </c>
      <c r="K58">
        <v>1.7000000000000001E-2</v>
      </c>
      <c r="L58">
        <v>0.96599999999999997</v>
      </c>
      <c r="N58">
        <v>0.96599999999999997</v>
      </c>
      <c r="P58">
        <v>1.7000000000000001E-2</v>
      </c>
      <c r="Q58">
        <v>1.7000000000000001E-2</v>
      </c>
      <c r="R58">
        <v>0</v>
      </c>
    </row>
    <row r="59" spans="1:18">
      <c r="A59" t="s">
        <v>75</v>
      </c>
      <c r="B59">
        <v>1</v>
      </c>
      <c r="C59">
        <v>50</v>
      </c>
      <c r="D59" t="s">
        <v>440</v>
      </c>
      <c r="G59" t="s">
        <v>81</v>
      </c>
      <c r="H59" t="s">
        <v>618</v>
      </c>
      <c r="I59">
        <v>0.93100000000000005</v>
      </c>
      <c r="K59">
        <v>3.4000000000000002E-2</v>
      </c>
      <c r="L59">
        <v>3.4000000000000002E-2</v>
      </c>
      <c r="N59">
        <v>0.93100000000000005</v>
      </c>
      <c r="O59">
        <v>0</v>
      </c>
      <c r="Q59">
        <v>3.4000000000000002E-2</v>
      </c>
      <c r="R59">
        <v>3.4000000000000002E-2</v>
      </c>
    </row>
    <row r="60" spans="1:18">
      <c r="A60" t="s">
        <v>75</v>
      </c>
      <c r="B60">
        <v>1</v>
      </c>
      <c r="C60">
        <v>51</v>
      </c>
      <c r="D60" t="s">
        <v>436</v>
      </c>
      <c r="G60" t="s">
        <v>71</v>
      </c>
      <c r="H60" t="s">
        <v>69</v>
      </c>
      <c r="I60">
        <v>0.19</v>
      </c>
      <c r="J60">
        <v>6.9000000000000006E-2</v>
      </c>
      <c r="K60">
        <v>1.7000000000000001E-2</v>
      </c>
      <c r="L60">
        <v>0.72399999999999998</v>
      </c>
      <c r="N60">
        <v>0.72399999999999998</v>
      </c>
      <c r="O60">
        <v>0.19</v>
      </c>
      <c r="P60">
        <v>6.9000000000000006E-2</v>
      </c>
      <c r="Q60">
        <v>1.7000000000000001E-2</v>
      </c>
      <c r="R60">
        <v>0</v>
      </c>
    </row>
    <row r="61" spans="1:18">
      <c r="A61" t="s">
        <v>75</v>
      </c>
      <c r="B61">
        <v>1</v>
      </c>
      <c r="C61">
        <v>52</v>
      </c>
      <c r="D61" t="s">
        <v>440</v>
      </c>
      <c r="G61" t="s">
        <v>79</v>
      </c>
      <c r="H61" t="s">
        <v>67</v>
      </c>
      <c r="J61">
        <v>0.60299999999999998</v>
      </c>
      <c r="K61">
        <v>0.27600000000000002</v>
      </c>
      <c r="L61">
        <v>0.121</v>
      </c>
      <c r="N61">
        <v>0.60299999999999998</v>
      </c>
      <c r="P61">
        <v>0</v>
      </c>
      <c r="Q61">
        <v>0.27600000000000002</v>
      </c>
      <c r="R61">
        <v>0.121</v>
      </c>
    </row>
    <row r="62" spans="1:18">
      <c r="A62" t="s">
        <v>75</v>
      </c>
      <c r="B62">
        <v>1</v>
      </c>
      <c r="C62">
        <v>53</v>
      </c>
      <c r="D62" t="s">
        <v>438</v>
      </c>
      <c r="G62" t="s">
        <v>70</v>
      </c>
      <c r="H62" t="s">
        <v>67</v>
      </c>
      <c r="I62">
        <v>3.4000000000000002E-2</v>
      </c>
      <c r="J62">
        <v>0.77600000000000002</v>
      </c>
      <c r="K62">
        <v>0.10299999999999999</v>
      </c>
      <c r="L62">
        <v>8.5999999999999993E-2</v>
      </c>
      <c r="N62">
        <v>0.77600000000000002</v>
      </c>
      <c r="O62">
        <v>3.4000000000000002E-2</v>
      </c>
      <c r="P62">
        <v>0</v>
      </c>
      <c r="Q62">
        <v>0.10299999999999999</v>
      </c>
      <c r="R62">
        <v>8.5999999999999993E-2</v>
      </c>
    </row>
    <row r="63" spans="1:18">
      <c r="A63" t="s">
        <v>75</v>
      </c>
      <c r="B63">
        <v>1</v>
      </c>
      <c r="C63">
        <v>54</v>
      </c>
      <c r="D63" t="s">
        <v>439</v>
      </c>
      <c r="G63" t="s">
        <v>80</v>
      </c>
      <c r="H63" t="s">
        <v>69</v>
      </c>
      <c r="I63">
        <v>6.9000000000000006E-2</v>
      </c>
      <c r="K63">
        <v>1.7000000000000001E-2</v>
      </c>
      <c r="L63">
        <v>0.91400000000000003</v>
      </c>
      <c r="N63">
        <v>0.91400000000000003</v>
      </c>
      <c r="O63">
        <v>6.9000000000000006E-2</v>
      </c>
      <c r="Q63">
        <v>1.7000000000000001E-2</v>
      </c>
      <c r="R63">
        <v>0</v>
      </c>
    </row>
    <row r="64" spans="1:18">
      <c r="A64" t="s">
        <v>75</v>
      </c>
      <c r="B64">
        <v>1</v>
      </c>
      <c r="C64">
        <v>55</v>
      </c>
      <c r="D64" t="s">
        <v>436</v>
      </c>
      <c r="G64" t="s">
        <v>69</v>
      </c>
      <c r="H64" t="s">
        <v>70</v>
      </c>
      <c r="I64">
        <v>0.69</v>
      </c>
      <c r="J64">
        <v>0.155</v>
      </c>
      <c r="K64">
        <v>6.9000000000000006E-2</v>
      </c>
      <c r="L64">
        <v>6.9000000000000006E-2</v>
      </c>
      <c r="N64">
        <v>0.69</v>
      </c>
      <c r="O64">
        <v>0</v>
      </c>
      <c r="P64">
        <v>0.155</v>
      </c>
      <c r="Q64">
        <v>6.9000000000000006E-2</v>
      </c>
      <c r="R64">
        <v>6.9000000000000006E-2</v>
      </c>
    </row>
    <row r="65" spans="1:18">
      <c r="A65" t="s">
        <v>75</v>
      </c>
      <c r="B65">
        <v>1</v>
      </c>
      <c r="C65">
        <v>56</v>
      </c>
      <c r="D65" t="s">
        <v>438</v>
      </c>
      <c r="G65" t="s">
        <v>83</v>
      </c>
      <c r="H65" t="s">
        <v>71</v>
      </c>
      <c r="I65">
        <v>1.7000000000000001E-2</v>
      </c>
      <c r="J65">
        <v>1.7000000000000001E-2</v>
      </c>
      <c r="K65">
        <v>0.82799999999999996</v>
      </c>
      <c r="L65">
        <v>0.13800000000000001</v>
      </c>
      <c r="N65">
        <v>0.82799999999999996</v>
      </c>
      <c r="O65">
        <v>1.7000000000000001E-2</v>
      </c>
      <c r="P65">
        <v>1.7000000000000001E-2</v>
      </c>
      <c r="Q65">
        <v>0</v>
      </c>
      <c r="R65">
        <v>0.13800000000000001</v>
      </c>
    </row>
    <row r="66" spans="1:18">
      <c r="A66" t="s">
        <v>75</v>
      </c>
      <c r="B66">
        <v>1</v>
      </c>
      <c r="C66">
        <v>57</v>
      </c>
      <c r="D66" t="s">
        <v>440</v>
      </c>
      <c r="G66" t="s">
        <v>71</v>
      </c>
      <c r="H66" t="s">
        <v>69</v>
      </c>
      <c r="I66">
        <v>3.4000000000000002E-2</v>
      </c>
      <c r="L66">
        <v>0.96599999999999997</v>
      </c>
      <c r="N66">
        <v>0.96599999999999997</v>
      </c>
      <c r="O66">
        <v>3.4000000000000002E-2</v>
      </c>
      <c r="R66">
        <v>0</v>
      </c>
    </row>
    <row r="67" spans="1:18">
      <c r="A67" t="s">
        <v>75</v>
      </c>
      <c r="B67">
        <v>1</v>
      </c>
      <c r="C67">
        <v>58</v>
      </c>
      <c r="D67" t="s">
        <v>437</v>
      </c>
      <c r="G67" t="s">
        <v>83</v>
      </c>
      <c r="H67" t="s">
        <v>70</v>
      </c>
      <c r="I67">
        <v>3.4000000000000002E-2</v>
      </c>
      <c r="J67">
        <v>8.5999999999999993E-2</v>
      </c>
      <c r="K67">
        <v>0.879</v>
      </c>
      <c r="N67">
        <v>0.879</v>
      </c>
      <c r="O67">
        <v>3.4000000000000002E-2</v>
      </c>
      <c r="P67">
        <v>8.5999999999999993E-2</v>
      </c>
      <c r="Q67">
        <v>0</v>
      </c>
    </row>
    <row r="68" spans="1:18">
      <c r="A68" t="s">
        <v>75</v>
      </c>
      <c r="B68">
        <v>1</v>
      </c>
      <c r="C68">
        <v>59</v>
      </c>
      <c r="D68" t="s">
        <v>440</v>
      </c>
      <c r="G68" t="s">
        <v>69</v>
      </c>
      <c r="H68" t="s">
        <v>70</v>
      </c>
      <c r="I68">
        <v>0.98299999999999998</v>
      </c>
      <c r="J68">
        <v>1.7000000000000001E-2</v>
      </c>
      <c r="N68">
        <v>0.98299999999999998</v>
      </c>
      <c r="O68">
        <v>0</v>
      </c>
      <c r="P68">
        <v>1.7000000000000001E-2</v>
      </c>
    </row>
    <row r="69" spans="1:18">
      <c r="A69" t="s">
        <v>75</v>
      </c>
      <c r="B69">
        <v>1</v>
      </c>
      <c r="C69">
        <v>60</v>
      </c>
      <c r="D69" t="s">
        <v>436</v>
      </c>
      <c r="G69" t="s">
        <v>79</v>
      </c>
      <c r="H69" t="s">
        <v>69</v>
      </c>
      <c r="I69">
        <v>5.1999999999999998E-2</v>
      </c>
      <c r="J69">
        <v>0.94799999999999995</v>
      </c>
      <c r="N69">
        <v>0.94799999999999995</v>
      </c>
      <c r="O69">
        <v>5.1999999999999998E-2</v>
      </c>
      <c r="P69">
        <v>0</v>
      </c>
    </row>
    <row r="70" spans="1:18">
      <c r="A70" t="s">
        <v>75</v>
      </c>
      <c r="B70">
        <v>1</v>
      </c>
      <c r="C70">
        <v>61</v>
      </c>
      <c r="D70" t="s">
        <v>435</v>
      </c>
      <c r="G70" t="s">
        <v>71</v>
      </c>
      <c r="H70" t="s">
        <v>67</v>
      </c>
      <c r="K70">
        <v>3.4000000000000002E-2</v>
      </c>
      <c r="L70">
        <v>0.94799999999999995</v>
      </c>
      <c r="N70">
        <v>0.94799999999999995</v>
      </c>
      <c r="Q70">
        <v>3.4000000000000002E-2</v>
      </c>
      <c r="R70">
        <v>0</v>
      </c>
    </row>
    <row r="71" spans="1:18">
      <c r="A71" t="s">
        <v>75</v>
      </c>
      <c r="B71">
        <v>1</v>
      </c>
      <c r="C71">
        <v>62</v>
      </c>
      <c r="D71" t="s">
        <v>437</v>
      </c>
      <c r="G71" t="s">
        <v>80</v>
      </c>
      <c r="H71" t="s">
        <v>67</v>
      </c>
      <c r="I71">
        <v>8.5999999999999993E-2</v>
      </c>
      <c r="J71">
        <v>5.1999999999999998E-2</v>
      </c>
      <c r="K71">
        <v>0.121</v>
      </c>
      <c r="L71">
        <v>0.72399999999999998</v>
      </c>
      <c r="N71">
        <v>0.72399999999999998</v>
      </c>
      <c r="O71">
        <v>8.5999999999999993E-2</v>
      </c>
      <c r="P71">
        <v>5.1999999999999998E-2</v>
      </c>
      <c r="Q71">
        <v>0.121</v>
      </c>
      <c r="R71">
        <v>0</v>
      </c>
    </row>
    <row r="72" spans="1:18">
      <c r="A72" t="s">
        <v>75</v>
      </c>
      <c r="B72">
        <v>1</v>
      </c>
      <c r="C72">
        <v>63</v>
      </c>
      <c r="D72" t="s">
        <v>435</v>
      </c>
      <c r="G72" t="s">
        <v>70</v>
      </c>
      <c r="H72" t="s">
        <v>71</v>
      </c>
      <c r="I72">
        <v>0.121</v>
      </c>
      <c r="J72">
        <v>0.65500000000000003</v>
      </c>
      <c r="L72">
        <v>0.20699999999999999</v>
      </c>
      <c r="N72">
        <v>0.65500000000000003</v>
      </c>
      <c r="O72">
        <v>0.121</v>
      </c>
      <c r="P72">
        <v>0</v>
      </c>
      <c r="R72">
        <v>0.20699999999999999</v>
      </c>
    </row>
    <row r="73" spans="1:18">
      <c r="A73" t="s">
        <v>75</v>
      </c>
      <c r="B73">
        <v>1</v>
      </c>
      <c r="C73">
        <v>64</v>
      </c>
      <c r="D73" t="s">
        <v>437</v>
      </c>
      <c r="G73" t="s">
        <v>80</v>
      </c>
      <c r="H73" t="s">
        <v>67</v>
      </c>
      <c r="I73">
        <v>1.7000000000000001E-2</v>
      </c>
      <c r="K73">
        <v>0.13800000000000001</v>
      </c>
      <c r="L73">
        <v>0.82799999999999996</v>
      </c>
      <c r="N73">
        <v>0.82799999999999996</v>
      </c>
      <c r="O73">
        <v>1.7000000000000001E-2</v>
      </c>
      <c r="Q73">
        <v>0.13800000000000001</v>
      </c>
      <c r="R73">
        <v>0</v>
      </c>
    </row>
    <row r="74" spans="1:18">
      <c r="A74" t="s">
        <v>75</v>
      </c>
      <c r="B74">
        <v>1</v>
      </c>
      <c r="C74">
        <v>65</v>
      </c>
      <c r="D74" t="s">
        <v>437</v>
      </c>
      <c r="G74" t="s">
        <v>67</v>
      </c>
      <c r="H74" t="s">
        <v>69</v>
      </c>
      <c r="I74">
        <v>0.25900000000000001</v>
      </c>
      <c r="J74">
        <v>0.17199999999999999</v>
      </c>
      <c r="K74">
        <v>0.46600000000000003</v>
      </c>
      <c r="L74">
        <v>6.9000000000000006E-2</v>
      </c>
      <c r="N74">
        <v>0.46600000000000003</v>
      </c>
      <c r="O74">
        <v>0.25900000000000001</v>
      </c>
      <c r="P74">
        <v>0.17199999999999999</v>
      </c>
      <c r="Q74">
        <v>0</v>
      </c>
      <c r="R74">
        <v>6.9000000000000006E-2</v>
      </c>
    </row>
    <row r="75" spans="1:18">
      <c r="A75" t="s">
        <v>75</v>
      </c>
      <c r="B75">
        <v>1</v>
      </c>
      <c r="C75">
        <v>66</v>
      </c>
      <c r="D75" t="s">
        <v>436</v>
      </c>
      <c r="G75" t="s">
        <v>79</v>
      </c>
      <c r="H75" t="s">
        <v>71</v>
      </c>
      <c r="I75">
        <v>1.7000000000000001E-2</v>
      </c>
      <c r="J75">
        <v>0.91400000000000003</v>
      </c>
      <c r="K75">
        <v>1.7000000000000001E-2</v>
      </c>
      <c r="L75">
        <v>3.4000000000000002E-2</v>
      </c>
      <c r="N75">
        <v>0.91400000000000003</v>
      </c>
      <c r="O75">
        <v>1.7000000000000001E-2</v>
      </c>
      <c r="P75">
        <v>0</v>
      </c>
      <c r="Q75">
        <v>1.7000000000000001E-2</v>
      </c>
      <c r="R75">
        <v>3.4000000000000002E-2</v>
      </c>
    </row>
    <row r="76" spans="1:18">
      <c r="A76" t="s">
        <v>75</v>
      </c>
      <c r="B76">
        <v>1</v>
      </c>
      <c r="C76">
        <v>67</v>
      </c>
      <c r="D76" t="s">
        <v>440</v>
      </c>
      <c r="G76" t="s">
        <v>70</v>
      </c>
      <c r="H76" t="s">
        <v>69</v>
      </c>
      <c r="I76">
        <v>3.4000000000000002E-2</v>
      </c>
      <c r="J76">
        <v>0.91400000000000003</v>
      </c>
      <c r="K76">
        <v>1.7000000000000001E-2</v>
      </c>
      <c r="L76">
        <v>1.7000000000000001E-2</v>
      </c>
      <c r="N76">
        <v>0.91400000000000003</v>
      </c>
      <c r="O76">
        <v>3.4000000000000002E-2</v>
      </c>
      <c r="P76">
        <v>0</v>
      </c>
      <c r="Q76">
        <v>1.7000000000000001E-2</v>
      </c>
      <c r="R76">
        <v>1.7000000000000001E-2</v>
      </c>
    </row>
    <row r="77" spans="1:18">
      <c r="A77" t="s">
        <v>75</v>
      </c>
      <c r="B77">
        <v>1</v>
      </c>
      <c r="C77">
        <v>68</v>
      </c>
      <c r="D77" t="s">
        <v>436</v>
      </c>
      <c r="G77" t="s">
        <v>83</v>
      </c>
      <c r="H77" t="s">
        <v>619</v>
      </c>
      <c r="I77">
        <v>1.7000000000000001E-2</v>
      </c>
      <c r="J77">
        <v>1.7000000000000001E-2</v>
      </c>
      <c r="K77">
        <v>0.93100000000000005</v>
      </c>
      <c r="L77">
        <v>1.7000000000000001E-2</v>
      </c>
      <c r="N77">
        <v>0.93100000000000005</v>
      </c>
      <c r="O77">
        <v>1.7000000000000001E-2</v>
      </c>
      <c r="P77">
        <v>1.7000000000000001E-2</v>
      </c>
      <c r="Q77">
        <v>0</v>
      </c>
      <c r="R77">
        <v>1.7000000000000001E-2</v>
      </c>
    </row>
    <row r="78" spans="1:18">
      <c r="A78" t="s">
        <v>75</v>
      </c>
      <c r="B78">
        <v>1</v>
      </c>
      <c r="C78">
        <v>69</v>
      </c>
      <c r="D78" t="s">
        <v>437</v>
      </c>
      <c r="G78" t="s">
        <v>70</v>
      </c>
      <c r="H78" t="s">
        <v>69</v>
      </c>
      <c r="I78">
        <v>5.1999999999999998E-2</v>
      </c>
      <c r="J78">
        <v>0.89700000000000002</v>
      </c>
      <c r="L78">
        <v>3.4000000000000002E-2</v>
      </c>
      <c r="N78">
        <v>0.89700000000000002</v>
      </c>
      <c r="O78">
        <v>5.1999999999999998E-2</v>
      </c>
      <c r="P78">
        <v>0</v>
      </c>
      <c r="R78">
        <v>3.4000000000000002E-2</v>
      </c>
    </row>
    <row r="79" spans="1:18">
      <c r="A79" t="s">
        <v>75</v>
      </c>
      <c r="B79">
        <v>1</v>
      </c>
      <c r="C79">
        <v>70</v>
      </c>
      <c r="D79" t="s">
        <v>440</v>
      </c>
      <c r="G79" t="s">
        <v>83</v>
      </c>
      <c r="H79" t="s">
        <v>69</v>
      </c>
      <c r="I79">
        <v>6.9000000000000006E-2</v>
      </c>
      <c r="J79">
        <v>3.4000000000000002E-2</v>
      </c>
      <c r="K79">
        <v>0.81</v>
      </c>
      <c r="L79">
        <v>3.4000000000000002E-2</v>
      </c>
      <c r="N79">
        <v>0.81</v>
      </c>
      <c r="O79">
        <v>6.9000000000000006E-2</v>
      </c>
      <c r="P79">
        <v>3.4000000000000002E-2</v>
      </c>
      <c r="Q79">
        <v>0</v>
      </c>
      <c r="R79">
        <v>3.4000000000000002E-2</v>
      </c>
    </row>
    <row r="80" spans="1:18">
      <c r="A80" t="s">
        <v>75</v>
      </c>
      <c r="B80">
        <v>1</v>
      </c>
      <c r="C80">
        <v>71</v>
      </c>
      <c r="D80" t="s">
        <v>436</v>
      </c>
      <c r="G80" t="s">
        <v>71</v>
      </c>
      <c r="H80" t="s">
        <v>70</v>
      </c>
      <c r="J80">
        <v>3.4000000000000002E-2</v>
      </c>
      <c r="K80">
        <v>1.7000000000000001E-2</v>
      </c>
      <c r="L80">
        <v>0.93100000000000005</v>
      </c>
      <c r="N80">
        <v>0.93100000000000005</v>
      </c>
      <c r="P80">
        <v>3.4000000000000002E-2</v>
      </c>
      <c r="Q80">
        <v>1.7000000000000001E-2</v>
      </c>
      <c r="R80">
        <v>0</v>
      </c>
    </row>
    <row r="81" spans="1:19">
      <c r="A81" t="s">
        <v>75</v>
      </c>
      <c r="B81">
        <v>1</v>
      </c>
      <c r="C81">
        <v>72</v>
      </c>
      <c r="D81" t="s">
        <v>436</v>
      </c>
      <c r="G81" t="s">
        <v>83</v>
      </c>
      <c r="H81" t="s">
        <v>489</v>
      </c>
      <c r="J81">
        <v>1.7000000000000001E-2</v>
      </c>
      <c r="K81">
        <v>0.94799999999999995</v>
      </c>
      <c r="L81">
        <v>1.7000000000000001E-2</v>
      </c>
      <c r="N81">
        <v>0.94799999999999995</v>
      </c>
      <c r="P81">
        <v>1.7000000000000001E-2</v>
      </c>
      <c r="Q81">
        <v>0</v>
      </c>
      <c r="R81">
        <v>1.7000000000000001E-2</v>
      </c>
    </row>
    <row r="82" spans="1:19">
      <c r="A82" t="s">
        <v>75</v>
      </c>
      <c r="B82">
        <v>1</v>
      </c>
      <c r="C82">
        <v>73</v>
      </c>
      <c r="D82" t="s">
        <v>437</v>
      </c>
      <c r="G82" t="s">
        <v>69</v>
      </c>
      <c r="H82" t="s">
        <v>70</v>
      </c>
      <c r="I82">
        <v>0.91400000000000003</v>
      </c>
      <c r="J82">
        <v>5.1999999999999998E-2</v>
      </c>
      <c r="K82">
        <v>1.7000000000000001E-2</v>
      </c>
      <c r="N82">
        <v>0.91400000000000003</v>
      </c>
      <c r="O82">
        <v>0</v>
      </c>
      <c r="P82">
        <v>5.1999999999999998E-2</v>
      </c>
      <c r="Q82">
        <v>1.7000000000000001E-2</v>
      </c>
    </row>
    <row r="83" spans="1:19">
      <c r="A83" t="s">
        <v>75</v>
      </c>
      <c r="B83">
        <v>1</v>
      </c>
      <c r="C83">
        <v>74</v>
      </c>
      <c r="D83" t="s">
        <v>439</v>
      </c>
      <c r="G83" t="s">
        <v>80</v>
      </c>
      <c r="H83" t="s">
        <v>67</v>
      </c>
      <c r="I83">
        <v>8.5999999999999993E-2</v>
      </c>
      <c r="J83">
        <v>6.9000000000000006E-2</v>
      </c>
      <c r="K83">
        <v>0.20699999999999999</v>
      </c>
      <c r="L83">
        <v>0.621</v>
      </c>
      <c r="N83">
        <v>0.621</v>
      </c>
      <c r="O83">
        <v>8.5999999999999993E-2</v>
      </c>
      <c r="P83">
        <v>6.9000000000000006E-2</v>
      </c>
      <c r="Q83">
        <v>0.20699999999999999</v>
      </c>
      <c r="R83">
        <v>0</v>
      </c>
    </row>
    <row r="84" spans="1:19">
      <c r="A84" t="s">
        <v>75</v>
      </c>
      <c r="B84">
        <v>1</v>
      </c>
      <c r="C84">
        <v>75</v>
      </c>
      <c r="D84" t="s">
        <v>437</v>
      </c>
      <c r="G84" t="s">
        <v>69</v>
      </c>
      <c r="H84" t="s">
        <v>70</v>
      </c>
      <c r="I84">
        <v>0.91400000000000003</v>
      </c>
      <c r="J84">
        <v>3.4000000000000002E-2</v>
      </c>
      <c r="K84">
        <v>1.7000000000000001E-2</v>
      </c>
      <c r="N84">
        <v>0.91400000000000003</v>
      </c>
      <c r="O84">
        <v>0</v>
      </c>
      <c r="P84">
        <v>3.4000000000000002E-2</v>
      </c>
      <c r="Q84">
        <v>1.7000000000000001E-2</v>
      </c>
    </row>
    <row r="85" spans="1:19">
      <c r="A85" t="s">
        <v>305</v>
      </c>
      <c r="B85">
        <v>1</v>
      </c>
      <c r="C85">
        <v>1</v>
      </c>
      <c r="D85" t="s">
        <v>441</v>
      </c>
      <c r="G85" t="s">
        <v>69</v>
      </c>
      <c r="H85" t="s">
        <v>70</v>
      </c>
      <c r="I85">
        <v>0.98299999999999998</v>
      </c>
      <c r="J85">
        <v>1.7000000000000001E-2</v>
      </c>
      <c r="N85">
        <v>0.98299999999999998</v>
      </c>
      <c r="O85">
        <v>0</v>
      </c>
      <c r="P85">
        <v>1.7000000000000001E-2</v>
      </c>
    </row>
    <row r="86" spans="1:19">
      <c r="A86" t="s">
        <v>305</v>
      </c>
      <c r="B86">
        <v>1</v>
      </c>
      <c r="C86">
        <v>2</v>
      </c>
      <c r="D86" t="s">
        <v>442</v>
      </c>
      <c r="G86" t="s">
        <v>84</v>
      </c>
      <c r="H86" t="s">
        <v>71</v>
      </c>
      <c r="L86">
        <v>1.7000000000000001E-2</v>
      </c>
      <c r="M86">
        <v>0.98299999999999998</v>
      </c>
      <c r="N86">
        <v>0.98299999999999998</v>
      </c>
      <c r="R86">
        <v>1.7000000000000001E-2</v>
      </c>
      <c r="S86">
        <v>0</v>
      </c>
    </row>
    <row r="87" spans="1:19">
      <c r="A87" t="s">
        <v>305</v>
      </c>
      <c r="B87">
        <v>1</v>
      </c>
      <c r="C87">
        <v>3</v>
      </c>
      <c r="D87" t="s">
        <v>444</v>
      </c>
      <c r="G87" t="s">
        <v>67</v>
      </c>
      <c r="H87" t="s">
        <v>71</v>
      </c>
      <c r="K87">
        <v>0.98299999999999998</v>
      </c>
      <c r="L87">
        <v>1.7000000000000001E-2</v>
      </c>
      <c r="N87">
        <v>0.98299999999999998</v>
      </c>
      <c r="Q87">
        <v>0</v>
      </c>
      <c r="R87">
        <v>1.7000000000000001E-2</v>
      </c>
    </row>
    <row r="88" spans="1:19">
      <c r="A88" t="s">
        <v>305</v>
      </c>
      <c r="B88">
        <v>1</v>
      </c>
      <c r="C88">
        <v>4</v>
      </c>
      <c r="D88" t="s">
        <v>442</v>
      </c>
      <c r="G88" t="s">
        <v>79</v>
      </c>
      <c r="J88">
        <v>1</v>
      </c>
      <c r="N88">
        <v>1</v>
      </c>
      <c r="P88">
        <v>0</v>
      </c>
    </row>
    <row r="89" spans="1:19">
      <c r="A89" t="s">
        <v>305</v>
      </c>
      <c r="B89">
        <v>1</v>
      </c>
      <c r="C89">
        <v>5</v>
      </c>
      <c r="D89" t="s">
        <v>442</v>
      </c>
      <c r="G89" t="s">
        <v>70</v>
      </c>
      <c r="H89" t="s">
        <v>67</v>
      </c>
      <c r="J89">
        <v>0.98299999999999998</v>
      </c>
      <c r="K89">
        <v>1.7000000000000001E-2</v>
      </c>
      <c r="N89">
        <v>0.98299999999999998</v>
      </c>
      <c r="P89">
        <v>0</v>
      </c>
      <c r="Q89">
        <v>1.7000000000000001E-2</v>
      </c>
    </row>
    <row r="90" spans="1:19">
      <c r="A90" t="s">
        <v>305</v>
      </c>
      <c r="B90">
        <v>1</v>
      </c>
      <c r="C90">
        <v>6</v>
      </c>
      <c r="D90" t="s">
        <v>441</v>
      </c>
      <c r="G90" t="s">
        <v>80</v>
      </c>
      <c r="H90" t="s">
        <v>487</v>
      </c>
      <c r="I90">
        <v>1.7000000000000001E-2</v>
      </c>
      <c r="K90">
        <v>1.7000000000000001E-2</v>
      </c>
      <c r="L90">
        <v>0.96599999999999997</v>
      </c>
      <c r="N90">
        <v>0.96599999999999997</v>
      </c>
      <c r="O90">
        <v>1.7000000000000001E-2</v>
      </c>
      <c r="Q90">
        <v>1.7000000000000001E-2</v>
      </c>
      <c r="R90">
        <v>0</v>
      </c>
    </row>
    <row r="91" spans="1:19">
      <c r="A91" t="s">
        <v>305</v>
      </c>
      <c r="B91">
        <v>1</v>
      </c>
      <c r="C91">
        <v>7</v>
      </c>
      <c r="D91" t="s">
        <v>441</v>
      </c>
      <c r="G91" t="s">
        <v>68</v>
      </c>
      <c r="M91">
        <v>1</v>
      </c>
      <c r="N91">
        <v>1</v>
      </c>
      <c r="S91">
        <v>0</v>
      </c>
    </row>
    <row r="92" spans="1:19">
      <c r="A92" t="s">
        <v>305</v>
      </c>
      <c r="B92">
        <v>1</v>
      </c>
      <c r="C92">
        <v>8</v>
      </c>
      <c r="D92" t="s">
        <v>441</v>
      </c>
      <c r="G92" t="s">
        <v>83</v>
      </c>
      <c r="H92" t="s">
        <v>70</v>
      </c>
      <c r="I92">
        <v>1.7000000000000001E-2</v>
      </c>
      <c r="J92">
        <v>3.4000000000000002E-2</v>
      </c>
      <c r="K92">
        <v>0.94799999999999995</v>
      </c>
      <c r="N92">
        <v>0.94799999999999995</v>
      </c>
      <c r="O92">
        <v>1.7000000000000001E-2</v>
      </c>
      <c r="P92">
        <v>3.4000000000000002E-2</v>
      </c>
      <c r="Q92">
        <v>0</v>
      </c>
    </row>
    <row r="93" spans="1:19">
      <c r="A93" t="s">
        <v>305</v>
      </c>
      <c r="B93">
        <v>1</v>
      </c>
      <c r="C93">
        <v>9</v>
      </c>
      <c r="D93" t="s">
        <v>445</v>
      </c>
      <c r="G93" t="s">
        <v>69</v>
      </c>
      <c r="I93">
        <v>1</v>
      </c>
      <c r="N93">
        <v>1</v>
      </c>
      <c r="O93">
        <v>0</v>
      </c>
    </row>
    <row r="94" spans="1:19">
      <c r="A94" t="s">
        <v>305</v>
      </c>
      <c r="B94">
        <v>1</v>
      </c>
      <c r="C94">
        <v>10</v>
      </c>
      <c r="D94" t="s">
        <v>443</v>
      </c>
      <c r="G94" t="s">
        <v>81</v>
      </c>
      <c r="I94">
        <v>0.98299999999999998</v>
      </c>
      <c r="N94">
        <v>0.98299999999999998</v>
      </c>
      <c r="O94">
        <v>0</v>
      </c>
    </row>
    <row r="95" spans="1:19">
      <c r="A95" t="s">
        <v>305</v>
      </c>
      <c r="B95">
        <v>1</v>
      </c>
      <c r="C95">
        <v>11</v>
      </c>
      <c r="D95" t="s">
        <v>442</v>
      </c>
      <c r="G95" t="s">
        <v>70</v>
      </c>
      <c r="J95">
        <v>1</v>
      </c>
      <c r="N95">
        <v>1</v>
      </c>
      <c r="P95">
        <v>0</v>
      </c>
    </row>
    <row r="96" spans="1:19">
      <c r="A96" t="s">
        <v>305</v>
      </c>
      <c r="B96">
        <v>1</v>
      </c>
      <c r="C96">
        <v>12</v>
      </c>
      <c r="D96" t="s">
        <v>445</v>
      </c>
      <c r="G96" t="s">
        <v>79</v>
      </c>
      <c r="H96" t="s">
        <v>84</v>
      </c>
      <c r="J96">
        <v>0.98299999999999998</v>
      </c>
      <c r="M96">
        <v>1.7000000000000001E-2</v>
      </c>
      <c r="N96">
        <v>0.98299999999999998</v>
      </c>
      <c r="P96">
        <v>0</v>
      </c>
      <c r="S96">
        <v>1.7000000000000001E-2</v>
      </c>
    </row>
    <row r="97" spans="1:19">
      <c r="A97" t="s">
        <v>305</v>
      </c>
      <c r="B97">
        <v>1</v>
      </c>
      <c r="C97">
        <v>13</v>
      </c>
      <c r="D97" t="s">
        <v>442</v>
      </c>
      <c r="G97" t="s">
        <v>70</v>
      </c>
      <c r="H97" t="s">
        <v>69</v>
      </c>
      <c r="I97">
        <v>5.1999999999999998E-2</v>
      </c>
      <c r="J97">
        <v>0.94799999999999995</v>
      </c>
      <c r="N97">
        <v>0.94799999999999995</v>
      </c>
      <c r="O97">
        <v>5.1999999999999998E-2</v>
      </c>
      <c r="P97">
        <v>0</v>
      </c>
    </row>
    <row r="98" spans="1:19">
      <c r="A98" t="s">
        <v>305</v>
      </c>
      <c r="B98">
        <v>1</v>
      </c>
      <c r="C98">
        <v>14</v>
      </c>
      <c r="D98" t="s">
        <v>443</v>
      </c>
      <c r="G98" t="s">
        <v>83</v>
      </c>
      <c r="H98" t="s">
        <v>80</v>
      </c>
      <c r="I98">
        <v>1.7000000000000001E-2</v>
      </c>
      <c r="K98">
        <v>0.93100000000000005</v>
      </c>
      <c r="L98">
        <v>3.4000000000000002E-2</v>
      </c>
      <c r="M98">
        <v>1.7000000000000001E-2</v>
      </c>
      <c r="N98">
        <v>0.93100000000000005</v>
      </c>
      <c r="O98">
        <v>1.7000000000000001E-2</v>
      </c>
      <c r="Q98">
        <v>0</v>
      </c>
      <c r="R98">
        <v>3.4000000000000002E-2</v>
      </c>
      <c r="S98">
        <v>1.7000000000000001E-2</v>
      </c>
    </row>
    <row r="99" spans="1:19">
      <c r="A99" t="s">
        <v>305</v>
      </c>
      <c r="B99">
        <v>1</v>
      </c>
      <c r="C99">
        <v>15</v>
      </c>
      <c r="D99" t="s">
        <v>442</v>
      </c>
      <c r="G99" t="s">
        <v>67</v>
      </c>
      <c r="H99" t="s">
        <v>80</v>
      </c>
      <c r="I99">
        <v>1.7000000000000001E-2</v>
      </c>
      <c r="J99">
        <v>1.7000000000000001E-2</v>
      </c>
      <c r="K99">
        <v>0.879</v>
      </c>
      <c r="L99">
        <v>8.5999999999999993E-2</v>
      </c>
      <c r="N99">
        <v>0.879</v>
      </c>
      <c r="O99">
        <v>1.7000000000000001E-2</v>
      </c>
      <c r="P99">
        <v>1.7000000000000001E-2</v>
      </c>
      <c r="Q99">
        <v>0</v>
      </c>
      <c r="R99">
        <v>8.5999999999999993E-2</v>
      </c>
    </row>
    <row r="100" spans="1:19">
      <c r="A100" t="s">
        <v>305</v>
      </c>
      <c r="B100">
        <v>1</v>
      </c>
      <c r="C100">
        <v>16</v>
      </c>
      <c r="D100" t="s">
        <v>446</v>
      </c>
      <c r="G100" t="s">
        <v>80</v>
      </c>
      <c r="H100" t="s">
        <v>84</v>
      </c>
      <c r="L100">
        <v>0.94799999999999995</v>
      </c>
      <c r="M100">
        <v>5.1999999999999998E-2</v>
      </c>
      <c r="N100">
        <v>0.94799999999999995</v>
      </c>
      <c r="R100">
        <v>0</v>
      </c>
      <c r="S100">
        <v>5.1999999999999998E-2</v>
      </c>
    </row>
    <row r="101" spans="1:19">
      <c r="A101" t="s">
        <v>305</v>
      </c>
      <c r="B101">
        <v>1</v>
      </c>
      <c r="C101">
        <v>17</v>
      </c>
      <c r="D101" t="s">
        <v>441</v>
      </c>
      <c r="G101" t="s">
        <v>68</v>
      </c>
      <c r="H101" t="s">
        <v>67</v>
      </c>
      <c r="K101">
        <v>3.4000000000000002E-2</v>
      </c>
      <c r="M101">
        <v>0.96599999999999997</v>
      </c>
      <c r="N101">
        <v>0.96599999999999997</v>
      </c>
      <c r="Q101">
        <v>3.4000000000000002E-2</v>
      </c>
      <c r="S101">
        <v>0</v>
      </c>
    </row>
    <row r="102" spans="1:19">
      <c r="A102" t="s">
        <v>305</v>
      </c>
      <c r="B102">
        <v>1</v>
      </c>
      <c r="C102">
        <v>18</v>
      </c>
      <c r="D102" t="s">
        <v>445</v>
      </c>
      <c r="G102" t="s">
        <v>81</v>
      </c>
      <c r="H102" t="s">
        <v>70</v>
      </c>
      <c r="I102">
        <v>0.86199999999999999</v>
      </c>
      <c r="J102">
        <v>0.121</v>
      </c>
      <c r="K102">
        <v>1.7000000000000001E-2</v>
      </c>
      <c r="N102">
        <v>0.86199999999999999</v>
      </c>
      <c r="O102">
        <v>0</v>
      </c>
      <c r="P102">
        <v>0.121</v>
      </c>
      <c r="Q102">
        <v>1.7000000000000001E-2</v>
      </c>
    </row>
    <row r="103" spans="1:19">
      <c r="A103" t="s">
        <v>305</v>
      </c>
      <c r="B103">
        <v>1</v>
      </c>
      <c r="C103">
        <v>19</v>
      </c>
      <c r="D103" t="s">
        <v>446</v>
      </c>
      <c r="G103" t="s">
        <v>71</v>
      </c>
      <c r="H103" t="s">
        <v>756</v>
      </c>
      <c r="J103">
        <v>1.7000000000000001E-2</v>
      </c>
      <c r="K103">
        <v>1.7000000000000001E-2</v>
      </c>
      <c r="L103">
        <v>0.94799999999999995</v>
      </c>
      <c r="M103">
        <v>1.7000000000000001E-2</v>
      </c>
      <c r="N103">
        <v>0.94799999999999995</v>
      </c>
      <c r="P103">
        <v>1.7000000000000001E-2</v>
      </c>
      <c r="Q103">
        <v>1.7000000000000001E-2</v>
      </c>
      <c r="R103">
        <v>0</v>
      </c>
      <c r="S103">
        <v>1.7000000000000001E-2</v>
      </c>
    </row>
    <row r="104" spans="1:19">
      <c r="A104" t="s">
        <v>305</v>
      </c>
      <c r="B104">
        <v>1</v>
      </c>
      <c r="C104">
        <v>20</v>
      </c>
      <c r="D104" t="s">
        <v>444</v>
      </c>
      <c r="G104" t="s">
        <v>79</v>
      </c>
      <c r="H104" t="s">
        <v>67</v>
      </c>
      <c r="J104">
        <v>0.98299999999999998</v>
      </c>
      <c r="K104">
        <v>1.7000000000000001E-2</v>
      </c>
      <c r="N104">
        <v>0.98299999999999998</v>
      </c>
      <c r="P104">
        <v>0</v>
      </c>
      <c r="Q104">
        <v>1.7000000000000001E-2</v>
      </c>
    </row>
    <row r="105" spans="1:19">
      <c r="A105" t="s">
        <v>305</v>
      </c>
      <c r="B105">
        <v>1</v>
      </c>
      <c r="C105">
        <v>21</v>
      </c>
      <c r="D105" t="s">
        <v>445</v>
      </c>
      <c r="G105" t="s">
        <v>67</v>
      </c>
      <c r="H105" t="s">
        <v>71</v>
      </c>
      <c r="I105">
        <v>1.7000000000000001E-2</v>
      </c>
      <c r="J105">
        <v>1.7000000000000001E-2</v>
      </c>
      <c r="K105">
        <v>0.93100000000000005</v>
      </c>
      <c r="L105">
        <v>3.4000000000000002E-2</v>
      </c>
      <c r="N105">
        <v>0.93100000000000005</v>
      </c>
      <c r="O105">
        <v>1.7000000000000001E-2</v>
      </c>
      <c r="P105">
        <v>1.7000000000000001E-2</v>
      </c>
      <c r="Q105">
        <v>0</v>
      </c>
      <c r="R105">
        <v>3.4000000000000002E-2</v>
      </c>
    </row>
    <row r="106" spans="1:19">
      <c r="A106" t="s">
        <v>305</v>
      </c>
      <c r="B106">
        <v>1</v>
      </c>
      <c r="C106">
        <v>22</v>
      </c>
      <c r="D106" t="s">
        <v>445</v>
      </c>
      <c r="G106" t="s">
        <v>83</v>
      </c>
      <c r="H106" t="s">
        <v>71</v>
      </c>
      <c r="J106">
        <v>3.4000000000000002E-2</v>
      </c>
      <c r="K106">
        <v>0.89700000000000002</v>
      </c>
      <c r="L106">
        <v>6.9000000000000006E-2</v>
      </c>
      <c r="N106">
        <v>0.89700000000000002</v>
      </c>
      <c r="P106">
        <v>3.4000000000000002E-2</v>
      </c>
      <c r="Q106">
        <v>0</v>
      </c>
      <c r="R106">
        <v>6.9000000000000006E-2</v>
      </c>
    </row>
    <row r="107" spans="1:19">
      <c r="A107" t="s">
        <v>305</v>
      </c>
      <c r="B107">
        <v>1</v>
      </c>
      <c r="C107">
        <v>23</v>
      </c>
      <c r="D107" t="s">
        <v>446</v>
      </c>
      <c r="G107" t="s">
        <v>68</v>
      </c>
      <c r="H107" t="s">
        <v>70</v>
      </c>
      <c r="J107">
        <v>3.4000000000000002E-2</v>
      </c>
      <c r="L107">
        <v>1.7000000000000001E-2</v>
      </c>
      <c r="M107">
        <v>0.94799999999999995</v>
      </c>
      <c r="N107">
        <v>0.94799999999999995</v>
      </c>
      <c r="P107">
        <v>3.4000000000000002E-2</v>
      </c>
      <c r="R107">
        <v>1.7000000000000001E-2</v>
      </c>
      <c r="S107">
        <v>0</v>
      </c>
    </row>
    <row r="108" spans="1:19">
      <c r="A108" t="s">
        <v>305</v>
      </c>
      <c r="B108">
        <v>1</v>
      </c>
      <c r="C108">
        <v>24</v>
      </c>
      <c r="D108" t="s">
        <v>444</v>
      </c>
      <c r="G108" t="s">
        <v>81</v>
      </c>
      <c r="H108" t="s">
        <v>68</v>
      </c>
      <c r="I108">
        <v>0.77600000000000002</v>
      </c>
      <c r="J108">
        <v>5.1999999999999998E-2</v>
      </c>
      <c r="K108">
        <v>3.4000000000000002E-2</v>
      </c>
      <c r="L108">
        <v>3.4000000000000002E-2</v>
      </c>
      <c r="M108">
        <v>0.10299999999999999</v>
      </c>
      <c r="N108">
        <v>0.77600000000000002</v>
      </c>
      <c r="O108">
        <v>0</v>
      </c>
      <c r="P108">
        <v>5.1999999999999998E-2</v>
      </c>
      <c r="Q108">
        <v>3.4000000000000002E-2</v>
      </c>
      <c r="R108">
        <v>3.4000000000000002E-2</v>
      </c>
      <c r="S108">
        <v>0.10299999999999999</v>
      </c>
    </row>
    <row r="109" spans="1:19">
      <c r="A109" t="s">
        <v>305</v>
      </c>
      <c r="B109">
        <v>1</v>
      </c>
      <c r="C109">
        <v>25</v>
      </c>
      <c r="D109" t="s">
        <v>442</v>
      </c>
      <c r="G109" t="s">
        <v>69</v>
      </c>
      <c r="H109" t="s">
        <v>491</v>
      </c>
      <c r="I109">
        <v>0.84499999999999997</v>
      </c>
      <c r="J109">
        <v>5.1999999999999998E-2</v>
      </c>
      <c r="K109">
        <v>5.1999999999999998E-2</v>
      </c>
      <c r="L109">
        <v>1.7000000000000001E-2</v>
      </c>
      <c r="M109">
        <v>1.7000000000000001E-2</v>
      </c>
      <c r="N109">
        <v>0.84499999999999997</v>
      </c>
      <c r="O109">
        <v>0</v>
      </c>
      <c r="P109">
        <v>5.1999999999999998E-2</v>
      </c>
      <c r="Q109">
        <v>5.1999999999999998E-2</v>
      </c>
      <c r="R109">
        <v>1.7000000000000001E-2</v>
      </c>
      <c r="S109">
        <v>1.7000000000000001E-2</v>
      </c>
    </row>
    <row r="110" spans="1:19">
      <c r="A110" t="s">
        <v>305</v>
      </c>
      <c r="B110">
        <v>1</v>
      </c>
      <c r="C110">
        <v>26</v>
      </c>
      <c r="D110" t="s">
        <v>443</v>
      </c>
      <c r="G110" t="s">
        <v>83</v>
      </c>
      <c r="H110" t="s">
        <v>69</v>
      </c>
      <c r="I110">
        <v>3.4000000000000002E-2</v>
      </c>
      <c r="J110">
        <v>1.7000000000000001E-2</v>
      </c>
      <c r="K110">
        <v>0.91400000000000003</v>
      </c>
      <c r="L110">
        <v>1.7000000000000001E-2</v>
      </c>
      <c r="M110">
        <v>1.7000000000000001E-2</v>
      </c>
      <c r="N110">
        <v>0.91400000000000003</v>
      </c>
      <c r="O110">
        <v>3.4000000000000002E-2</v>
      </c>
      <c r="P110">
        <v>1.7000000000000001E-2</v>
      </c>
      <c r="Q110">
        <v>0</v>
      </c>
      <c r="R110">
        <v>1.7000000000000001E-2</v>
      </c>
      <c r="S110">
        <v>1.7000000000000001E-2</v>
      </c>
    </row>
    <row r="111" spans="1:19">
      <c r="A111" t="s">
        <v>305</v>
      </c>
      <c r="B111">
        <v>1</v>
      </c>
      <c r="C111">
        <v>27</v>
      </c>
      <c r="D111" t="s">
        <v>441</v>
      </c>
      <c r="G111" t="s">
        <v>67</v>
      </c>
      <c r="H111" t="s">
        <v>490</v>
      </c>
      <c r="I111">
        <v>5.1999999999999998E-2</v>
      </c>
      <c r="J111">
        <v>3.4000000000000002E-2</v>
      </c>
      <c r="K111">
        <v>0.84499999999999997</v>
      </c>
      <c r="L111">
        <v>5.1999999999999998E-2</v>
      </c>
      <c r="N111">
        <v>0.84499999999999997</v>
      </c>
      <c r="O111">
        <v>5.1999999999999998E-2</v>
      </c>
      <c r="P111">
        <v>3.4000000000000002E-2</v>
      </c>
      <c r="Q111">
        <v>0</v>
      </c>
      <c r="R111">
        <v>5.1999999999999998E-2</v>
      </c>
    </row>
    <row r="112" spans="1:19">
      <c r="A112" t="s">
        <v>305</v>
      </c>
      <c r="B112">
        <v>1</v>
      </c>
      <c r="C112">
        <v>28</v>
      </c>
      <c r="D112" t="s">
        <v>441</v>
      </c>
      <c r="G112" t="s">
        <v>81</v>
      </c>
      <c r="H112" t="s">
        <v>68</v>
      </c>
      <c r="I112">
        <v>0.86199999999999999</v>
      </c>
      <c r="J112">
        <v>3.4000000000000002E-2</v>
      </c>
      <c r="K112">
        <v>1.7000000000000001E-2</v>
      </c>
      <c r="L112">
        <v>1.7000000000000001E-2</v>
      </c>
      <c r="M112">
        <v>5.1999999999999998E-2</v>
      </c>
      <c r="N112">
        <v>0.86199999999999999</v>
      </c>
      <c r="O112">
        <v>0</v>
      </c>
      <c r="P112">
        <v>3.4000000000000002E-2</v>
      </c>
      <c r="Q112">
        <v>1.7000000000000001E-2</v>
      </c>
      <c r="R112">
        <v>1.7000000000000001E-2</v>
      </c>
      <c r="S112">
        <v>5.1999999999999998E-2</v>
      </c>
    </row>
    <row r="113" spans="1:19">
      <c r="A113" t="s">
        <v>305</v>
      </c>
      <c r="B113">
        <v>1</v>
      </c>
      <c r="C113">
        <v>29</v>
      </c>
      <c r="D113" t="s">
        <v>441</v>
      </c>
      <c r="G113" t="s">
        <v>70</v>
      </c>
      <c r="H113" t="s">
        <v>67</v>
      </c>
      <c r="I113">
        <v>6.9000000000000006E-2</v>
      </c>
      <c r="J113">
        <v>0.79300000000000004</v>
      </c>
      <c r="K113">
        <v>0.10299999999999999</v>
      </c>
      <c r="M113">
        <v>1.7000000000000001E-2</v>
      </c>
      <c r="N113">
        <v>0.79300000000000004</v>
      </c>
      <c r="O113">
        <v>6.9000000000000006E-2</v>
      </c>
      <c r="P113">
        <v>0</v>
      </c>
      <c r="Q113">
        <v>0.10299999999999999</v>
      </c>
      <c r="S113">
        <v>1.7000000000000001E-2</v>
      </c>
    </row>
    <row r="114" spans="1:19">
      <c r="A114" t="s">
        <v>305</v>
      </c>
      <c r="B114">
        <v>1</v>
      </c>
      <c r="C114">
        <v>30</v>
      </c>
      <c r="D114" t="s">
        <v>442</v>
      </c>
      <c r="G114" t="s">
        <v>80</v>
      </c>
      <c r="H114" t="s">
        <v>67</v>
      </c>
      <c r="K114">
        <v>5.1999999999999998E-2</v>
      </c>
      <c r="L114">
        <v>0.93100000000000005</v>
      </c>
      <c r="M114">
        <v>1.7000000000000001E-2</v>
      </c>
      <c r="N114">
        <v>0.93100000000000005</v>
      </c>
      <c r="Q114">
        <v>5.1999999999999998E-2</v>
      </c>
      <c r="R114">
        <v>0</v>
      </c>
      <c r="S114">
        <v>1.7000000000000001E-2</v>
      </c>
    </row>
    <row r="115" spans="1:19">
      <c r="A115" t="s">
        <v>305</v>
      </c>
      <c r="B115">
        <v>1</v>
      </c>
      <c r="C115">
        <v>31</v>
      </c>
      <c r="D115" t="s">
        <v>444</v>
      </c>
      <c r="G115" t="s">
        <v>69</v>
      </c>
      <c r="H115" t="s">
        <v>757</v>
      </c>
      <c r="I115">
        <v>0.93100000000000005</v>
      </c>
      <c r="J115">
        <v>3.4000000000000002E-2</v>
      </c>
      <c r="M115">
        <v>3.4000000000000002E-2</v>
      </c>
      <c r="N115">
        <v>0.93100000000000005</v>
      </c>
      <c r="O115">
        <v>0</v>
      </c>
      <c r="P115">
        <v>3.4000000000000002E-2</v>
      </c>
      <c r="S115">
        <v>3.4000000000000002E-2</v>
      </c>
    </row>
    <row r="116" spans="1:19">
      <c r="A116" t="s">
        <v>305</v>
      </c>
      <c r="B116">
        <v>1</v>
      </c>
      <c r="C116">
        <v>32</v>
      </c>
      <c r="D116" t="s">
        <v>443</v>
      </c>
      <c r="G116" t="s">
        <v>81</v>
      </c>
      <c r="H116" t="s">
        <v>70</v>
      </c>
      <c r="I116">
        <v>0.91400000000000003</v>
      </c>
      <c r="J116">
        <v>5.1999999999999998E-2</v>
      </c>
      <c r="K116">
        <v>3.4000000000000002E-2</v>
      </c>
      <c r="N116">
        <v>0.91400000000000003</v>
      </c>
      <c r="O116">
        <v>0</v>
      </c>
      <c r="P116">
        <v>5.1999999999999998E-2</v>
      </c>
      <c r="Q116">
        <v>3.4000000000000002E-2</v>
      </c>
    </row>
    <row r="117" spans="1:19">
      <c r="A117" t="s">
        <v>305</v>
      </c>
      <c r="B117">
        <v>1</v>
      </c>
      <c r="C117">
        <v>33</v>
      </c>
      <c r="D117" t="s">
        <v>441</v>
      </c>
      <c r="G117" t="s">
        <v>71</v>
      </c>
      <c r="H117" t="s">
        <v>70</v>
      </c>
      <c r="I117">
        <v>1.7000000000000001E-2</v>
      </c>
      <c r="J117">
        <v>8.5999999999999993E-2</v>
      </c>
      <c r="K117">
        <v>5.1999999999999998E-2</v>
      </c>
      <c r="L117">
        <v>0.82799999999999996</v>
      </c>
      <c r="M117">
        <v>1.7000000000000001E-2</v>
      </c>
      <c r="N117">
        <v>0.82799999999999996</v>
      </c>
      <c r="O117">
        <v>1.7000000000000001E-2</v>
      </c>
      <c r="P117">
        <v>8.5999999999999993E-2</v>
      </c>
      <c r="Q117">
        <v>5.1999999999999998E-2</v>
      </c>
      <c r="R117">
        <v>0</v>
      </c>
      <c r="S117">
        <v>1.7000000000000001E-2</v>
      </c>
    </row>
    <row r="118" spans="1:19">
      <c r="A118" t="s">
        <v>305</v>
      </c>
      <c r="B118">
        <v>1</v>
      </c>
      <c r="C118">
        <v>34</v>
      </c>
      <c r="D118" t="s">
        <v>443</v>
      </c>
      <c r="G118" t="s">
        <v>81</v>
      </c>
      <c r="H118" t="s">
        <v>67</v>
      </c>
      <c r="I118">
        <v>0.91400000000000003</v>
      </c>
      <c r="J118">
        <v>1.7000000000000001E-2</v>
      </c>
      <c r="K118">
        <v>6.9000000000000006E-2</v>
      </c>
      <c r="N118">
        <v>0.91400000000000003</v>
      </c>
      <c r="O118">
        <v>0</v>
      </c>
      <c r="P118">
        <v>1.7000000000000001E-2</v>
      </c>
      <c r="Q118">
        <v>6.9000000000000006E-2</v>
      </c>
    </row>
    <row r="119" spans="1:19">
      <c r="A119" t="s">
        <v>305</v>
      </c>
      <c r="B119">
        <v>1</v>
      </c>
      <c r="C119">
        <v>35</v>
      </c>
      <c r="D119" t="s">
        <v>446</v>
      </c>
      <c r="G119" t="s">
        <v>71</v>
      </c>
      <c r="H119" t="s">
        <v>67</v>
      </c>
      <c r="J119">
        <v>1.7000000000000001E-2</v>
      </c>
      <c r="K119">
        <v>6.9000000000000006E-2</v>
      </c>
      <c r="L119">
        <v>0.89700000000000002</v>
      </c>
      <c r="N119">
        <v>0.89700000000000002</v>
      </c>
      <c r="P119">
        <v>1.7000000000000001E-2</v>
      </c>
      <c r="Q119">
        <v>6.9000000000000006E-2</v>
      </c>
      <c r="R119">
        <v>0</v>
      </c>
    </row>
    <row r="120" spans="1:19">
      <c r="A120" t="s">
        <v>305</v>
      </c>
      <c r="B120">
        <v>1</v>
      </c>
      <c r="C120">
        <v>36</v>
      </c>
      <c r="D120" t="s">
        <v>441</v>
      </c>
      <c r="G120" t="s">
        <v>84</v>
      </c>
      <c r="H120" t="s">
        <v>69</v>
      </c>
      <c r="I120">
        <v>5.1999999999999998E-2</v>
      </c>
      <c r="K120">
        <v>1.7000000000000001E-2</v>
      </c>
      <c r="L120">
        <v>1.7000000000000001E-2</v>
      </c>
      <c r="M120">
        <v>0.91400000000000003</v>
      </c>
      <c r="N120">
        <v>0.91400000000000003</v>
      </c>
      <c r="O120">
        <v>5.1999999999999998E-2</v>
      </c>
      <c r="Q120">
        <v>1.7000000000000001E-2</v>
      </c>
      <c r="R120">
        <v>1.7000000000000001E-2</v>
      </c>
      <c r="S120">
        <v>0</v>
      </c>
    </row>
    <row r="121" spans="1:19">
      <c r="A121" t="s">
        <v>305</v>
      </c>
      <c r="B121">
        <v>1</v>
      </c>
      <c r="C121">
        <v>37</v>
      </c>
      <c r="D121" t="s">
        <v>442</v>
      </c>
      <c r="G121" t="s">
        <v>67</v>
      </c>
      <c r="H121" t="s">
        <v>70</v>
      </c>
      <c r="I121">
        <v>6.9000000000000006E-2</v>
      </c>
      <c r="J121">
        <v>8.5999999999999993E-2</v>
      </c>
      <c r="K121">
        <v>0.84499999999999997</v>
      </c>
      <c r="N121">
        <v>0.84499999999999997</v>
      </c>
      <c r="O121">
        <v>6.9000000000000006E-2</v>
      </c>
      <c r="P121">
        <v>8.5999999999999993E-2</v>
      </c>
      <c r="Q121">
        <v>0</v>
      </c>
    </row>
    <row r="122" spans="1:19">
      <c r="A122" t="s">
        <v>305</v>
      </c>
      <c r="B122">
        <v>1</v>
      </c>
      <c r="C122">
        <v>38</v>
      </c>
      <c r="D122" t="s">
        <v>446</v>
      </c>
      <c r="G122" t="s">
        <v>79</v>
      </c>
      <c r="H122" t="s">
        <v>662</v>
      </c>
      <c r="I122">
        <v>1.7000000000000001E-2</v>
      </c>
      <c r="J122">
        <v>0.94799999999999995</v>
      </c>
      <c r="K122">
        <v>1.7000000000000001E-2</v>
      </c>
      <c r="M122">
        <v>1.7000000000000001E-2</v>
      </c>
      <c r="N122">
        <v>0.94799999999999995</v>
      </c>
      <c r="O122">
        <v>1.7000000000000001E-2</v>
      </c>
      <c r="P122">
        <v>0</v>
      </c>
      <c r="Q122">
        <v>1.7000000000000001E-2</v>
      </c>
      <c r="S122">
        <v>1.7000000000000001E-2</v>
      </c>
    </row>
    <row r="123" spans="1:19">
      <c r="A123" t="s">
        <v>305</v>
      </c>
      <c r="B123">
        <v>1</v>
      </c>
      <c r="C123">
        <v>39</v>
      </c>
      <c r="D123" t="s">
        <v>444</v>
      </c>
      <c r="G123" t="s">
        <v>68</v>
      </c>
      <c r="H123" t="s">
        <v>618</v>
      </c>
      <c r="K123">
        <v>1.7000000000000001E-2</v>
      </c>
      <c r="L123">
        <v>1.7000000000000001E-2</v>
      </c>
      <c r="M123">
        <v>0.96599999999999997</v>
      </c>
      <c r="N123">
        <v>0.96599999999999997</v>
      </c>
      <c r="Q123">
        <v>1.7000000000000001E-2</v>
      </c>
      <c r="R123">
        <v>1.7000000000000001E-2</v>
      </c>
      <c r="S123">
        <v>0</v>
      </c>
    </row>
    <row r="124" spans="1:19">
      <c r="A124" t="s">
        <v>305</v>
      </c>
      <c r="B124">
        <v>1</v>
      </c>
      <c r="C124">
        <v>40</v>
      </c>
      <c r="D124" t="s">
        <v>442</v>
      </c>
      <c r="G124" t="s">
        <v>83</v>
      </c>
      <c r="H124" t="s">
        <v>71</v>
      </c>
      <c r="J124">
        <v>1.7000000000000001E-2</v>
      </c>
      <c r="K124">
        <v>0.93100000000000005</v>
      </c>
      <c r="L124">
        <v>3.4000000000000002E-2</v>
      </c>
      <c r="M124">
        <v>1.7000000000000001E-2</v>
      </c>
      <c r="N124">
        <v>0.93100000000000005</v>
      </c>
      <c r="P124">
        <v>1.7000000000000001E-2</v>
      </c>
      <c r="Q124">
        <v>0</v>
      </c>
      <c r="R124">
        <v>3.4000000000000002E-2</v>
      </c>
      <c r="S124">
        <v>1.7000000000000001E-2</v>
      </c>
    </row>
    <row r="125" spans="1:19">
      <c r="A125" t="s">
        <v>305</v>
      </c>
      <c r="B125">
        <v>1</v>
      </c>
      <c r="C125">
        <v>41</v>
      </c>
      <c r="D125" t="s">
        <v>443</v>
      </c>
      <c r="G125" t="s">
        <v>71</v>
      </c>
      <c r="H125" t="s">
        <v>69</v>
      </c>
      <c r="I125">
        <v>6.9000000000000006E-2</v>
      </c>
      <c r="J125">
        <v>1.7000000000000001E-2</v>
      </c>
      <c r="K125">
        <v>3.4000000000000002E-2</v>
      </c>
      <c r="L125">
        <v>0.84499999999999997</v>
      </c>
      <c r="M125">
        <v>1.7000000000000001E-2</v>
      </c>
      <c r="N125">
        <v>0.84499999999999997</v>
      </c>
      <c r="O125">
        <v>6.9000000000000006E-2</v>
      </c>
      <c r="P125">
        <v>1.7000000000000001E-2</v>
      </c>
      <c r="Q125">
        <v>3.4000000000000002E-2</v>
      </c>
      <c r="R125">
        <v>0</v>
      </c>
      <c r="S125">
        <v>1.7000000000000001E-2</v>
      </c>
    </row>
    <row r="126" spans="1:19">
      <c r="A126" t="s">
        <v>305</v>
      </c>
      <c r="B126">
        <v>1</v>
      </c>
      <c r="C126">
        <v>42</v>
      </c>
      <c r="D126" t="s">
        <v>446</v>
      </c>
      <c r="G126" t="s">
        <v>83</v>
      </c>
      <c r="H126" t="s">
        <v>489</v>
      </c>
      <c r="I126">
        <v>1.7000000000000001E-2</v>
      </c>
      <c r="J126">
        <v>0.10299999999999999</v>
      </c>
      <c r="K126">
        <v>0.72399999999999998</v>
      </c>
      <c r="L126">
        <v>0.10299999999999999</v>
      </c>
      <c r="M126">
        <v>1.7000000000000001E-2</v>
      </c>
      <c r="N126">
        <v>0.72399999999999998</v>
      </c>
      <c r="O126">
        <v>1.7000000000000001E-2</v>
      </c>
      <c r="P126">
        <v>0.10299999999999999</v>
      </c>
      <c r="Q126">
        <v>0</v>
      </c>
      <c r="R126">
        <v>0.10299999999999999</v>
      </c>
      <c r="S126">
        <v>1.7000000000000001E-2</v>
      </c>
    </row>
    <row r="127" spans="1:19">
      <c r="A127" t="s">
        <v>305</v>
      </c>
      <c r="B127">
        <v>1</v>
      </c>
      <c r="C127">
        <v>43</v>
      </c>
      <c r="D127" t="s">
        <v>443</v>
      </c>
      <c r="G127" t="s">
        <v>67</v>
      </c>
      <c r="H127" t="s">
        <v>69</v>
      </c>
      <c r="I127">
        <v>8.5999999999999993E-2</v>
      </c>
      <c r="J127">
        <v>3.4000000000000002E-2</v>
      </c>
      <c r="K127">
        <v>0.82799999999999996</v>
      </c>
      <c r="L127">
        <v>5.1999999999999998E-2</v>
      </c>
      <c r="N127">
        <v>0.82799999999999996</v>
      </c>
      <c r="O127">
        <v>8.5999999999999993E-2</v>
      </c>
      <c r="P127">
        <v>3.4000000000000002E-2</v>
      </c>
      <c r="Q127">
        <v>0</v>
      </c>
      <c r="R127">
        <v>5.1999999999999998E-2</v>
      </c>
    </row>
    <row r="128" spans="1:19">
      <c r="A128" t="s">
        <v>305</v>
      </c>
      <c r="B128">
        <v>1</v>
      </c>
      <c r="C128">
        <v>44</v>
      </c>
      <c r="D128" t="s">
        <v>445</v>
      </c>
      <c r="G128" t="s">
        <v>84</v>
      </c>
      <c r="H128" t="s">
        <v>71</v>
      </c>
      <c r="I128">
        <v>5.1999999999999998E-2</v>
      </c>
      <c r="L128">
        <v>6.9000000000000006E-2</v>
      </c>
      <c r="M128">
        <v>0.879</v>
      </c>
      <c r="N128">
        <v>0.879</v>
      </c>
      <c r="O128">
        <v>5.1999999999999998E-2</v>
      </c>
      <c r="R128">
        <v>6.9000000000000006E-2</v>
      </c>
      <c r="S128">
        <v>0</v>
      </c>
    </row>
    <row r="129" spans="1:19">
      <c r="A129" t="s">
        <v>305</v>
      </c>
      <c r="B129">
        <v>1</v>
      </c>
      <c r="C129">
        <v>45</v>
      </c>
      <c r="D129" t="s">
        <v>441</v>
      </c>
      <c r="G129" t="s">
        <v>70</v>
      </c>
      <c r="H129" t="s">
        <v>69</v>
      </c>
      <c r="I129">
        <v>8.5999999999999993E-2</v>
      </c>
      <c r="J129">
        <v>0.75900000000000001</v>
      </c>
      <c r="K129">
        <v>6.9000000000000006E-2</v>
      </c>
      <c r="L129">
        <v>5.1999999999999998E-2</v>
      </c>
      <c r="M129">
        <v>1.7000000000000001E-2</v>
      </c>
      <c r="N129">
        <v>0.75900000000000001</v>
      </c>
      <c r="O129">
        <v>8.5999999999999993E-2</v>
      </c>
      <c r="P129">
        <v>0</v>
      </c>
      <c r="Q129">
        <v>6.9000000000000006E-2</v>
      </c>
      <c r="R129">
        <v>5.1999999999999998E-2</v>
      </c>
      <c r="S129">
        <v>1.7000000000000001E-2</v>
      </c>
    </row>
    <row r="130" spans="1:19">
      <c r="A130" t="s">
        <v>305</v>
      </c>
      <c r="B130">
        <v>1</v>
      </c>
      <c r="C130">
        <v>46</v>
      </c>
      <c r="D130" t="s">
        <v>442</v>
      </c>
      <c r="G130" t="s">
        <v>81</v>
      </c>
      <c r="H130" t="s">
        <v>491</v>
      </c>
      <c r="I130">
        <v>0.93100000000000005</v>
      </c>
      <c r="J130">
        <v>3.4000000000000002E-2</v>
      </c>
      <c r="K130">
        <v>3.4000000000000002E-2</v>
      </c>
      <c r="N130">
        <v>0.93100000000000005</v>
      </c>
      <c r="O130">
        <v>0</v>
      </c>
      <c r="P130">
        <v>3.4000000000000002E-2</v>
      </c>
      <c r="Q130">
        <v>3.4000000000000002E-2</v>
      </c>
    </row>
    <row r="131" spans="1:19">
      <c r="A131" t="s">
        <v>305</v>
      </c>
      <c r="B131">
        <v>1</v>
      </c>
      <c r="C131">
        <v>47</v>
      </c>
      <c r="D131" t="s">
        <v>441</v>
      </c>
      <c r="G131" t="s">
        <v>67</v>
      </c>
      <c r="H131" t="s">
        <v>71</v>
      </c>
      <c r="I131">
        <v>6.9000000000000006E-2</v>
      </c>
      <c r="J131">
        <v>3.4000000000000002E-2</v>
      </c>
      <c r="K131">
        <v>0.69</v>
      </c>
      <c r="L131">
        <v>0.17199999999999999</v>
      </c>
      <c r="M131">
        <v>1.7000000000000001E-2</v>
      </c>
      <c r="N131">
        <v>0.69</v>
      </c>
      <c r="O131">
        <v>6.9000000000000006E-2</v>
      </c>
      <c r="P131">
        <v>3.4000000000000002E-2</v>
      </c>
      <c r="Q131">
        <v>0</v>
      </c>
      <c r="R131">
        <v>0.17199999999999999</v>
      </c>
      <c r="S131">
        <v>1.7000000000000001E-2</v>
      </c>
    </row>
    <row r="132" spans="1:19">
      <c r="A132" t="s">
        <v>305</v>
      </c>
      <c r="B132">
        <v>1</v>
      </c>
      <c r="C132">
        <v>48</v>
      </c>
      <c r="D132" t="s">
        <v>445</v>
      </c>
      <c r="G132" t="s">
        <v>80</v>
      </c>
      <c r="H132" t="s">
        <v>68</v>
      </c>
      <c r="J132">
        <v>5.1999999999999998E-2</v>
      </c>
      <c r="K132">
        <v>3.4000000000000002E-2</v>
      </c>
      <c r="L132">
        <v>0.82799999999999996</v>
      </c>
      <c r="M132">
        <v>8.5999999999999993E-2</v>
      </c>
      <c r="N132">
        <v>0.82799999999999996</v>
      </c>
      <c r="P132">
        <v>5.1999999999999998E-2</v>
      </c>
      <c r="Q132">
        <v>3.4000000000000002E-2</v>
      </c>
      <c r="R132">
        <v>0</v>
      </c>
      <c r="S132">
        <v>8.5999999999999993E-2</v>
      </c>
    </row>
    <row r="133" spans="1:19">
      <c r="A133" t="s">
        <v>305</v>
      </c>
      <c r="B133">
        <v>1</v>
      </c>
      <c r="C133">
        <v>49</v>
      </c>
      <c r="D133" t="s">
        <v>444</v>
      </c>
      <c r="G133" t="s">
        <v>71</v>
      </c>
      <c r="H133" t="s">
        <v>70</v>
      </c>
      <c r="I133">
        <v>5.1999999999999998E-2</v>
      </c>
      <c r="J133">
        <v>0.10299999999999999</v>
      </c>
      <c r="K133">
        <v>3.4000000000000002E-2</v>
      </c>
      <c r="L133">
        <v>0.74099999999999999</v>
      </c>
      <c r="M133">
        <v>6.9000000000000006E-2</v>
      </c>
      <c r="N133">
        <v>0.74099999999999999</v>
      </c>
      <c r="O133">
        <v>5.1999999999999998E-2</v>
      </c>
      <c r="P133">
        <v>0.10299999999999999</v>
      </c>
      <c r="Q133">
        <v>3.4000000000000002E-2</v>
      </c>
      <c r="R133">
        <v>0</v>
      </c>
      <c r="S133">
        <v>6.9000000000000006E-2</v>
      </c>
    </row>
    <row r="134" spans="1:19">
      <c r="A134" t="s">
        <v>305</v>
      </c>
      <c r="B134">
        <v>1</v>
      </c>
      <c r="C134">
        <v>50</v>
      </c>
      <c r="D134" t="s">
        <v>444</v>
      </c>
      <c r="G134" t="s">
        <v>80</v>
      </c>
      <c r="H134" t="s">
        <v>70</v>
      </c>
      <c r="I134">
        <v>1.7000000000000001E-2</v>
      </c>
      <c r="J134">
        <v>0.155</v>
      </c>
      <c r="K134">
        <v>6.9000000000000006E-2</v>
      </c>
      <c r="L134">
        <v>0.65500000000000003</v>
      </c>
      <c r="M134">
        <v>0.10299999999999999</v>
      </c>
      <c r="N134">
        <v>0.65500000000000003</v>
      </c>
      <c r="O134">
        <v>1.7000000000000001E-2</v>
      </c>
      <c r="P134">
        <v>0.155</v>
      </c>
      <c r="Q134">
        <v>6.9000000000000006E-2</v>
      </c>
      <c r="R134">
        <v>0</v>
      </c>
      <c r="S134">
        <v>0.10299999999999999</v>
      </c>
    </row>
    <row r="135" spans="1:19">
      <c r="A135" t="s">
        <v>305</v>
      </c>
      <c r="B135">
        <v>1</v>
      </c>
      <c r="C135">
        <v>51</v>
      </c>
      <c r="D135" t="s">
        <v>446</v>
      </c>
      <c r="G135" t="s">
        <v>68</v>
      </c>
      <c r="H135" t="s">
        <v>70</v>
      </c>
      <c r="I135">
        <v>3.4000000000000002E-2</v>
      </c>
      <c r="J135">
        <v>6.9000000000000006E-2</v>
      </c>
      <c r="K135">
        <v>1.7000000000000001E-2</v>
      </c>
      <c r="L135">
        <v>5.1999999999999998E-2</v>
      </c>
      <c r="M135">
        <v>0.81</v>
      </c>
      <c r="N135">
        <v>0.81</v>
      </c>
      <c r="O135">
        <v>3.4000000000000002E-2</v>
      </c>
      <c r="P135">
        <v>6.9000000000000006E-2</v>
      </c>
      <c r="Q135">
        <v>1.7000000000000001E-2</v>
      </c>
      <c r="R135">
        <v>5.1999999999999998E-2</v>
      </c>
      <c r="S135">
        <v>0</v>
      </c>
    </row>
    <row r="136" spans="1:19">
      <c r="A136" t="s">
        <v>305</v>
      </c>
      <c r="B136">
        <v>1</v>
      </c>
      <c r="C136">
        <v>52</v>
      </c>
      <c r="D136" t="s">
        <v>445</v>
      </c>
      <c r="G136" t="s">
        <v>79</v>
      </c>
      <c r="H136" t="s">
        <v>758</v>
      </c>
      <c r="I136">
        <v>8.5999999999999993E-2</v>
      </c>
      <c r="J136">
        <v>0.74099999999999999</v>
      </c>
      <c r="K136">
        <v>3.4000000000000002E-2</v>
      </c>
      <c r="L136">
        <v>5.1999999999999998E-2</v>
      </c>
      <c r="M136">
        <v>8.5999999999999993E-2</v>
      </c>
      <c r="N136">
        <v>0.74099999999999999</v>
      </c>
      <c r="O136">
        <v>8.5999999999999993E-2</v>
      </c>
      <c r="P136">
        <v>0</v>
      </c>
      <c r="Q136">
        <v>3.4000000000000002E-2</v>
      </c>
      <c r="R136">
        <v>5.1999999999999998E-2</v>
      </c>
      <c r="S136">
        <v>8.5999999999999993E-2</v>
      </c>
    </row>
    <row r="137" spans="1:19">
      <c r="A137" t="s">
        <v>305</v>
      </c>
      <c r="B137">
        <v>1</v>
      </c>
      <c r="C137">
        <v>53</v>
      </c>
      <c r="D137" t="s">
        <v>446</v>
      </c>
      <c r="G137" t="s">
        <v>70</v>
      </c>
      <c r="H137" t="s">
        <v>67</v>
      </c>
      <c r="I137">
        <v>3.4000000000000002E-2</v>
      </c>
      <c r="J137">
        <v>0.84499999999999997</v>
      </c>
      <c r="K137">
        <v>8.5999999999999993E-2</v>
      </c>
      <c r="M137">
        <v>3.4000000000000002E-2</v>
      </c>
      <c r="N137">
        <v>0.84499999999999997</v>
      </c>
      <c r="O137">
        <v>3.4000000000000002E-2</v>
      </c>
      <c r="P137">
        <v>0</v>
      </c>
      <c r="Q137">
        <v>8.5999999999999993E-2</v>
      </c>
      <c r="S137">
        <v>3.4000000000000002E-2</v>
      </c>
    </row>
    <row r="138" spans="1:19">
      <c r="A138" t="s">
        <v>305</v>
      </c>
      <c r="B138">
        <v>1</v>
      </c>
      <c r="C138">
        <v>54</v>
      </c>
      <c r="D138" t="s">
        <v>445</v>
      </c>
      <c r="G138" t="s">
        <v>80</v>
      </c>
      <c r="H138" t="s">
        <v>491</v>
      </c>
      <c r="I138">
        <v>1.7000000000000001E-2</v>
      </c>
      <c r="J138">
        <v>3.4000000000000002E-2</v>
      </c>
      <c r="K138">
        <v>3.4000000000000002E-2</v>
      </c>
      <c r="L138">
        <v>0.879</v>
      </c>
      <c r="M138">
        <v>1.7000000000000001E-2</v>
      </c>
      <c r="N138">
        <v>0.879</v>
      </c>
      <c r="O138">
        <v>1.7000000000000001E-2</v>
      </c>
      <c r="P138">
        <v>3.4000000000000002E-2</v>
      </c>
      <c r="Q138">
        <v>3.4000000000000002E-2</v>
      </c>
      <c r="R138">
        <v>0</v>
      </c>
      <c r="S138">
        <v>1.7000000000000001E-2</v>
      </c>
    </row>
    <row r="139" spans="1:19">
      <c r="A139" t="s">
        <v>305</v>
      </c>
      <c r="B139">
        <v>1</v>
      </c>
      <c r="C139">
        <v>55</v>
      </c>
      <c r="D139" t="s">
        <v>443</v>
      </c>
      <c r="G139" t="s">
        <v>68</v>
      </c>
      <c r="H139" t="s">
        <v>70</v>
      </c>
      <c r="I139">
        <v>6.9000000000000006E-2</v>
      </c>
      <c r="J139">
        <v>0.17199999999999999</v>
      </c>
      <c r="K139">
        <v>5.1999999999999998E-2</v>
      </c>
      <c r="L139">
        <v>3.4000000000000002E-2</v>
      </c>
      <c r="M139">
        <v>0.67200000000000004</v>
      </c>
      <c r="N139">
        <v>0.67200000000000004</v>
      </c>
      <c r="O139">
        <v>6.9000000000000006E-2</v>
      </c>
      <c r="P139">
        <v>0.17199999999999999</v>
      </c>
      <c r="Q139">
        <v>5.1999999999999998E-2</v>
      </c>
      <c r="R139">
        <v>3.4000000000000002E-2</v>
      </c>
      <c r="S139">
        <v>0</v>
      </c>
    </row>
    <row r="140" spans="1:19">
      <c r="A140" t="s">
        <v>305</v>
      </c>
      <c r="B140">
        <v>1</v>
      </c>
      <c r="C140">
        <v>56</v>
      </c>
      <c r="D140" t="s">
        <v>443</v>
      </c>
      <c r="G140" t="s">
        <v>84</v>
      </c>
      <c r="H140" t="s">
        <v>71</v>
      </c>
      <c r="I140">
        <v>6.9000000000000006E-2</v>
      </c>
      <c r="J140">
        <v>5.1999999999999998E-2</v>
      </c>
      <c r="L140">
        <v>8.5999999999999993E-2</v>
      </c>
      <c r="M140">
        <v>0.79300000000000004</v>
      </c>
      <c r="N140">
        <v>0.79300000000000004</v>
      </c>
      <c r="O140">
        <v>6.9000000000000006E-2</v>
      </c>
      <c r="P140">
        <v>5.1999999999999998E-2</v>
      </c>
      <c r="R140">
        <v>8.5999999999999993E-2</v>
      </c>
      <c r="S140">
        <v>0</v>
      </c>
    </row>
    <row r="141" spans="1:19">
      <c r="A141" t="s">
        <v>305</v>
      </c>
      <c r="B141">
        <v>1</v>
      </c>
      <c r="C141">
        <v>57</v>
      </c>
      <c r="D141" t="s">
        <v>444</v>
      </c>
      <c r="G141" t="s">
        <v>69</v>
      </c>
      <c r="H141" t="s">
        <v>70</v>
      </c>
      <c r="I141">
        <v>0.65500000000000003</v>
      </c>
      <c r="J141">
        <v>0.13800000000000001</v>
      </c>
      <c r="K141">
        <v>8.5999999999999993E-2</v>
      </c>
      <c r="L141">
        <v>8.5999999999999993E-2</v>
      </c>
      <c r="M141">
        <v>3.4000000000000002E-2</v>
      </c>
      <c r="N141">
        <v>0.65500000000000003</v>
      </c>
      <c r="O141">
        <v>0</v>
      </c>
      <c r="P141">
        <v>0.13800000000000001</v>
      </c>
      <c r="Q141">
        <v>8.5999999999999993E-2</v>
      </c>
      <c r="R141">
        <v>8.5999999999999993E-2</v>
      </c>
      <c r="S141">
        <v>3.4000000000000002E-2</v>
      </c>
    </row>
    <row r="142" spans="1:19">
      <c r="A142" t="s">
        <v>305</v>
      </c>
      <c r="B142">
        <v>1</v>
      </c>
      <c r="C142">
        <v>58</v>
      </c>
      <c r="D142" t="s">
        <v>441</v>
      </c>
      <c r="G142" t="s">
        <v>84</v>
      </c>
      <c r="H142" t="s">
        <v>67</v>
      </c>
      <c r="I142">
        <v>0.121</v>
      </c>
      <c r="J142">
        <v>3.4000000000000002E-2</v>
      </c>
      <c r="K142">
        <v>0.17199999999999999</v>
      </c>
      <c r="L142">
        <v>0.13800000000000001</v>
      </c>
      <c r="M142">
        <v>0.53400000000000003</v>
      </c>
      <c r="N142">
        <v>0.53400000000000003</v>
      </c>
      <c r="O142">
        <v>0.121</v>
      </c>
      <c r="P142">
        <v>3.4000000000000002E-2</v>
      </c>
      <c r="Q142">
        <v>0.17199999999999999</v>
      </c>
      <c r="R142">
        <v>0.13800000000000001</v>
      </c>
      <c r="S142">
        <v>0</v>
      </c>
    </row>
    <row r="143" spans="1:19">
      <c r="A143" t="s">
        <v>305</v>
      </c>
      <c r="B143">
        <v>1</v>
      </c>
      <c r="C143">
        <v>59</v>
      </c>
      <c r="D143" t="s">
        <v>444</v>
      </c>
      <c r="G143" t="s">
        <v>69</v>
      </c>
      <c r="H143" t="s">
        <v>70</v>
      </c>
      <c r="I143">
        <v>0.5</v>
      </c>
      <c r="J143">
        <v>0.224</v>
      </c>
      <c r="K143">
        <v>0.10299999999999999</v>
      </c>
      <c r="L143">
        <v>0.121</v>
      </c>
      <c r="M143">
        <v>1.7000000000000001E-2</v>
      </c>
      <c r="N143">
        <v>0.5</v>
      </c>
      <c r="O143">
        <v>0</v>
      </c>
      <c r="P143">
        <v>0.224</v>
      </c>
      <c r="Q143">
        <v>0.10299999999999999</v>
      </c>
      <c r="R143">
        <v>0.121</v>
      </c>
      <c r="S143">
        <v>1.7000000000000001E-2</v>
      </c>
    </row>
    <row r="144" spans="1:19">
      <c r="A144" t="s">
        <v>305</v>
      </c>
      <c r="B144">
        <v>1</v>
      </c>
      <c r="C144">
        <v>60</v>
      </c>
      <c r="D144" t="s">
        <v>446</v>
      </c>
      <c r="G144" t="s">
        <v>80</v>
      </c>
      <c r="H144" t="s">
        <v>491</v>
      </c>
      <c r="I144">
        <v>0.10299999999999999</v>
      </c>
      <c r="J144">
        <v>0.13800000000000001</v>
      </c>
      <c r="K144">
        <v>0.13800000000000001</v>
      </c>
      <c r="L144">
        <v>0.58599999999999997</v>
      </c>
      <c r="M144">
        <v>1.7000000000000001E-2</v>
      </c>
      <c r="N144">
        <v>0.58599999999999997</v>
      </c>
      <c r="O144">
        <v>0.10299999999999999</v>
      </c>
      <c r="P144">
        <v>0.13800000000000001</v>
      </c>
      <c r="Q144">
        <v>0.13800000000000001</v>
      </c>
      <c r="R144">
        <v>0</v>
      </c>
      <c r="S144">
        <v>1.7000000000000001E-2</v>
      </c>
    </row>
    <row r="145" spans="1:18">
      <c r="A145" t="s">
        <v>76</v>
      </c>
      <c r="B145">
        <v>1</v>
      </c>
      <c r="C145">
        <v>1</v>
      </c>
      <c r="D145" t="s">
        <v>449</v>
      </c>
      <c r="G145" t="s">
        <v>69</v>
      </c>
      <c r="H145" t="s">
        <v>70</v>
      </c>
      <c r="I145">
        <v>0.67200000000000004</v>
      </c>
      <c r="J145">
        <v>0.24099999999999999</v>
      </c>
      <c r="K145">
        <v>5.1999999999999998E-2</v>
      </c>
      <c r="L145">
        <v>3.4000000000000002E-2</v>
      </c>
      <c r="N145">
        <v>0.67200000000000004</v>
      </c>
      <c r="O145">
        <v>0</v>
      </c>
      <c r="P145">
        <v>0.24099999999999999</v>
      </c>
      <c r="Q145">
        <v>5.1999999999999998E-2</v>
      </c>
      <c r="R145">
        <v>3.4000000000000002E-2</v>
      </c>
    </row>
    <row r="146" spans="1:18">
      <c r="A146" t="s">
        <v>76</v>
      </c>
      <c r="B146">
        <v>1</v>
      </c>
      <c r="C146">
        <v>2</v>
      </c>
      <c r="D146" t="s">
        <v>449</v>
      </c>
      <c r="G146" t="s">
        <v>81</v>
      </c>
      <c r="H146" t="s">
        <v>71</v>
      </c>
      <c r="I146">
        <v>0.69</v>
      </c>
      <c r="J146">
        <v>5.1999999999999998E-2</v>
      </c>
      <c r="K146">
        <v>0.121</v>
      </c>
      <c r="L146">
        <v>0.13800000000000001</v>
      </c>
      <c r="N146">
        <v>0.69</v>
      </c>
      <c r="O146">
        <v>0</v>
      </c>
      <c r="P146">
        <v>5.1999999999999998E-2</v>
      </c>
      <c r="Q146">
        <v>0.121</v>
      </c>
      <c r="R146">
        <v>0.13800000000000001</v>
      </c>
    </row>
    <row r="147" spans="1:18">
      <c r="A147" t="s">
        <v>76</v>
      </c>
      <c r="B147">
        <v>1</v>
      </c>
      <c r="C147">
        <v>3</v>
      </c>
      <c r="D147" t="s">
        <v>449</v>
      </c>
      <c r="G147" t="s">
        <v>69</v>
      </c>
      <c r="H147" t="s">
        <v>70</v>
      </c>
      <c r="I147">
        <v>0.79300000000000004</v>
      </c>
      <c r="J147">
        <v>0.13800000000000001</v>
      </c>
      <c r="K147">
        <v>5.1999999999999998E-2</v>
      </c>
      <c r="L147">
        <v>1.7000000000000001E-2</v>
      </c>
      <c r="N147">
        <v>0.79300000000000004</v>
      </c>
      <c r="O147">
        <v>0</v>
      </c>
      <c r="P147">
        <v>0.13800000000000001</v>
      </c>
      <c r="Q147">
        <v>5.1999999999999998E-2</v>
      </c>
      <c r="R147">
        <v>1.7000000000000001E-2</v>
      </c>
    </row>
    <row r="148" spans="1:18">
      <c r="A148" t="s">
        <v>76</v>
      </c>
      <c r="B148">
        <v>1</v>
      </c>
      <c r="C148">
        <v>4</v>
      </c>
      <c r="D148" t="s">
        <v>449</v>
      </c>
      <c r="G148" t="s">
        <v>80</v>
      </c>
      <c r="H148" t="s">
        <v>70</v>
      </c>
      <c r="I148">
        <v>1.7000000000000001E-2</v>
      </c>
      <c r="J148">
        <v>0.20699999999999999</v>
      </c>
      <c r="K148">
        <v>1.7000000000000001E-2</v>
      </c>
      <c r="L148">
        <v>0.75900000000000001</v>
      </c>
      <c r="N148">
        <v>0.75900000000000001</v>
      </c>
      <c r="O148">
        <v>1.7000000000000001E-2</v>
      </c>
      <c r="P148">
        <v>0.20699999999999999</v>
      </c>
      <c r="Q148">
        <v>1.7000000000000001E-2</v>
      </c>
      <c r="R148">
        <v>0</v>
      </c>
    </row>
    <row r="149" spans="1:18">
      <c r="A149" t="s">
        <v>76</v>
      </c>
      <c r="B149">
        <v>1</v>
      </c>
      <c r="C149">
        <v>5</v>
      </c>
      <c r="D149" t="s">
        <v>449</v>
      </c>
      <c r="G149" t="s">
        <v>70</v>
      </c>
      <c r="H149" t="s">
        <v>71</v>
      </c>
      <c r="J149">
        <v>0.91400000000000003</v>
      </c>
      <c r="K149">
        <v>3.4000000000000002E-2</v>
      </c>
      <c r="L149">
        <v>5.1999999999999998E-2</v>
      </c>
      <c r="N149">
        <v>0.91400000000000003</v>
      </c>
      <c r="P149">
        <v>0</v>
      </c>
      <c r="Q149">
        <v>3.4000000000000002E-2</v>
      </c>
      <c r="R149">
        <v>5.1999999999999998E-2</v>
      </c>
    </row>
    <row r="150" spans="1:18">
      <c r="A150" t="s">
        <v>76</v>
      </c>
      <c r="B150">
        <v>1</v>
      </c>
      <c r="C150">
        <v>6</v>
      </c>
      <c r="D150" t="s">
        <v>449</v>
      </c>
      <c r="G150" t="s">
        <v>81</v>
      </c>
      <c r="H150" t="s">
        <v>67</v>
      </c>
      <c r="I150">
        <v>0.86199999999999999</v>
      </c>
      <c r="J150">
        <v>5.1999999999999998E-2</v>
      </c>
      <c r="K150">
        <v>6.9000000000000006E-2</v>
      </c>
      <c r="L150">
        <v>1.7000000000000001E-2</v>
      </c>
      <c r="N150">
        <v>0.86199999999999999</v>
      </c>
      <c r="O150">
        <v>0</v>
      </c>
      <c r="P150">
        <v>5.1999999999999998E-2</v>
      </c>
      <c r="Q150">
        <v>6.9000000000000006E-2</v>
      </c>
      <c r="R150">
        <v>1.7000000000000001E-2</v>
      </c>
    </row>
    <row r="151" spans="1:18">
      <c r="A151" t="s">
        <v>76</v>
      </c>
      <c r="B151">
        <v>1</v>
      </c>
      <c r="C151">
        <v>7</v>
      </c>
      <c r="D151" t="s">
        <v>449</v>
      </c>
      <c r="G151" t="s">
        <v>67</v>
      </c>
      <c r="H151" t="s">
        <v>69</v>
      </c>
      <c r="I151">
        <v>5.1999999999999998E-2</v>
      </c>
      <c r="J151">
        <v>3.4000000000000002E-2</v>
      </c>
      <c r="K151">
        <v>0.91400000000000003</v>
      </c>
      <c r="N151">
        <v>0.91400000000000003</v>
      </c>
      <c r="O151">
        <v>5.1999999999999998E-2</v>
      </c>
      <c r="P151">
        <v>3.4000000000000002E-2</v>
      </c>
      <c r="Q151">
        <v>0</v>
      </c>
    </row>
    <row r="152" spans="1:18">
      <c r="A152" t="s">
        <v>76</v>
      </c>
      <c r="B152">
        <v>1</v>
      </c>
      <c r="C152">
        <v>8</v>
      </c>
      <c r="D152" t="s">
        <v>449</v>
      </c>
      <c r="G152" t="s">
        <v>83</v>
      </c>
      <c r="H152" t="s">
        <v>70</v>
      </c>
      <c r="I152">
        <v>3.4000000000000002E-2</v>
      </c>
      <c r="J152">
        <v>8.5999999999999993E-2</v>
      </c>
      <c r="K152">
        <v>0.86199999999999999</v>
      </c>
      <c r="L152">
        <v>1.7000000000000001E-2</v>
      </c>
      <c r="N152">
        <v>0.86199999999999999</v>
      </c>
      <c r="O152">
        <v>3.4000000000000002E-2</v>
      </c>
      <c r="P152">
        <v>8.5999999999999993E-2</v>
      </c>
      <c r="Q152">
        <v>0</v>
      </c>
      <c r="R152">
        <v>1.7000000000000001E-2</v>
      </c>
    </row>
    <row r="153" spans="1:18">
      <c r="A153" t="s">
        <v>76</v>
      </c>
      <c r="B153">
        <v>1</v>
      </c>
      <c r="C153">
        <v>9</v>
      </c>
      <c r="D153" t="s">
        <v>449</v>
      </c>
      <c r="G153" t="s">
        <v>70</v>
      </c>
      <c r="H153" t="s">
        <v>67</v>
      </c>
      <c r="I153">
        <v>3.4000000000000002E-2</v>
      </c>
      <c r="J153">
        <v>0.86199999999999999</v>
      </c>
      <c r="K153">
        <v>6.9000000000000006E-2</v>
      </c>
      <c r="L153">
        <v>3.4000000000000002E-2</v>
      </c>
      <c r="N153">
        <v>0.86199999999999999</v>
      </c>
      <c r="O153">
        <v>3.4000000000000002E-2</v>
      </c>
      <c r="P153">
        <v>0</v>
      </c>
      <c r="Q153">
        <v>6.9000000000000006E-2</v>
      </c>
      <c r="R153">
        <v>3.4000000000000002E-2</v>
      </c>
    </row>
    <row r="154" spans="1:18">
      <c r="A154" t="s">
        <v>76</v>
      </c>
      <c r="B154">
        <v>1</v>
      </c>
      <c r="C154">
        <v>10</v>
      </c>
      <c r="D154" t="s">
        <v>449</v>
      </c>
      <c r="G154" t="s">
        <v>80</v>
      </c>
      <c r="H154" t="s">
        <v>69</v>
      </c>
      <c r="I154">
        <v>5.1999999999999998E-2</v>
      </c>
      <c r="J154">
        <v>3.4000000000000002E-2</v>
      </c>
      <c r="K154">
        <v>3.4000000000000002E-2</v>
      </c>
      <c r="L154">
        <v>0.879</v>
      </c>
      <c r="N154">
        <v>0.879</v>
      </c>
      <c r="O154">
        <v>5.1999999999999998E-2</v>
      </c>
      <c r="P154">
        <v>3.4000000000000002E-2</v>
      </c>
      <c r="Q154">
        <v>3.4000000000000002E-2</v>
      </c>
      <c r="R154">
        <v>0</v>
      </c>
    </row>
    <row r="155" spans="1:18">
      <c r="A155" t="s">
        <v>76</v>
      </c>
      <c r="B155">
        <v>1</v>
      </c>
      <c r="C155">
        <v>11</v>
      </c>
      <c r="D155" t="s">
        <v>447</v>
      </c>
      <c r="G155" t="s">
        <v>70</v>
      </c>
      <c r="H155" t="s">
        <v>67</v>
      </c>
      <c r="I155">
        <v>3.4000000000000002E-2</v>
      </c>
      <c r="J155">
        <v>0.84499999999999997</v>
      </c>
      <c r="K155">
        <v>0.10299999999999999</v>
      </c>
      <c r="L155">
        <v>1.7000000000000001E-2</v>
      </c>
      <c r="N155">
        <v>0.84499999999999997</v>
      </c>
      <c r="O155">
        <v>3.4000000000000002E-2</v>
      </c>
      <c r="P155">
        <v>0</v>
      </c>
      <c r="Q155">
        <v>0.10299999999999999</v>
      </c>
      <c r="R155">
        <v>1.7000000000000001E-2</v>
      </c>
    </row>
    <row r="156" spans="1:18">
      <c r="A156" t="s">
        <v>76</v>
      </c>
      <c r="B156">
        <v>1</v>
      </c>
      <c r="C156">
        <v>12</v>
      </c>
      <c r="D156" t="s">
        <v>447</v>
      </c>
      <c r="G156" t="s">
        <v>83</v>
      </c>
      <c r="H156" t="s">
        <v>488</v>
      </c>
      <c r="I156">
        <v>5.1999999999999998E-2</v>
      </c>
      <c r="J156">
        <v>5.1999999999999998E-2</v>
      </c>
      <c r="K156">
        <v>0.879</v>
      </c>
      <c r="L156">
        <v>1.7000000000000001E-2</v>
      </c>
      <c r="N156">
        <v>0.879</v>
      </c>
      <c r="O156">
        <v>5.1999999999999998E-2</v>
      </c>
      <c r="P156">
        <v>5.1999999999999998E-2</v>
      </c>
      <c r="Q156">
        <v>0</v>
      </c>
      <c r="R156">
        <v>1.7000000000000001E-2</v>
      </c>
    </row>
    <row r="157" spans="1:18">
      <c r="A157" t="s">
        <v>76</v>
      </c>
      <c r="B157">
        <v>1</v>
      </c>
      <c r="C157">
        <v>13</v>
      </c>
      <c r="D157" t="s">
        <v>447</v>
      </c>
      <c r="G157" t="s">
        <v>67</v>
      </c>
      <c r="H157" t="s">
        <v>70</v>
      </c>
      <c r="I157">
        <v>3.4000000000000002E-2</v>
      </c>
      <c r="J157">
        <v>0.43099999999999999</v>
      </c>
      <c r="K157">
        <v>0.53400000000000003</v>
      </c>
      <c r="N157">
        <v>0.53400000000000003</v>
      </c>
      <c r="O157">
        <v>3.4000000000000002E-2</v>
      </c>
      <c r="P157">
        <v>0.43099999999999999</v>
      </c>
      <c r="Q157">
        <v>0</v>
      </c>
    </row>
    <row r="158" spans="1:18">
      <c r="A158" t="s">
        <v>76</v>
      </c>
      <c r="B158">
        <v>1</v>
      </c>
      <c r="C158">
        <v>14</v>
      </c>
      <c r="D158" t="s">
        <v>447</v>
      </c>
      <c r="G158" t="s">
        <v>81</v>
      </c>
      <c r="H158" t="s">
        <v>489</v>
      </c>
      <c r="I158">
        <v>0.60299999999999998</v>
      </c>
      <c r="J158">
        <v>0.155</v>
      </c>
      <c r="K158">
        <v>8.5999999999999993E-2</v>
      </c>
      <c r="L158">
        <v>0.155</v>
      </c>
      <c r="N158">
        <v>0.60299999999999998</v>
      </c>
      <c r="O158">
        <v>0</v>
      </c>
      <c r="P158">
        <v>0.155</v>
      </c>
      <c r="Q158">
        <v>8.5999999999999993E-2</v>
      </c>
      <c r="R158">
        <v>0.155</v>
      </c>
    </row>
    <row r="159" spans="1:18">
      <c r="A159" t="s">
        <v>76</v>
      </c>
      <c r="B159">
        <v>1</v>
      </c>
      <c r="C159">
        <v>15</v>
      </c>
      <c r="D159" t="s">
        <v>447</v>
      </c>
      <c r="G159" t="s">
        <v>70</v>
      </c>
      <c r="H159" t="s">
        <v>618</v>
      </c>
      <c r="J159">
        <v>0.79300000000000004</v>
      </c>
      <c r="K159">
        <v>0.10299999999999999</v>
      </c>
      <c r="L159">
        <v>0.10299999999999999</v>
      </c>
      <c r="N159">
        <v>0.79300000000000004</v>
      </c>
      <c r="P159">
        <v>0</v>
      </c>
      <c r="Q159">
        <v>0.10299999999999999</v>
      </c>
      <c r="R159">
        <v>0.10299999999999999</v>
      </c>
    </row>
    <row r="160" spans="1:18">
      <c r="A160" t="s">
        <v>76</v>
      </c>
      <c r="B160">
        <v>1</v>
      </c>
      <c r="C160">
        <v>16</v>
      </c>
      <c r="D160" t="s">
        <v>447</v>
      </c>
      <c r="G160" t="s">
        <v>80</v>
      </c>
      <c r="H160" t="s">
        <v>70</v>
      </c>
      <c r="I160">
        <v>5.1999999999999998E-2</v>
      </c>
      <c r="J160">
        <v>0.24099999999999999</v>
      </c>
      <c r="K160">
        <v>3.4000000000000002E-2</v>
      </c>
      <c r="L160">
        <v>0.67200000000000004</v>
      </c>
      <c r="N160">
        <v>0.67200000000000004</v>
      </c>
      <c r="O160">
        <v>5.1999999999999998E-2</v>
      </c>
      <c r="P160">
        <v>0.24099999999999999</v>
      </c>
      <c r="Q160">
        <v>3.4000000000000002E-2</v>
      </c>
      <c r="R160">
        <v>0</v>
      </c>
    </row>
    <row r="161" spans="1:18">
      <c r="A161" t="s">
        <v>76</v>
      </c>
      <c r="B161">
        <v>1</v>
      </c>
      <c r="C161">
        <v>17</v>
      </c>
      <c r="D161" t="s">
        <v>447</v>
      </c>
      <c r="G161" t="s">
        <v>71</v>
      </c>
      <c r="H161" t="s">
        <v>67</v>
      </c>
      <c r="I161">
        <v>5.1999999999999998E-2</v>
      </c>
      <c r="J161">
        <v>6.9000000000000006E-2</v>
      </c>
      <c r="K161">
        <v>0.155</v>
      </c>
      <c r="L161">
        <v>0.72399999999999998</v>
      </c>
      <c r="N161">
        <v>0.72399999999999998</v>
      </c>
      <c r="O161">
        <v>5.1999999999999998E-2</v>
      </c>
      <c r="P161">
        <v>6.9000000000000006E-2</v>
      </c>
      <c r="Q161">
        <v>0.155</v>
      </c>
      <c r="R161">
        <v>0</v>
      </c>
    </row>
    <row r="162" spans="1:18">
      <c r="A162" t="s">
        <v>76</v>
      </c>
      <c r="B162">
        <v>1</v>
      </c>
      <c r="C162">
        <v>18</v>
      </c>
      <c r="D162" t="s">
        <v>447</v>
      </c>
      <c r="G162" t="s">
        <v>79</v>
      </c>
      <c r="H162" t="s">
        <v>71</v>
      </c>
      <c r="I162">
        <v>1.7000000000000001E-2</v>
      </c>
      <c r="J162">
        <v>0.879</v>
      </c>
      <c r="K162">
        <v>1.7000000000000001E-2</v>
      </c>
      <c r="L162">
        <v>8.5999999999999993E-2</v>
      </c>
      <c r="N162">
        <v>0.879</v>
      </c>
      <c r="O162">
        <v>1.7000000000000001E-2</v>
      </c>
      <c r="P162">
        <v>0</v>
      </c>
      <c r="Q162">
        <v>1.7000000000000001E-2</v>
      </c>
      <c r="R162">
        <v>8.5999999999999993E-2</v>
      </c>
    </row>
    <row r="163" spans="1:18">
      <c r="A163" t="s">
        <v>76</v>
      </c>
      <c r="B163">
        <v>1</v>
      </c>
      <c r="C163">
        <v>19</v>
      </c>
      <c r="D163" t="s">
        <v>447</v>
      </c>
      <c r="G163" t="s">
        <v>71</v>
      </c>
      <c r="H163" t="s">
        <v>69</v>
      </c>
      <c r="I163">
        <v>6.9000000000000006E-2</v>
      </c>
      <c r="J163">
        <v>1.7000000000000001E-2</v>
      </c>
      <c r="K163">
        <v>3.4000000000000002E-2</v>
      </c>
      <c r="L163">
        <v>0.879</v>
      </c>
      <c r="N163">
        <v>0.879</v>
      </c>
      <c r="O163">
        <v>6.9000000000000006E-2</v>
      </c>
      <c r="P163">
        <v>1.7000000000000001E-2</v>
      </c>
      <c r="Q163">
        <v>3.4000000000000002E-2</v>
      </c>
      <c r="R163">
        <v>0</v>
      </c>
    </row>
    <row r="164" spans="1:18">
      <c r="A164" t="s">
        <v>76</v>
      </c>
      <c r="B164">
        <v>1</v>
      </c>
      <c r="C164">
        <v>20</v>
      </c>
      <c r="D164" t="s">
        <v>447</v>
      </c>
      <c r="G164" t="s">
        <v>83</v>
      </c>
      <c r="H164" t="s">
        <v>69</v>
      </c>
      <c r="I164">
        <v>0.224</v>
      </c>
      <c r="J164">
        <v>5.1999999999999998E-2</v>
      </c>
      <c r="K164">
        <v>0.65500000000000003</v>
      </c>
      <c r="L164">
        <v>6.9000000000000006E-2</v>
      </c>
      <c r="N164">
        <v>0.65500000000000003</v>
      </c>
      <c r="O164">
        <v>0.224</v>
      </c>
      <c r="P164">
        <v>5.1999999999999998E-2</v>
      </c>
      <c r="Q164">
        <v>0</v>
      </c>
      <c r="R164">
        <v>6.9000000000000006E-2</v>
      </c>
    </row>
    <row r="165" spans="1:18">
      <c r="A165" t="s">
        <v>76</v>
      </c>
      <c r="B165">
        <v>1</v>
      </c>
      <c r="C165">
        <v>21</v>
      </c>
      <c r="D165" t="s">
        <v>450</v>
      </c>
      <c r="G165" t="s">
        <v>71</v>
      </c>
      <c r="H165" t="s">
        <v>487</v>
      </c>
      <c r="I165">
        <v>8.5999999999999993E-2</v>
      </c>
      <c r="J165">
        <v>1.7000000000000001E-2</v>
      </c>
      <c r="K165">
        <v>8.5999999999999993E-2</v>
      </c>
      <c r="L165">
        <v>0.81</v>
      </c>
      <c r="N165">
        <v>0.81</v>
      </c>
      <c r="O165">
        <v>8.5999999999999993E-2</v>
      </c>
      <c r="P165">
        <v>1.7000000000000001E-2</v>
      </c>
      <c r="Q165">
        <v>8.5999999999999993E-2</v>
      </c>
      <c r="R165">
        <v>0</v>
      </c>
    </row>
    <row r="166" spans="1:18">
      <c r="A166" t="s">
        <v>76</v>
      </c>
      <c r="B166">
        <v>1</v>
      </c>
      <c r="C166">
        <v>22</v>
      </c>
      <c r="D166" t="s">
        <v>450</v>
      </c>
      <c r="G166" t="s">
        <v>80</v>
      </c>
      <c r="H166" t="s">
        <v>69</v>
      </c>
      <c r="I166">
        <v>0.32800000000000001</v>
      </c>
      <c r="J166">
        <v>6.9000000000000006E-2</v>
      </c>
      <c r="K166">
        <v>0.25900000000000001</v>
      </c>
      <c r="L166">
        <v>0.34499999999999997</v>
      </c>
      <c r="N166">
        <v>0.34499999999999997</v>
      </c>
      <c r="O166">
        <v>0.32800000000000001</v>
      </c>
      <c r="P166">
        <v>6.9000000000000006E-2</v>
      </c>
      <c r="Q166">
        <v>0.25900000000000001</v>
      </c>
      <c r="R166">
        <v>0</v>
      </c>
    </row>
    <row r="167" spans="1:18">
      <c r="A167" t="s">
        <v>76</v>
      </c>
      <c r="B167">
        <v>1</v>
      </c>
      <c r="C167">
        <v>23</v>
      </c>
      <c r="D167" t="s">
        <v>450</v>
      </c>
      <c r="G167" t="s">
        <v>69</v>
      </c>
      <c r="H167" t="s">
        <v>67</v>
      </c>
      <c r="I167">
        <v>0.84499999999999997</v>
      </c>
      <c r="J167">
        <v>1.7000000000000001E-2</v>
      </c>
      <c r="K167">
        <v>0.121</v>
      </c>
      <c r="L167">
        <v>1.7000000000000001E-2</v>
      </c>
      <c r="N167">
        <v>0.84499999999999997</v>
      </c>
      <c r="O167">
        <v>0</v>
      </c>
      <c r="P167">
        <v>1.7000000000000001E-2</v>
      </c>
      <c r="Q167">
        <v>0.121</v>
      </c>
      <c r="R167">
        <v>1.7000000000000001E-2</v>
      </c>
    </row>
    <row r="168" spans="1:18">
      <c r="A168" t="s">
        <v>76</v>
      </c>
      <c r="B168">
        <v>1</v>
      </c>
      <c r="C168">
        <v>24</v>
      </c>
      <c r="D168" t="s">
        <v>450</v>
      </c>
      <c r="G168" t="s">
        <v>83</v>
      </c>
      <c r="H168" t="s">
        <v>71</v>
      </c>
      <c r="I168">
        <v>5.1999999999999998E-2</v>
      </c>
      <c r="J168">
        <v>0.10299999999999999</v>
      </c>
      <c r="K168">
        <v>0.46600000000000003</v>
      </c>
      <c r="L168">
        <v>0.379</v>
      </c>
      <c r="N168">
        <v>0.46600000000000003</v>
      </c>
      <c r="O168">
        <v>5.1999999999999998E-2</v>
      </c>
      <c r="P168">
        <v>0.10299999999999999</v>
      </c>
      <c r="Q168">
        <v>0</v>
      </c>
      <c r="R168">
        <v>0.379</v>
      </c>
    </row>
    <row r="169" spans="1:18">
      <c r="A169" t="s">
        <v>76</v>
      </c>
      <c r="B169">
        <v>1</v>
      </c>
      <c r="C169">
        <v>25</v>
      </c>
      <c r="D169" t="s">
        <v>450</v>
      </c>
      <c r="G169" t="s">
        <v>69</v>
      </c>
      <c r="H169" t="s">
        <v>71</v>
      </c>
      <c r="I169">
        <v>0.72399999999999998</v>
      </c>
      <c r="J169">
        <v>6.9000000000000006E-2</v>
      </c>
      <c r="K169">
        <v>3.4000000000000002E-2</v>
      </c>
      <c r="L169">
        <v>0.17199999999999999</v>
      </c>
      <c r="N169">
        <v>0.72399999999999998</v>
      </c>
      <c r="O169">
        <v>0</v>
      </c>
      <c r="P169">
        <v>6.9000000000000006E-2</v>
      </c>
      <c r="Q169">
        <v>3.4000000000000002E-2</v>
      </c>
      <c r="R169">
        <v>0.17199999999999999</v>
      </c>
    </row>
    <row r="170" spans="1:18">
      <c r="A170" t="s">
        <v>76</v>
      </c>
      <c r="B170">
        <v>1</v>
      </c>
      <c r="C170">
        <v>26</v>
      </c>
      <c r="D170" t="s">
        <v>450</v>
      </c>
      <c r="G170" t="s">
        <v>83</v>
      </c>
      <c r="H170" t="s">
        <v>70</v>
      </c>
      <c r="J170">
        <v>6.9000000000000006E-2</v>
      </c>
      <c r="K170">
        <v>0.93100000000000005</v>
      </c>
      <c r="N170">
        <v>0.93100000000000005</v>
      </c>
      <c r="P170">
        <v>6.9000000000000006E-2</v>
      </c>
      <c r="Q170">
        <v>0</v>
      </c>
    </row>
    <row r="171" spans="1:18">
      <c r="A171" t="s">
        <v>76</v>
      </c>
      <c r="B171">
        <v>1</v>
      </c>
      <c r="C171">
        <v>27</v>
      </c>
      <c r="D171" t="s">
        <v>450</v>
      </c>
      <c r="G171" t="s">
        <v>70</v>
      </c>
      <c r="H171" t="s">
        <v>67</v>
      </c>
      <c r="J171">
        <v>0.91400000000000003</v>
      </c>
      <c r="K171">
        <v>6.9000000000000006E-2</v>
      </c>
      <c r="N171">
        <v>0.91400000000000003</v>
      </c>
      <c r="P171">
        <v>0</v>
      </c>
      <c r="Q171">
        <v>6.9000000000000006E-2</v>
      </c>
    </row>
    <row r="172" spans="1:18">
      <c r="A172" t="s">
        <v>76</v>
      </c>
      <c r="B172">
        <v>1</v>
      </c>
      <c r="C172">
        <v>28</v>
      </c>
      <c r="D172" t="s">
        <v>450</v>
      </c>
      <c r="G172" t="s">
        <v>79</v>
      </c>
      <c r="H172" t="s">
        <v>71</v>
      </c>
      <c r="I172">
        <v>6.9000000000000006E-2</v>
      </c>
      <c r="J172">
        <v>0.70699999999999996</v>
      </c>
      <c r="K172">
        <v>8.5999999999999993E-2</v>
      </c>
      <c r="L172">
        <v>0.121</v>
      </c>
      <c r="N172">
        <v>0.70699999999999996</v>
      </c>
      <c r="O172">
        <v>6.9000000000000006E-2</v>
      </c>
      <c r="P172">
        <v>0</v>
      </c>
      <c r="Q172">
        <v>8.5999999999999993E-2</v>
      </c>
      <c r="R172">
        <v>0.121</v>
      </c>
    </row>
    <row r="173" spans="1:18">
      <c r="A173" t="s">
        <v>76</v>
      </c>
      <c r="B173">
        <v>1</v>
      </c>
      <c r="C173">
        <v>29</v>
      </c>
      <c r="D173" t="s">
        <v>450</v>
      </c>
      <c r="G173" t="s">
        <v>67</v>
      </c>
      <c r="H173" t="s">
        <v>71</v>
      </c>
      <c r="I173">
        <v>5.1999999999999998E-2</v>
      </c>
      <c r="J173">
        <v>8.5999999999999993E-2</v>
      </c>
      <c r="K173">
        <v>0.72399999999999998</v>
      </c>
      <c r="L173">
        <v>0.13800000000000001</v>
      </c>
      <c r="N173">
        <v>0.72399999999999998</v>
      </c>
      <c r="O173">
        <v>5.1999999999999998E-2</v>
      </c>
      <c r="P173">
        <v>8.5999999999999993E-2</v>
      </c>
      <c r="Q173">
        <v>0</v>
      </c>
      <c r="R173">
        <v>0.13800000000000001</v>
      </c>
    </row>
    <row r="174" spans="1:18">
      <c r="A174" t="s">
        <v>76</v>
      </c>
      <c r="B174">
        <v>1</v>
      </c>
      <c r="C174">
        <v>30</v>
      </c>
      <c r="D174" t="s">
        <v>450</v>
      </c>
      <c r="G174" t="s">
        <v>81</v>
      </c>
      <c r="H174" t="s">
        <v>71</v>
      </c>
      <c r="I174">
        <v>0.79300000000000004</v>
      </c>
      <c r="J174">
        <v>8.5999999999999993E-2</v>
      </c>
      <c r="K174">
        <v>1.7000000000000001E-2</v>
      </c>
      <c r="L174">
        <v>0.10299999999999999</v>
      </c>
      <c r="N174">
        <v>0.79300000000000004</v>
      </c>
      <c r="O174">
        <v>0</v>
      </c>
      <c r="P174">
        <v>8.5999999999999993E-2</v>
      </c>
      <c r="Q174">
        <v>1.7000000000000001E-2</v>
      </c>
      <c r="R174">
        <v>0.10299999999999999</v>
      </c>
    </row>
    <row r="175" spans="1:18">
      <c r="A175" t="s">
        <v>76</v>
      </c>
      <c r="B175">
        <v>1</v>
      </c>
      <c r="C175">
        <v>31</v>
      </c>
      <c r="D175" t="s">
        <v>448</v>
      </c>
      <c r="G175" t="s">
        <v>67</v>
      </c>
      <c r="H175" t="s">
        <v>69</v>
      </c>
      <c r="I175">
        <v>0.13800000000000001</v>
      </c>
      <c r="J175">
        <v>8.5999999999999993E-2</v>
      </c>
      <c r="K175">
        <v>0.69</v>
      </c>
      <c r="L175">
        <v>8.5999999999999993E-2</v>
      </c>
      <c r="N175">
        <v>0.69</v>
      </c>
      <c r="O175">
        <v>0.13800000000000001</v>
      </c>
      <c r="P175">
        <v>8.5999999999999993E-2</v>
      </c>
      <c r="Q175">
        <v>0</v>
      </c>
      <c r="R175">
        <v>8.5999999999999993E-2</v>
      </c>
    </row>
    <row r="176" spans="1:18">
      <c r="A176" t="s">
        <v>76</v>
      </c>
      <c r="B176">
        <v>1</v>
      </c>
      <c r="C176">
        <v>32</v>
      </c>
      <c r="D176" t="s">
        <v>448</v>
      </c>
      <c r="G176" t="s">
        <v>79</v>
      </c>
      <c r="H176" t="s">
        <v>71</v>
      </c>
      <c r="I176">
        <v>1.7000000000000001E-2</v>
      </c>
      <c r="J176">
        <v>0.53400000000000003</v>
      </c>
      <c r="K176">
        <v>0.10299999999999999</v>
      </c>
      <c r="L176">
        <v>0.34499999999999997</v>
      </c>
      <c r="N176">
        <v>0.53400000000000003</v>
      </c>
      <c r="O176">
        <v>1.7000000000000001E-2</v>
      </c>
      <c r="P176">
        <v>0</v>
      </c>
      <c r="Q176">
        <v>0.10299999999999999</v>
      </c>
      <c r="R176">
        <v>0.34499999999999997</v>
      </c>
    </row>
    <row r="177" spans="1:18">
      <c r="A177" t="s">
        <v>76</v>
      </c>
      <c r="B177">
        <v>1</v>
      </c>
      <c r="C177">
        <v>33</v>
      </c>
      <c r="D177" t="s">
        <v>448</v>
      </c>
      <c r="G177" t="s">
        <v>67</v>
      </c>
      <c r="H177" t="s">
        <v>489</v>
      </c>
      <c r="I177">
        <v>6.9000000000000006E-2</v>
      </c>
      <c r="J177">
        <v>8.5999999999999993E-2</v>
      </c>
      <c r="K177">
        <v>0.74099999999999999</v>
      </c>
      <c r="L177">
        <v>8.5999999999999993E-2</v>
      </c>
      <c r="N177">
        <v>0.74099999999999999</v>
      </c>
      <c r="O177">
        <v>6.9000000000000006E-2</v>
      </c>
      <c r="P177">
        <v>8.5999999999999993E-2</v>
      </c>
      <c r="Q177">
        <v>0</v>
      </c>
      <c r="R177">
        <v>8.5999999999999993E-2</v>
      </c>
    </row>
    <row r="178" spans="1:18">
      <c r="A178" t="s">
        <v>76</v>
      </c>
      <c r="B178">
        <v>1</v>
      </c>
      <c r="C178">
        <v>34</v>
      </c>
      <c r="D178" t="s">
        <v>448</v>
      </c>
      <c r="G178" t="s">
        <v>80</v>
      </c>
      <c r="H178" t="s">
        <v>487</v>
      </c>
      <c r="I178">
        <v>5.1999999999999998E-2</v>
      </c>
      <c r="K178">
        <v>5.1999999999999998E-2</v>
      </c>
      <c r="L178">
        <v>0.879</v>
      </c>
      <c r="N178">
        <v>0.879</v>
      </c>
      <c r="O178">
        <v>5.1999999999999998E-2</v>
      </c>
      <c r="Q178">
        <v>5.1999999999999998E-2</v>
      </c>
      <c r="R178">
        <v>0</v>
      </c>
    </row>
    <row r="179" spans="1:18">
      <c r="A179" t="s">
        <v>76</v>
      </c>
      <c r="B179">
        <v>1</v>
      </c>
      <c r="C179">
        <v>35</v>
      </c>
      <c r="D179" t="s">
        <v>448</v>
      </c>
      <c r="G179" t="s">
        <v>71</v>
      </c>
      <c r="H179" t="s">
        <v>70</v>
      </c>
      <c r="I179">
        <v>0.10299999999999999</v>
      </c>
      <c r="J179">
        <v>0.13800000000000001</v>
      </c>
      <c r="K179">
        <v>3.4000000000000002E-2</v>
      </c>
      <c r="L179">
        <v>0.70699999999999996</v>
      </c>
      <c r="N179">
        <v>0.70699999999999996</v>
      </c>
      <c r="O179">
        <v>0.10299999999999999</v>
      </c>
      <c r="P179">
        <v>0.13800000000000001</v>
      </c>
      <c r="Q179">
        <v>3.4000000000000002E-2</v>
      </c>
      <c r="R179">
        <v>0</v>
      </c>
    </row>
    <row r="180" spans="1:18">
      <c r="A180" t="s">
        <v>76</v>
      </c>
      <c r="B180">
        <v>1</v>
      </c>
      <c r="C180">
        <v>36</v>
      </c>
      <c r="D180" t="s">
        <v>448</v>
      </c>
      <c r="G180" t="s">
        <v>81</v>
      </c>
      <c r="H180" t="s">
        <v>70</v>
      </c>
      <c r="I180">
        <v>0.69</v>
      </c>
      <c r="J180">
        <v>0.17199999999999999</v>
      </c>
      <c r="K180">
        <v>3.4000000000000002E-2</v>
      </c>
      <c r="L180">
        <v>6.9000000000000006E-2</v>
      </c>
      <c r="N180">
        <v>0.69</v>
      </c>
      <c r="O180">
        <v>0</v>
      </c>
      <c r="P180">
        <v>0.17199999999999999</v>
      </c>
      <c r="Q180">
        <v>3.4000000000000002E-2</v>
      </c>
      <c r="R180">
        <v>6.9000000000000006E-2</v>
      </c>
    </row>
    <row r="181" spans="1:18">
      <c r="A181" t="s">
        <v>76</v>
      </c>
      <c r="B181">
        <v>1</v>
      </c>
      <c r="C181">
        <v>37</v>
      </c>
      <c r="D181" t="s">
        <v>448</v>
      </c>
      <c r="G181" t="s">
        <v>67</v>
      </c>
      <c r="H181" t="s">
        <v>69</v>
      </c>
      <c r="I181">
        <v>1.7000000000000001E-2</v>
      </c>
      <c r="K181">
        <v>0.96599999999999997</v>
      </c>
      <c r="N181">
        <v>0.96599999999999997</v>
      </c>
      <c r="O181">
        <v>1.7000000000000001E-2</v>
      </c>
      <c r="Q181">
        <v>0</v>
      </c>
    </row>
    <row r="182" spans="1:18">
      <c r="A182" t="s">
        <v>76</v>
      </c>
      <c r="B182">
        <v>1</v>
      </c>
      <c r="C182">
        <v>38</v>
      </c>
      <c r="D182" t="s">
        <v>448</v>
      </c>
      <c r="G182" t="s">
        <v>81</v>
      </c>
      <c r="H182" t="s">
        <v>491</v>
      </c>
      <c r="I182">
        <v>0.77600000000000002</v>
      </c>
      <c r="J182">
        <v>6.9000000000000006E-2</v>
      </c>
      <c r="K182">
        <v>6.9000000000000006E-2</v>
      </c>
      <c r="L182">
        <v>5.1999999999999998E-2</v>
      </c>
      <c r="N182">
        <v>0.77600000000000002</v>
      </c>
      <c r="O182">
        <v>0</v>
      </c>
      <c r="P182">
        <v>6.9000000000000006E-2</v>
      </c>
      <c r="Q182">
        <v>6.9000000000000006E-2</v>
      </c>
      <c r="R182">
        <v>5.1999999999999998E-2</v>
      </c>
    </row>
    <row r="183" spans="1:18">
      <c r="A183" t="s">
        <v>76</v>
      </c>
      <c r="B183">
        <v>1</v>
      </c>
      <c r="C183">
        <v>39</v>
      </c>
      <c r="D183" t="s">
        <v>448</v>
      </c>
      <c r="G183" t="s">
        <v>71</v>
      </c>
      <c r="H183" t="s">
        <v>67</v>
      </c>
      <c r="I183">
        <v>8.5999999999999993E-2</v>
      </c>
      <c r="J183">
        <v>1.7000000000000001E-2</v>
      </c>
      <c r="K183">
        <v>0.13800000000000001</v>
      </c>
      <c r="L183">
        <v>0.72399999999999998</v>
      </c>
      <c r="N183">
        <v>0.72399999999999998</v>
      </c>
      <c r="O183">
        <v>8.5999999999999993E-2</v>
      </c>
      <c r="P183">
        <v>1.7000000000000001E-2</v>
      </c>
      <c r="Q183">
        <v>0.13800000000000001</v>
      </c>
      <c r="R183">
        <v>0</v>
      </c>
    </row>
    <row r="184" spans="1:18">
      <c r="A184" t="s">
        <v>76</v>
      </c>
      <c r="B184">
        <v>1</v>
      </c>
      <c r="C184">
        <v>40</v>
      </c>
      <c r="D184" t="s">
        <v>448</v>
      </c>
      <c r="G184" t="s">
        <v>81</v>
      </c>
      <c r="H184" t="s">
        <v>70</v>
      </c>
      <c r="I184">
        <v>0.79300000000000004</v>
      </c>
      <c r="J184">
        <v>6.9000000000000006E-2</v>
      </c>
      <c r="K184">
        <v>3.4000000000000002E-2</v>
      </c>
      <c r="L184">
        <v>5.1999999999999998E-2</v>
      </c>
      <c r="N184">
        <v>0.79300000000000004</v>
      </c>
      <c r="O184">
        <v>0</v>
      </c>
      <c r="P184">
        <v>6.9000000000000006E-2</v>
      </c>
      <c r="Q184">
        <v>3.4000000000000002E-2</v>
      </c>
      <c r="R184">
        <v>5.1999999999999998E-2</v>
      </c>
    </row>
    <row r="185" spans="1:18">
      <c r="A185" t="s">
        <v>77</v>
      </c>
      <c r="B185">
        <v>1</v>
      </c>
      <c r="C185">
        <v>1</v>
      </c>
      <c r="D185" t="s">
        <v>486</v>
      </c>
      <c r="G185" t="s">
        <v>71</v>
      </c>
      <c r="H185" t="s">
        <v>69</v>
      </c>
      <c r="I185">
        <v>0.10299999999999999</v>
      </c>
      <c r="K185">
        <v>3.4000000000000002E-2</v>
      </c>
      <c r="L185">
        <v>0.86199999999999999</v>
      </c>
      <c r="N185">
        <v>0.86199999999999999</v>
      </c>
      <c r="O185">
        <v>0.10299999999999999</v>
      </c>
      <c r="Q185">
        <v>3.4000000000000002E-2</v>
      </c>
      <c r="R185">
        <v>0</v>
      </c>
    </row>
    <row r="186" spans="1:18">
      <c r="A186" t="s">
        <v>77</v>
      </c>
      <c r="B186">
        <v>1</v>
      </c>
      <c r="C186">
        <v>2</v>
      </c>
      <c r="D186" t="s">
        <v>486</v>
      </c>
      <c r="G186" t="s">
        <v>81</v>
      </c>
      <c r="H186" t="s">
        <v>70</v>
      </c>
      <c r="I186">
        <v>0.93100000000000005</v>
      </c>
      <c r="J186">
        <v>6.9000000000000006E-2</v>
      </c>
      <c r="N186">
        <v>0.93100000000000005</v>
      </c>
      <c r="O186">
        <v>0</v>
      </c>
      <c r="P186">
        <v>6.9000000000000006E-2</v>
      </c>
    </row>
    <row r="187" spans="1:18">
      <c r="A187" t="s">
        <v>77</v>
      </c>
      <c r="B187">
        <v>1</v>
      </c>
      <c r="C187">
        <v>3</v>
      </c>
      <c r="D187" t="s">
        <v>486</v>
      </c>
      <c r="G187" t="s">
        <v>70</v>
      </c>
      <c r="H187" t="s">
        <v>490</v>
      </c>
      <c r="I187">
        <v>5.1999999999999998E-2</v>
      </c>
      <c r="J187">
        <v>0.89700000000000002</v>
      </c>
      <c r="L187">
        <v>5.1999999999999998E-2</v>
      </c>
      <c r="N187">
        <v>0.89700000000000002</v>
      </c>
      <c r="O187">
        <v>5.1999999999999998E-2</v>
      </c>
      <c r="P187">
        <v>0</v>
      </c>
      <c r="R187">
        <v>5.1999999999999998E-2</v>
      </c>
    </row>
    <row r="188" spans="1:18">
      <c r="A188" t="s">
        <v>77</v>
      </c>
      <c r="B188">
        <v>1</v>
      </c>
      <c r="C188">
        <v>4</v>
      </c>
      <c r="D188" t="s">
        <v>486</v>
      </c>
      <c r="G188" t="s">
        <v>80</v>
      </c>
      <c r="H188" t="s">
        <v>70</v>
      </c>
      <c r="I188">
        <v>6.9000000000000006E-2</v>
      </c>
      <c r="J188">
        <v>8.5999999999999993E-2</v>
      </c>
      <c r="L188">
        <v>0.84499999999999997</v>
      </c>
      <c r="N188">
        <v>0.84499999999999997</v>
      </c>
      <c r="O188">
        <v>6.9000000000000006E-2</v>
      </c>
      <c r="P188">
        <v>8.5999999999999993E-2</v>
      </c>
      <c r="R188">
        <v>0</v>
      </c>
    </row>
    <row r="189" spans="1:18">
      <c r="A189" t="s">
        <v>77</v>
      </c>
      <c r="B189">
        <v>1</v>
      </c>
      <c r="C189">
        <v>5</v>
      </c>
      <c r="D189" t="s">
        <v>486</v>
      </c>
      <c r="G189" t="s">
        <v>70</v>
      </c>
      <c r="H189" t="s">
        <v>71</v>
      </c>
      <c r="J189">
        <v>0.89700000000000002</v>
      </c>
      <c r="K189">
        <v>1.7000000000000001E-2</v>
      </c>
      <c r="L189">
        <v>8.5999999999999993E-2</v>
      </c>
      <c r="N189">
        <v>0.89700000000000002</v>
      </c>
      <c r="P189">
        <v>0</v>
      </c>
      <c r="Q189">
        <v>1.7000000000000001E-2</v>
      </c>
      <c r="R189">
        <v>8.5999999999999993E-2</v>
      </c>
    </row>
    <row r="190" spans="1:18">
      <c r="A190" t="s">
        <v>77</v>
      </c>
      <c r="B190">
        <v>1</v>
      </c>
      <c r="C190">
        <v>6</v>
      </c>
      <c r="D190" t="s">
        <v>486</v>
      </c>
      <c r="G190" t="s">
        <v>79</v>
      </c>
      <c r="H190" t="s">
        <v>71</v>
      </c>
      <c r="J190">
        <v>0.94799999999999995</v>
      </c>
      <c r="K190">
        <v>1.7000000000000001E-2</v>
      </c>
      <c r="L190">
        <v>3.4000000000000002E-2</v>
      </c>
      <c r="N190">
        <v>0.94799999999999995</v>
      </c>
      <c r="P190">
        <v>0</v>
      </c>
      <c r="Q190">
        <v>1.7000000000000001E-2</v>
      </c>
      <c r="R190">
        <v>3.4000000000000002E-2</v>
      </c>
    </row>
    <row r="191" spans="1:18">
      <c r="A191" t="s">
        <v>77</v>
      </c>
      <c r="B191">
        <v>1</v>
      </c>
      <c r="C191">
        <v>7</v>
      </c>
      <c r="D191" t="s">
        <v>485</v>
      </c>
      <c r="G191" t="s">
        <v>71</v>
      </c>
      <c r="H191" t="s">
        <v>67</v>
      </c>
      <c r="I191">
        <v>1.7000000000000001E-2</v>
      </c>
      <c r="K191">
        <v>3.4000000000000002E-2</v>
      </c>
      <c r="L191">
        <v>0.93100000000000005</v>
      </c>
      <c r="N191">
        <v>0.93100000000000005</v>
      </c>
      <c r="O191">
        <v>1.7000000000000001E-2</v>
      </c>
      <c r="Q191">
        <v>3.4000000000000002E-2</v>
      </c>
      <c r="R191">
        <v>0</v>
      </c>
    </row>
    <row r="192" spans="1:18">
      <c r="A192" t="s">
        <v>77</v>
      </c>
      <c r="B192">
        <v>1</v>
      </c>
      <c r="C192">
        <v>8</v>
      </c>
      <c r="D192" t="s">
        <v>485</v>
      </c>
      <c r="G192" t="s">
        <v>79</v>
      </c>
      <c r="H192" t="s">
        <v>69</v>
      </c>
      <c r="I192">
        <v>3.4000000000000002E-2</v>
      </c>
      <c r="J192">
        <v>0.91400000000000003</v>
      </c>
      <c r="K192">
        <v>1.7000000000000001E-2</v>
      </c>
      <c r="L192">
        <v>1.7000000000000001E-2</v>
      </c>
      <c r="N192">
        <v>0.91400000000000003</v>
      </c>
      <c r="O192">
        <v>3.4000000000000002E-2</v>
      </c>
      <c r="P192">
        <v>0</v>
      </c>
      <c r="Q192">
        <v>1.7000000000000001E-2</v>
      </c>
      <c r="R192">
        <v>1.7000000000000001E-2</v>
      </c>
    </row>
    <row r="193" spans="1:18">
      <c r="A193" t="s">
        <v>77</v>
      </c>
      <c r="B193">
        <v>1</v>
      </c>
      <c r="C193">
        <v>9</v>
      </c>
      <c r="D193" t="s">
        <v>485</v>
      </c>
      <c r="G193" t="s">
        <v>71</v>
      </c>
      <c r="H193" t="s">
        <v>488</v>
      </c>
      <c r="I193">
        <v>0.155</v>
      </c>
      <c r="J193">
        <v>0.155</v>
      </c>
      <c r="K193">
        <v>8.5999999999999993E-2</v>
      </c>
      <c r="L193">
        <v>0.60299999999999998</v>
      </c>
      <c r="N193">
        <v>0.60299999999999998</v>
      </c>
      <c r="O193">
        <v>0.155</v>
      </c>
      <c r="P193">
        <v>0.155</v>
      </c>
      <c r="Q193">
        <v>8.5999999999999993E-2</v>
      </c>
      <c r="R193">
        <v>0</v>
      </c>
    </row>
    <row r="194" spans="1:18">
      <c r="A194" t="s">
        <v>77</v>
      </c>
      <c r="B194">
        <v>1</v>
      </c>
      <c r="C194">
        <v>10</v>
      </c>
      <c r="D194" t="s">
        <v>485</v>
      </c>
      <c r="G194" t="s">
        <v>81</v>
      </c>
      <c r="H194" t="s">
        <v>70</v>
      </c>
      <c r="I194">
        <v>0.70699999999999996</v>
      </c>
      <c r="J194">
        <v>0.17199999999999999</v>
      </c>
      <c r="K194">
        <v>3.4000000000000002E-2</v>
      </c>
      <c r="L194">
        <v>6.9000000000000006E-2</v>
      </c>
      <c r="N194">
        <v>0.70699999999999996</v>
      </c>
      <c r="O194">
        <v>0</v>
      </c>
      <c r="P194">
        <v>0.17199999999999999</v>
      </c>
      <c r="Q194">
        <v>3.4000000000000002E-2</v>
      </c>
      <c r="R194">
        <v>6.9000000000000006E-2</v>
      </c>
    </row>
    <row r="195" spans="1:18">
      <c r="A195" t="s">
        <v>77</v>
      </c>
      <c r="B195">
        <v>1</v>
      </c>
      <c r="C195">
        <v>11</v>
      </c>
      <c r="D195" t="s">
        <v>485</v>
      </c>
      <c r="G195" t="s">
        <v>70</v>
      </c>
      <c r="H195" t="s">
        <v>71</v>
      </c>
      <c r="I195">
        <v>6.9000000000000006E-2</v>
      </c>
      <c r="J195">
        <v>0.65500000000000003</v>
      </c>
      <c r="K195">
        <v>0.121</v>
      </c>
      <c r="L195">
        <v>0.155</v>
      </c>
      <c r="N195">
        <v>0.65500000000000003</v>
      </c>
      <c r="O195">
        <v>6.9000000000000006E-2</v>
      </c>
      <c r="P195">
        <v>0</v>
      </c>
      <c r="Q195">
        <v>0.121</v>
      </c>
      <c r="R195">
        <v>0.155</v>
      </c>
    </row>
    <row r="196" spans="1:18">
      <c r="A196" t="s">
        <v>77</v>
      </c>
      <c r="B196">
        <v>1</v>
      </c>
      <c r="C196">
        <v>12</v>
      </c>
      <c r="D196" t="s">
        <v>485</v>
      </c>
      <c r="G196" t="s">
        <v>83</v>
      </c>
      <c r="H196" t="s">
        <v>70</v>
      </c>
      <c r="J196">
        <v>3.4000000000000002E-2</v>
      </c>
      <c r="K196">
        <v>0.96599999999999997</v>
      </c>
      <c r="N196">
        <v>0.96599999999999997</v>
      </c>
      <c r="P196">
        <v>3.4000000000000002E-2</v>
      </c>
      <c r="Q196">
        <v>0</v>
      </c>
    </row>
    <row r="197" spans="1:18">
      <c r="A197" t="s">
        <v>77</v>
      </c>
      <c r="B197">
        <v>1</v>
      </c>
      <c r="C197">
        <v>13</v>
      </c>
      <c r="D197" t="s">
        <v>485</v>
      </c>
      <c r="G197" t="s">
        <v>70</v>
      </c>
      <c r="H197" t="s">
        <v>69</v>
      </c>
      <c r="I197">
        <v>5.1999999999999998E-2</v>
      </c>
      <c r="J197">
        <v>0.89700000000000002</v>
      </c>
      <c r="K197">
        <v>1.7000000000000001E-2</v>
      </c>
      <c r="L197">
        <v>3.4000000000000002E-2</v>
      </c>
      <c r="N197">
        <v>0.89700000000000002</v>
      </c>
      <c r="O197">
        <v>5.1999999999999998E-2</v>
      </c>
      <c r="P197">
        <v>0</v>
      </c>
      <c r="Q197">
        <v>1.7000000000000001E-2</v>
      </c>
      <c r="R197">
        <v>3.4000000000000002E-2</v>
      </c>
    </row>
    <row r="198" spans="1:18">
      <c r="A198" t="s">
        <v>77</v>
      </c>
      <c r="B198">
        <v>1</v>
      </c>
      <c r="C198">
        <v>14</v>
      </c>
      <c r="D198" t="s">
        <v>485</v>
      </c>
      <c r="G198" t="s">
        <v>81</v>
      </c>
      <c r="H198" t="s">
        <v>67</v>
      </c>
      <c r="I198">
        <v>0.65500000000000003</v>
      </c>
      <c r="J198">
        <v>3.4000000000000002E-2</v>
      </c>
      <c r="K198">
        <v>0.31</v>
      </c>
      <c r="N198">
        <v>0.65500000000000003</v>
      </c>
      <c r="O198">
        <v>0</v>
      </c>
      <c r="P198">
        <v>3.4000000000000002E-2</v>
      </c>
      <c r="Q198">
        <v>0.31</v>
      </c>
    </row>
    <row r="199" spans="1:18">
      <c r="A199" t="s">
        <v>77</v>
      </c>
      <c r="B199">
        <v>1</v>
      </c>
      <c r="C199">
        <v>15</v>
      </c>
      <c r="D199" t="s">
        <v>485</v>
      </c>
      <c r="G199" t="s">
        <v>69</v>
      </c>
      <c r="H199" t="s">
        <v>71</v>
      </c>
      <c r="I199">
        <v>0.91400000000000003</v>
      </c>
      <c r="J199">
        <v>1.7000000000000001E-2</v>
      </c>
      <c r="K199">
        <v>1.7000000000000001E-2</v>
      </c>
      <c r="L199">
        <v>5.1999999999999998E-2</v>
      </c>
      <c r="N199">
        <v>0.91400000000000003</v>
      </c>
      <c r="O199">
        <v>0</v>
      </c>
      <c r="P199">
        <v>1.7000000000000001E-2</v>
      </c>
      <c r="Q199">
        <v>1.7000000000000001E-2</v>
      </c>
      <c r="R199">
        <v>5.1999999999999998E-2</v>
      </c>
    </row>
    <row r="200" spans="1:18">
      <c r="A200" t="s">
        <v>77</v>
      </c>
      <c r="B200">
        <v>1</v>
      </c>
      <c r="C200">
        <v>16</v>
      </c>
      <c r="D200" t="s">
        <v>485</v>
      </c>
      <c r="G200" t="s">
        <v>80</v>
      </c>
      <c r="H200" t="s">
        <v>67</v>
      </c>
      <c r="I200">
        <v>1.7000000000000001E-2</v>
      </c>
      <c r="J200">
        <v>1.7000000000000001E-2</v>
      </c>
      <c r="K200">
        <v>0.121</v>
      </c>
      <c r="L200">
        <v>0.84499999999999997</v>
      </c>
      <c r="N200">
        <v>0.84499999999999997</v>
      </c>
      <c r="O200">
        <v>1.7000000000000001E-2</v>
      </c>
      <c r="P200">
        <v>1.7000000000000001E-2</v>
      </c>
      <c r="Q200">
        <v>0.121</v>
      </c>
      <c r="R200">
        <v>0</v>
      </c>
    </row>
    <row r="201" spans="1:18">
      <c r="A201" t="s">
        <v>77</v>
      </c>
      <c r="B201">
        <v>1</v>
      </c>
      <c r="C201">
        <v>17</v>
      </c>
      <c r="D201" t="s">
        <v>486</v>
      </c>
      <c r="G201" t="s">
        <v>67</v>
      </c>
      <c r="H201" t="s">
        <v>70</v>
      </c>
      <c r="J201">
        <v>3.4000000000000002E-2</v>
      </c>
      <c r="K201">
        <v>0.94799999999999995</v>
      </c>
      <c r="L201">
        <v>1.7000000000000001E-2</v>
      </c>
      <c r="N201">
        <v>0.94799999999999995</v>
      </c>
      <c r="P201">
        <v>3.4000000000000002E-2</v>
      </c>
      <c r="Q201">
        <v>0</v>
      </c>
      <c r="R201">
        <v>1.7000000000000001E-2</v>
      </c>
    </row>
    <row r="202" spans="1:18">
      <c r="A202" t="s">
        <v>77</v>
      </c>
      <c r="B202">
        <v>1</v>
      </c>
      <c r="C202">
        <v>18</v>
      </c>
      <c r="D202" t="s">
        <v>486</v>
      </c>
      <c r="G202" t="s">
        <v>79</v>
      </c>
      <c r="H202" t="s">
        <v>67</v>
      </c>
      <c r="I202">
        <v>3.4000000000000002E-2</v>
      </c>
      <c r="J202">
        <v>0.89700000000000002</v>
      </c>
      <c r="K202">
        <v>6.9000000000000006E-2</v>
      </c>
      <c r="N202">
        <v>0.89700000000000002</v>
      </c>
      <c r="O202">
        <v>3.4000000000000002E-2</v>
      </c>
      <c r="P202">
        <v>0</v>
      </c>
      <c r="Q202">
        <v>6.9000000000000006E-2</v>
      </c>
    </row>
    <row r="203" spans="1:18">
      <c r="A203" t="s">
        <v>77</v>
      </c>
      <c r="B203">
        <v>1</v>
      </c>
      <c r="C203">
        <v>19</v>
      </c>
      <c r="D203" t="s">
        <v>486</v>
      </c>
      <c r="G203" t="s">
        <v>67</v>
      </c>
      <c r="H203" t="s">
        <v>488</v>
      </c>
      <c r="I203">
        <v>5.1999999999999998E-2</v>
      </c>
      <c r="J203">
        <v>5.1999999999999998E-2</v>
      </c>
      <c r="K203">
        <v>0.879</v>
      </c>
      <c r="L203">
        <v>1.7000000000000001E-2</v>
      </c>
      <c r="N203">
        <v>0.879</v>
      </c>
      <c r="O203">
        <v>5.1999999999999998E-2</v>
      </c>
      <c r="P203">
        <v>5.1999999999999998E-2</v>
      </c>
      <c r="Q203">
        <v>0</v>
      </c>
      <c r="R203">
        <v>1.7000000000000001E-2</v>
      </c>
    </row>
    <row r="204" spans="1:18">
      <c r="A204" t="s">
        <v>77</v>
      </c>
      <c r="B204">
        <v>1</v>
      </c>
      <c r="C204">
        <v>20</v>
      </c>
      <c r="D204" t="s">
        <v>486</v>
      </c>
      <c r="G204" t="s">
        <v>83</v>
      </c>
      <c r="H204" t="s">
        <v>71</v>
      </c>
      <c r="I204">
        <v>1.7000000000000001E-2</v>
      </c>
      <c r="J204">
        <v>3.4000000000000002E-2</v>
      </c>
      <c r="K204">
        <v>0.84499999999999997</v>
      </c>
      <c r="L204">
        <v>0.10299999999999999</v>
      </c>
      <c r="N204">
        <v>0.84499999999999997</v>
      </c>
      <c r="O204">
        <v>1.7000000000000001E-2</v>
      </c>
      <c r="P204">
        <v>3.4000000000000002E-2</v>
      </c>
      <c r="Q204">
        <v>0</v>
      </c>
      <c r="R204">
        <v>0.10299999999999999</v>
      </c>
    </row>
    <row r="205" spans="1:18">
      <c r="A205" t="s">
        <v>77</v>
      </c>
      <c r="B205">
        <v>1</v>
      </c>
      <c r="C205">
        <v>21</v>
      </c>
      <c r="D205" t="s">
        <v>486</v>
      </c>
      <c r="G205" t="s">
        <v>70</v>
      </c>
      <c r="H205" t="s">
        <v>67</v>
      </c>
      <c r="I205">
        <v>0.121</v>
      </c>
      <c r="J205">
        <v>0.63800000000000001</v>
      </c>
      <c r="K205">
        <v>0.224</v>
      </c>
      <c r="L205">
        <v>1.7000000000000001E-2</v>
      </c>
      <c r="N205">
        <v>0.63800000000000001</v>
      </c>
      <c r="O205">
        <v>0.121</v>
      </c>
      <c r="P205">
        <v>0</v>
      </c>
      <c r="Q205">
        <v>0.224</v>
      </c>
      <c r="R205">
        <v>1.7000000000000001E-2</v>
      </c>
    </row>
    <row r="206" spans="1:18">
      <c r="A206" t="s">
        <v>77</v>
      </c>
      <c r="B206">
        <v>1</v>
      </c>
      <c r="C206">
        <v>22</v>
      </c>
      <c r="D206" t="s">
        <v>486</v>
      </c>
      <c r="G206" t="s">
        <v>81</v>
      </c>
      <c r="H206" t="s">
        <v>70</v>
      </c>
      <c r="I206">
        <v>0.56899999999999995</v>
      </c>
      <c r="J206">
        <v>0.31</v>
      </c>
      <c r="K206">
        <v>6.9000000000000006E-2</v>
      </c>
      <c r="L206">
        <v>5.1999999999999998E-2</v>
      </c>
      <c r="N206">
        <v>0.56899999999999995</v>
      </c>
      <c r="O206">
        <v>0</v>
      </c>
      <c r="P206">
        <v>0.31</v>
      </c>
      <c r="Q206">
        <v>6.9000000000000006E-2</v>
      </c>
      <c r="R206">
        <v>5.1999999999999998E-2</v>
      </c>
    </row>
    <row r="207" spans="1:18">
      <c r="A207" t="s">
        <v>77</v>
      </c>
      <c r="B207">
        <v>1</v>
      </c>
      <c r="C207">
        <v>23</v>
      </c>
      <c r="D207" t="s">
        <v>485</v>
      </c>
      <c r="G207" t="s">
        <v>67</v>
      </c>
      <c r="H207" t="s">
        <v>70</v>
      </c>
      <c r="I207">
        <v>3.4000000000000002E-2</v>
      </c>
      <c r="J207">
        <v>5.1999999999999998E-2</v>
      </c>
      <c r="K207">
        <v>0.879</v>
      </c>
      <c r="L207">
        <v>3.4000000000000002E-2</v>
      </c>
      <c r="N207">
        <v>0.879</v>
      </c>
      <c r="O207">
        <v>3.4000000000000002E-2</v>
      </c>
      <c r="P207">
        <v>5.1999999999999998E-2</v>
      </c>
      <c r="Q207">
        <v>0</v>
      </c>
      <c r="R207">
        <v>3.4000000000000002E-2</v>
      </c>
    </row>
    <row r="208" spans="1:18">
      <c r="A208" t="s">
        <v>77</v>
      </c>
      <c r="B208">
        <v>1</v>
      </c>
      <c r="C208">
        <v>24</v>
      </c>
      <c r="D208" t="s">
        <v>485</v>
      </c>
      <c r="G208" t="s">
        <v>81</v>
      </c>
      <c r="H208" t="s">
        <v>67</v>
      </c>
      <c r="I208">
        <v>0.94799999999999995</v>
      </c>
      <c r="J208">
        <v>1.7000000000000001E-2</v>
      </c>
      <c r="K208">
        <v>3.4000000000000002E-2</v>
      </c>
      <c r="N208">
        <v>0.94799999999999995</v>
      </c>
      <c r="O208">
        <v>0</v>
      </c>
      <c r="P208">
        <v>1.7000000000000001E-2</v>
      </c>
      <c r="Q208">
        <v>3.4000000000000002E-2</v>
      </c>
    </row>
    <row r="209" spans="1:18">
      <c r="A209" t="s">
        <v>77</v>
      </c>
      <c r="B209">
        <v>1</v>
      </c>
      <c r="C209">
        <v>25</v>
      </c>
      <c r="D209" t="s">
        <v>485</v>
      </c>
      <c r="G209" t="s">
        <v>67</v>
      </c>
      <c r="H209" t="s">
        <v>69</v>
      </c>
      <c r="I209">
        <v>3.4000000000000002E-2</v>
      </c>
      <c r="J209">
        <v>1.7000000000000001E-2</v>
      </c>
      <c r="K209">
        <v>0.93100000000000005</v>
      </c>
      <c r="L209">
        <v>1.7000000000000001E-2</v>
      </c>
      <c r="N209">
        <v>0.93100000000000005</v>
      </c>
      <c r="O209">
        <v>3.4000000000000002E-2</v>
      </c>
      <c r="P209">
        <v>1.7000000000000001E-2</v>
      </c>
      <c r="Q209">
        <v>0</v>
      </c>
      <c r="R209">
        <v>1.7000000000000001E-2</v>
      </c>
    </row>
    <row r="210" spans="1:18">
      <c r="A210" t="s">
        <v>77</v>
      </c>
      <c r="B210">
        <v>1</v>
      </c>
      <c r="C210">
        <v>26</v>
      </c>
      <c r="D210" t="s">
        <v>485</v>
      </c>
      <c r="G210" t="s">
        <v>79</v>
      </c>
      <c r="H210" t="s">
        <v>69</v>
      </c>
      <c r="I210">
        <v>0.19</v>
      </c>
      <c r="J210">
        <v>0.77600000000000002</v>
      </c>
      <c r="L210">
        <v>3.4000000000000002E-2</v>
      </c>
      <c r="N210">
        <v>0.77600000000000002</v>
      </c>
      <c r="O210">
        <v>0.19</v>
      </c>
      <c r="P210">
        <v>0</v>
      </c>
      <c r="R210">
        <v>3.4000000000000002E-2</v>
      </c>
    </row>
    <row r="211" spans="1:18">
      <c r="A211" t="s">
        <v>77</v>
      </c>
      <c r="B211">
        <v>1</v>
      </c>
      <c r="C211">
        <v>27</v>
      </c>
      <c r="D211" t="s">
        <v>485</v>
      </c>
      <c r="G211" t="s">
        <v>71</v>
      </c>
      <c r="H211" t="s">
        <v>70</v>
      </c>
      <c r="I211">
        <v>3.4000000000000002E-2</v>
      </c>
      <c r="J211">
        <v>0.155</v>
      </c>
      <c r="K211">
        <v>1.7000000000000001E-2</v>
      </c>
      <c r="L211">
        <v>0.79300000000000004</v>
      </c>
      <c r="N211">
        <v>0.79300000000000004</v>
      </c>
      <c r="O211">
        <v>3.4000000000000002E-2</v>
      </c>
      <c r="P211">
        <v>0.155</v>
      </c>
      <c r="Q211">
        <v>1.7000000000000001E-2</v>
      </c>
      <c r="R211">
        <v>0</v>
      </c>
    </row>
    <row r="212" spans="1:18">
      <c r="A212" t="s">
        <v>77</v>
      </c>
      <c r="B212">
        <v>1</v>
      </c>
      <c r="C212">
        <v>28</v>
      </c>
      <c r="D212" t="s">
        <v>486</v>
      </c>
      <c r="G212" t="s">
        <v>83</v>
      </c>
      <c r="H212" t="s">
        <v>488</v>
      </c>
      <c r="I212">
        <v>0.121</v>
      </c>
      <c r="J212">
        <v>0.121</v>
      </c>
      <c r="K212">
        <v>0.65500000000000003</v>
      </c>
      <c r="L212">
        <v>0.10299999999999999</v>
      </c>
      <c r="N212">
        <v>0.65500000000000003</v>
      </c>
      <c r="O212">
        <v>0.121</v>
      </c>
      <c r="P212">
        <v>0.121</v>
      </c>
      <c r="Q212">
        <v>0</v>
      </c>
      <c r="R212">
        <v>0.10299999999999999</v>
      </c>
    </row>
    <row r="213" spans="1:18">
      <c r="A213" t="s">
        <v>77</v>
      </c>
      <c r="B213">
        <v>1</v>
      </c>
      <c r="C213">
        <v>29</v>
      </c>
      <c r="D213" t="s">
        <v>486</v>
      </c>
      <c r="G213" t="s">
        <v>67</v>
      </c>
      <c r="H213" t="s">
        <v>69</v>
      </c>
      <c r="I213">
        <v>0.155</v>
      </c>
      <c r="J213">
        <v>6.9000000000000006E-2</v>
      </c>
      <c r="K213">
        <v>0.69</v>
      </c>
      <c r="L213">
        <v>8.5999999999999993E-2</v>
      </c>
      <c r="N213">
        <v>0.69</v>
      </c>
      <c r="O213">
        <v>0.155</v>
      </c>
      <c r="P213">
        <v>6.9000000000000006E-2</v>
      </c>
      <c r="Q213">
        <v>0</v>
      </c>
      <c r="R213">
        <v>8.5999999999999993E-2</v>
      </c>
    </row>
    <row r="214" spans="1:18">
      <c r="A214" t="s">
        <v>77</v>
      </c>
      <c r="B214">
        <v>1</v>
      </c>
      <c r="C214">
        <v>30</v>
      </c>
      <c r="D214" t="s">
        <v>486</v>
      </c>
      <c r="G214" t="s">
        <v>81</v>
      </c>
      <c r="H214" t="s">
        <v>70</v>
      </c>
      <c r="I214">
        <v>0.75900000000000001</v>
      </c>
      <c r="J214">
        <v>0.10299999999999999</v>
      </c>
      <c r="K214">
        <v>5.1999999999999998E-2</v>
      </c>
      <c r="L214">
        <v>8.5999999999999993E-2</v>
      </c>
      <c r="N214">
        <v>0.75900000000000001</v>
      </c>
      <c r="O214">
        <v>0</v>
      </c>
      <c r="P214">
        <v>0.10299999999999999</v>
      </c>
      <c r="Q214">
        <v>5.1999999999999998E-2</v>
      </c>
      <c r="R214">
        <v>8.5999999999999993E-2</v>
      </c>
    </row>
    <row r="215" spans="1:18">
      <c r="A215" t="s">
        <v>77</v>
      </c>
      <c r="B215">
        <v>1</v>
      </c>
      <c r="C215">
        <v>31</v>
      </c>
      <c r="D215" t="s">
        <v>486</v>
      </c>
      <c r="G215" t="s">
        <v>70</v>
      </c>
      <c r="H215" t="s">
        <v>71</v>
      </c>
      <c r="I215">
        <v>3.4000000000000002E-2</v>
      </c>
      <c r="J215">
        <v>0.67200000000000004</v>
      </c>
      <c r="K215">
        <v>8.5999999999999993E-2</v>
      </c>
      <c r="L215">
        <v>0.20699999999999999</v>
      </c>
      <c r="N215">
        <v>0.67200000000000004</v>
      </c>
      <c r="O215">
        <v>3.4000000000000002E-2</v>
      </c>
      <c r="P215">
        <v>0</v>
      </c>
      <c r="Q215">
        <v>8.5999999999999993E-2</v>
      </c>
      <c r="R215">
        <v>0.20699999999999999</v>
      </c>
    </row>
    <row r="216" spans="1:18">
      <c r="A216" t="s">
        <v>77</v>
      </c>
      <c r="B216">
        <v>1</v>
      </c>
      <c r="C216">
        <v>32</v>
      </c>
      <c r="D216" t="s">
        <v>486</v>
      </c>
      <c r="G216" t="s">
        <v>80</v>
      </c>
      <c r="H216" t="s">
        <v>67</v>
      </c>
      <c r="I216">
        <v>5.1999999999999998E-2</v>
      </c>
      <c r="J216">
        <v>3.4000000000000002E-2</v>
      </c>
      <c r="K216">
        <v>0.24099999999999999</v>
      </c>
      <c r="L216">
        <v>0.67200000000000004</v>
      </c>
      <c r="N216">
        <v>0.67200000000000004</v>
      </c>
      <c r="O216">
        <v>5.1999999999999998E-2</v>
      </c>
      <c r="P216">
        <v>3.4000000000000002E-2</v>
      </c>
      <c r="Q216">
        <v>0.24099999999999999</v>
      </c>
      <c r="R216">
        <v>0</v>
      </c>
    </row>
    <row r="217" spans="1:18">
      <c r="A217" t="s">
        <v>77</v>
      </c>
      <c r="B217">
        <v>1</v>
      </c>
      <c r="C217">
        <v>33</v>
      </c>
      <c r="D217" t="s">
        <v>486</v>
      </c>
      <c r="G217" t="s">
        <v>67</v>
      </c>
      <c r="H217" t="s">
        <v>70</v>
      </c>
      <c r="I217">
        <v>5.1999999999999998E-2</v>
      </c>
      <c r="J217">
        <v>0.32800000000000001</v>
      </c>
      <c r="K217">
        <v>0.41399999999999998</v>
      </c>
      <c r="L217">
        <v>0.19</v>
      </c>
      <c r="N217">
        <v>0.41399999999999998</v>
      </c>
      <c r="O217">
        <v>5.1999999999999998E-2</v>
      </c>
      <c r="P217">
        <v>0.32800000000000001</v>
      </c>
      <c r="Q217">
        <v>0</v>
      </c>
      <c r="R217">
        <v>0.19</v>
      </c>
    </row>
    <row r="218" spans="1:18">
      <c r="A218" t="s">
        <v>77</v>
      </c>
      <c r="B218">
        <v>1</v>
      </c>
      <c r="C218">
        <v>34</v>
      </c>
      <c r="D218" t="s">
        <v>451</v>
      </c>
      <c r="G218" t="s">
        <v>79</v>
      </c>
      <c r="H218" t="s">
        <v>69</v>
      </c>
      <c r="I218">
        <v>0.121</v>
      </c>
      <c r="J218">
        <v>0.79300000000000004</v>
      </c>
      <c r="K218">
        <v>1.7000000000000001E-2</v>
      </c>
      <c r="L218">
        <v>6.9000000000000006E-2</v>
      </c>
      <c r="N218">
        <v>0.79300000000000004</v>
      </c>
      <c r="O218">
        <v>0.121</v>
      </c>
      <c r="P218">
        <v>0</v>
      </c>
      <c r="Q218">
        <v>1.7000000000000001E-2</v>
      </c>
      <c r="R218">
        <v>6.9000000000000006E-2</v>
      </c>
    </row>
    <row r="219" spans="1:18">
      <c r="A219" t="s">
        <v>77</v>
      </c>
      <c r="B219">
        <v>1</v>
      </c>
      <c r="C219">
        <v>35</v>
      </c>
      <c r="D219" t="s">
        <v>451</v>
      </c>
      <c r="G219" t="s">
        <v>69</v>
      </c>
      <c r="H219" t="s">
        <v>67</v>
      </c>
      <c r="I219">
        <v>0.879</v>
      </c>
      <c r="J219">
        <v>3.4000000000000002E-2</v>
      </c>
      <c r="K219">
        <v>5.1999999999999998E-2</v>
      </c>
      <c r="L219">
        <v>3.4000000000000002E-2</v>
      </c>
      <c r="N219">
        <v>0.879</v>
      </c>
      <c r="O219">
        <v>0</v>
      </c>
      <c r="P219">
        <v>3.4000000000000002E-2</v>
      </c>
      <c r="Q219">
        <v>5.1999999999999998E-2</v>
      </c>
      <c r="R219">
        <v>3.4000000000000002E-2</v>
      </c>
    </row>
    <row r="220" spans="1:18">
      <c r="A220" t="s">
        <v>77</v>
      </c>
      <c r="B220">
        <v>1</v>
      </c>
      <c r="C220">
        <v>36</v>
      </c>
      <c r="D220" t="s">
        <v>451</v>
      </c>
      <c r="G220" t="s">
        <v>80</v>
      </c>
      <c r="H220" t="s">
        <v>70</v>
      </c>
      <c r="I220">
        <v>1.7000000000000001E-2</v>
      </c>
      <c r="J220">
        <v>0.121</v>
      </c>
      <c r="K220">
        <v>0.10299999999999999</v>
      </c>
      <c r="L220">
        <v>0.75900000000000001</v>
      </c>
      <c r="N220">
        <v>0.74099999999999999</v>
      </c>
      <c r="O220">
        <v>1.7000000000000001E-2</v>
      </c>
      <c r="P220">
        <v>0.121</v>
      </c>
      <c r="Q220">
        <v>0.10299999999999999</v>
      </c>
      <c r="R220">
        <v>0</v>
      </c>
    </row>
    <row r="221" spans="1:18">
      <c r="A221" t="s">
        <v>77</v>
      </c>
      <c r="B221">
        <v>1</v>
      </c>
      <c r="C221">
        <v>37</v>
      </c>
      <c r="D221" t="s">
        <v>451</v>
      </c>
      <c r="G221" t="s">
        <v>69</v>
      </c>
      <c r="H221" t="s">
        <v>71</v>
      </c>
      <c r="I221">
        <v>0.63800000000000001</v>
      </c>
      <c r="J221">
        <v>6.9000000000000006E-2</v>
      </c>
      <c r="K221">
        <v>8.5999999999999993E-2</v>
      </c>
      <c r="L221">
        <v>0.17199999999999999</v>
      </c>
      <c r="N221">
        <v>0.63800000000000001</v>
      </c>
      <c r="O221">
        <v>0</v>
      </c>
      <c r="P221">
        <v>6.9000000000000006E-2</v>
      </c>
      <c r="Q221">
        <v>8.5999999999999993E-2</v>
      </c>
      <c r="R221">
        <v>0.17199999999999999</v>
      </c>
    </row>
    <row r="222" spans="1:18">
      <c r="A222" t="s">
        <v>77</v>
      </c>
      <c r="B222">
        <v>1</v>
      </c>
      <c r="C222">
        <v>38</v>
      </c>
      <c r="D222" t="s">
        <v>451</v>
      </c>
      <c r="G222" t="s">
        <v>81</v>
      </c>
      <c r="H222" t="s">
        <v>70</v>
      </c>
      <c r="I222">
        <v>0.48299999999999998</v>
      </c>
      <c r="J222">
        <v>0.224</v>
      </c>
      <c r="K222">
        <v>0.10299999999999999</v>
      </c>
      <c r="L222">
        <v>0.155</v>
      </c>
      <c r="N222">
        <v>0.48299999999999998</v>
      </c>
      <c r="O222">
        <v>0</v>
      </c>
      <c r="P222">
        <v>0.224</v>
      </c>
      <c r="Q222">
        <v>0.10299999999999999</v>
      </c>
      <c r="R222">
        <v>0.155</v>
      </c>
    </row>
    <row r="223" spans="1:18">
      <c r="A223" t="s">
        <v>77</v>
      </c>
      <c r="B223">
        <v>1</v>
      </c>
      <c r="C223">
        <v>39</v>
      </c>
      <c r="D223" t="s">
        <v>451</v>
      </c>
      <c r="G223" t="s">
        <v>69</v>
      </c>
      <c r="H223" t="s">
        <v>70</v>
      </c>
      <c r="I223">
        <v>0.46600000000000003</v>
      </c>
      <c r="J223">
        <v>0.20699999999999999</v>
      </c>
      <c r="K223">
        <v>0.19</v>
      </c>
      <c r="L223">
        <v>6.9000000000000006E-2</v>
      </c>
      <c r="N223">
        <v>0.46600000000000003</v>
      </c>
      <c r="O223">
        <v>0</v>
      </c>
      <c r="P223">
        <v>0.20699999999999999</v>
      </c>
      <c r="Q223">
        <v>0.19</v>
      </c>
      <c r="R223">
        <v>6.9000000000000006E-2</v>
      </c>
    </row>
    <row r="224" spans="1:18">
      <c r="A224" t="s">
        <v>77</v>
      </c>
      <c r="B224">
        <v>1</v>
      </c>
      <c r="C224">
        <v>40</v>
      </c>
      <c r="D224" t="s">
        <v>451</v>
      </c>
      <c r="G224" t="s">
        <v>80</v>
      </c>
      <c r="H224" t="s">
        <v>67</v>
      </c>
      <c r="I224">
        <v>0.19</v>
      </c>
      <c r="J224">
        <v>0.121</v>
      </c>
      <c r="K224">
        <v>0.25900000000000001</v>
      </c>
      <c r="L224">
        <v>0.36199999999999999</v>
      </c>
      <c r="N224">
        <v>0.36199999999999999</v>
      </c>
      <c r="O224">
        <v>0.19</v>
      </c>
      <c r="P224">
        <v>0.121</v>
      </c>
      <c r="Q224">
        <v>0.25900000000000001</v>
      </c>
      <c r="R224">
        <v>0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ork_P"/>
  <dimension ref="A1:Y215"/>
  <sheetViews>
    <sheetView topLeftCell="A94" workbookViewId="0">
      <selection activeCell="T16" sqref="T16"/>
    </sheetView>
  </sheetViews>
  <sheetFormatPr baseColWidth="10" defaultColWidth="8.83203125" defaultRowHeight="15"/>
  <cols>
    <col min="1" max="1" width="13.33203125" customWidth="1"/>
    <col min="2" max="2" width="23.5" customWidth="1"/>
    <col min="3" max="3" width="28.33203125" customWidth="1"/>
    <col min="4" max="4" width="50.1640625" customWidth="1"/>
    <col min="5" max="5" width="7.5" customWidth="1"/>
    <col min="10" max="14" width="9" style="15"/>
  </cols>
  <sheetData>
    <row r="1" spans="1:25">
      <c r="A1" t="s">
        <v>75</v>
      </c>
      <c r="B1" t="s">
        <v>256</v>
      </c>
      <c r="C1" t="s">
        <v>373</v>
      </c>
      <c r="D1" t="s">
        <v>435</v>
      </c>
      <c r="E1">
        <v>1</v>
      </c>
      <c r="F1">
        <v>9</v>
      </c>
      <c r="G1">
        <v>8</v>
      </c>
      <c r="H1">
        <v>98</v>
      </c>
      <c r="I1">
        <v>89</v>
      </c>
      <c r="J1" s="15">
        <v>11</v>
      </c>
      <c r="K1" s="15">
        <v>9</v>
      </c>
      <c r="T1" t="s">
        <v>75</v>
      </c>
      <c r="U1">
        <v>1</v>
      </c>
      <c r="V1" t="s">
        <v>71</v>
      </c>
      <c r="W1" t="s">
        <v>71</v>
      </c>
      <c r="X1" t="s">
        <v>474</v>
      </c>
      <c r="Y1">
        <v>1</v>
      </c>
    </row>
    <row r="2" spans="1:25">
      <c r="A2" t="s">
        <v>75</v>
      </c>
      <c r="B2" t="s">
        <v>256</v>
      </c>
      <c r="C2" t="s">
        <v>375</v>
      </c>
      <c r="D2" t="s">
        <v>436</v>
      </c>
      <c r="E2">
        <v>2</v>
      </c>
      <c r="F2">
        <v>19</v>
      </c>
      <c r="G2">
        <v>18</v>
      </c>
      <c r="H2">
        <v>150</v>
      </c>
      <c r="I2">
        <v>136</v>
      </c>
      <c r="J2" s="15">
        <v>13</v>
      </c>
      <c r="K2" s="15">
        <v>12</v>
      </c>
      <c r="T2" t="s">
        <v>75</v>
      </c>
      <c r="U2">
        <v>2</v>
      </c>
      <c r="V2" t="s">
        <v>79</v>
      </c>
      <c r="W2" t="s">
        <v>79</v>
      </c>
      <c r="X2" t="s">
        <v>474</v>
      </c>
      <c r="Y2">
        <v>1</v>
      </c>
    </row>
    <row r="3" spans="1:25">
      <c r="A3" t="s">
        <v>75</v>
      </c>
      <c r="B3" t="s">
        <v>256</v>
      </c>
      <c r="C3" t="s">
        <v>280</v>
      </c>
      <c r="D3" t="s">
        <v>437</v>
      </c>
      <c r="E3">
        <v>3</v>
      </c>
      <c r="F3">
        <v>12</v>
      </c>
      <c r="G3">
        <v>12</v>
      </c>
      <c r="H3">
        <v>111</v>
      </c>
      <c r="I3">
        <v>107</v>
      </c>
      <c r="J3" s="15">
        <v>18</v>
      </c>
      <c r="K3" s="15">
        <v>16</v>
      </c>
      <c r="T3" t="s">
        <v>75</v>
      </c>
      <c r="U3">
        <v>3</v>
      </c>
      <c r="V3" t="s">
        <v>69</v>
      </c>
      <c r="W3" t="s">
        <v>69</v>
      </c>
      <c r="X3" t="s">
        <v>474</v>
      </c>
      <c r="Y3">
        <v>1</v>
      </c>
    </row>
    <row r="4" spans="1:25">
      <c r="A4" t="s">
        <v>75</v>
      </c>
      <c r="B4" t="s">
        <v>82</v>
      </c>
      <c r="C4" t="s">
        <v>281</v>
      </c>
      <c r="D4" t="s">
        <v>438</v>
      </c>
      <c r="E4">
        <v>4</v>
      </c>
      <c r="F4">
        <v>10</v>
      </c>
      <c r="G4">
        <v>9</v>
      </c>
      <c r="H4">
        <v>120</v>
      </c>
      <c r="I4">
        <v>110</v>
      </c>
      <c r="J4" s="15">
        <v>15</v>
      </c>
      <c r="K4" s="15">
        <v>14</v>
      </c>
      <c r="T4" t="s">
        <v>75</v>
      </c>
      <c r="U4">
        <v>4</v>
      </c>
      <c r="V4" t="s">
        <v>79</v>
      </c>
      <c r="W4" t="s">
        <v>79</v>
      </c>
      <c r="X4" t="s">
        <v>474</v>
      </c>
      <c r="Y4">
        <v>1</v>
      </c>
    </row>
    <row r="5" spans="1:25">
      <c r="A5" t="s">
        <v>75</v>
      </c>
      <c r="B5" t="s">
        <v>82</v>
      </c>
      <c r="C5" t="s">
        <v>282</v>
      </c>
      <c r="D5" t="s">
        <v>439</v>
      </c>
      <c r="E5">
        <v>5</v>
      </c>
      <c r="F5">
        <v>10</v>
      </c>
      <c r="G5">
        <v>9</v>
      </c>
      <c r="H5">
        <v>93</v>
      </c>
      <c r="I5">
        <v>85</v>
      </c>
      <c r="J5" s="15">
        <v>9</v>
      </c>
      <c r="K5" s="15">
        <v>7</v>
      </c>
      <c r="T5" t="s">
        <v>75</v>
      </c>
      <c r="U5">
        <v>5</v>
      </c>
      <c r="V5" t="s">
        <v>69</v>
      </c>
      <c r="W5" t="s">
        <v>69</v>
      </c>
      <c r="X5" t="s">
        <v>474</v>
      </c>
      <c r="Y5">
        <v>1</v>
      </c>
    </row>
    <row r="6" spans="1:25">
      <c r="A6" t="s">
        <v>75</v>
      </c>
      <c r="B6" t="s">
        <v>82</v>
      </c>
      <c r="C6" t="s">
        <v>283</v>
      </c>
      <c r="D6" t="s">
        <v>440</v>
      </c>
      <c r="E6">
        <v>6</v>
      </c>
      <c r="F6">
        <v>15</v>
      </c>
      <c r="G6">
        <v>15</v>
      </c>
      <c r="H6">
        <v>103</v>
      </c>
      <c r="I6">
        <v>100</v>
      </c>
      <c r="J6" s="15">
        <v>9</v>
      </c>
      <c r="K6" s="15">
        <v>9</v>
      </c>
      <c r="T6" t="s">
        <v>75</v>
      </c>
      <c r="U6">
        <v>6</v>
      </c>
      <c r="V6" t="s">
        <v>83</v>
      </c>
      <c r="W6" t="s">
        <v>83</v>
      </c>
      <c r="X6" t="s">
        <v>474</v>
      </c>
      <c r="Y6">
        <v>1</v>
      </c>
    </row>
    <row r="7" spans="1:25">
      <c r="A7" t="s">
        <v>305</v>
      </c>
      <c r="B7" t="s">
        <v>257</v>
      </c>
      <c r="C7" t="s">
        <v>374</v>
      </c>
      <c r="D7" t="s">
        <v>441</v>
      </c>
      <c r="E7">
        <v>8</v>
      </c>
      <c r="F7">
        <v>13</v>
      </c>
      <c r="G7">
        <v>13</v>
      </c>
      <c r="H7">
        <v>120</v>
      </c>
      <c r="I7">
        <v>118</v>
      </c>
      <c r="J7" s="15">
        <v>17</v>
      </c>
      <c r="K7" s="15">
        <v>17</v>
      </c>
      <c r="T7" t="s">
        <v>75</v>
      </c>
      <c r="U7">
        <v>7</v>
      </c>
      <c r="V7" t="s">
        <v>70</v>
      </c>
      <c r="W7" t="s">
        <v>70</v>
      </c>
      <c r="X7" t="s">
        <v>474</v>
      </c>
      <c r="Y7">
        <v>1</v>
      </c>
    </row>
    <row r="8" spans="1:25">
      <c r="A8" t="s">
        <v>305</v>
      </c>
      <c r="B8" t="s">
        <v>257</v>
      </c>
      <c r="C8" t="s">
        <v>376</v>
      </c>
      <c r="D8" t="s">
        <v>442</v>
      </c>
      <c r="E8">
        <v>9</v>
      </c>
      <c r="F8">
        <v>11</v>
      </c>
      <c r="G8">
        <v>11</v>
      </c>
      <c r="H8">
        <v>106</v>
      </c>
      <c r="I8">
        <v>102</v>
      </c>
      <c r="J8" s="15">
        <v>15</v>
      </c>
      <c r="K8" s="15">
        <v>14</v>
      </c>
      <c r="T8" t="s">
        <v>75</v>
      </c>
      <c r="U8">
        <v>8</v>
      </c>
      <c r="V8" t="s">
        <v>83</v>
      </c>
      <c r="W8" t="s">
        <v>83</v>
      </c>
      <c r="X8" t="s">
        <v>474</v>
      </c>
      <c r="Y8">
        <v>0.5</v>
      </c>
    </row>
    <row r="9" spans="1:25">
      <c r="A9" t="s">
        <v>305</v>
      </c>
      <c r="B9" t="s">
        <v>258</v>
      </c>
      <c r="C9" t="s">
        <v>377</v>
      </c>
      <c r="D9" t="s">
        <v>443</v>
      </c>
      <c r="E9">
        <v>10</v>
      </c>
      <c r="F9">
        <v>15</v>
      </c>
      <c r="G9">
        <v>12</v>
      </c>
      <c r="H9">
        <v>87</v>
      </c>
      <c r="I9">
        <v>78</v>
      </c>
      <c r="J9" s="15">
        <v>4</v>
      </c>
      <c r="K9" s="15">
        <v>3</v>
      </c>
      <c r="T9" t="s">
        <v>75</v>
      </c>
      <c r="U9">
        <v>9</v>
      </c>
      <c r="V9" t="s">
        <v>69</v>
      </c>
      <c r="W9" t="s">
        <v>69</v>
      </c>
      <c r="X9" t="s">
        <v>474</v>
      </c>
      <c r="Y9">
        <v>1</v>
      </c>
    </row>
    <row r="10" spans="1:25">
      <c r="A10" t="s">
        <v>305</v>
      </c>
      <c r="B10" t="s">
        <v>258</v>
      </c>
      <c r="C10" t="s">
        <v>452</v>
      </c>
      <c r="D10" t="s">
        <v>444</v>
      </c>
      <c r="E10">
        <v>11</v>
      </c>
      <c r="F10">
        <v>3</v>
      </c>
      <c r="G10">
        <v>3</v>
      </c>
      <c r="H10">
        <v>65</v>
      </c>
      <c r="I10">
        <v>61</v>
      </c>
      <c r="J10" s="15">
        <v>10</v>
      </c>
      <c r="K10" s="15">
        <v>10</v>
      </c>
      <c r="T10" t="s">
        <v>75</v>
      </c>
      <c r="U10">
        <v>10</v>
      </c>
      <c r="V10" t="s">
        <v>81</v>
      </c>
      <c r="W10" t="s">
        <v>81</v>
      </c>
      <c r="X10" t="s">
        <v>474</v>
      </c>
      <c r="Y10">
        <v>1</v>
      </c>
    </row>
    <row r="11" spans="1:25">
      <c r="A11" t="s">
        <v>305</v>
      </c>
      <c r="B11" t="s">
        <v>284</v>
      </c>
      <c r="C11" t="s">
        <v>379</v>
      </c>
      <c r="D11" t="s">
        <v>445</v>
      </c>
      <c r="E11">
        <v>12</v>
      </c>
      <c r="F11">
        <v>9</v>
      </c>
      <c r="G11">
        <v>9</v>
      </c>
      <c r="H11">
        <v>98</v>
      </c>
      <c r="I11">
        <v>96</v>
      </c>
      <c r="J11" s="15">
        <v>8</v>
      </c>
      <c r="K11" s="15">
        <v>8</v>
      </c>
      <c r="T11" t="s">
        <v>75</v>
      </c>
      <c r="U11">
        <v>11</v>
      </c>
      <c r="V11" t="s">
        <v>69</v>
      </c>
      <c r="W11" t="s">
        <v>69</v>
      </c>
      <c r="X11" t="s">
        <v>474</v>
      </c>
      <c r="Y11">
        <v>1</v>
      </c>
    </row>
    <row r="12" spans="1:25">
      <c r="A12" t="s">
        <v>305</v>
      </c>
      <c r="B12" t="s">
        <v>284</v>
      </c>
      <c r="C12" t="s">
        <v>380</v>
      </c>
      <c r="D12" t="s">
        <v>446</v>
      </c>
      <c r="E12">
        <v>13</v>
      </c>
      <c r="F12">
        <v>9</v>
      </c>
      <c r="G12">
        <v>8</v>
      </c>
      <c r="H12">
        <v>64</v>
      </c>
      <c r="I12">
        <v>60</v>
      </c>
      <c r="J12" s="15">
        <v>6</v>
      </c>
      <c r="K12" s="15">
        <v>6</v>
      </c>
      <c r="T12" t="s">
        <v>75</v>
      </c>
      <c r="U12">
        <v>12</v>
      </c>
      <c r="V12" t="s">
        <v>80</v>
      </c>
      <c r="W12" t="s">
        <v>80</v>
      </c>
      <c r="X12" t="s">
        <v>474</v>
      </c>
      <c r="Y12">
        <v>1</v>
      </c>
    </row>
    <row r="13" spans="1:25">
      <c r="A13" t="s">
        <v>76</v>
      </c>
      <c r="B13" t="s">
        <v>395</v>
      </c>
      <c r="C13" t="s">
        <v>285</v>
      </c>
      <c r="D13" t="s">
        <v>447</v>
      </c>
      <c r="E13">
        <v>15</v>
      </c>
      <c r="F13">
        <v>10</v>
      </c>
      <c r="G13">
        <v>10</v>
      </c>
      <c r="H13">
        <v>90</v>
      </c>
      <c r="I13">
        <v>86</v>
      </c>
      <c r="J13" s="15">
        <v>10</v>
      </c>
      <c r="K13" s="15">
        <v>9</v>
      </c>
      <c r="T13" t="s">
        <v>75</v>
      </c>
      <c r="U13">
        <v>13</v>
      </c>
      <c r="V13" t="s">
        <v>69</v>
      </c>
      <c r="W13" t="s">
        <v>69</v>
      </c>
      <c r="X13" t="s">
        <v>474</v>
      </c>
      <c r="Y13">
        <v>1</v>
      </c>
    </row>
    <row r="14" spans="1:25">
      <c r="A14" t="s">
        <v>76</v>
      </c>
      <c r="B14" t="s">
        <v>395</v>
      </c>
      <c r="C14" t="s">
        <v>286</v>
      </c>
      <c r="D14" t="s">
        <v>448</v>
      </c>
      <c r="E14">
        <v>16</v>
      </c>
      <c r="F14">
        <v>10</v>
      </c>
      <c r="G14">
        <v>9</v>
      </c>
      <c r="H14">
        <v>90</v>
      </c>
      <c r="I14">
        <v>87</v>
      </c>
      <c r="J14" s="15">
        <v>10</v>
      </c>
      <c r="K14" s="15">
        <v>10</v>
      </c>
      <c r="T14" t="s">
        <v>75</v>
      </c>
      <c r="U14">
        <v>14</v>
      </c>
      <c r="V14" t="s">
        <v>83</v>
      </c>
      <c r="W14" t="s">
        <v>83</v>
      </c>
      <c r="X14" t="s">
        <v>474</v>
      </c>
      <c r="Y14">
        <v>1</v>
      </c>
    </row>
    <row r="15" spans="1:25">
      <c r="A15" t="s">
        <v>76</v>
      </c>
      <c r="B15" t="s">
        <v>399</v>
      </c>
      <c r="C15" t="s">
        <v>400</v>
      </c>
      <c r="D15" t="s">
        <v>449</v>
      </c>
      <c r="E15">
        <v>17</v>
      </c>
      <c r="F15">
        <v>10</v>
      </c>
      <c r="G15">
        <v>10</v>
      </c>
      <c r="H15">
        <v>90</v>
      </c>
      <c r="I15">
        <v>82</v>
      </c>
      <c r="J15" s="15">
        <v>10</v>
      </c>
      <c r="K15" s="15">
        <v>10</v>
      </c>
      <c r="T15" t="s">
        <v>75</v>
      </c>
      <c r="U15">
        <v>15</v>
      </c>
      <c r="V15" t="s">
        <v>71</v>
      </c>
      <c r="W15" t="s">
        <v>71</v>
      </c>
      <c r="X15" t="s">
        <v>474</v>
      </c>
      <c r="Y15">
        <v>1</v>
      </c>
    </row>
    <row r="16" spans="1:25">
      <c r="A16" t="s">
        <v>76</v>
      </c>
      <c r="B16" t="s">
        <v>399</v>
      </c>
      <c r="C16" t="s">
        <v>259</v>
      </c>
      <c r="D16" t="s">
        <v>450</v>
      </c>
      <c r="E16">
        <v>18</v>
      </c>
      <c r="F16">
        <v>10</v>
      </c>
      <c r="G16">
        <v>10</v>
      </c>
      <c r="H16">
        <v>90</v>
      </c>
      <c r="I16">
        <v>88</v>
      </c>
      <c r="J16" s="15">
        <v>10</v>
      </c>
      <c r="K16" s="15">
        <v>10</v>
      </c>
      <c r="T16" t="s">
        <v>75</v>
      </c>
      <c r="U16">
        <v>16</v>
      </c>
      <c r="V16" t="s">
        <v>79</v>
      </c>
      <c r="W16" t="s">
        <v>79</v>
      </c>
      <c r="X16" t="s">
        <v>474</v>
      </c>
      <c r="Y16">
        <v>1</v>
      </c>
    </row>
    <row r="17" spans="1:25">
      <c r="A17" t="s">
        <v>77</v>
      </c>
      <c r="B17" t="s">
        <v>396</v>
      </c>
      <c r="C17" t="s">
        <v>453</v>
      </c>
      <c r="D17" t="s">
        <v>476</v>
      </c>
      <c r="E17">
        <v>20</v>
      </c>
      <c r="F17">
        <v>15</v>
      </c>
      <c r="G17">
        <v>15</v>
      </c>
      <c r="H17">
        <v>132</v>
      </c>
      <c r="I17">
        <v>130</v>
      </c>
      <c r="J17" s="15">
        <v>15</v>
      </c>
      <c r="K17" s="15">
        <v>15</v>
      </c>
      <c r="T17" t="s">
        <v>75</v>
      </c>
      <c r="U17">
        <v>17</v>
      </c>
      <c r="V17" t="s">
        <v>67</v>
      </c>
      <c r="W17" t="s">
        <v>67</v>
      </c>
      <c r="X17" t="s">
        <v>474</v>
      </c>
      <c r="Y17">
        <v>1</v>
      </c>
    </row>
    <row r="18" spans="1:25">
      <c r="A18" t="s">
        <v>77</v>
      </c>
      <c r="B18" t="s">
        <v>397</v>
      </c>
      <c r="C18" t="s">
        <v>454</v>
      </c>
      <c r="D18" t="s">
        <v>477</v>
      </c>
      <c r="E18">
        <v>21</v>
      </c>
      <c r="F18">
        <v>18</v>
      </c>
      <c r="G18">
        <v>17</v>
      </c>
      <c r="H18">
        <v>165</v>
      </c>
      <c r="I18">
        <v>156</v>
      </c>
      <c r="J18" s="15">
        <v>18</v>
      </c>
      <c r="K18" s="15">
        <v>18</v>
      </c>
      <c r="T18" t="s">
        <v>75</v>
      </c>
      <c r="U18">
        <v>18</v>
      </c>
      <c r="V18" t="s">
        <v>81</v>
      </c>
      <c r="W18" t="s">
        <v>81</v>
      </c>
      <c r="X18" t="s">
        <v>474</v>
      </c>
      <c r="Y18">
        <v>1</v>
      </c>
    </row>
    <row r="19" spans="1:25">
      <c r="A19" t="s">
        <v>77</v>
      </c>
      <c r="B19" t="s">
        <v>398</v>
      </c>
      <c r="C19" t="s">
        <v>398</v>
      </c>
      <c r="D19" t="s">
        <v>451</v>
      </c>
      <c r="E19">
        <v>22</v>
      </c>
      <c r="F19">
        <v>7</v>
      </c>
      <c r="G19">
        <v>7</v>
      </c>
      <c r="H19">
        <v>63</v>
      </c>
      <c r="I19">
        <v>60</v>
      </c>
      <c r="J19" s="15">
        <v>7</v>
      </c>
      <c r="K19" s="15">
        <v>6</v>
      </c>
      <c r="T19" t="s">
        <v>75</v>
      </c>
      <c r="U19">
        <v>19</v>
      </c>
      <c r="V19" t="s">
        <v>71</v>
      </c>
      <c r="W19" t="s">
        <v>71</v>
      </c>
      <c r="X19" t="s">
        <v>474</v>
      </c>
      <c r="Y19">
        <v>1</v>
      </c>
    </row>
    <row r="20" spans="1:25">
      <c r="T20" t="s">
        <v>75</v>
      </c>
      <c r="U20">
        <v>20</v>
      </c>
      <c r="V20" t="s">
        <v>80</v>
      </c>
      <c r="W20" t="s">
        <v>80</v>
      </c>
      <c r="X20" t="s">
        <v>474</v>
      </c>
      <c r="Y20">
        <v>1</v>
      </c>
    </row>
    <row r="21" spans="1:25">
      <c r="T21" t="s">
        <v>75</v>
      </c>
      <c r="U21">
        <v>21</v>
      </c>
      <c r="V21" t="s">
        <v>69</v>
      </c>
      <c r="W21" t="s">
        <v>69</v>
      </c>
      <c r="X21" t="s">
        <v>474</v>
      </c>
      <c r="Y21">
        <v>1</v>
      </c>
    </row>
    <row r="22" spans="1:25">
      <c r="T22" t="s">
        <v>75</v>
      </c>
      <c r="U22">
        <v>22</v>
      </c>
      <c r="V22" t="s">
        <v>81</v>
      </c>
      <c r="W22" t="s">
        <v>81</v>
      </c>
      <c r="X22" t="s">
        <v>474</v>
      </c>
      <c r="Y22">
        <v>1</v>
      </c>
    </row>
    <row r="23" spans="1:25">
      <c r="T23" t="s">
        <v>75</v>
      </c>
      <c r="U23">
        <v>23</v>
      </c>
      <c r="V23" t="s">
        <v>71</v>
      </c>
      <c r="W23" t="s">
        <v>71</v>
      </c>
      <c r="X23" t="s">
        <v>474</v>
      </c>
      <c r="Y23">
        <v>1</v>
      </c>
    </row>
    <row r="24" spans="1:25">
      <c r="T24" t="s">
        <v>75</v>
      </c>
      <c r="U24">
        <v>24</v>
      </c>
      <c r="V24" t="s">
        <v>83</v>
      </c>
      <c r="W24" t="s">
        <v>83</v>
      </c>
      <c r="X24" t="s">
        <v>474</v>
      </c>
      <c r="Y24">
        <v>1</v>
      </c>
    </row>
    <row r="25" spans="1:25">
      <c r="T25" t="s">
        <v>75</v>
      </c>
      <c r="U25">
        <v>25</v>
      </c>
      <c r="V25" t="s">
        <v>71</v>
      </c>
      <c r="W25" t="s">
        <v>69</v>
      </c>
      <c r="X25" t="s">
        <v>475</v>
      </c>
      <c r="Y25">
        <v>0</v>
      </c>
    </row>
    <row r="26" spans="1:25">
      <c r="T26" t="s">
        <v>75</v>
      </c>
      <c r="U26">
        <v>26</v>
      </c>
      <c r="V26" t="s">
        <v>79</v>
      </c>
      <c r="W26" t="s">
        <v>79</v>
      </c>
      <c r="X26" t="s">
        <v>474</v>
      </c>
      <c r="Y26">
        <v>1</v>
      </c>
    </row>
    <row r="27" spans="1:25">
      <c r="T27" t="s">
        <v>75</v>
      </c>
      <c r="U27">
        <v>27</v>
      </c>
      <c r="V27" t="s">
        <v>70</v>
      </c>
      <c r="W27" t="s">
        <v>70</v>
      </c>
      <c r="X27" t="s">
        <v>474</v>
      </c>
      <c r="Y27">
        <v>1</v>
      </c>
    </row>
    <row r="28" spans="1:25">
      <c r="T28" t="s">
        <v>75</v>
      </c>
      <c r="U28">
        <v>28</v>
      </c>
      <c r="V28" t="s">
        <v>80</v>
      </c>
      <c r="W28" t="s">
        <v>80</v>
      </c>
      <c r="X28" t="s">
        <v>474</v>
      </c>
      <c r="Y28">
        <v>1</v>
      </c>
    </row>
    <row r="29" spans="1:25">
      <c r="T29" t="s">
        <v>75</v>
      </c>
      <c r="U29">
        <v>29</v>
      </c>
      <c r="V29" t="s">
        <v>69</v>
      </c>
      <c r="W29" t="s">
        <v>69</v>
      </c>
      <c r="X29" t="s">
        <v>474</v>
      </c>
      <c r="Y29">
        <v>1</v>
      </c>
    </row>
    <row r="30" spans="1:25">
      <c r="T30" t="s">
        <v>75</v>
      </c>
      <c r="U30">
        <v>30</v>
      </c>
      <c r="V30" t="s">
        <v>80</v>
      </c>
      <c r="W30" t="s">
        <v>80</v>
      </c>
      <c r="X30" t="s">
        <v>474</v>
      </c>
      <c r="Y30">
        <v>1</v>
      </c>
    </row>
    <row r="31" spans="1:25">
      <c r="T31" t="s">
        <v>75</v>
      </c>
      <c r="U31">
        <v>31</v>
      </c>
      <c r="V31" t="s">
        <v>70</v>
      </c>
      <c r="W31" t="s">
        <v>70</v>
      </c>
      <c r="X31" t="s">
        <v>474</v>
      </c>
      <c r="Y31">
        <v>1</v>
      </c>
    </row>
    <row r="32" spans="1:25">
      <c r="T32" t="s">
        <v>75</v>
      </c>
      <c r="U32">
        <v>32</v>
      </c>
      <c r="V32" t="s">
        <v>83</v>
      </c>
      <c r="W32" t="s">
        <v>83</v>
      </c>
      <c r="X32" t="s">
        <v>474</v>
      </c>
      <c r="Y32">
        <v>1</v>
      </c>
    </row>
    <row r="33" spans="20:25">
      <c r="T33" t="s">
        <v>75</v>
      </c>
      <c r="U33">
        <v>33</v>
      </c>
      <c r="V33" t="s">
        <v>70</v>
      </c>
      <c r="W33" t="s">
        <v>70</v>
      </c>
      <c r="X33" t="s">
        <v>474</v>
      </c>
      <c r="Y33">
        <v>1</v>
      </c>
    </row>
    <row r="34" spans="20:25">
      <c r="T34" t="s">
        <v>75</v>
      </c>
      <c r="U34">
        <v>34</v>
      </c>
      <c r="V34" t="s">
        <v>79</v>
      </c>
      <c r="W34" t="s">
        <v>79</v>
      </c>
      <c r="X34" t="s">
        <v>474</v>
      </c>
      <c r="Y34">
        <v>1</v>
      </c>
    </row>
    <row r="35" spans="20:25">
      <c r="T35" t="s">
        <v>75</v>
      </c>
      <c r="U35">
        <v>35</v>
      </c>
      <c r="V35" t="s">
        <v>69</v>
      </c>
      <c r="W35" t="s">
        <v>69</v>
      </c>
      <c r="X35" t="s">
        <v>474</v>
      </c>
      <c r="Y35">
        <v>1</v>
      </c>
    </row>
    <row r="36" spans="20:25">
      <c r="T36" t="s">
        <v>75</v>
      </c>
      <c r="U36">
        <v>36</v>
      </c>
      <c r="V36" t="s">
        <v>79</v>
      </c>
      <c r="W36" t="s">
        <v>79</v>
      </c>
      <c r="X36" t="s">
        <v>474</v>
      </c>
      <c r="Y36">
        <v>1</v>
      </c>
    </row>
    <row r="37" spans="20:25">
      <c r="T37" t="s">
        <v>75</v>
      </c>
      <c r="U37">
        <v>37</v>
      </c>
      <c r="V37" t="s">
        <v>71</v>
      </c>
      <c r="W37" t="s">
        <v>71</v>
      </c>
      <c r="X37" t="s">
        <v>474</v>
      </c>
      <c r="Y37">
        <v>1</v>
      </c>
    </row>
    <row r="38" spans="20:25">
      <c r="T38" t="s">
        <v>75</v>
      </c>
      <c r="U38">
        <v>38</v>
      </c>
      <c r="V38" t="s">
        <v>83</v>
      </c>
      <c r="W38" t="s">
        <v>83</v>
      </c>
      <c r="X38" t="s">
        <v>474</v>
      </c>
      <c r="Y38">
        <v>1</v>
      </c>
    </row>
    <row r="39" spans="20:25">
      <c r="T39" t="s">
        <v>75</v>
      </c>
      <c r="U39">
        <v>39</v>
      </c>
      <c r="V39" t="s">
        <v>69</v>
      </c>
      <c r="W39" t="s">
        <v>69</v>
      </c>
      <c r="X39" t="s">
        <v>474</v>
      </c>
      <c r="Y39">
        <v>1</v>
      </c>
    </row>
    <row r="40" spans="20:25">
      <c r="T40" t="s">
        <v>75</v>
      </c>
      <c r="U40">
        <v>40</v>
      </c>
      <c r="V40" t="s">
        <v>81</v>
      </c>
      <c r="W40" t="s">
        <v>81</v>
      </c>
      <c r="X40" t="s">
        <v>474</v>
      </c>
      <c r="Y40">
        <v>1</v>
      </c>
    </row>
    <row r="41" spans="20:25">
      <c r="T41" t="s">
        <v>75</v>
      </c>
      <c r="U41">
        <v>41</v>
      </c>
      <c r="V41" t="s">
        <v>70</v>
      </c>
      <c r="W41" t="s">
        <v>70</v>
      </c>
      <c r="X41" t="s">
        <v>474</v>
      </c>
      <c r="Y41">
        <v>1</v>
      </c>
    </row>
    <row r="42" spans="20:25">
      <c r="T42" t="s">
        <v>75</v>
      </c>
      <c r="U42">
        <v>42</v>
      </c>
      <c r="V42" t="s">
        <v>80</v>
      </c>
      <c r="W42" t="s">
        <v>80</v>
      </c>
      <c r="X42" t="s">
        <v>474</v>
      </c>
      <c r="Y42">
        <v>1</v>
      </c>
    </row>
    <row r="43" spans="20:25">
      <c r="T43" t="s">
        <v>75</v>
      </c>
      <c r="U43">
        <v>43</v>
      </c>
      <c r="V43" t="s">
        <v>70</v>
      </c>
      <c r="W43" t="s">
        <v>70</v>
      </c>
      <c r="X43" t="s">
        <v>474</v>
      </c>
      <c r="Y43">
        <v>1</v>
      </c>
    </row>
    <row r="44" spans="20:25">
      <c r="T44" t="s">
        <v>75</v>
      </c>
      <c r="U44">
        <v>44</v>
      </c>
      <c r="V44" t="s">
        <v>83</v>
      </c>
      <c r="W44" t="s">
        <v>83</v>
      </c>
      <c r="X44" t="s">
        <v>474</v>
      </c>
      <c r="Y44">
        <v>1</v>
      </c>
    </row>
    <row r="45" spans="20:25">
      <c r="T45" t="s">
        <v>75</v>
      </c>
      <c r="U45">
        <v>45</v>
      </c>
      <c r="V45" t="s">
        <v>69</v>
      </c>
      <c r="W45" t="s">
        <v>69</v>
      </c>
      <c r="X45" t="s">
        <v>474</v>
      </c>
      <c r="Y45">
        <v>1</v>
      </c>
    </row>
    <row r="46" spans="20:25">
      <c r="T46" t="s">
        <v>75</v>
      </c>
      <c r="U46">
        <v>46</v>
      </c>
      <c r="V46" t="s">
        <v>83</v>
      </c>
      <c r="W46" t="s">
        <v>83</v>
      </c>
      <c r="X46" t="s">
        <v>474</v>
      </c>
      <c r="Y46">
        <v>1</v>
      </c>
    </row>
    <row r="47" spans="20:25">
      <c r="T47" t="s">
        <v>75</v>
      </c>
      <c r="U47">
        <v>47</v>
      </c>
      <c r="V47" t="s">
        <v>71</v>
      </c>
      <c r="W47" t="s">
        <v>71</v>
      </c>
      <c r="X47" t="s">
        <v>474</v>
      </c>
      <c r="Y47">
        <v>1</v>
      </c>
    </row>
    <row r="48" spans="20:25">
      <c r="T48" t="s">
        <v>75</v>
      </c>
      <c r="U48">
        <v>48</v>
      </c>
      <c r="V48" t="s">
        <v>81</v>
      </c>
      <c r="W48" t="s">
        <v>81</v>
      </c>
      <c r="X48" t="s">
        <v>474</v>
      </c>
      <c r="Y48">
        <v>1</v>
      </c>
    </row>
    <row r="49" spans="20:25">
      <c r="T49" t="s">
        <v>75</v>
      </c>
      <c r="U49">
        <v>49</v>
      </c>
      <c r="V49" t="s">
        <v>70</v>
      </c>
      <c r="W49" t="s">
        <v>70</v>
      </c>
      <c r="X49" t="s">
        <v>474</v>
      </c>
      <c r="Y49">
        <v>1</v>
      </c>
    </row>
    <row r="50" spans="20:25">
      <c r="T50" t="s">
        <v>75</v>
      </c>
      <c r="U50">
        <v>50</v>
      </c>
      <c r="V50" t="s">
        <v>83</v>
      </c>
      <c r="W50" t="s">
        <v>83</v>
      </c>
      <c r="X50" t="s">
        <v>474</v>
      </c>
      <c r="Y50">
        <v>1</v>
      </c>
    </row>
    <row r="51" spans="20:25">
      <c r="T51" t="s">
        <v>75</v>
      </c>
      <c r="U51">
        <v>51</v>
      </c>
      <c r="V51" t="s">
        <v>69</v>
      </c>
      <c r="W51" t="s">
        <v>69</v>
      </c>
      <c r="X51" t="s">
        <v>474</v>
      </c>
      <c r="Y51">
        <v>1</v>
      </c>
    </row>
    <row r="52" spans="20:25">
      <c r="T52" t="s">
        <v>75</v>
      </c>
      <c r="U52">
        <v>52</v>
      </c>
      <c r="V52" t="s">
        <v>83</v>
      </c>
      <c r="W52" t="s">
        <v>83</v>
      </c>
      <c r="X52" t="s">
        <v>474</v>
      </c>
      <c r="Y52">
        <v>1</v>
      </c>
    </row>
    <row r="53" spans="20:25">
      <c r="T53" t="s">
        <v>75</v>
      </c>
      <c r="U53">
        <v>53</v>
      </c>
      <c r="V53" t="s">
        <v>71</v>
      </c>
      <c r="W53" t="s">
        <v>71</v>
      </c>
      <c r="X53" t="s">
        <v>474</v>
      </c>
      <c r="Y53">
        <v>1</v>
      </c>
    </row>
    <row r="54" spans="20:25">
      <c r="T54" t="s">
        <v>75</v>
      </c>
      <c r="U54">
        <v>54</v>
      </c>
      <c r="V54" t="s">
        <v>79</v>
      </c>
      <c r="W54" t="s">
        <v>79</v>
      </c>
      <c r="X54" t="s">
        <v>474</v>
      </c>
      <c r="Y54">
        <v>1</v>
      </c>
    </row>
    <row r="55" spans="20:25">
      <c r="T55" t="s">
        <v>75</v>
      </c>
      <c r="U55">
        <v>55</v>
      </c>
      <c r="V55" t="s">
        <v>67</v>
      </c>
      <c r="W55" t="s">
        <v>67</v>
      </c>
      <c r="X55" t="s">
        <v>474</v>
      </c>
      <c r="Y55">
        <v>1</v>
      </c>
    </row>
    <row r="56" spans="20:25">
      <c r="T56" t="s">
        <v>75</v>
      </c>
      <c r="U56">
        <v>56</v>
      </c>
      <c r="V56" t="s">
        <v>80</v>
      </c>
      <c r="W56" t="s">
        <v>80</v>
      </c>
      <c r="X56" t="s">
        <v>474</v>
      </c>
      <c r="Y56">
        <v>1</v>
      </c>
    </row>
    <row r="57" spans="20:25">
      <c r="T57" t="s">
        <v>75</v>
      </c>
      <c r="U57">
        <v>57</v>
      </c>
      <c r="V57" t="s">
        <v>71</v>
      </c>
      <c r="W57" t="s">
        <v>71</v>
      </c>
      <c r="X57" t="s">
        <v>474</v>
      </c>
      <c r="Y57">
        <v>1</v>
      </c>
    </row>
    <row r="58" spans="20:25">
      <c r="T58" t="s">
        <v>75</v>
      </c>
      <c r="U58">
        <v>58</v>
      </c>
      <c r="V58" t="s">
        <v>83</v>
      </c>
      <c r="W58" t="s">
        <v>83</v>
      </c>
      <c r="X58" t="s">
        <v>474</v>
      </c>
      <c r="Y58">
        <v>1</v>
      </c>
    </row>
    <row r="59" spans="20:25">
      <c r="T59" t="s">
        <v>75</v>
      </c>
      <c r="U59">
        <v>59</v>
      </c>
      <c r="V59" t="s">
        <v>70</v>
      </c>
      <c r="W59" t="s">
        <v>70</v>
      </c>
      <c r="X59" t="s">
        <v>474</v>
      </c>
      <c r="Y59">
        <v>1</v>
      </c>
    </row>
    <row r="60" spans="20:25">
      <c r="T60" t="s">
        <v>75</v>
      </c>
      <c r="U60">
        <v>60</v>
      </c>
      <c r="V60" t="s">
        <v>79</v>
      </c>
      <c r="W60" t="s">
        <v>79</v>
      </c>
      <c r="X60" t="s">
        <v>474</v>
      </c>
      <c r="Y60">
        <v>1</v>
      </c>
    </row>
    <row r="61" spans="20:25">
      <c r="T61" t="s">
        <v>75</v>
      </c>
      <c r="U61">
        <v>61</v>
      </c>
      <c r="V61" t="s">
        <v>71</v>
      </c>
      <c r="W61" t="s">
        <v>71</v>
      </c>
      <c r="X61" t="s">
        <v>474</v>
      </c>
      <c r="Y61">
        <v>1</v>
      </c>
    </row>
    <row r="62" spans="20:25">
      <c r="T62" t="s">
        <v>75</v>
      </c>
      <c r="U62">
        <v>62</v>
      </c>
      <c r="V62" t="s">
        <v>79</v>
      </c>
      <c r="W62" t="s">
        <v>83</v>
      </c>
      <c r="X62" t="s">
        <v>475</v>
      </c>
      <c r="Y62">
        <v>0.5</v>
      </c>
    </row>
    <row r="63" spans="20:25">
      <c r="T63" t="s">
        <v>75</v>
      </c>
      <c r="U63">
        <v>63</v>
      </c>
      <c r="V63" t="s">
        <v>67</v>
      </c>
      <c r="W63" t="s">
        <v>71</v>
      </c>
      <c r="X63" t="s">
        <v>475</v>
      </c>
      <c r="Y63">
        <v>0.5</v>
      </c>
    </row>
    <row r="64" spans="20:25">
      <c r="T64" t="s">
        <v>75</v>
      </c>
      <c r="U64">
        <v>64</v>
      </c>
      <c r="V64" t="s">
        <v>80</v>
      </c>
      <c r="W64" t="s">
        <v>80</v>
      </c>
      <c r="X64" t="s">
        <v>474</v>
      </c>
      <c r="Y64">
        <v>1</v>
      </c>
    </row>
    <row r="65" spans="20:25">
      <c r="T65" t="s">
        <v>75</v>
      </c>
      <c r="U65">
        <v>65</v>
      </c>
      <c r="V65" t="s">
        <v>69</v>
      </c>
      <c r="W65" t="s">
        <v>69</v>
      </c>
      <c r="X65" t="s">
        <v>474</v>
      </c>
      <c r="Y65">
        <v>1</v>
      </c>
    </row>
    <row r="66" spans="20:25">
      <c r="T66" t="s">
        <v>75</v>
      </c>
      <c r="U66">
        <v>66</v>
      </c>
      <c r="V66" t="s">
        <v>83</v>
      </c>
      <c r="W66" t="s">
        <v>83</v>
      </c>
      <c r="X66" t="s">
        <v>474</v>
      </c>
      <c r="Y66">
        <v>1</v>
      </c>
    </row>
    <row r="67" spans="20:25">
      <c r="T67" t="s">
        <v>75</v>
      </c>
      <c r="U67">
        <v>67</v>
      </c>
      <c r="V67" t="s">
        <v>69</v>
      </c>
      <c r="W67" t="s">
        <v>69</v>
      </c>
      <c r="X67" t="s">
        <v>474</v>
      </c>
      <c r="Y67">
        <v>1</v>
      </c>
    </row>
    <row r="68" spans="20:25">
      <c r="T68" t="s">
        <v>75</v>
      </c>
      <c r="U68">
        <v>68</v>
      </c>
      <c r="V68" t="s">
        <v>79</v>
      </c>
      <c r="W68" t="s">
        <v>79</v>
      </c>
      <c r="X68" t="s">
        <v>474</v>
      </c>
      <c r="Y68">
        <v>1</v>
      </c>
    </row>
    <row r="69" spans="20:25">
      <c r="T69" t="s">
        <v>75</v>
      </c>
      <c r="U69">
        <v>69</v>
      </c>
      <c r="V69" t="s">
        <v>67</v>
      </c>
      <c r="W69" t="s">
        <v>71</v>
      </c>
      <c r="X69" t="s">
        <v>475</v>
      </c>
      <c r="Y69">
        <v>0</v>
      </c>
    </row>
    <row r="70" spans="20:25">
      <c r="T70" t="s">
        <v>75</v>
      </c>
      <c r="U70">
        <v>70</v>
      </c>
      <c r="V70" t="s">
        <v>81</v>
      </c>
      <c r="W70" t="s">
        <v>81</v>
      </c>
      <c r="X70" t="s">
        <v>474</v>
      </c>
      <c r="Y70">
        <v>1</v>
      </c>
    </row>
    <row r="71" spans="20:25">
      <c r="T71" t="s">
        <v>75</v>
      </c>
      <c r="U71">
        <v>71</v>
      </c>
      <c r="V71" t="s">
        <v>70</v>
      </c>
      <c r="W71" t="s">
        <v>70</v>
      </c>
      <c r="X71" t="s">
        <v>474</v>
      </c>
      <c r="Y71">
        <v>1</v>
      </c>
    </row>
    <row r="72" spans="20:25">
      <c r="T72" t="s">
        <v>75</v>
      </c>
      <c r="U72">
        <v>72</v>
      </c>
      <c r="V72" t="s">
        <v>81</v>
      </c>
      <c r="W72" t="s">
        <v>81</v>
      </c>
      <c r="X72" t="s">
        <v>474</v>
      </c>
      <c r="Y72">
        <v>1</v>
      </c>
    </row>
    <row r="73" spans="20:25">
      <c r="T73" t="s">
        <v>75</v>
      </c>
      <c r="U73">
        <v>73</v>
      </c>
      <c r="V73" t="s">
        <v>67</v>
      </c>
      <c r="W73" t="s">
        <v>67</v>
      </c>
      <c r="X73" t="s">
        <v>474</v>
      </c>
      <c r="Y73">
        <v>1</v>
      </c>
    </row>
    <row r="74" spans="20:25">
      <c r="T74" t="s">
        <v>75</v>
      </c>
      <c r="U74">
        <v>74</v>
      </c>
      <c r="V74" t="s">
        <v>80</v>
      </c>
      <c r="W74" t="s">
        <v>80</v>
      </c>
      <c r="X74" t="s">
        <v>474</v>
      </c>
      <c r="Y74">
        <v>1</v>
      </c>
    </row>
    <row r="75" spans="20:25">
      <c r="T75" t="s">
        <v>75</v>
      </c>
      <c r="U75">
        <v>75</v>
      </c>
      <c r="V75" t="s">
        <v>70</v>
      </c>
      <c r="W75" t="s">
        <v>70</v>
      </c>
      <c r="X75" t="s">
        <v>474</v>
      </c>
      <c r="Y75">
        <v>1</v>
      </c>
    </row>
    <row r="76" spans="20:25">
      <c r="T76" t="s">
        <v>305</v>
      </c>
      <c r="U76">
        <v>1</v>
      </c>
      <c r="V76" t="s">
        <v>67</v>
      </c>
      <c r="W76" t="s">
        <v>67</v>
      </c>
      <c r="X76" t="s">
        <v>474</v>
      </c>
      <c r="Y76">
        <v>1</v>
      </c>
    </row>
    <row r="77" spans="20:25">
      <c r="T77" t="s">
        <v>305</v>
      </c>
      <c r="U77">
        <v>2</v>
      </c>
      <c r="V77" t="s">
        <v>83</v>
      </c>
      <c r="W77" t="s">
        <v>83</v>
      </c>
      <c r="X77" t="s">
        <v>474</v>
      </c>
      <c r="Y77">
        <v>1</v>
      </c>
    </row>
    <row r="78" spans="20:25">
      <c r="T78" t="s">
        <v>305</v>
      </c>
      <c r="U78">
        <v>3</v>
      </c>
      <c r="V78" t="s">
        <v>71</v>
      </c>
      <c r="W78" t="s">
        <v>71</v>
      </c>
      <c r="X78" t="s">
        <v>474</v>
      </c>
      <c r="Y78">
        <v>1</v>
      </c>
    </row>
    <row r="79" spans="20:25">
      <c r="T79" t="s">
        <v>305</v>
      </c>
      <c r="U79">
        <v>4</v>
      </c>
      <c r="V79" t="s">
        <v>80</v>
      </c>
      <c r="W79" t="s">
        <v>80</v>
      </c>
      <c r="X79" t="s">
        <v>474</v>
      </c>
      <c r="Y79">
        <v>1</v>
      </c>
    </row>
    <row r="80" spans="20:25">
      <c r="T80" t="s">
        <v>305</v>
      </c>
      <c r="U80">
        <v>5</v>
      </c>
      <c r="V80" t="s">
        <v>67</v>
      </c>
      <c r="W80" t="s">
        <v>67</v>
      </c>
      <c r="X80" t="s">
        <v>474</v>
      </c>
      <c r="Y80">
        <v>1</v>
      </c>
    </row>
    <row r="81" spans="20:25">
      <c r="T81" t="s">
        <v>305</v>
      </c>
      <c r="U81">
        <v>6</v>
      </c>
      <c r="V81" t="s">
        <v>83</v>
      </c>
      <c r="W81" t="s">
        <v>83</v>
      </c>
      <c r="X81" t="s">
        <v>474</v>
      </c>
      <c r="Y81">
        <v>1</v>
      </c>
    </row>
    <row r="82" spans="20:25">
      <c r="T82" t="s">
        <v>305</v>
      </c>
      <c r="U82">
        <v>7</v>
      </c>
      <c r="V82" t="s">
        <v>70</v>
      </c>
      <c r="W82" t="s">
        <v>70</v>
      </c>
      <c r="X82" t="s">
        <v>474</v>
      </c>
      <c r="Y82">
        <v>1</v>
      </c>
    </row>
    <row r="83" spans="20:25">
      <c r="T83" t="s">
        <v>305</v>
      </c>
      <c r="U83">
        <v>8</v>
      </c>
      <c r="V83" t="s">
        <v>80</v>
      </c>
      <c r="W83" t="s">
        <v>80</v>
      </c>
      <c r="X83" t="s">
        <v>474</v>
      </c>
      <c r="Y83">
        <v>1</v>
      </c>
    </row>
    <row r="84" spans="20:25">
      <c r="T84" t="s">
        <v>305</v>
      </c>
      <c r="U84">
        <v>9</v>
      </c>
      <c r="V84" t="s">
        <v>71</v>
      </c>
      <c r="W84" t="s">
        <v>71</v>
      </c>
      <c r="X84" t="s">
        <v>474</v>
      </c>
      <c r="Y84">
        <v>1</v>
      </c>
    </row>
    <row r="85" spans="20:25">
      <c r="T85" t="s">
        <v>305</v>
      </c>
      <c r="U85">
        <v>10</v>
      </c>
      <c r="V85" t="s">
        <v>81</v>
      </c>
      <c r="W85" t="s">
        <v>81</v>
      </c>
      <c r="X85" t="s">
        <v>474</v>
      </c>
      <c r="Y85">
        <v>1</v>
      </c>
    </row>
    <row r="86" spans="20:25">
      <c r="T86" t="s">
        <v>305</v>
      </c>
      <c r="U86">
        <v>11</v>
      </c>
      <c r="V86" t="s">
        <v>71</v>
      </c>
      <c r="W86" t="s">
        <v>71</v>
      </c>
      <c r="X86" t="s">
        <v>474</v>
      </c>
      <c r="Y86">
        <v>1</v>
      </c>
    </row>
    <row r="87" spans="20:25">
      <c r="T87" t="s">
        <v>305</v>
      </c>
      <c r="U87">
        <v>12</v>
      </c>
      <c r="V87" t="s">
        <v>81</v>
      </c>
      <c r="W87" t="s">
        <v>81</v>
      </c>
      <c r="X87" t="s">
        <v>474</v>
      </c>
      <c r="Y87">
        <v>1</v>
      </c>
    </row>
    <row r="88" spans="20:25">
      <c r="T88" t="s">
        <v>305</v>
      </c>
      <c r="U88">
        <v>13</v>
      </c>
      <c r="V88" t="s">
        <v>68</v>
      </c>
      <c r="W88" t="s">
        <v>68</v>
      </c>
      <c r="X88" t="s">
        <v>474</v>
      </c>
      <c r="Y88">
        <v>1</v>
      </c>
    </row>
    <row r="89" spans="20:25">
      <c r="T89" t="s">
        <v>305</v>
      </c>
      <c r="U89">
        <v>14</v>
      </c>
      <c r="V89" t="s">
        <v>79</v>
      </c>
      <c r="W89" t="s">
        <v>79</v>
      </c>
      <c r="X89" t="s">
        <v>474</v>
      </c>
      <c r="Y89">
        <v>1</v>
      </c>
    </row>
    <row r="90" spans="20:25">
      <c r="T90" t="s">
        <v>305</v>
      </c>
      <c r="U90">
        <v>15</v>
      </c>
      <c r="V90" t="s">
        <v>68</v>
      </c>
      <c r="W90" t="s">
        <v>68</v>
      </c>
      <c r="X90" t="s">
        <v>474</v>
      </c>
      <c r="Y90">
        <v>1</v>
      </c>
    </row>
    <row r="91" spans="20:25">
      <c r="T91" t="s">
        <v>305</v>
      </c>
      <c r="U91">
        <v>16</v>
      </c>
      <c r="V91" t="s">
        <v>79</v>
      </c>
      <c r="W91" t="s">
        <v>79</v>
      </c>
      <c r="X91" t="s">
        <v>474</v>
      </c>
      <c r="Y91">
        <v>1</v>
      </c>
    </row>
    <row r="92" spans="20:25">
      <c r="T92" t="s">
        <v>305</v>
      </c>
      <c r="U92">
        <v>17</v>
      </c>
      <c r="V92" t="s">
        <v>68</v>
      </c>
      <c r="W92" t="s">
        <v>68</v>
      </c>
      <c r="X92" t="s">
        <v>474</v>
      </c>
      <c r="Y92">
        <v>1</v>
      </c>
    </row>
    <row r="93" spans="20:25">
      <c r="T93" t="s">
        <v>305</v>
      </c>
      <c r="U93">
        <v>18</v>
      </c>
      <c r="V93" t="s">
        <v>79</v>
      </c>
      <c r="W93" t="s">
        <v>79</v>
      </c>
      <c r="X93" t="s">
        <v>474</v>
      </c>
      <c r="Y93">
        <v>1</v>
      </c>
    </row>
    <row r="94" spans="20:25">
      <c r="T94" t="s">
        <v>305</v>
      </c>
      <c r="U94">
        <v>19</v>
      </c>
      <c r="V94" t="s">
        <v>67</v>
      </c>
      <c r="W94" t="s">
        <v>67</v>
      </c>
      <c r="X94" t="s">
        <v>474</v>
      </c>
      <c r="Y94">
        <v>1</v>
      </c>
    </row>
    <row r="95" spans="20:25">
      <c r="T95" t="s">
        <v>305</v>
      </c>
      <c r="U95">
        <v>20</v>
      </c>
      <c r="V95" t="s">
        <v>80</v>
      </c>
      <c r="W95" t="s">
        <v>80</v>
      </c>
      <c r="X95" t="s">
        <v>474</v>
      </c>
      <c r="Y95">
        <v>1</v>
      </c>
    </row>
    <row r="96" spans="20:25">
      <c r="T96" t="s">
        <v>305</v>
      </c>
      <c r="U96">
        <v>21</v>
      </c>
      <c r="V96" t="s">
        <v>67</v>
      </c>
      <c r="W96" t="s">
        <v>67</v>
      </c>
      <c r="X96" t="s">
        <v>474</v>
      </c>
      <c r="Y96">
        <v>1</v>
      </c>
    </row>
    <row r="97" spans="20:25">
      <c r="T97" t="s">
        <v>305</v>
      </c>
      <c r="U97">
        <v>22</v>
      </c>
      <c r="V97" t="s">
        <v>79</v>
      </c>
      <c r="W97" t="s">
        <v>79</v>
      </c>
      <c r="X97" t="s">
        <v>474</v>
      </c>
      <c r="Y97">
        <v>1</v>
      </c>
    </row>
    <row r="98" spans="20:25">
      <c r="T98" t="s">
        <v>305</v>
      </c>
      <c r="U98">
        <v>23</v>
      </c>
      <c r="V98" t="s">
        <v>69</v>
      </c>
      <c r="W98" t="s">
        <v>69</v>
      </c>
      <c r="X98" t="s">
        <v>474</v>
      </c>
      <c r="Y98">
        <v>1</v>
      </c>
    </row>
    <row r="99" spans="20:25">
      <c r="T99" t="s">
        <v>305</v>
      </c>
      <c r="U99">
        <v>24</v>
      </c>
      <c r="V99" t="s">
        <v>81</v>
      </c>
      <c r="W99" t="s">
        <v>81</v>
      </c>
      <c r="X99" t="s">
        <v>474</v>
      </c>
      <c r="Y99">
        <v>1</v>
      </c>
    </row>
    <row r="100" spans="20:25">
      <c r="T100" t="s">
        <v>305</v>
      </c>
      <c r="U100">
        <v>25</v>
      </c>
      <c r="V100" t="s">
        <v>69</v>
      </c>
      <c r="W100" t="s">
        <v>69</v>
      </c>
      <c r="X100" t="s">
        <v>474</v>
      </c>
      <c r="Y100">
        <v>1</v>
      </c>
    </row>
    <row r="101" spans="20:25">
      <c r="T101" t="s">
        <v>305</v>
      </c>
      <c r="U101">
        <v>26</v>
      </c>
      <c r="V101" t="s">
        <v>84</v>
      </c>
      <c r="W101" t="s">
        <v>84</v>
      </c>
      <c r="X101" t="s">
        <v>474</v>
      </c>
      <c r="Y101">
        <v>0.5</v>
      </c>
    </row>
    <row r="102" spans="20:25">
      <c r="T102" t="s">
        <v>305</v>
      </c>
      <c r="U102">
        <v>27</v>
      </c>
      <c r="V102" t="s">
        <v>67</v>
      </c>
      <c r="W102" t="s">
        <v>67</v>
      </c>
      <c r="X102" t="s">
        <v>474</v>
      </c>
      <c r="Y102">
        <v>1</v>
      </c>
    </row>
    <row r="103" spans="20:25">
      <c r="T103" t="s">
        <v>305</v>
      </c>
      <c r="U103">
        <v>28</v>
      </c>
      <c r="V103" t="s">
        <v>79</v>
      </c>
      <c r="W103" t="s">
        <v>79</v>
      </c>
      <c r="X103" t="s">
        <v>474</v>
      </c>
      <c r="Y103">
        <v>1</v>
      </c>
    </row>
    <row r="104" spans="20:25">
      <c r="T104" t="s">
        <v>305</v>
      </c>
      <c r="U104">
        <v>29</v>
      </c>
      <c r="V104" t="s">
        <v>70</v>
      </c>
      <c r="W104" t="s">
        <v>70</v>
      </c>
      <c r="X104" t="s">
        <v>474</v>
      </c>
      <c r="Y104">
        <v>1</v>
      </c>
    </row>
    <row r="105" spans="20:25">
      <c r="T105" t="s">
        <v>305</v>
      </c>
      <c r="U105">
        <v>30</v>
      </c>
      <c r="V105" t="s">
        <v>84</v>
      </c>
      <c r="W105" t="s">
        <v>84</v>
      </c>
      <c r="X105" t="s">
        <v>474</v>
      </c>
      <c r="Y105">
        <v>1</v>
      </c>
    </row>
    <row r="106" spans="20:25">
      <c r="T106" t="s">
        <v>305</v>
      </c>
      <c r="U106">
        <v>31</v>
      </c>
      <c r="V106" t="s">
        <v>70</v>
      </c>
      <c r="W106" t="s">
        <v>70</v>
      </c>
      <c r="X106" t="s">
        <v>474</v>
      </c>
      <c r="Y106">
        <v>1</v>
      </c>
    </row>
    <row r="107" spans="20:25">
      <c r="T107" t="s">
        <v>305</v>
      </c>
      <c r="U107">
        <v>32</v>
      </c>
      <c r="V107" t="s">
        <v>84</v>
      </c>
      <c r="W107" t="s">
        <v>84</v>
      </c>
      <c r="X107" t="s">
        <v>474</v>
      </c>
      <c r="Y107">
        <v>1</v>
      </c>
    </row>
    <row r="108" spans="20:25">
      <c r="T108" t="s">
        <v>305</v>
      </c>
      <c r="U108">
        <v>33</v>
      </c>
      <c r="V108" t="s">
        <v>70</v>
      </c>
      <c r="W108" t="s">
        <v>70</v>
      </c>
      <c r="X108" t="s">
        <v>474</v>
      </c>
      <c r="Y108">
        <v>1</v>
      </c>
    </row>
    <row r="109" spans="20:25">
      <c r="T109" t="s">
        <v>305</v>
      </c>
      <c r="U109">
        <v>34</v>
      </c>
      <c r="V109" t="s">
        <v>84</v>
      </c>
      <c r="W109" t="s">
        <v>84</v>
      </c>
      <c r="X109" t="s">
        <v>474</v>
      </c>
      <c r="Y109">
        <v>1</v>
      </c>
    </row>
    <row r="110" spans="20:25">
      <c r="T110" t="s">
        <v>305</v>
      </c>
      <c r="U110">
        <v>35</v>
      </c>
      <c r="V110" t="s">
        <v>70</v>
      </c>
      <c r="W110" t="s">
        <v>67</v>
      </c>
      <c r="X110" t="s">
        <v>475</v>
      </c>
      <c r="Y110">
        <v>0.5</v>
      </c>
    </row>
    <row r="111" spans="20:25">
      <c r="T111" t="s">
        <v>305</v>
      </c>
      <c r="U111">
        <v>36</v>
      </c>
      <c r="V111" t="s">
        <v>84</v>
      </c>
      <c r="W111" t="s">
        <v>84</v>
      </c>
      <c r="X111" t="s">
        <v>474</v>
      </c>
      <c r="Y111">
        <v>1</v>
      </c>
    </row>
    <row r="112" spans="20:25">
      <c r="T112" t="s">
        <v>305</v>
      </c>
      <c r="U112">
        <v>37</v>
      </c>
      <c r="V112" t="s">
        <v>71</v>
      </c>
      <c r="W112" t="s">
        <v>71</v>
      </c>
      <c r="X112" t="s">
        <v>474</v>
      </c>
      <c r="Y112">
        <v>1</v>
      </c>
    </row>
    <row r="113" spans="20:25">
      <c r="T113" t="s">
        <v>305</v>
      </c>
      <c r="U113">
        <v>38</v>
      </c>
      <c r="V113" t="s">
        <v>83</v>
      </c>
      <c r="W113" t="s">
        <v>83</v>
      </c>
      <c r="X113" t="s">
        <v>474</v>
      </c>
      <c r="Y113">
        <v>1</v>
      </c>
    </row>
    <row r="114" spans="20:25">
      <c r="T114" t="s">
        <v>305</v>
      </c>
      <c r="U114">
        <v>39</v>
      </c>
      <c r="V114" t="s">
        <v>71</v>
      </c>
      <c r="W114" t="s">
        <v>67</v>
      </c>
      <c r="X114" t="s">
        <v>475</v>
      </c>
      <c r="Y114">
        <v>0.5</v>
      </c>
    </row>
    <row r="115" spans="20:25">
      <c r="T115" t="s">
        <v>305</v>
      </c>
      <c r="U115">
        <v>40</v>
      </c>
      <c r="V115" t="s">
        <v>80</v>
      </c>
      <c r="W115" t="s">
        <v>80</v>
      </c>
      <c r="X115" t="s">
        <v>474</v>
      </c>
      <c r="Y115">
        <v>1</v>
      </c>
    </row>
    <row r="116" spans="20:25">
      <c r="T116" t="s">
        <v>305</v>
      </c>
      <c r="U116">
        <v>41</v>
      </c>
      <c r="V116" t="s">
        <v>68</v>
      </c>
      <c r="W116" t="s">
        <v>68</v>
      </c>
      <c r="X116" t="s">
        <v>474</v>
      </c>
      <c r="Y116">
        <v>1</v>
      </c>
    </row>
    <row r="117" spans="20:25">
      <c r="T117" t="s">
        <v>305</v>
      </c>
      <c r="U117">
        <v>42</v>
      </c>
      <c r="V117" t="s">
        <v>81</v>
      </c>
      <c r="W117" t="s">
        <v>79</v>
      </c>
      <c r="X117" t="s">
        <v>475</v>
      </c>
      <c r="Y117">
        <v>0.5</v>
      </c>
    </row>
    <row r="118" spans="20:25">
      <c r="T118" t="s">
        <v>305</v>
      </c>
      <c r="U118">
        <v>43</v>
      </c>
      <c r="V118" t="s">
        <v>67</v>
      </c>
      <c r="W118" t="s">
        <v>67</v>
      </c>
      <c r="X118" t="s">
        <v>474</v>
      </c>
      <c r="Y118">
        <v>1</v>
      </c>
    </row>
    <row r="119" spans="20:25">
      <c r="T119" t="s">
        <v>305</v>
      </c>
      <c r="U119">
        <v>44</v>
      </c>
      <c r="V119" t="s">
        <v>79</v>
      </c>
      <c r="W119" t="s">
        <v>79</v>
      </c>
      <c r="X119" t="s">
        <v>474</v>
      </c>
      <c r="Y119">
        <v>1</v>
      </c>
    </row>
    <row r="120" spans="20:25">
      <c r="T120" t="s">
        <v>305</v>
      </c>
      <c r="U120">
        <v>45</v>
      </c>
      <c r="V120" t="s">
        <v>70</v>
      </c>
      <c r="W120" t="s">
        <v>70</v>
      </c>
      <c r="X120" t="s">
        <v>474</v>
      </c>
      <c r="Y120">
        <v>1</v>
      </c>
    </row>
    <row r="121" spans="20:25">
      <c r="T121" t="s">
        <v>305</v>
      </c>
      <c r="U121">
        <v>46</v>
      </c>
      <c r="V121" t="s">
        <v>81</v>
      </c>
      <c r="W121" t="s">
        <v>81</v>
      </c>
      <c r="X121" t="s">
        <v>474</v>
      </c>
      <c r="Y121">
        <v>1</v>
      </c>
    </row>
    <row r="122" spans="20:25">
      <c r="T122" t="s">
        <v>305</v>
      </c>
      <c r="U122">
        <v>47</v>
      </c>
      <c r="V122" t="s">
        <v>68</v>
      </c>
      <c r="W122" t="s">
        <v>68</v>
      </c>
      <c r="X122" t="s">
        <v>474</v>
      </c>
      <c r="Y122">
        <v>1</v>
      </c>
    </row>
    <row r="123" spans="20:25">
      <c r="T123" t="s">
        <v>305</v>
      </c>
      <c r="U123">
        <v>48</v>
      </c>
      <c r="V123" t="s">
        <v>80</v>
      </c>
      <c r="W123" t="s">
        <v>80</v>
      </c>
      <c r="X123" t="s">
        <v>474</v>
      </c>
      <c r="Y123">
        <v>1</v>
      </c>
    </row>
    <row r="124" spans="20:25">
      <c r="T124" t="s">
        <v>305</v>
      </c>
      <c r="U124">
        <v>49</v>
      </c>
      <c r="V124" t="s">
        <v>69</v>
      </c>
      <c r="W124" t="s">
        <v>69</v>
      </c>
      <c r="X124" t="s">
        <v>474</v>
      </c>
      <c r="Y124">
        <v>1</v>
      </c>
    </row>
    <row r="125" spans="20:25">
      <c r="T125" t="s">
        <v>305</v>
      </c>
      <c r="U125">
        <v>50</v>
      </c>
      <c r="V125" t="s">
        <v>81</v>
      </c>
      <c r="W125" t="s">
        <v>81</v>
      </c>
      <c r="X125" t="s">
        <v>474</v>
      </c>
      <c r="Y125">
        <v>1</v>
      </c>
    </row>
    <row r="126" spans="20:25">
      <c r="T126" t="s">
        <v>305</v>
      </c>
      <c r="U126">
        <v>51</v>
      </c>
      <c r="V126" t="s">
        <v>67</v>
      </c>
      <c r="W126" t="s">
        <v>67</v>
      </c>
      <c r="X126" t="s">
        <v>474</v>
      </c>
      <c r="Y126">
        <v>1</v>
      </c>
    </row>
    <row r="127" spans="20:25">
      <c r="T127" t="s">
        <v>305</v>
      </c>
      <c r="U127">
        <v>52</v>
      </c>
      <c r="V127" t="s">
        <v>79</v>
      </c>
      <c r="W127" t="s">
        <v>79</v>
      </c>
      <c r="X127" t="s">
        <v>474</v>
      </c>
      <c r="Y127">
        <v>1</v>
      </c>
    </row>
    <row r="128" spans="20:25">
      <c r="T128" t="s">
        <v>305</v>
      </c>
      <c r="U128">
        <v>53</v>
      </c>
      <c r="V128" t="s">
        <v>67</v>
      </c>
      <c r="W128" t="s">
        <v>71</v>
      </c>
      <c r="X128" t="s">
        <v>475</v>
      </c>
      <c r="Y128">
        <v>0.5</v>
      </c>
    </row>
    <row r="129" spans="20:25">
      <c r="T129" t="s">
        <v>305</v>
      </c>
      <c r="U129">
        <v>54</v>
      </c>
      <c r="V129" t="s">
        <v>80</v>
      </c>
      <c r="W129" t="s">
        <v>80</v>
      </c>
      <c r="X129" t="s">
        <v>474</v>
      </c>
      <c r="Y129">
        <v>1</v>
      </c>
    </row>
    <row r="130" spans="20:25">
      <c r="T130" t="s">
        <v>305</v>
      </c>
      <c r="U130">
        <v>55</v>
      </c>
      <c r="V130" t="s">
        <v>69</v>
      </c>
      <c r="W130" t="s">
        <v>69</v>
      </c>
      <c r="X130" t="s">
        <v>474</v>
      </c>
      <c r="Y130">
        <v>1</v>
      </c>
    </row>
    <row r="131" spans="20:25">
      <c r="T131" t="s">
        <v>305</v>
      </c>
      <c r="U131">
        <v>56</v>
      </c>
      <c r="V131" t="s">
        <v>80</v>
      </c>
      <c r="W131" t="s">
        <v>80</v>
      </c>
      <c r="X131" t="s">
        <v>474</v>
      </c>
      <c r="Y131">
        <v>1</v>
      </c>
    </row>
    <row r="132" spans="20:25">
      <c r="T132" t="s">
        <v>305</v>
      </c>
      <c r="U132">
        <v>57</v>
      </c>
      <c r="V132" t="s">
        <v>71</v>
      </c>
      <c r="W132" t="s">
        <v>71</v>
      </c>
      <c r="X132" t="s">
        <v>474</v>
      </c>
      <c r="Y132">
        <v>1</v>
      </c>
    </row>
    <row r="133" spans="20:25">
      <c r="T133" t="s">
        <v>305</v>
      </c>
      <c r="U133">
        <v>58</v>
      </c>
      <c r="V133" t="s">
        <v>81</v>
      </c>
      <c r="W133" t="s">
        <v>81</v>
      </c>
      <c r="X133" t="s">
        <v>474</v>
      </c>
      <c r="Y133">
        <v>1</v>
      </c>
    </row>
    <row r="134" spans="20:25">
      <c r="T134" t="s">
        <v>305</v>
      </c>
      <c r="U134">
        <v>59</v>
      </c>
      <c r="V134" t="s">
        <v>68</v>
      </c>
      <c r="W134" t="s">
        <v>68</v>
      </c>
      <c r="X134" t="s">
        <v>474</v>
      </c>
      <c r="Y134">
        <v>1</v>
      </c>
    </row>
    <row r="135" spans="20:25">
      <c r="T135" t="s">
        <v>305</v>
      </c>
      <c r="U135">
        <v>60</v>
      </c>
      <c r="V135" t="s">
        <v>81</v>
      </c>
      <c r="W135" t="s">
        <v>81</v>
      </c>
      <c r="X135" t="s">
        <v>474</v>
      </c>
      <c r="Y135">
        <v>0.5</v>
      </c>
    </row>
    <row r="136" spans="20:25">
      <c r="T136" t="s">
        <v>76</v>
      </c>
      <c r="U136">
        <v>1</v>
      </c>
      <c r="V136" t="s">
        <v>70</v>
      </c>
      <c r="W136" t="s">
        <v>70</v>
      </c>
      <c r="X136" t="s">
        <v>474</v>
      </c>
      <c r="Y136">
        <v>1</v>
      </c>
    </row>
    <row r="137" spans="20:25">
      <c r="T137" t="s">
        <v>76</v>
      </c>
      <c r="U137">
        <v>2</v>
      </c>
      <c r="V137" t="s">
        <v>79</v>
      </c>
      <c r="W137" t="s">
        <v>79</v>
      </c>
      <c r="X137" t="s">
        <v>474</v>
      </c>
      <c r="Y137">
        <v>1</v>
      </c>
    </row>
    <row r="138" spans="20:25">
      <c r="T138" t="s">
        <v>76</v>
      </c>
      <c r="U138">
        <v>3</v>
      </c>
      <c r="V138" t="s">
        <v>71</v>
      </c>
      <c r="W138" t="s">
        <v>71</v>
      </c>
      <c r="X138" t="s">
        <v>474</v>
      </c>
      <c r="Y138">
        <v>1</v>
      </c>
    </row>
    <row r="139" spans="20:25">
      <c r="T139" t="s">
        <v>76</v>
      </c>
      <c r="U139">
        <v>4</v>
      </c>
      <c r="V139" t="s">
        <v>83</v>
      </c>
      <c r="W139" t="s">
        <v>83</v>
      </c>
      <c r="X139" t="s">
        <v>474</v>
      </c>
      <c r="Y139">
        <v>1</v>
      </c>
    </row>
    <row r="140" spans="20:25">
      <c r="T140" t="s">
        <v>76</v>
      </c>
      <c r="U140">
        <v>5</v>
      </c>
      <c r="V140" t="s">
        <v>67</v>
      </c>
      <c r="W140" t="s">
        <v>67</v>
      </c>
      <c r="X140" t="s">
        <v>474</v>
      </c>
      <c r="Y140">
        <v>1</v>
      </c>
    </row>
    <row r="141" spans="20:25">
      <c r="T141" t="s">
        <v>76</v>
      </c>
      <c r="U141">
        <v>6</v>
      </c>
      <c r="V141" t="s">
        <v>81</v>
      </c>
      <c r="W141" t="s">
        <v>81</v>
      </c>
      <c r="X141" t="s">
        <v>474</v>
      </c>
      <c r="Y141">
        <v>1</v>
      </c>
    </row>
    <row r="142" spans="20:25">
      <c r="T142" t="s">
        <v>76</v>
      </c>
      <c r="U142">
        <v>7</v>
      </c>
      <c r="V142" t="s">
        <v>69</v>
      </c>
      <c r="W142" t="s">
        <v>69</v>
      </c>
      <c r="X142" t="s">
        <v>474</v>
      </c>
      <c r="Y142">
        <v>1</v>
      </c>
    </row>
    <row r="143" spans="20:25">
      <c r="T143" t="s">
        <v>76</v>
      </c>
      <c r="U143">
        <v>8</v>
      </c>
      <c r="V143" t="s">
        <v>80</v>
      </c>
      <c r="W143" t="s">
        <v>80</v>
      </c>
      <c r="X143" t="s">
        <v>474</v>
      </c>
      <c r="Y143">
        <v>1</v>
      </c>
    </row>
    <row r="144" spans="20:25">
      <c r="T144" t="s">
        <v>76</v>
      </c>
      <c r="U144">
        <v>9</v>
      </c>
      <c r="V144" t="s">
        <v>69</v>
      </c>
      <c r="W144" t="s">
        <v>69</v>
      </c>
      <c r="X144" t="s">
        <v>474</v>
      </c>
      <c r="Y144">
        <v>1</v>
      </c>
    </row>
    <row r="145" spans="20:25">
      <c r="T145" t="s">
        <v>76</v>
      </c>
      <c r="U145">
        <v>10</v>
      </c>
      <c r="V145" t="s">
        <v>83</v>
      </c>
      <c r="W145" t="s">
        <v>83</v>
      </c>
      <c r="X145" t="s">
        <v>474</v>
      </c>
      <c r="Y145">
        <v>1</v>
      </c>
    </row>
    <row r="146" spans="20:25">
      <c r="T146" t="s">
        <v>76</v>
      </c>
      <c r="U146">
        <v>11</v>
      </c>
      <c r="V146" t="s">
        <v>70</v>
      </c>
      <c r="W146" t="s">
        <v>70</v>
      </c>
      <c r="X146" t="s">
        <v>474</v>
      </c>
      <c r="Y146">
        <v>1</v>
      </c>
    </row>
    <row r="147" spans="20:25">
      <c r="T147" t="s">
        <v>76</v>
      </c>
      <c r="U147">
        <v>12</v>
      </c>
      <c r="V147" t="s">
        <v>81</v>
      </c>
      <c r="W147" t="s">
        <v>81</v>
      </c>
      <c r="X147" t="s">
        <v>474</v>
      </c>
      <c r="Y147">
        <v>1</v>
      </c>
    </row>
    <row r="148" spans="20:25">
      <c r="T148" t="s">
        <v>76</v>
      </c>
      <c r="U148">
        <v>13</v>
      </c>
      <c r="V148" t="s">
        <v>70</v>
      </c>
      <c r="W148" t="s">
        <v>70</v>
      </c>
      <c r="X148" t="s">
        <v>474</v>
      </c>
      <c r="Y148">
        <v>1</v>
      </c>
    </row>
    <row r="149" spans="20:25">
      <c r="T149" t="s">
        <v>76</v>
      </c>
      <c r="U149">
        <v>14</v>
      </c>
      <c r="V149" t="s">
        <v>83</v>
      </c>
      <c r="W149" t="s">
        <v>83</v>
      </c>
      <c r="X149" t="s">
        <v>474</v>
      </c>
      <c r="Y149">
        <v>1</v>
      </c>
    </row>
    <row r="150" spans="20:25">
      <c r="T150" t="s">
        <v>76</v>
      </c>
      <c r="U150">
        <v>15</v>
      </c>
      <c r="V150" t="s">
        <v>71</v>
      </c>
      <c r="W150" t="s">
        <v>71</v>
      </c>
      <c r="X150" t="s">
        <v>474</v>
      </c>
      <c r="Y150">
        <v>1</v>
      </c>
    </row>
    <row r="151" spans="20:25">
      <c r="T151" t="s">
        <v>76</v>
      </c>
      <c r="U151">
        <v>16</v>
      </c>
      <c r="V151" t="s">
        <v>80</v>
      </c>
      <c r="W151" t="s">
        <v>80</v>
      </c>
      <c r="X151" t="s">
        <v>474</v>
      </c>
      <c r="Y151">
        <v>1</v>
      </c>
    </row>
    <row r="152" spans="20:25">
      <c r="T152" t="s">
        <v>76</v>
      </c>
      <c r="U152">
        <v>17</v>
      </c>
      <c r="V152" t="s">
        <v>70</v>
      </c>
      <c r="W152" t="s">
        <v>70</v>
      </c>
      <c r="X152" t="s">
        <v>474</v>
      </c>
      <c r="Y152">
        <v>1</v>
      </c>
    </row>
    <row r="153" spans="20:25">
      <c r="T153" t="s">
        <v>76</v>
      </c>
      <c r="U153">
        <v>18</v>
      </c>
      <c r="V153" t="s">
        <v>81</v>
      </c>
      <c r="W153" t="s">
        <v>81</v>
      </c>
      <c r="X153" t="s">
        <v>474</v>
      </c>
      <c r="Y153">
        <v>1</v>
      </c>
    </row>
    <row r="154" spans="20:25">
      <c r="T154" t="s">
        <v>76</v>
      </c>
      <c r="U154">
        <v>19</v>
      </c>
      <c r="V154" t="s">
        <v>67</v>
      </c>
      <c r="W154" t="s">
        <v>67</v>
      </c>
      <c r="X154" t="s">
        <v>474</v>
      </c>
      <c r="Y154">
        <v>1</v>
      </c>
    </row>
    <row r="155" spans="20:25">
      <c r="T155" t="s">
        <v>76</v>
      </c>
      <c r="U155">
        <v>20</v>
      </c>
      <c r="V155" t="s">
        <v>80</v>
      </c>
      <c r="W155" t="s">
        <v>80</v>
      </c>
      <c r="X155" t="s">
        <v>474</v>
      </c>
      <c r="Y155">
        <v>1</v>
      </c>
    </row>
    <row r="156" spans="20:25">
      <c r="T156" t="s">
        <v>76</v>
      </c>
      <c r="U156">
        <v>21</v>
      </c>
      <c r="V156" t="s">
        <v>67</v>
      </c>
      <c r="W156" t="s">
        <v>67</v>
      </c>
      <c r="X156" t="s">
        <v>474</v>
      </c>
      <c r="Y156">
        <v>1</v>
      </c>
    </row>
    <row r="157" spans="20:25">
      <c r="T157" t="s">
        <v>76</v>
      </c>
      <c r="U157">
        <v>22</v>
      </c>
      <c r="V157" t="s">
        <v>80</v>
      </c>
      <c r="W157" t="s">
        <v>80</v>
      </c>
      <c r="X157" t="s">
        <v>474</v>
      </c>
      <c r="Y157">
        <v>1</v>
      </c>
    </row>
    <row r="158" spans="20:25">
      <c r="T158" t="s">
        <v>76</v>
      </c>
      <c r="U158">
        <v>23</v>
      </c>
      <c r="V158" t="s">
        <v>71</v>
      </c>
      <c r="W158" t="s">
        <v>71</v>
      </c>
      <c r="X158" t="s">
        <v>474</v>
      </c>
      <c r="Y158">
        <v>1</v>
      </c>
    </row>
    <row r="159" spans="20:25">
      <c r="T159" t="s">
        <v>76</v>
      </c>
      <c r="U159">
        <v>24</v>
      </c>
      <c r="V159" t="s">
        <v>79</v>
      </c>
      <c r="W159" t="s">
        <v>79</v>
      </c>
      <c r="X159" t="s">
        <v>474</v>
      </c>
      <c r="Y159">
        <v>1</v>
      </c>
    </row>
    <row r="160" spans="20:25">
      <c r="T160" t="s">
        <v>76</v>
      </c>
      <c r="U160">
        <v>25</v>
      </c>
      <c r="V160" t="s">
        <v>69</v>
      </c>
      <c r="W160" t="s">
        <v>69</v>
      </c>
      <c r="X160" t="s">
        <v>474</v>
      </c>
      <c r="Y160">
        <v>1</v>
      </c>
    </row>
    <row r="161" spans="20:25">
      <c r="T161" t="s">
        <v>76</v>
      </c>
      <c r="U161">
        <v>26</v>
      </c>
      <c r="V161" t="s">
        <v>79</v>
      </c>
      <c r="W161" t="s">
        <v>79</v>
      </c>
      <c r="X161" t="s">
        <v>474</v>
      </c>
      <c r="Y161">
        <v>1</v>
      </c>
    </row>
    <row r="162" spans="20:25">
      <c r="T162" t="s">
        <v>76</v>
      </c>
      <c r="U162">
        <v>27</v>
      </c>
      <c r="V162" t="s">
        <v>69</v>
      </c>
      <c r="W162" t="s">
        <v>69</v>
      </c>
      <c r="X162" t="s">
        <v>474</v>
      </c>
      <c r="Y162">
        <v>1</v>
      </c>
    </row>
    <row r="163" spans="20:25">
      <c r="T163" t="s">
        <v>76</v>
      </c>
      <c r="U163">
        <v>28</v>
      </c>
      <c r="V163" t="s">
        <v>81</v>
      </c>
      <c r="W163" t="s">
        <v>81</v>
      </c>
      <c r="X163" t="s">
        <v>474</v>
      </c>
      <c r="Y163">
        <v>1</v>
      </c>
    </row>
    <row r="164" spans="20:25">
      <c r="T164" t="s">
        <v>76</v>
      </c>
      <c r="U164">
        <v>29</v>
      </c>
      <c r="V164" t="s">
        <v>71</v>
      </c>
      <c r="W164" t="s">
        <v>71</v>
      </c>
      <c r="X164" t="s">
        <v>474</v>
      </c>
      <c r="Y164">
        <v>1</v>
      </c>
    </row>
    <row r="165" spans="20:25">
      <c r="T165" t="s">
        <v>76</v>
      </c>
      <c r="U165">
        <v>30</v>
      </c>
      <c r="V165" t="s">
        <v>79</v>
      </c>
      <c r="W165" t="s">
        <v>79</v>
      </c>
      <c r="X165" t="s">
        <v>474</v>
      </c>
      <c r="Y165">
        <v>1</v>
      </c>
    </row>
    <row r="166" spans="20:25">
      <c r="T166" t="s">
        <v>76</v>
      </c>
      <c r="U166">
        <v>31</v>
      </c>
      <c r="V166" t="s">
        <v>67</v>
      </c>
      <c r="W166" t="s">
        <v>67</v>
      </c>
      <c r="X166" t="s">
        <v>474</v>
      </c>
      <c r="Y166">
        <v>1</v>
      </c>
    </row>
    <row r="167" spans="20:25">
      <c r="T167" t="s">
        <v>76</v>
      </c>
      <c r="U167">
        <v>32</v>
      </c>
      <c r="V167" t="s">
        <v>79</v>
      </c>
      <c r="W167" t="s">
        <v>79</v>
      </c>
      <c r="X167" t="s">
        <v>474</v>
      </c>
      <c r="Y167">
        <v>0.5</v>
      </c>
    </row>
    <row r="168" spans="20:25">
      <c r="T168" t="s">
        <v>76</v>
      </c>
      <c r="U168">
        <v>33</v>
      </c>
      <c r="V168" t="s">
        <v>70</v>
      </c>
      <c r="W168" t="s">
        <v>70</v>
      </c>
      <c r="X168" t="s">
        <v>474</v>
      </c>
      <c r="Y168">
        <v>1</v>
      </c>
    </row>
    <row r="169" spans="20:25">
      <c r="T169" t="s">
        <v>76</v>
      </c>
      <c r="U169">
        <v>34</v>
      </c>
      <c r="V169" t="s">
        <v>81</v>
      </c>
      <c r="W169" t="s">
        <v>81</v>
      </c>
      <c r="X169" t="s">
        <v>474</v>
      </c>
      <c r="Y169">
        <v>1</v>
      </c>
    </row>
    <row r="170" spans="20:25">
      <c r="T170" t="s">
        <v>76</v>
      </c>
      <c r="U170">
        <v>35</v>
      </c>
      <c r="V170" t="s">
        <v>67</v>
      </c>
      <c r="W170" t="s">
        <v>67</v>
      </c>
      <c r="X170" t="s">
        <v>474</v>
      </c>
      <c r="Y170">
        <v>1</v>
      </c>
    </row>
    <row r="171" spans="20:25">
      <c r="T171" t="s">
        <v>76</v>
      </c>
      <c r="U171">
        <v>36</v>
      </c>
      <c r="V171" t="s">
        <v>81</v>
      </c>
      <c r="W171" t="s">
        <v>81</v>
      </c>
      <c r="X171" t="s">
        <v>474</v>
      </c>
      <c r="Y171">
        <v>1</v>
      </c>
    </row>
    <row r="172" spans="20:25">
      <c r="T172" t="s">
        <v>76</v>
      </c>
      <c r="U172">
        <v>37</v>
      </c>
      <c r="V172" t="s">
        <v>71</v>
      </c>
      <c r="W172" t="s">
        <v>67</v>
      </c>
      <c r="X172" t="s">
        <v>475</v>
      </c>
      <c r="Y172">
        <v>0.5</v>
      </c>
    </row>
    <row r="173" spans="20:25">
      <c r="T173" t="s">
        <v>76</v>
      </c>
      <c r="U173">
        <v>38</v>
      </c>
      <c r="V173" t="s">
        <v>80</v>
      </c>
      <c r="W173" t="s">
        <v>80</v>
      </c>
      <c r="X173" t="s">
        <v>474</v>
      </c>
      <c r="Y173">
        <v>1</v>
      </c>
    </row>
    <row r="174" spans="20:25">
      <c r="T174" t="s">
        <v>76</v>
      </c>
      <c r="U174">
        <v>39</v>
      </c>
      <c r="V174" t="s">
        <v>67</v>
      </c>
      <c r="W174" t="s">
        <v>67</v>
      </c>
      <c r="X174" t="s">
        <v>474</v>
      </c>
      <c r="Y174">
        <v>1</v>
      </c>
    </row>
    <row r="175" spans="20:25">
      <c r="T175" t="s">
        <v>76</v>
      </c>
      <c r="U175">
        <v>40</v>
      </c>
      <c r="V175" t="s">
        <v>79</v>
      </c>
      <c r="W175" t="s">
        <v>79</v>
      </c>
      <c r="X175" t="s">
        <v>474</v>
      </c>
      <c r="Y175">
        <v>1</v>
      </c>
    </row>
    <row r="176" spans="20:25">
      <c r="T176" t="s">
        <v>77</v>
      </c>
      <c r="U176">
        <v>1</v>
      </c>
      <c r="V176" t="s">
        <v>70</v>
      </c>
      <c r="W176" t="s">
        <v>70</v>
      </c>
      <c r="X176" t="s">
        <v>474</v>
      </c>
      <c r="Y176">
        <v>1</v>
      </c>
    </row>
    <row r="177" spans="20:25">
      <c r="T177" t="s">
        <v>77</v>
      </c>
      <c r="U177">
        <v>2</v>
      </c>
      <c r="V177" t="s">
        <v>79</v>
      </c>
      <c r="W177" t="s">
        <v>79</v>
      </c>
      <c r="X177" t="s">
        <v>474</v>
      </c>
      <c r="Y177">
        <v>1</v>
      </c>
    </row>
    <row r="178" spans="20:25">
      <c r="T178" t="s">
        <v>77</v>
      </c>
      <c r="U178">
        <v>3</v>
      </c>
      <c r="V178" t="s">
        <v>69</v>
      </c>
      <c r="W178" t="s">
        <v>69</v>
      </c>
      <c r="X178" t="s">
        <v>474</v>
      </c>
      <c r="Y178">
        <v>1</v>
      </c>
    </row>
    <row r="179" spans="20:25">
      <c r="T179" t="s">
        <v>77</v>
      </c>
      <c r="U179">
        <v>4</v>
      </c>
      <c r="V179" t="s">
        <v>80</v>
      </c>
      <c r="W179" t="s">
        <v>80</v>
      </c>
      <c r="X179" t="s">
        <v>474</v>
      </c>
      <c r="Y179">
        <v>1</v>
      </c>
    </row>
    <row r="180" spans="20:25">
      <c r="T180" t="s">
        <v>77</v>
      </c>
      <c r="U180">
        <v>5</v>
      </c>
      <c r="V180" t="s">
        <v>69</v>
      </c>
      <c r="W180" t="s">
        <v>69</v>
      </c>
      <c r="X180" t="s">
        <v>474</v>
      </c>
      <c r="Y180">
        <v>1</v>
      </c>
    </row>
    <row r="181" spans="20:25">
      <c r="T181" t="s">
        <v>77</v>
      </c>
      <c r="U181">
        <v>6</v>
      </c>
      <c r="V181" t="s">
        <v>79</v>
      </c>
      <c r="W181" t="s">
        <v>79</v>
      </c>
      <c r="X181" t="s">
        <v>474</v>
      </c>
      <c r="Y181">
        <v>1</v>
      </c>
    </row>
    <row r="182" spans="20:25">
      <c r="T182" t="s">
        <v>77</v>
      </c>
      <c r="U182">
        <v>7</v>
      </c>
      <c r="V182" t="s">
        <v>67</v>
      </c>
      <c r="W182" t="s">
        <v>67</v>
      </c>
      <c r="X182" t="s">
        <v>474</v>
      </c>
      <c r="Y182">
        <v>1</v>
      </c>
    </row>
    <row r="183" spans="20:25">
      <c r="T183" t="s">
        <v>77</v>
      </c>
      <c r="U183">
        <v>8</v>
      </c>
      <c r="V183" t="s">
        <v>80</v>
      </c>
      <c r="W183" t="s">
        <v>80</v>
      </c>
      <c r="X183" t="s">
        <v>474</v>
      </c>
      <c r="Y183">
        <v>1</v>
      </c>
    </row>
    <row r="184" spans="20:25">
      <c r="T184" t="s">
        <v>77</v>
      </c>
      <c r="U184">
        <v>9</v>
      </c>
      <c r="V184" t="s">
        <v>71</v>
      </c>
      <c r="W184" t="s">
        <v>71</v>
      </c>
      <c r="X184" t="s">
        <v>474</v>
      </c>
      <c r="Y184">
        <v>1</v>
      </c>
    </row>
    <row r="185" spans="20:25">
      <c r="T185" t="s">
        <v>77</v>
      </c>
      <c r="U185">
        <v>10</v>
      </c>
      <c r="V185" t="s">
        <v>83</v>
      </c>
      <c r="W185" t="s">
        <v>83</v>
      </c>
      <c r="X185" t="s">
        <v>474</v>
      </c>
      <c r="Y185">
        <v>1</v>
      </c>
    </row>
    <row r="186" spans="20:25">
      <c r="T186" t="s">
        <v>77</v>
      </c>
      <c r="U186">
        <v>11</v>
      </c>
      <c r="V186" t="s">
        <v>67</v>
      </c>
      <c r="W186" t="s">
        <v>67</v>
      </c>
      <c r="X186" t="s">
        <v>474</v>
      </c>
      <c r="Y186">
        <v>1</v>
      </c>
    </row>
    <row r="187" spans="20:25">
      <c r="T187" t="s">
        <v>77</v>
      </c>
      <c r="U187">
        <v>12</v>
      </c>
      <c r="V187" t="s">
        <v>83</v>
      </c>
      <c r="W187" t="s">
        <v>83</v>
      </c>
      <c r="X187" t="s">
        <v>474</v>
      </c>
      <c r="Y187">
        <v>1</v>
      </c>
    </row>
    <row r="188" spans="20:25">
      <c r="T188" t="s">
        <v>77</v>
      </c>
      <c r="U188">
        <v>13</v>
      </c>
      <c r="V188" t="s">
        <v>69</v>
      </c>
      <c r="W188" t="s">
        <v>69</v>
      </c>
      <c r="X188" t="s">
        <v>474</v>
      </c>
      <c r="Y188">
        <v>1</v>
      </c>
    </row>
    <row r="189" spans="20:25">
      <c r="T189" t="s">
        <v>77</v>
      </c>
      <c r="U189">
        <v>14</v>
      </c>
      <c r="V189" t="s">
        <v>83</v>
      </c>
      <c r="W189" t="s">
        <v>83</v>
      </c>
      <c r="X189" t="s">
        <v>474</v>
      </c>
      <c r="Y189">
        <v>1</v>
      </c>
    </row>
    <row r="190" spans="20:25">
      <c r="T190" t="s">
        <v>77</v>
      </c>
      <c r="U190">
        <v>15</v>
      </c>
      <c r="V190" t="s">
        <v>71</v>
      </c>
      <c r="W190" t="s">
        <v>71</v>
      </c>
      <c r="X190" t="s">
        <v>474</v>
      </c>
      <c r="Y190">
        <v>1</v>
      </c>
    </row>
    <row r="191" spans="20:25">
      <c r="T191" t="s">
        <v>77</v>
      </c>
      <c r="U191">
        <v>16</v>
      </c>
      <c r="V191" t="s">
        <v>81</v>
      </c>
      <c r="W191" t="s">
        <v>81</v>
      </c>
      <c r="X191" t="s">
        <v>474</v>
      </c>
      <c r="Y191">
        <v>1</v>
      </c>
    </row>
    <row r="192" spans="20:25">
      <c r="T192" t="s">
        <v>77</v>
      </c>
      <c r="U192">
        <v>17</v>
      </c>
      <c r="V192" t="s">
        <v>67</v>
      </c>
      <c r="W192" t="s">
        <v>67</v>
      </c>
      <c r="X192" t="s">
        <v>474</v>
      </c>
      <c r="Y192">
        <v>1</v>
      </c>
    </row>
    <row r="193" spans="20:25">
      <c r="T193" t="s">
        <v>77</v>
      </c>
      <c r="U193">
        <v>18</v>
      </c>
      <c r="V193" t="s">
        <v>79</v>
      </c>
      <c r="W193" t="s">
        <v>79</v>
      </c>
      <c r="X193" t="s">
        <v>474</v>
      </c>
      <c r="Y193">
        <v>0.5</v>
      </c>
    </row>
    <row r="194" spans="20:25">
      <c r="T194" t="s">
        <v>77</v>
      </c>
      <c r="U194">
        <v>19</v>
      </c>
      <c r="V194" t="s">
        <v>71</v>
      </c>
      <c r="W194" t="s">
        <v>71</v>
      </c>
      <c r="X194" t="s">
        <v>474</v>
      </c>
      <c r="Y194">
        <v>1</v>
      </c>
    </row>
    <row r="195" spans="20:25">
      <c r="T195" t="s">
        <v>77</v>
      </c>
      <c r="U195">
        <v>20</v>
      </c>
      <c r="V195" t="s">
        <v>81</v>
      </c>
      <c r="W195" t="s">
        <v>81</v>
      </c>
      <c r="X195" t="s">
        <v>474</v>
      </c>
      <c r="Y195">
        <v>1</v>
      </c>
    </row>
    <row r="196" spans="20:25">
      <c r="T196" t="s">
        <v>77</v>
      </c>
      <c r="U196">
        <v>21</v>
      </c>
      <c r="V196" t="s">
        <v>71</v>
      </c>
      <c r="W196" t="s">
        <v>71</v>
      </c>
      <c r="X196" t="s">
        <v>474</v>
      </c>
      <c r="Y196">
        <v>1</v>
      </c>
    </row>
    <row r="197" spans="20:25">
      <c r="T197" t="s">
        <v>77</v>
      </c>
      <c r="U197">
        <v>22</v>
      </c>
      <c r="V197" t="s">
        <v>83</v>
      </c>
      <c r="W197" t="s">
        <v>83</v>
      </c>
      <c r="X197" t="s">
        <v>474</v>
      </c>
      <c r="Y197">
        <v>1</v>
      </c>
    </row>
    <row r="198" spans="20:25">
      <c r="T198" t="s">
        <v>77</v>
      </c>
      <c r="U198">
        <v>23</v>
      </c>
      <c r="V198" t="s">
        <v>69</v>
      </c>
      <c r="W198" t="s">
        <v>69</v>
      </c>
      <c r="X198" t="s">
        <v>474</v>
      </c>
      <c r="Y198">
        <v>1</v>
      </c>
    </row>
    <row r="199" spans="20:25">
      <c r="T199" t="s">
        <v>77</v>
      </c>
      <c r="U199">
        <v>24</v>
      </c>
      <c r="V199" t="s">
        <v>79</v>
      </c>
      <c r="W199" t="s">
        <v>79</v>
      </c>
      <c r="X199" t="s">
        <v>474</v>
      </c>
      <c r="Y199">
        <v>1</v>
      </c>
    </row>
    <row r="200" spans="20:25">
      <c r="T200" t="s">
        <v>77</v>
      </c>
      <c r="U200">
        <v>25</v>
      </c>
      <c r="V200" t="s">
        <v>67</v>
      </c>
      <c r="W200" t="s">
        <v>67</v>
      </c>
      <c r="X200" t="s">
        <v>474</v>
      </c>
      <c r="Y200">
        <v>1</v>
      </c>
    </row>
    <row r="201" spans="20:25">
      <c r="T201" t="s">
        <v>77</v>
      </c>
      <c r="U201">
        <v>26</v>
      </c>
      <c r="V201" t="s">
        <v>79</v>
      </c>
      <c r="W201" t="s">
        <v>79</v>
      </c>
      <c r="X201" t="s">
        <v>474</v>
      </c>
      <c r="Y201">
        <v>1</v>
      </c>
    </row>
    <row r="202" spans="20:25">
      <c r="T202" t="s">
        <v>77</v>
      </c>
      <c r="U202">
        <v>27</v>
      </c>
      <c r="V202" t="s">
        <v>69</v>
      </c>
      <c r="W202" t="s">
        <v>69</v>
      </c>
      <c r="X202" t="s">
        <v>474</v>
      </c>
      <c r="Y202">
        <v>1</v>
      </c>
    </row>
    <row r="203" spans="20:25">
      <c r="T203" t="s">
        <v>77</v>
      </c>
      <c r="U203">
        <v>28</v>
      </c>
      <c r="V203" t="s">
        <v>80</v>
      </c>
      <c r="W203" t="s">
        <v>80</v>
      </c>
      <c r="X203" t="s">
        <v>474</v>
      </c>
      <c r="Y203">
        <v>1</v>
      </c>
    </row>
    <row r="204" spans="20:25">
      <c r="T204" t="s">
        <v>77</v>
      </c>
      <c r="U204">
        <v>29</v>
      </c>
      <c r="V204" t="s">
        <v>70</v>
      </c>
      <c r="W204" t="s">
        <v>70</v>
      </c>
      <c r="X204" t="s">
        <v>474</v>
      </c>
      <c r="Y204">
        <v>1</v>
      </c>
    </row>
    <row r="205" spans="20:25">
      <c r="T205" t="s">
        <v>77</v>
      </c>
      <c r="U205">
        <v>30</v>
      </c>
      <c r="V205" t="s">
        <v>79</v>
      </c>
      <c r="W205" t="s">
        <v>79</v>
      </c>
      <c r="X205" t="s">
        <v>474</v>
      </c>
      <c r="Y205">
        <v>1</v>
      </c>
    </row>
    <row r="206" spans="20:25">
      <c r="T206" t="s">
        <v>77</v>
      </c>
      <c r="U206">
        <v>31</v>
      </c>
      <c r="V206" t="s">
        <v>67</v>
      </c>
      <c r="W206" t="s">
        <v>67</v>
      </c>
      <c r="X206" t="s">
        <v>474</v>
      </c>
      <c r="Y206">
        <v>1</v>
      </c>
    </row>
    <row r="207" spans="20:25">
      <c r="T207" t="s">
        <v>77</v>
      </c>
      <c r="U207">
        <v>32</v>
      </c>
      <c r="V207" t="s">
        <v>79</v>
      </c>
      <c r="W207" t="s">
        <v>79</v>
      </c>
      <c r="X207" t="s">
        <v>474</v>
      </c>
      <c r="Y207">
        <v>1</v>
      </c>
    </row>
    <row r="208" spans="20:25">
      <c r="T208" t="s">
        <v>77</v>
      </c>
      <c r="U208">
        <v>33</v>
      </c>
      <c r="V208" t="s">
        <v>70</v>
      </c>
      <c r="W208" t="s">
        <v>70</v>
      </c>
      <c r="X208" t="s">
        <v>474</v>
      </c>
      <c r="Y208">
        <v>1</v>
      </c>
    </row>
    <row r="209" spans="20:25">
      <c r="T209" t="s">
        <v>77</v>
      </c>
      <c r="U209">
        <v>34</v>
      </c>
      <c r="V209" t="s">
        <v>81</v>
      </c>
      <c r="W209" t="s">
        <v>81</v>
      </c>
      <c r="X209" t="s">
        <v>474</v>
      </c>
      <c r="Y209">
        <v>1</v>
      </c>
    </row>
    <row r="210" spans="20:25">
      <c r="T210" t="s">
        <v>77</v>
      </c>
      <c r="U210">
        <v>35</v>
      </c>
      <c r="V210" t="s">
        <v>69</v>
      </c>
      <c r="W210" t="s">
        <v>69</v>
      </c>
      <c r="X210" t="s">
        <v>474</v>
      </c>
      <c r="Y210">
        <v>1</v>
      </c>
    </row>
    <row r="211" spans="20:25">
      <c r="T211" t="s">
        <v>77</v>
      </c>
      <c r="U211">
        <v>36</v>
      </c>
      <c r="V211" t="s">
        <v>80</v>
      </c>
      <c r="W211" t="s">
        <v>80</v>
      </c>
      <c r="X211" t="s">
        <v>474</v>
      </c>
      <c r="Y211">
        <v>0.5</v>
      </c>
    </row>
    <row r="212" spans="20:25">
      <c r="T212" t="s">
        <v>77</v>
      </c>
      <c r="U212">
        <v>37</v>
      </c>
      <c r="V212" t="s">
        <v>67</v>
      </c>
      <c r="W212" t="s">
        <v>67</v>
      </c>
      <c r="X212" t="s">
        <v>474</v>
      </c>
      <c r="Y212">
        <v>1</v>
      </c>
    </row>
    <row r="213" spans="20:25">
      <c r="T213" t="s">
        <v>77</v>
      </c>
      <c r="U213">
        <v>38</v>
      </c>
      <c r="V213" t="s">
        <v>79</v>
      </c>
      <c r="W213" t="s">
        <v>83</v>
      </c>
      <c r="X213" t="s">
        <v>475</v>
      </c>
      <c r="Y213">
        <v>0.5</v>
      </c>
    </row>
    <row r="214" spans="20:25">
      <c r="T214" t="s">
        <v>77</v>
      </c>
      <c r="U214">
        <v>39</v>
      </c>
      <c r="V214" t="s">
        <v>69</v>
      </c>
      <c r="W214" t="s">
        <v>69</v>
      </c>
      <c r="X214" t="s">
        <v>474</v>
      </c>
      <c r="Y214">
        <v>1</v>
      </c>
    </row>
    <row r="215" spans="20:25">
      <c r="T215" t="s">
        <v>77</v>
      </c>
      <c r="U215">
        <v>40</v>
      </c>
      <c r="V215" t="s">
        <v>80</v>
      </c>
      <c r="W215" t="s">
        <v>80</v>
      </c>
      <c r="X215" t="s">
        <v>474</v>
      </c>
      <c r="Y215">
        <v>1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UpdateCheck"/>
  <dimension ref="A1:AG38"/>
  <sheetViews>
    <sheetView workbookViewId="0">
      <selection activeCell="J7" sqref="J7"/>
    </sheetView>
  </sheetViews>
  <sheetFormatPr baseColWidth="10" defaultColWidth="8.83203125" defaultRowHeight="15"/>
  <cols>
    <col min="1" max="1" width="24.5" customWidth="1"/>
    <col min="2" max="2" width="10" customWidth="1"/>
    <col min="3" max="3" width="28.5" customWidth="1"/>
    <col min="4" max="4" width="12" customWidth="1"/>
    <col min="5" max="5" width="11.33203125" customWidth="1"/>
    <col min="6" max="6" width="9.6640625" customWidth="1"/>
    <col min="7" max="7" width="17.5" customWidth="1"/>
    <col min="8" max="8" width="14.6640625" customWidth="1"/>
    <col min="10" max="12" width="10.1640625" customWidth="1"/>
    <col min="14" max="15" width="5" customWidth="1"/>
    <col min="16" max="16" width="17.5" customWidth="1"/>
    <col min="19" max="22" width="3.5" customWidth="1"/>
    <col min="23" max="23" width="3.5" style="14" customWidth="1"/>
    <col min="24" max="26" width="3.5" customWidth="1"/>
    <col min="30" max="30" width="12.1640625" customWidth="1"/>
    <col min="31" max="31" width="14.1640625" customWidth="1"/>
    <col min="33" max="33" width="10.83203125" customWidth="1"/>
  </cols>
  <sheetData>
    <row r="1" spans="1:33">
      <c r="A1" t="s">
        <v>18</v>
      </c>
      <c r="B1" t="s">
        <v>63</v>
      </c>
      <c r="C1" t="s">
        <v>64</v>
      </c>
      <c r="D1" t="s">
        <v>65</v>
      </c>
      <c r="E1" t="s">
        <v>17</v>
      </c>
      <c r="F1" t="s">
        <v>293</v>
      </c>
      <c r="G1" t="s">
        <v>19</v>
      </c>
      <c r="H1" t="s">
        <v>22</v>
      </c>
      <c r="J1" t="s">
        <v>14</v>
      </c>
      <c r="K1" t="s">
        <v>15</v>
      </c>
      <c r="L1" t="s">
        <v>16</v>
      </c>
      <c r="M1" t="s">
        <v>20</v>
      </c>
      <c r="P1" t="s">
        <v>21</v>
      </c>
      <c r="Q1" t="s">
        <v>22</v>
      </c>
      <c r="AA1" t="s">
        <v>18</v>
      </c>
      <c r="AB1" t="s">
        <v>63</v>
      </c>
      <c r="AC1" t="s">
        <v>64</v>
      </c>
      <c r="AD1" t="s">
        <v>65</v>
      </c>
      <c r="AE1" t="s">
        <v>17</v>
      </c>
      <c r="AF1" t="s">
        <v>293</v>
      </c>
      <c r="AG1" t="s">
        <v>19</v>
      </c>
    </row>
    <row r="2" spans="1:33">
      <c r="A2" t="s">
        <v>480</v>
      </c>
      <c r="B2" t="s">
        <v>482</v>
      </c>
      <c r="C2" t="s">
        <v>483</v>
      </c>
      <c r="G2" s="14">
        <v>43662.690405092595</v>
      </c>
      <c r="H2" t="s">
        <v>628</v>
      </c>
      <c r="J2" t="s">
        <v>480</v>
      </c>
      <c r="K2" t="s">
        <v>482</v>
      </c>
      <c r="L2" t="s">
        <v>483</v>
      </c>
      <c r="O2" s="14"/>
      <c r="P2" s="14">
        <v>43662.690405092595</v>
      </c>
      <c r="AA2" t="s">
        <v>481</v>
      </c>
      <c r="AB2" t="s">
        <v>761</v>
      </c>
      <c r="AC2" t="s">
        <v>762</v>
      </c>
      <c r="AD2" s="81">
        <v>43662</v>
      </c>
      <c r="AE2" s="81">
        <v>43662</v>
      </c>
      <c r="AF2" t="s">
        <v>484</v>
      </c>
      <c r="AG2" s="81">
        <v>43662.696840277778</v>
      </c>
    </row>
    <row r="3" spans="1:33">
      <c r="A3" t="s">
        <v>481</v>
      </c>
      <c r="B3" t="s">
        <v>500</v>
      </c>
      <c r="C3" t="s">
        <v>501</v>
      </c>
      <c r="D3" s="81">
        <v>43647</v>
      </c>
      <c r="E3" s="81">
        <v>43647</v>
      </c>
      <c r="F3" t="s">
        <v>484</v>
      </c>
      <c r="G3" s="14">
        <v>43648.471134259256</v>
      </c>
      <c r="J3" t="s">
        <v>481</v>
      </c>
      <c r="K3" t="s">
        <v>500</v>
      </c>
      <c r="L3" t="s">
        <v>501</v>
      </c>
      <c r="M3" s="81">
        <v>43647</v>
      </c>
      <c r="N3" s="81">
        <v>43647</v>
      </c>
      <c r="O3" s="14" t="s">
        <v>484</v>
      </c>
      <c r="P3" s="14">
        <v>43648.471134259256</v>
      </c>
      <c r="AA3" t="s">
        <v>759</v>
      </c>
      <c r="AB3" t="s">
        <v>761</v>
      </c>
      <c r="AC3" t="s">
        <v>763</v>
      </c>
      <c r="AD3" s="81">
        <v>43662</v>
      </c>
      <c r="AE3" s="81">
        <v>43662</v>
      </c>
      <c r="AF3" t="s">
        <v>56</v>
      </c>
      <c r="AG3" s="81">
        <v>43662.567789351851</v>
      </c>
    </row>
    <row r="4" spans="1:33">
      <c r="A4" t="s">
        <v>498</v>
      </c>
      <c r="B4" t="s">
        <v>500</v>
      </c>
      <c r="C4" t="s">
        <v>502</v>
      </c>
      <c r="D4" s="81">
        <v>43647</v>
      </c>
      <c r="E4" s="81">
        <v>43647</v>
      </c>
      <c r="F4" t="s">
        <v>56</v>
      </c>
      <c r="G4" s="14">
        <v>43647.596909722219</v>
      </c>
      <c r="J4" t="s">
        <v>498</v>
      </c>
      <c r="K4" t="s">
        <v>500</v>
      </c>
      <c r="L4" t="s">
        <v>502</v>
      </c>
      <c r="M4" s="81">
        <v>43647</v>
      </c>
      <c r="N4" s="81">
        <v>43647</v>
      </c>
      <c r="O4" s="14" t="s">
        <v>56</v>
      </c>
      <c r="P4" s="14">
        <v>43647.596909722219</v>
      </c>
      <c r="AA4" t="s">
        <v>760</v>
      </c>
      <c r="AB4" t="s">
        <v>761</v>
      </c>
      <c r="AC4" t="s">
        <v>764</v>
      </c>
      <c r="AD4" s="81">
        <v>43662</v>
      </c>
      <c r="AE4" s="81">
        <v>43662</v>
      </c>
      <c r="AG4" s="81">
        <v>42356.65357638889</v>
      </c>
    </row>
    <row r="5" spans="1:33">
      <c r="A5" t="s">
        <v>499</v>
      </c>
      <c r="B5" t="s">
        <v>500</v>
      </c>
      <c r="C5" t="s">
        <v>503</v>
      </c>
      <c r="D5" s="81">
        <v>43647</v>
      </c>
      <c r="E5" s="81">
        <v>43647</v>
      </c>
      <c r="G5" s="14">
        <v>37257.078692129631</v>
      </c>
      <c r="J5" t="s">
        <v>499</v>
      </c>
      <c r="K5" t="s">
        <v>500</v>
      </c>
      <c r="L5" t="s">
        <v>503</v>
      </c>
      <c r="M5" s="81">
        <v>43647</v>
      </c>
      <c r="N5" s="81">
        <v>43647</v>
      </c>
      <c r="O5" s="14"/>
      <c r="P5" s="14">
        <v>37257.078692129631</v>
      </c>
      <c r="AA5" t="s">
        <v>480</v>
      </c>
      <c r="AB5" t="s">
        <v>482</v>
      </c>
      <c r="AC5" t="s">
        <v>483</v>
      </c>
      <c r="AD5" s="81"/>
      <c r="AE5" s="81"/>
      <c r="AG5" s="81">
        <v>43662.690405092595</v>
      </c>
    </row>
    <row r="6" spans="1:33">
      <c r="A6" t="s">
        <v>481</v>
      </c>
      <c r="B6" t="s">
        <v>518</v>
      </c>
      <c r="C6" t="s">
        <v>519</v>
      </c>
      <c r="D6" s="81">
        <v>43648</v>
      </c>
      <c r="E6" s="81">
        <v>43648</v>
      </c>
      <c r="F6" t="s">
        <v>484</v>
      </c>
      <c r="G6" s="14">
        <v>43649.441388888888</v>
      </c>
      <c r="J6" t="s">
        <v>481</v>
      </c>
      <c r="K6" t="s">
        <v>518</v>
      </c>
      <c r="L6" t="s">
        <v>519</v>
      </c>
      <c r="M6" s="81">
        <v>43648</v>
      </c>
      <c r="N6" s="81">
        <v>43648</v>
      </c>
      <c r="O6" s="14" t="s">
        <v>484</v>
      </c>
      <c r="P6" s="14">
        <v>43649.441388888888</v>
      </c>
    </row>
    <row r="7" spans="1:33">
      <c r="A7" t="s">
        <v>516</v>
      </c>
      <c r="B7" t="s">
        <v>518</v>
      </c>
      <c r="C7" t="s">
        <v>520</v>
      </c>
      <c r="D7" s="81">
        <v>43648</v>
      </c>
      <c r="E7" s="81">
        <v>43648</v>
      </c>
      <c r="F7" t="s">
        <v>56</v>
      </c>
      <c r="G7" s="14">
        <v>43648.781759259262</v>
      </c>
      <c r="J7" t="s">
        <v>516</v>
      </c>
      <c r="K7" t="s">
        <v>518</v>
      </c>
      <c r="L7" t="s">
        <v>520</v>
      </c>
      <c r="M7" s="81">
        <v>43648</v>
      </c>
      <c r="N7" s="81">
        <v>43648</v>
      </c>
      <c r="O7" s="14" t="s">
        <v>56</v>
      </c>
      <c r="P7" s="14">
        <v>43648.781759259262</v>
      </c>
    </row>
    <row r="8" spans="1:33">
      <c r="A8" t="s">
        <v>517</v>
      </c>
      <c r="B8" t="s">
        <v>518</v>
      </c>
      <c r="C8" t="s">
        <v>521</v>
      </c>
      <c r="D8" s="81">
        <v>43648</v>
      </c>
      <c r="E8" s="81">
        <v>43648</v>
      </c>
      <c r="G8" s="14">
        <v>42965.497129629628</v>
      </c>
      <c r="J8" t="s">
        <v>517</v>
      </c>
      <c r="K8" t="s">
        <v>518</v>
      </c>
      <c r="L8" t="s">
        <v>521</v>
      </c>
      <c r="M8" s="81">
        <v>43648</v>
      </c>
      <c r="N8" s="81">
        <v>43648</v>
      </c>
      <c r="O8" s="14"/>
      <c r="P8" s="14">
        <v>42965.497129629628</v>
      </c>
    </row>
    <row r="9" spans="1:33">
      <c r="A9" t="s">
        <v>481</v>
      </c>
      <c r="B9" t="s">
        <v>525</v>
      </c>
      <c r="C9" t="s">
        <v>526</v>
      </c>
      <c r="D9" s="81">
        <v>43649</v>
      </c>
      <c r="E9" s="81">
        <v>43649</v>
      </c>
      <c r="F9" t="s">
        <v>484</v>
      </c>
      <c r="G9" s="14">
        <v>43654.485127314816</v>
      </c>
      <c r="J9" t="s">
        <v>481</v>
      </c>
      <c r="K9" t="s">
        <v>525</v>
      </c>
      <c r="L9" t="s">
        <v>526</v>
      </c>
      <c r="M9" s="81">
        <v>43649</v>
      </c>
      <c r="N9" s="81">
        <v>43649</v>
      </c>
      <c r="O9" s="14" t="s">
        <v>484</v>
      </c>
      <c r="P9" s="14">
        <v>43654.485127314816</v>
      </c>
    </row>
    <row r="10" spans="1:33">
      <c r="A10" t="s">
        <v>523</v>
      </c>
      <c r="B10" t="s">
        <v>525</v>
      </c>
      <c r="C10" t="s">
        <v>527</v>
      </c>
      <c r="D10" s="81">
        <v>43649</v>
      </c>
      <c r="E10" s="81">
        <v>43649</v>
      </c>
      <c r="F10" t="s">
        <v>56</v>
      </c>
      <c r="G10" s="14">
        <v>43649.639374999999</v>
      </c>
      <c r="J10" t="s">
        <v>523</v>
      </c>
      <c r="K10" t="s">
        <v>525</v>
      </c>
      <c r="L10" t="s">
        <v>527</v>
      </c>
      <c r="M10" s="81">
        <v>43649</v>
      </c>
      <c r="N10" s="81">
        <v>43649</v>
      </c>
      <c r="O10" s="14" t="s">
        <v>56</v>
      </c>
      <c r="P10" s="14">
        <v>43649.639374999999</v>
      </c>
    </row>
    <row r="11" spans="1:33">
      <c r="A11" t="s">
        <v>524</v>
      </c>
      <c r="B11" t="s">
        <v>525</v>
      </c>
      <c r="C11" t="s">
        <v>528</v>
      </c>
      <c r="D11" s="81">
        <v>43649</v>
      </c>
      <c r="E11" s="81">
        <v>43649</v>
      </c>
      <c r="G11" s="14">
        <v>42219.390347222223</v>
      </c>
      <c r="J11" t="s">
        <v>524</v>
      </c>
      <c r="K11" t="s">
        <v>525</v>
      </c>
      <c r="L11" t="s">
        <v>528</v>
      </c>
      <c r="M11" s="81">
        <v>43649</v>
      </c>
      <c r="N11" s="81">
        <v>43649</v>
      </c>
      <c r="O11" s="14"/>
      <c r="P11" s="14">
        <v>42219.390347222223</v>
      </c>
    </row>
    <row r="12" spans="1:33">
      <c r="A12" t="s">
        <v>481</v>
      </c>
      <c r="B12" t="s">
        <v>533</v>
      </c>
      <c r="C12" t="s">
        <v>534</v>
      </c>
      <c r="D12" s="81">
        <v>43651</v>
      </c>
      <c r="E12" s="81">
        <v>43651</v>
      </c>
      <c r="F12" t="s">
        <v>484</v>
      </c>
      <c r="G12" s="14">
        <v>43654.475787037038</v>
      </c>
      <c r="J12" t="s">
        <v>481</v>
      </c>
      <c r="K12" t="s">
        <v>533</v>
      </c>
      <c r="L12" t="s">
        <v>534</v>
      </c>
      <c r="M12" s="81">
        <v>43651</v>
      </c>
      <c r="N12" s="81">
        <v>43651</v>
      </c>
      <c r="O12" s="14" t="s">
        <v>484</v>
      </c>
      <c r="P12" s="14">
        <v>43654.475787037038</v>
      </c>
    </row>
    <row r="13" spans="1:33">
      <c r="A13" t="s">
        <v>531</v>
      </c>
      <c r="B13" t="s">
        <v>533</v>
      </c>
      <c r="C13" t="s">
        <v>535</v>
      </c>
      <c r="D13" s="81">
        <v>43651</v>
      </c>
      <c r="E13" s="81">
        <v>43651</v>
      </c>
      <c r="F13" t="s">
        <v>56</v>
      </c>
      <c r="G13" s="14">
        <v>43651.822013888886</v>
      </c>
      <c r="J13" t="s">
        <v>531</v>
      </c>
      <c r="K13" t="s">
        <v>533</v>
      </c>
      <c r="L13" t="s">
        <v>535</v>
      </c>
      <c r="M13" s="81">
        <v>43651</v>
      </c>
      <c r="N13" s="81">
        <v>43651</v>
      </c>
      <c r="O13" s="14" t="s">
        <v>56</v>
      </c>
      <c r="P13" s="14">
        <v>43651.822013888886</v>
      </c>
    </row>
    <row r="14" spans="1:33">
      <c r="A14" t="s">
        <v>532</v>
      </c>
      <c r="B14" t="s">
        <v>533</v>
      </c>
      <c r="C14" t="s">
        <v>536</v>
      </c>
      <c r="D14" s="81">
        <v>43651</v>
      </c>
      <c r="E14" s="81">
        <v>43651</v>
      </c>
      <c r="G14" s="14">
        <v>42251.607314814813</v>
      </c>
      <c r="J14" t="s">
        <v>532</v>
      </c>
      <c r="K14" t="s">
        <v>533</v>
      </c>
      <c r="L14" t="s">
        <v>536</v>
      </c>
      <c r="M14" s="81">
        <v>43651</v>
      </c>
      <c r="N14" s="81">
        <v>43651</v>
      </c>
      <c r="O14" s="14"/>
      <c r="P14" s="14">
        <v>42251.607314814813</v>
      </c>
    </row>
    <row r="15" spans="1:33">
      <c r="A15" t="s">
        <v>481</v>
      </c>
      <c r="B15" t="s">
        <v>566</v>
      </c>
      <c r="C15" t="s">
        <v>567</v>
      </c>
      <c r="D15" s="81">
        <v>43652</v>
      </c>
      <c r="E15" s="81">
        <v>43652</v>
      </c>
      <c r="F15" t="s">
        <v>484</v>
      </c>
      <c r="G15" s="14">
        <v>43652.651284722226</v>
      </c>
      <c r="J15" t="s">
        <v>481</v>
      </c>
      <c r="K15" t="s">
        <v>566</v>
      </c>
      <c r="L15" t="s">
        <v>567</v>
      </c>
      <c r="M15" s="81">
        <v>43652</v>
      </c>
      <c r="N15" s="81">
        <v>43652</v>
      </c>
      <c r="O15" s="14" t="s">
        <v>484</v>
      </c>
      <c r="P15" s="14">
        <v>43652.651284722226</v>
      </c>
    </row>
    <row r="16" spans="1:33">
      <c r="A16" t="s">
        <v>564</v>
      </c>
      <c r="B16" t="s">
        <v>566</v>
      </c>
      <c r="C16" t="s">
        <v>568</v>
      </c>
      <c r="D16" s="81">
        <v>43652</v>
      </c>
      <c r="E16" s="81">
        <v>43652</v>
      </c>
      <c r="F16" t="s">
        <v>56</v>
      </c>
      <c r="G16" s="14">
        <v>43652.651354166665</v>
      </c>
      <c r="J16" t="s">
        <v>564</v>
      </c>
      <c r="K16" t="s">
        <v>566</v>
      </c>
      <c r="L16" t="s">
        <v>568</v>
      </c>
      <c r="M16" s="81">
        <v>43652</v>
      </c>
      <c r="N16" s="81">
        <v>43652</v>
      </c>
      <c r="O16" s="14" t="s">
        <v>56</v>
      </c>
      <c r="P16" s="14">
        <v>43652.651354166665</v>
      </c>
    </row>
    <row r="17" spans="1:16">
      <c r="A17" t="s">
        <v>565</v>
      </c>
      <c r="B17" t="s">
        <v>566</v>
      </c>
      <c r="C17" t="s">
        <v>569</v>
      </c>
      <c r="D17" s="81">
        <v>43652</v>
      </c>
      <c r="E17" s="81">
        <v>43652</v>
      </c>
      <c r="G17" s="14">
        <v>42894.431481481479</v>
      </c>
      <c r="J17" t="s">
        <v>565</v>
      </c>
      <c r="K17" t="s">
        <v>566</v>
      </c>
      <c r="L17" t="s">
        <v>569</v>
      </c>
      <c r="M17" s="81">
        <v>43652</v>
      </c>
      <c r="N17" s="81">
        <v>43652</v>
      </c>
      <c r="P17" s="14">
        <v>42894.431481481479</v>
      </c>
    </row>
    <row r="18" spans="1:16">
      <c r="A18" t="s">
        <v>481</v>
      </c>
      <c r="B18" t="s">
        <v>577</v>
      </c>
      <c r="C18" t="s">
        <v>578</v>
      </c>
      <c r="D18" s="81">
        <v>43654</v>
      </c>
      <c r="E18" s="81">
        <v>43654</v>
      </c>
      <c r="F18" t="s">
        <v>484</v>
      </c>
      <c r="G18" s="14">
        <v>43656.4374537037</v>
      </c>
      <c r="J18" t="s">
        <v>481</v>
      </c>
      <c r="K18" t="s">
        <v>577</v>
      </c>
      <c r="L18" t="s">
        <v>578</v>
      </c>
      <c r="M18" s="81">
        <v>43654</v>
      </c>
      <c r="N18" s="81">
        <v>43654</v>
      </c>
      <c r="O18" t="s">
        <v>484</v>
      </c>
      <c r="P18" s="14">
        <v>43656.4374537037</v>
      </c>
    </row>
    <row r="19" spans="1:16">
      <c r="A19" t="s">
        <v>575</v>
      </c>
      <c r="B19" t="s">
        <v>577</v>
      </c>
      <c r="C19" t="s">
        <v>579</v>
      </c>
      <c r="D19" s="81">
        <v>43654</v>
      </c>
      <c r="E19" s="81">
        <v>43654</v>
      </c>
      <c r="F19" t="s">
        <v>56</v>
      </c>
      <c r="G19" s="14">
        <v>43654.73978009259</v>
      </c>
      <c r="J19" t="s">
        <v>575</v>
      </c>
      <c r="K19" t="s">
        <v>577</v>
      </c>
      <c r="L19" t="s">
        <v>579</v>
      </c>
      <c r="M19" s="81">
        <v>43654</v>
      </c>
      <c r="N19" s="81">
        <v>43654</v>
      </c>
      <c r="O19" t="s">
        <v>56</v>
      </c>
      <c r="P19" s="14">
        <v>43654.73978009259</v>
      </c>
    </row>
    <row r="20" spans="1:16">
      <c r="A20" t="s">
        <v>576</v>
      </c>
      <c r="B20" t="s">
        <v>577</v>
      </c>
      <c r="C20" t="s">
        <v>580</v>
      </c>
      <c r="D20" s="81">
        <v>43654</v>
      </c>
      <c r="E20" s="81">
        <v>43654</v>
      </c>
      <c r="G20" s="14">
        <v>42829.519131944442</v>
      </c>
      <c r="J20" t="s">
        <v>576</v>
      </c>
      <c r="K20" t="s">
        <v>577</v>
      </c>
      <c r="L20" t="s">
        <v>580</v>
      </c>
      <c r="M20" s="81">
        <v>43654</v>
      </c>
      <c r="N20" s="81">
        <v>43654</v>
      </c>
      <c r="P20" s="14">
        <v>42829.519131944442</v>
      </c>
    </row>
    <row r="21" spans="1:16">
      <c r="A21" t="s">
        <v>481</v>
      </c>
      <c r="B21" t="s">
        <v>586</v>
      </c>
      <c r="C21" t="s">
        <v>587</v>
      </c>
      <c r="D21" s="81">
        <v>43655</v>
      </c>
      <c r="E21" s="81">
        <v>43655</v>
      </c>
      <c r="F21" t="s">
        <v>484</v>
      </c>
      <c r="G21" s="14">
        <v>43661.809745370374</v>
      </c>
      <c r="J21" t="s">
        <v>481</v>
      </c>
      <c r="K21" t="s">
        <v>586</v>
      </c>
      <c r="L21" t="s">
        <v>587</v>
      </c>
      <c r="M21" s="81">
        <v>43655</v>
      </c>
      <c r="N21" s="81">
        <v>43655</v>
      </c>
      <c r="O21" t="s">
        <v>484</v>
      </c>
      <c r="P21" s="14">
        <v>43661.809745370374</v>
      </c>
    </row>
    <row r="22" spans="1:16">
      <c r="A22" t="s">
        <v>584</v>
      </c>
      <c r="B22" t="s">
        <v>586</v>
      </c>
      <c r="C22" t="s">
        <v>588</v>
      </c>
      <c r="D22" s="81">
        <v>43655</v>
      </c>
      <c r="E22" s="81">
        <v>43655</v>
      </c>
      <c r="F22" t="s">
        <v>56</v>
      </c>
      <c r="G22" s="14">
        <v>43661.637442129628</v>
      </c>
      <c r="J22" t="s">
        <v>584</v>
      </c>
      <c r="K22" t="s">
        <v>586</v>
      </c>
      <c r="L22" t="s">
        <v>588</v>
      </c>
      <c r="M22" s="81">
        <v>43655</v>
      </c>
      <c r="N22" s="81">
        <v>43655</v>
      </c>
      <c r="O22" t="s">
        <v>56</v>
      </c>
      <c r="P22" s="14">
        <v>43661.637442129628</v>
      </c>
    </row>
    <row r="23" spans="1:16">
      <c r="A23" t="s">
        <v>585</v>
      </c>
      <c r="B23" t="s">
        <v>586</v>
      </c>
      <c r="C23" t="s">
        <v>589</v>
      </c>
      <c r="D23" s="81">
        <v>43655</v>
      </c>
      <c r="E23" s="81">
        <v>43655</v>
      </c>
      <c r="G23" s="14">
        <v>42565.69027777778</v>
      </c>
      <c r="J23" t="s">
        <v>585</v>
      </c>
      <c r="K23" t="s">
        <v>586</v>
      </c>
      <c r="L23" t="s">
        <v>589</v>
      </c>
      <c r="M23" s="81">
        <v>43655</v>
      </c>
      <c r="N23" s="81">
        <v>43655</v>
      </c>
      <c r="P23" s="14">
        <v>42565.69027777778</v>
      </c>
    </row>
    <row r="24" spans="1:16">
      <c r="A24" t="s">
        <v>481</v>
      </c>
      <c r="B24" t="s">
        <v>594</v>
      </c>
      <c r="C24" t="s">
        <v>595</v>
      </c>
      <c r="D24" s="81">
        <v>43656</v>
      </c>
      <c r="E24" s="81">
        <v>43656</v>
      </c>
      <c r="F24" t="s">
        <v>484</v>
      </c>
      <c r="G24" s="14">
        <v>43656.853020833332</v>
      </c>
      <c r="J24" t="s">
        <v>481</v>
      </c>
      <c r="K24" t="s">
        <v>594</v>
      </c>
      <c r="L24" t="s">
        <v>595</v>
      </c>
      <c r="M24" s="81">
        <v>43656</v>
      </c>
      <c r="N24" s="81">
        <v>43656</v>
      </c>
      <c r="O24" t="s">
        <v>484</v>
      </c>
      <c r="P24" s="14">
        <v>43656.853020833332</v>
      </c>
    </row>
    <row r="25" spans="1:16">
      <c r="A25" t="s">
        <v>592</v>
      </c>
      <c r="B25" t="s">
        <v>594</v>
      </c>
      <c r="C25" t="s">
        <v>596</v>
      </c>
      <c r="D25" s="81">
        <v>43656</v>
      </c>
      <c r="E25" s="81">
        <v>43656</v>
      </c>
      <c r="F25" t="s">
        <v>56</v>
      </c>
      <c r="G25" s="14">
        <v>43656.69940972222</v>
      </c>
      <c r="J25" t="s">
        <v>592</v>
      </c>
      <c r="K25" t="s">
        <v>594</v>
      </c>
      <c r="L25" t="s">
        <v>596</v>
      </c>
      <c r="M25">
        <v>43656</v>
      </c>
      <c r="N25">
        <v>43656</v>
      </c>
      <c r="O25" t="s">
        <v>56</v>
      </c>
      <c r="P25" s="14">
        <v>43656.69940972222</v>
      </c>
    </row>
    <row r="26" spans="1:16">
      <c r="A26" t="s">
        <v>593</v>
      </c>
      <c r="B26" t="s">
        <v>594</v>
      </c>
      <c r="C26" t="s">
        <v>597</v>
      </c>
      <c r="D26" s="81">
        <v>43656</v>
      </c>
      <c r="E26" s="81">
        <v>43656</v>
      </c>
      <c r="G26" s="14">
        <v>42816.58798611111</v>
      </c>
      <c r="J26" t="s">
        <v>593</v>
      </c>
      <c r="K26" t="s">
        <v>594</v>
      </c>
      <c r="L26" t="s">
        <v>597</v>
      </c>
      <c r="M26">
        <v>43656</v>
      </c>
      <c r="N26">
        <v>43656</v>
      </c>
      <c r="P26" s="14">
        <v>42816.58798611111</v>
      </c>
    </row>
    <row r="27" spans="1:16">
      <c r="A27" t="s">
        <v>481</v>
      </c>
      <c r="B27" t="s">
        <v>623</v>
      </c>
      <c r="C27" t="s">
        <v>624</v>
      </c>
      <c r="D27" s="81">
        <v>43657</v>
      </c>
      <c r="E27" s="81">
        <v>43657</v>
      </c>
      <c r="F27" t="s">
        <v>484</v>
      </c>
      <c r="G27" s="14">
        <v>43661.64230324074</v>
      </c>
      <c r="J27" t="s">
        <v>481</v>
      </c>
      <c r="K27" t="s">
        <v>623</v>
      </c>
      <c r="L27" t="s">
        <v>624</v>
      </c>
      <c r="M27">
        <v>43657</v>
      </c>
      <c r="N27">
        <v>43657</v>
      </c>
      <c r="O27" t="s">
        <v>484</v>
      </c>
      <c r="P27" s="14">
        <v>43661.64230324074</v>
      </c>
    </row>
    <row r="28" spans="1:16">
      <c r="A28" t="s">
        <v>621</v>
      </c>
      <c r="B28" t="s">
        <v>623</v>
      </c>
      <c r="C28" t="s">
        <v>625</v>
      </c>
      <c r="D28" s="81">
        <v>43657</v>
      </c>
      <c r="E28" s="81">
        <v>43657</v>
      </c>
      <c r="F28" t="s">
        <v>56</v>
      </c>
      <c r="G28" s="14">
        <v>43657.752337962964</v>
      </c>
      <c r="J28" t="s">
        <v>621</v>
      </c>
      <c r="K28" t="s">
        <v>623</v>
      </c>
      <c r="L28" t="s">
        <v>625</v>
      </c>
      <c r="M28">
        <v>43657</v>
      </c>
      <c r="N28">
        <v>43657</v>
      </c>
      <c r="O28" t="s">
        <v>56</v>
      </c>
      <c r="P28" s="14">
        <v>43657.752337962964</v>
      </c>
    </row>
    <row r="29" spans="1:16">
      <c r="A29" t="s">
        <v>622</v>
      </c>
      <c r="B29" t="s">
        <v>623</v>
      </c>
      <c r="C29" t="s">
        <v>626</v>
      </c>
      <c r="D29" s="81">
        <v>43657</v>
      </c>
      <c r="E29" s="81">
        <v>43657</v>
      </c>
      <c r="G29" s="14">
        <v>43308.62060185185</v>
      </c>
      <c r="J29" t="s">
        <v>622</v>
      </c>
      <c r="K29" t="s">
        <v>623</v>
      </c>
      <c r="L29" t="s">
        <v>626</v>
      </c>
      <c r="M29">
        <v>43657</v>
      </c>
      <c r="N29">
        <v>43657</v>
      </c>
      <c r="P29" s="14">
        <v>43308.62060185185</v>
      </c>
    </row>
    <row r="30" spans="1:16">
      <c r="A30" t="s">
        <v>481</v>
      </c>
      <c r="B30" t="s">
        <v>631</v>
      </c>
      <c r="C30" t="s">
        <v>632</v>
      </c>
      <c r="D30" s="81">
        <v>43658</v>
      </c>
      <c r="E30" s="81">
        <v>43658</v>
      </c>
      <c r="F30" t="s">
        <v>484</v>
      </c>
      <c r="G30" s="14">
        <v>43661.737442129626</v>
      </c>
      <c r="J30" t="s">
        <v>481</v>
      </c>
      <c r="K30" t="s">
        <v>631</v>
      </c>
      <c r="L30" t="s">
        <v>632</v>
      </c>
      <c r="M30">
        <v>43658</v>
      </c>
      <c r="N30">
        <v>43658</v>
      </c>
      <c r="O30" t="s">
        <v>484</v>
      </c>
      <c r="P30" s="14">
        <v>43661.737442129626</v>
      </c>
    </row>
    <row r="31" spans="1:16">
      <c r="A31" t="s">
        <v>629</v>
      </c>
      <c r="B31" t="s">
        <v>631</v>
      </c>
      <c r="C31" t="s">
        <v>633</v>
      </c>
      <c r="D31" s="81">
        <v>43658</v>
      </c>
      <c r="E31" s="81">
        <v>43658</v>
      </c>
      <c r="F31" t="s">
        <v>56</v>
      </c>
      <c r="G31" s="14">
        <v>43661.737476851849</v>
      </c>
      <c r="J31" t="s">
        <v>629</v>
      </c>
      <c r="K31" t="s">
        <v>631</v>
      </c>
      <c r="L31" t="s">
        <v>633</v>
      </c>
      <c r="M31">
        <v>43658</v>
      </c>
      <c r="N31">
        <v>43658</v>
      </c>
      <c r="O31" t="s">
        <v>56</v>
      </c>
      <c r="P31" s="14">
        <v>43661.737476851849</v>
      </c>
    </row>
    <row r="32" spans="1:16">
      <c r="A32" t="s">
        <v>630</v>
      </c>
      <c r="B32" t="s">
        <v>631</v>
      </c>
      <c r="C32" t="s">
        <v>634</v>
      </c>
      <c r="D32" s="81">
        <v>43658</v>
      </c>
      <c r="E32" s="81">
        <v>43658</v>
      </c>
      <c r="G32" s="14">
        <v>42226.371435185189</v>
      </c>
      <c r="J32" t="s">
        <v>630</v>
      </c>
      <c r="K32" t="s">
        <v>631</v>
      </c>
      <c r="L32" t="s">
        <v>634</v>
      </c>
      <c r="M32">
        <v>43658</v>
      </c>
      <c r="N32">
        <v>43658</v>
      </c>
      <c r="P32" s="14">
        <v>42226.371435185189</v>
      </c>
    </row>
    <row r="33" spans="1:16">
      <c r="A33" t="s">
        <v>481</v>
      </c>
      <c r="B33" t="s">
        <v>640</v>
      </c>
      <c r="C33" t="s">
        <v>641</v>
      </c>
      <c r="D33" s="81">
        <v>43661</v>
      </c>
      <c r="E33" s="81">
        <v>43661</v>
      </c>
      <c r="F33" t="s">
        <v>484</v>
      </c>
      <c r="G33" s="14">
        <v>43662.622650462959</v>
      </c>
      <c r="J33" t="s">
        <v>481</v>
      </c>
      <c r="K33" t="s">
        <v>640</v>
      </c>
      <c r="L33" t="s">
        <v>641</v>
      </c>
      <c r="M33">
        <v>43661</v>
      </c>
      <c r="N33">
        <v>43661</v>
      </c>
      <c r="O33" t="s">
        <v>484</v>
      </c>
      <c r="P33" s="14">
        <v>43662.622650462959</v>
      </c>
    </row>
    <row r="34" spans="1:16">
      <c r="A34" t="s">
        <v>638</v>
      </c>
      <c r="B34" t="s">
        <v>640</v>
      </c>
      <c r="C34" t="s">
        <v>642</v>
      </c>
      <c r="D34" s="81">
        <v>43661</v>
      </c>
      <c r="E34" s="81">
        <v>43661</v>
      </c>
      <c r="F34" t="s">
        <v>56</v>
      </c>
      <c r="G34" s="14">
        <v>43662.622673611113</v>
      </c>
      <c r="J34" t="s">
        <v>638</v>
      </c>
      <c r="K34" t="s">
        <v>640</v>
      </c>
      <c r="L34" t="s">
        <v>642</v>
      </c>
      <c r="M34">
        <v>43661</v>
      </c>
      <c r="N34">
        <v>43661</v>
      </c>
      <c r="O34" t="s">
        <v>56</v>
      </c>
      <c r="P34" s="14">
        <v>43662.622673611113</v>
      </c>
    </row>
    <row r="35" spans="1:16">
      <c r="A35" t="s">
        <v>639</v>
      </c>
      <c r="B35" t="s">
        <v>640</v>
      </c>
      <c r="C35" t="s">
        <v>643</v>
      </c>
      <c r="D35" s="81">
        <v>43661</v>
      </c>
      <c r="E35" s="81">
        <v>43661</v>
      </c>
      <c r="G35" s="14">
        <v>42276.529548611114</v>
      </c>
      <c r="J35" t="s">
        <v>639</v>
      </c>
      <c r="K35" t="s">
        <v>640</v>
      </c>
      <c r="L35" t="s">
        <v>643</v>
      </c>
      <c r="M35">
        <v>43661</v>
      </c>
      <c r="N35">
        <v>43661</v>
      </c>
      <c r="P35" s="14">
        <v>42276.529548611114</v>
      </c>
    </row>
    <row r="36" spans="1:16">
      <c r="A36" t="s">
        <v>481</v>
      </c>
      <c r="B36" t="s">
        <v>761</v>
      </c>
      <c r="C36" t="s">
        <v>762</v>
      </c>
      <c r="D36" s="81">
        <v>43662</v>
      </c>
      <c r="E36" s="81">
        <v>43662</v>
      </c>
      <c r="F36" t="s">
        <v>484</v>
      </c>
      <c r="G36" s="14">
        <v>43662.696840277778</v>
      </c>
      <c r="H36" t="s">
        <v>628</v>
      </c>
      <c r="J36" t="s">
        <v>481</v>
      </c>
      <c r="K36" t="s">
        <v>761</v>
      </c>
      <c r="L36" t="s">
        <v>762</v>
      </c>
      <c r="M36">
        <v>43662</v>
      </c>
      <c r="N36">
        <v>43662</v>
      </c>
      <c r="O36" t="s">
        <v>484</v>
      </c>
      <c r="P36" s="14">
        <v>43662.696840277778</v>
      </c>
    </row>
    <row r="37" spans="1:16">
      <c r="A37" t="s">
        <v>759</v>
      </c>
      <c r="B37" t="s">
        <v>761</v>
      </c>
      <c r="C37" t="s">
        <v>763</v>
      </c>
      <c r="D37" s="81">
        <v>43662</v>
      </c>
      <c r="E37" s="81">
        <v>43662</v>
      </c>
      <c r="F37" t="s">
        <v>56</v>
      </c>
      <c r="G37" s="14">
        <v>43662.567789351851</v>
      </c>
      <c r="J37" t="s">
        <v>759</v>
      </c>
      <c r="K37" t="s">
        <v>761</v>
      </c>
      <c r="L37" t="s">
        <v>763</v>
      </c>
      <c r="M37">
        <v>43662</v>
      </c>
      <c r="N37">
        <v>43662</v>
      </c>
      <c r="O37" t="s">
        <v>56</v>
      </c>
      <c r="P37" s="14">
        <v>43662.567789351851</v>
      </c>
    </row>
    <row r="38" spans="1:16">
      <c r="A38" t="s">
        <v>760</v>
      </c>
      <c r="B38" t="s">
        <v>761</v>
      </c>
      <c r="C38" t="s">
        <v>764</v>
      </c>
      <c r="D38" s="81">
        <v>43662</v>
      </c>
      <c r="E38" s="81">
        <v>43662</v>
      </c>
      <c r="G38" s="14">
        <v>42356.65357638889</v>
      </c>
      <c r="J38" t="s">
        <v>760</v>
      </c>
      <c r="K38" t="s">
        <v>761</v>
      </c>
      <c r="L38" t="s">
        <v>764</v>
      </c>
      <c r="M38">
        <v>43662</v>
      </c>
      <c r="N38">
        <v>43662</v>
      </c>
      <c r="P38" s="14">
        <v>42356.65357638889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환산표"/>
  <dimension ref="A1:L39"/>
  <sheetViews>
    <sheetView workbookViewId="0">
      <selection activeCell="B4" sqref="B4:B39"/>
    </sheetView>
  </sheetViews>
  <sheetFormatPr baseColWidth="10" defaultColWidth="8.83203125" defaultRowHeight="15"/>
  <sheetData>
    <row r="1" spans="1:12">
      <c r="A1" t="s">
        <v>85</v>
      </c>
    </row>
    <row r="2" spans="1:12">
      <c r="A2" t="s">
        <v>86</v>
      </c>
      <c r="B2" t="s">
        <v>87</v>
      </c>
    </row>
    <row r="3" spans="1:12">
      <c r="B3" t="s">
        <v>24</v>
      </c>
      <c r="C3" t="s">
        <v>25</v>
      </c>
      <c r="D3" t="s">
        <v>2</v>
      </c>
      <c r="E3" t="s">
        <v>26</v>
      </c>
      <c r="F3" t="s">
        <v>27</v>
      </c>
      <c r="G3" t="s">
        <v>28</v>
      </c>
      <c r="H3" t="s">
        <v>29</v>
      </c>
      <c r="I3" t="s">
        <v>30</v>
      </c>
      <c r="J3" t="s">
        <v>31</v>
      </c>
      <c r="K3" t="s">
        <v>5</v>
      </c>
      <c r="L3" t="s">
        <v>32</v>
      </c>
    </row>
    <row r="4" spans="1:12">
      <c r="A4" t="s">
        <v>23</v>
      </c>
      <c r="B4" t="s">
        <v>23</v>
      </c>
      <c r="C4" t="s">
        <v>24</v>
      </c>
      <c r="D4" t="s">
        <v>25</v>
      </c>
      <c r="E4" t="s">
        <v>2</v>
      </c>
      <c r="F4" t="s">
        <v>26</v>
      </c>
      <c r="G4" t="s">
        <v>27</v>
      </c>
      <c r="H4" t="s">
        <v>28</v>
      </c>
      <c r="I4" t="s">
        <v>29</v>
      </c>
      <c r="J4" t="s">
        <v>30</v>
      </c>
      <c r="K4" t="s">
        <v>31</v>
      </c>
      <c r="L4" t="s">
        <v>5</v>
      </c>
    </row>
    <row r="5" spans="1:12">
      <c r="A5" t="s">
        <v>24</v>
      </c>
      <c r="B5" t="s">
        <v>24</v>
      </c>
      <c r="C5" t="s">
        <v>25</v>
      </c>
      <c r="D5" t="s">
        <v>2</v>
      </c>
      <c r="E5" t="s">
        <v>26</v>
      </c>
      <c r="F5" t="s">
        <v>27</v>
      </c>
      <c r="G5" t="s">
        <v>27</v>
      </c>
      <c r="H5" t="s">
        <v>28</v>
      </c>
      <c r="I5" t="s">
        <v>29</v>
      </c>
      <c r="J5" t="s">
        <v>30</v>
      </c>
      <c r="K5" t="s">
        <v>31</v>
      </c>
      <c r="L5" t="s">
        <v>5</v>
      </c>
    </row>
    <row r="6" spans="1:12">
      <c r="A6" t="s">
        <v>25</v>
      </c>
      <c r="B6" t="s">
        <v>24</v>
      </c>
      <c r="C6" t="s">
        <v>25</v>
      </c>
      <c r="D6" t="s">
        <v>2</v>
      </c>
      <c r="E6" t="s">
        <v>26</v>
      </c>
      <c r="F6" t="s">
        <v>27</v>
      </c>
      <c r="G6" t="s">
        <v>28</v>
      </c>
      <c r="H6" t="s">
        <v>29</v>
      </c>
      <c r="I6" t="s">
        <v>30</v>
      </c>
      <c r="J6" t="s">
        <v>31</v>
      </c>
      <c r="K6" t="s">
        <v>5</v>
      </c>
      <c r="L6" t="s">
        <v>32</v>
      </c>
    </row>
    <row r="7" spans="1:12">
      <c r="A7" t="s">
        <v>2</v>
      </c>
      <c r="B7" t="s">
        <v>25</v>
      </c>
      <c r="C7" t="s">
        <v>2</v>
      </c>
      <c r="D7" t="s">
        <v>26</v>
      </c>
      <c r="E7" t="s">
        <v>27</v>
      </c>
      <c r="F7" t="s">
        <v>28</v>
      </c>
      <c r="G7" t="s">
        <v>29</v>
      </c>
      <c r="H7" t="s">
        <v>30</v>
      </c>
      <c r="I7" t="s">
        <v>31</v>
      </c>
      <c r="J7" t="s">
        <v>5</v>
      </c>
      <c r="K7" t="s">
        <v>32</v>
      </c>
      <c r="L7" t="s">
        <v>33</v>
      </c>
    </row>
    <row r="8" spans="1:12">
      <c r="A8" t="s">
        <v>26</v>
      </c>
      <c r="B8" t="s">
        <v>2</v>
      </c>
      <c r="C8" t="s">
        <v>26</v>
      </c>
      <c r="D8" t="s">
        <v>27</v>
      </c>
      <c r="E8" t="s">
        <v>28</v>
      </c>
      <c r="F8" t="s">
        <v>29</v>
      </c>
      <c r="G8" t="s">
        <v>30</v>
      </c>
      <c r="H8" t="s">
        <v>31</v>
      </c>
      <c r="I8" t="s">
        <v>5</v>
      </c>
      <c r="J8" t="s">
        <v>32</v>
      </c>
      <c r="K8" t="s">
        <v>32</v>
      </c>
      <c r="L8" t="s">
        <v>33</v>
      </c>
    </row>
    <row r="9" spans="1:12">
      <c r="A9" t="s">
        <v>27</v>
      </c>
      <c r="B9" t="s">
        <v>26</v>
      </c>
      <c r="C9" t="s">
        <v>27</v>
      </c>
      <c r="D9" t="s">
        <v>28</v>
      </c>
      <c r="E9" t="s">
        <v>28</v>
      </c>
      <c r="F9" t="s">
        <v>29</v>
      </c>
      <c r="G9" t="s">
        <v>30</v>
      </c>
      <c r="H9" t="s">
        <v>31</v>
      </c>
      <c r="I9" t="s">
        <v>5</v>
      </c>
      <c r="J9" t="s">
        <v>32</v>
      </c>
      <c r="K9" t="s">
        <v>33</v>
      </c>
      <c r="L9" t="s">
        <v>34</v>
      </c>
    </row>
    <row r="10" spans="1:12">
      <c r="A10" t="s">
        <v>28</v>
      </c>
      <c r="B10" t="s">
        <v>26</v>
      </c>
      <c r="C10" t="s">
        <v>27</v>
      </c>
      <c r="D10" t="s">
        <v>28</v>
      </c>
      <c r="E10" t="s">
        <v>29</v>
      </c>
      <c r="F10" t="s">
        <v>30</v>
      </c>
      <c r="G10" t="s">
        <v>31</v>
      </c>
      <c r="H10" t="s">
        <v>5</v>
      </c>
      <c r="I10" t="s">
        <v>32</v>
      </c>
      <c r="J10" t="s">
        <v>33</v>
      </c>
      <c r="K10" t="s">
        <v>34</v>
      </c>
      <c r="L10" t="s">
        <v>35</v>
      </c>
    </row>
    <row r="11" spans="1:12">
      <c r="A11" t="s">
        <v>29</v>
      </c>
      <c r="B11" t="s">
        <v>27</v>
      </c>
      <c r="C11" t="s">
        <v>28</v>
      </c>
      <c r="D11" t="s">
        <v>29</v>
      </c>
      <c r="E11" t="s">
        <v>30</v>
      </c>
      <c r="F11" t="s">
        <v>31</v>
      </c>
      <c r="G11" t="s">
        <v>5</v>
      </c>
      <c r="H11" t="s">
        <v>32</v>
      </c>
      <c r="I11" t="s">
        <v>33</v>
      </c>
      <c r="J11" t="s">
        <v>34</v>
      </c>
      <c r="K11" t="s">
        <v>35</v>
      </c>
      <c r="L11" t="s">
        <v>1</v>
      </c>
    </row>
    <row r="12" spans="1:12">
      <c r="A12" t="s">
        <v>30</v>
      </c>
      <c r="B12" t="s">
        <v>28</v>
      </c>
      <c r="C12" t="s">
        <v>29</v>
      </c>
      <c r="D12" t="s">
        <v>30</v>
      </c>
      <c r="E12" t="s">
        <v>31</v>
      </c>
      <c r="F12" t="s">
        <v>5</v>
      </c>
      <c r="G12" t="s">
        <v>32</v>
      </c>
      <c r="H12" t="s">
        <v>33</v>
      </c>
      <c r="I12" t="s">
        <v>33</v>
      </c>
      <c r="J12" t="s">
        <v>34</v>
      </c>
      <c r="K12" t="s">
        <v>35</v>
      </c>
      <c r="L12" t="s">
        <v>1</v>
      </c>
    </row>
    <row r="13" spans="1:12">
      <c r="A13" t="s">
        <v>31</v>
      </c>
      <c r="B13" t="s">
        <v>29</v>
      </c>
      <c r="C13" t="s">
        <v>30</v>
      </c>
      <c r="D13" t="s">
        <v>30</v>
      </c>
      <c r="E13" t="s">
        <v>31</v>
      </c>
      <c r="F13" t="s">
        <v>5</v>
      </c>
      <c r="G13" t="s">
        <v>32</v>
      </c>
      <c r="H13" t="s">
        <v>33</v>
      </c>
      <c r="I13" t="s">
        <v>34</v>
      </c>
      <c r="J13" t="s">
        <v>35</v>
      </c>
      <c r="K13" t="s">
        <v>1</v>
      </c>
      <c r="L13" t="s">
        <v>36</v>
      </c>
    </row>
    <row r="14" spans="1:12">
      <c r="A14" t="s">
        <v>5</v>
      </c>
      <c r="B14" t="s">
        <v>29</v>
      </c>
      <c r="C14" t="s">
        <v>30</v>
      </c>
      <c r="D14" t="s">
        <v>31</v>
      </c>
      <c r="E14" t="s">
        <v>5</v>
      </c>
      <c r="F14" t="s">
        <v>32</v>
      </c>
      <c r="G14" t="s">
        <v>33</v>
      </c>
      <c r="H14" t="s">
        <v>34</v>
      </c>
      <c r="I14" t="s">
        <v>35</v>
      </c>
      <c r="J14" t="s">
        <v>1</v>
      </c>
      <c r="K14" t="s">
        <v>36</v>
      </c>
      <c r="L14" t="s">
        <v>37</v>
      </c>
    </row>
    <row r="15" spans="1:12">
      <c r="A15" t="s">
        <v>32</v>
      </c>
      <c r="B15" t="s">
        <v>30</v>
      </c>
      <c r="C15" t="s">
        <v>31</v>
      </c>
      <c r="D15" t="s">
        <v>5</v>
      </c>
      <c r="E15" t="s">
        <v>32</v>
      </c>
      <c r="F15" t="s">
        <v>33</v>
      </c>
      <c r="G15" t="s">
        <v>34</v>
      </c>
      <c r="H15" t="s">
        <v>35</v>
      </c>
      <c r="I15" t="s">
        <v>1</v>
      </c>
      <c r="J15" t="s">
        <v>36</v>
      </c>
      <c r="K15" t="s">
        <v>37</v>
      </c>
      <c r="L15" t="s">
        <v>38</v>
      </c>
    </row>
    <row r="16" spans="1:12">
      <c r="A16" t="s">
        <v>33</v>
      </c>
      <c r="B16" t="s">
        <v>31</v>
      </c>
      <c r="C16" t="s">
        <v>5</v>
      </c>
      <c r="D16" t="s">
        <v>32</v>
      </c>
      <c r="E16" t="s">
        <v>33</v>
      </c>
      <c r="F16" t="s">
        <v>34</v>
      </c>
      <c r="G16" t="s">
        <v>34</v>
      </c>
      <c r="H16" t="s">
        <v>35</v>
      </c>
      <c r="I16" t="s">
        <v>1</v>
      </c>
      <c r="J16" t="s">
        <v>36</v>
      </c>
      <c r="K16" t="s">
        <v>37</v>
      </c>
      <c r="L16" t="s">
        <v>38</v>
      </c>
    </row>
    <row r="17" spans="1:12">
      <c r="A17" t="s">
        <v>34</v>
      </c>
      <c r="B17" t="s">
        <v>31</v>
      </c>
      <c r="C17" t="s">
        <v>5</v>
      </c>
      <c r="D17" t="s">
        <v>32</v>
      </c>
      <c r="E17" t="s">
        <v>33</v>
      </c>
      <c r="F17" t="s">
        <v>34</v>
      </c>
      <c r="G17" t="s">
        <v>35</v>
      </c>
      <c r="H17" t="s">
        <v>1</v>
      </c>
      <c r="I17" t="s">
        <v>36</v>
      </c>
      <c r="J17" t="s">
        <v>37</v>
      </c>
      <c r="K17" t="s">
        <v>38</v>
      </c>
      <c r="L17" t="s">
        <v>0</v>
      </c>
    </row>
    <row r="18" spans="1:12">
      <c r="A18" t="s">
        <v>35</v>
      </c>
      <c r="B18" t="s">
        <v>5</v>
      </c>
      <c r="C18" t="s">
        <v>32</v>
      </c>
      <c r="D18" t="s">
        <v>33</v>
      </c>
      <c r="E18" t="s">
        <v>34</v>
      </c>
      <c r="F18" t="s">
        <v>35</v>
      </c>
      <c r="G18" t="s">
        <v>1</v>
      </c>
      <c r="H18" t="s">
        <v>36</v>
      </c>
      <c r="I18" t="s">
        <v>37</v>
      </c>
      <c r="J18" t="s">
        <v>38</v>
      </c>
      <c r="K18" t="s">
        <v>0</v>
      </c>
      <c r="L18" t="s">
        <v>39</v>
      </c>
    </row>
    <row r="19" spans="1:12">
      <c r="A19" t="s">
        <v>1</v>
      </c>
      <c r="B19" t="s">
        <v>32</v>
      </c>
      <c r="C19" t="s">
        <v>33</v>
      </c>
      <c r="D19" t="s">
        <v>34</v>
      </c>
      <c r="E19" t="s">
        <v>35</v>
      </c>
      <c r="F19" t="s">
        <v>1</v>
      </c>
      <c r="G19" t="s">
        <v>36</v>
      </c>
      <c r="H19" t="s">
        <v>37</v>
      </c>
      <c r="I19" t="s">
        <v>38</v>
      </c>
      <c r="J19" t="s">
        <v>0</v>
      </c>
      <c r="K19" t="s">
        <v>0</v>
      </c>
      <c r="L19" t="s">
        <v>39</v>
      </c>
    </row>
    <row r="20" spans="1:12">
      <c r="A20" t="s">
        <v>36</v>
      </c>
      <c r="B20" t="s">
        <v>33</v>
      </c>
      <c r="C20" t="s">
        <v>34</v>
      </c>
      <c r="D20" t="s">
        <v>35</v>
      </c>
      <c r="E20" t="s">
        <v>1</v>
      </c>
      <c r="F20" t="s">
        <v>1</v>
      </c>
      <c r="G20" t="s">
        <v>36</v>
      </c>
      <c r="H20" t="s">
        <v>37</v>
      </c>
      <c r="I20" t="s">
        <v>38</v>
      </c>
      <c r="J20" t="s">
        <v>0</v>
      </c>
      <c r="K20" t="s">
        <v>39</v>
      </c>
      <c r="L20" t="s">
        <v>40</v>
      </c>
    </row>
    <row r="21" spans="1:12">
      <c r="A21" t="s">
        <v>37</v>
      </c>
      <c r="B21" t="s">
        <v>33</v>
      </c>
      <c r="C21" t="s">
        <v>34</v>
      </c>
      <c r="D21" t="s">
        <v>35</v>
      </c>
      <c r="E21" t="s">
        <v>1</v>
      </c>
      <c r="F21" t="s">
        <v>36</v>
      </c>
      <c r="G21" t="s">
        <v>37</v>
      </c>
      <c r="H21" t="s">
        <v>38</v>
      </c>
      <c r="I21" t="s">
        <v>0</v>
      </c>
      <c r="J21" t="s">
        <v>39</v>
      </c>
      <c r="K21" t="s">
        <v>40</v>
      </c>
      <c r="L21" t="s">
        <v>41</v>
      </c>
    </row>
    <row r="22" spans="1:12">
      <c r="A22" t="s">
        <v>38</v>
      </c>
      <c r="B22" t="s">
        <v>34</v>
      </c>
      <c r="C22" t="s">
        <v>35</v>
      </c>
      <c r="D22" t="s">
        <v>1</v>
      </c>
      <c r="E22" t="s">
        <v>36</v>
      </c>
      <c r="F22" t="s">
        <v>37</v>
      </c>
      <c r="G22" t="s">
        <v>38</v>
      </c>
      <c r="H22" t="s">
        <v>0</v>
      </c>
      <c r="I22" t="s">
        <v>39</v>
      </c>
      <c r="J22" t="s">
        <v>40</v>
      </c>
      <c r="K22" t="s">
        <v>41</v>
      </c>
      <c r="L22" t="s">
        <v>42</v>
      </c>
    </row>
    <row r="23" spans="1:12">
      <c r="A23" t="s">
        <v>0</v>
      </c>
      <c r="B23" t="s">
        <v>35</v>
      </c>
      <c r="C23" t="s">
        <v>1</v>
      </c>
      <c r="D23" t="s">
        <v>36</v>
      </c>
      <c r="E23" t="s">
        <v>37</v>
      </c>
      <c r="F23" t="s">
        <v>38</v>
      </c>
      <c r="G23" t="s">
        <v>0</v>
      </c>
      <c r="H23" t="s">
        <v>39</v>
      </c>
      <c r="I23" t="s">
        <v>39</v>
      </c>
      <c r="J23" t="s">
        <v>40</v>
      </c>
      <c r="K23" t="s">
        <v>41</v>
      </c>
      <c r="L23" t="s">
        <v>42</v>
      </c>
    </row>
    <row r="24" spans="1:12">
      <c r="A24" t="s">
        <v>39</v>
      </c>
      <c r="B24" t="s">
        <v>1</v>
      </c>
      <c r="C24" t="s">
        <v>36</v>
      </c>
      <c r="D24" t="s">
        <v>36</v>
      </c>
      <c r="E24" t="s">
        <v>37</v>
      </c>
      <c r="F24" t="s">
        <v>38</v>
      </c>
      <c r="G24" t="s">
        <v>0</v>
      </c>
      <c r="H24" t="s">
        <v>39</v>
      </c>
      <c r="I24" t="s">
        <v>40</v>
      </c>
      <c r="J24" t="s">
        <v>41</v>
      </c>
      <c r="K24" t="s">
        <v>42</v>
      </c>
      <c r="L24" t="s">
        <v>43</v>
      </c>
    </row>
    <row r="25" spans="1:12">
      <c r="A25" t="s">
        <v>40</v>
      </c>
      <c r="B25" t="s">
        <v>1</v>
      </c>
      <c r="C25" t="s">
        <v>36</v>
      </c>
      <c r="D25" t="s">
        <v>37</v>
      </c>
      <c r="E25" t="s">
        <v>38</v>
      </c>
      <c r="F25" t="s">
        <v>0</v>
      </c>
      <c r="G25" t="s">
        <v>39</v>
      </c>
      <c r="H25" t="s">
        <v>40</v>
      </c>
      <c r="I25" t="s">
        <v>41</v>
      </c>
      <c r="J25" t="s">
        <v>42</v>
      </c>
      <c r="K25" t="s">
        <v>43</v>
      </c>
      <c r="L25" t="s">
        <v>44</v>
      </c>
    </row>
    <row r="26" spans="1:12">
      <c r="A26" t="s">
        <v>41</v>
      </c>
      <c r="B26" t="s">
        <v>36</v>
      </c>
      <c r="C26" t="s">
        <v>37</v>
      </c>
      <c r="D26" t="s">
        <v>38</v>
      </c>
      <c r="E26" t="s">
        <v>0</v>
      </c>
      <c r="F26" t="s">
        <v>39</v>
      </c>
      <c r="G26" t="s">
        <v>40</v>
      </c>
      <c r="H26" t="s">
        <v>41</v>
      </c>
      <c r="I26" t="s">
        <v>42</v>
      </c>
      <c r="J26" t="s">
        <v>43</v>
      </c>
      <c r="K26" t="s">
        <v>44</v>
      </c>
      <c r="L26" t="s">
        <v>45</v>
      </c>
    </row>
    <row r="27" spans="1:12">
      <c r="A27" t="s">
        <v>42</v>
      </c>
      <c r="B27" t="s">
        <v>37</v>
      </c>
      <c r="C27" t="s">
        <v>38</v>
      </c>
      <c r="D27" t="s">
        <v>0</v>
      </c>
      <c r="E27" t="s">
        <v>39</v>
      </c>
      <c r="F27" t="s">
        <v>40</v>
      </c>
      <c r="G27" t="s">
        <v>41</v>
      </c>
      <c r="H27" t="s">
        <v>41</v>
      </c>
      <c r="I27" t="s">
        <v>42</v>
      </c>
      <c r="J27" t="s">
        <v>43</v>
      </c>
      <c r="K27" t="s">
        <v>44</v>
      </c>
      <c r="L27" t="s">
        <v>45</v>
      </c>
    </row>
    <row r="28" spans="1:12">
      <c r="A28" t="s">
        <v>43</v>
      </c>
      <c r="B28" t="s">
        <v>37</v>
      </c>
      <c r="C28" t="s">
        <v>38</v>
      </c>
      <c r="D28" t="s">
        <v>0</v>
      </c>
      <c r="E28" t="s">
        <v>39</v>
      </c>
      <c r="F28" t="s">
        <v>40</v>
      </c>
      <c r="G28" t="s">
        <v>41</v>
      </c>
      <c r="H28" t="s">
        <v>42</v>
      </c>
      <c r="I28" t="s">
        <v>43</v>
      </c>
      <c r="J28" t="s">
        <v>44</v>
      </c>
      <c r="K28" t="s">
        <v>45</v>
      </c>
      <c r="L28" t="s">
        <v>46</v>
      </c>
    </row>
    <row r="29" spans="1:12">
      <c r="A29" t="s">
        <v>44</v>
      </c>
      <c r="B29" t="s">
        <v>38</v>
      </c>
      <c r="C29" t="s">
        <v>0</v>
      </c>
      <c r="D29" t="s">
        <v>39</v>
      </c>
      <c r="E29" t="s">
        <v>40</v>
      </c>
      <c r="F29" t="s">
        <v>41</v>
      </c>
      <c r="G29" t="s">
        <v>42</v>
      </c>
      <c r="H29" t="s">
        <v>43</v>
      </c>
      <c r="I29" t="s">
        <v>44</v>
      </c>
      <c r="J29" t="s">
        <v>45</v>
      </c>
      <c r="K29" t="s">
        <v>46</v>
      </c>
      <c r="L29" t="s">
        <v>47</v>
      </c>
    </row>
    <row r="30" spans="1:12">
      <c r="A30" t="s">
        <v>45</v>
      </c>
      <c r="B30" t="s">
        <v>0</v>
      </c>
      <c r="C30" t="s">
        <v>39</v>
      </c>
      <c r="D30" t="s">
        <v>40</v>
      </c>
      <c r="E30" t="s">
        <v>41</v>
      </c>
      <c r="F30" t="s">
        <v>42</v>
      </c>
      <c r="G30" t="s">
        <v>43</v>
      </c>
      <c r="H30" t="s">
        <v>44</v>
      </c>
      <c r="I30" t="s">
        <v>45</v>
      </c>
      <c r="J30" t="s">
        <v>46</v>
      </c>
      <c r="K30" t="s">
        <v>46</v>
      </c>
      <c r="L30" t="s">
        <v>47</v>
      </c>
    </row>
    <row r="31" spans="1:12">
      <c r="A31" t="s">
        <v>46</v>
      </c>
      <c r="B31" t="s">
        <v>39</v>
      </c>
      <c r="C31" t="s">
        <v>40</v>
      </c>
      <c r="D31" t="s">
        <v>41</v>
      </c>
      <c r="E31" t="s">
        <v>42</v>
      </c>
      <c r="F31" t="s">
        <v>42</v>
      </c>
      <c r="G31" t="s">
        <v>43</v>
      </c>
      <c r="H31" t="s">
        <v>44</v>
      </c>
      <c r="I31" t="s">
        <v>45</v>
      </c>
      <c r="J31" t="s">
        <v>46</v>
      </c>
      <c r="K31" t="s">
        <v>47</v>
      </c>
      <c r="L31" t="s">
        <v>48</v>
      </c>
    </row>
    <row r="32" spans="1:12">
      <c r="A32" t="s">
        <v>47</v>
      </c>
      <c r="B32" t="s">
        <v>39</v>
      </c>
      <c r="C32" t="s">
        <v>40</v>
      </c>
      <c r="D32" t="s">
        <v>41</v>
      </c>
      <c r="E32" t="s">
        <v>42</v>
      </c>
      <c r="F32" t="s">
        <v>43</v>
      </c>
      <c r="G32" t="s">
        <v>44</v>
      </c>
      <c r="H32" t="s">
        <v>45</v>
      </c>
      <c r="I32" t="s">
        <v>46</v>
      </c>
      <c r="J32" t="s">
        <v>47</v>
      </c>
      <c r="K32" t="s">
        <v>48</v>
      </c>
      <c r="L32" t="s">
        <v>49</v>
      </c>
    </row>
    <row r="33" spans="1:12">
      <c r="A33" t="s">
        <v>48</v>
      </c>
      <c r="B33" t="s">
        <v>40</v>
      </c>
      <c r="C33" t="s">
        <v>41</v>
      </c>
      <c r="D33" t="s">
        <v>42</v>
      </c>
      <c r="E33" t="s">
        <v>43</v>
      </c>
      <c r="F33" t="s">
        <v>44</v>
      </c>
      <c r="G33" t="s">
        <v>45</v>
      </c>
      <c r="H33" t="s">
        <v>46</v>
      </c>
      <c r="I33" t="s">
        <v>47</v>
      </c>
      <c r="J33" t="s">
        <v>48</v>
      </c>
      <c r="K33" t="s">
        <v>49</v>
      </c>
      <c r="L33" t="s">
        <v>50</v>
      </c>
    </row>
    <row r="34" spans="1:12">
      <c r="A34" t="s">
        <v>49</v>
      </c>
      <c r="B34" t="s">
        <v>41</v>
      </c>
      <c r="C34" t="s">
        <v>42</v>
      </c>
      <c r="D34" t="s">
        <v>43</v>
      </c>
      <c r="E34" t="s">
        <v>44</v>
      </c>
      <c r="F34" t="s">
        <v>45</v>
      </c>
      <c r="G34" t="s">
        <v>46</v>
      </c>
      <c r="H34" t="s">
        <v>47</v>
      </c>
      <c r="I34" t="s">
        <v>48</v>
      </c>
      <c r="J34" t="s">
        <v>48</v>
      </c>
      <c r="K34" t="s">
        <v>49</v>
      </c>
      <c r="L34" t="s">
        <v>50</v>
      </c>
    </row>
    <row r="35" spans="1:12">
      <c r="A35" t="s">
        <v>50</v>
      </c>
      <c r="B35" t="s">
        <v>42</v>
      </c>
      <c r="C35" t="s">
        <v>43</v>
      </c>
      <c r="D35" t="s">
        <v>43</v>
      </c>
      <c r="E35" t="s">
        <v>44</v>
      </c>
      <c r="F35" t="s">
        <v>45</v>
      </c>
      <c r="G35" t="s">
        <v>46</v>
      </c>
      <c r="H35" t="s">
        <v>47</v>
      </c>
      <c r="I35" t="s">
        <v>48</v>
      </c>
      <c r="J35" t="s">
        <v>49</v>
      </c>
      <c r="K35" t="s">
        <v>50</v>
      </c>
      <c r="L35" t="s">
        <v>51</v>
      </c>
    </row>
    <row r="36" spans="1:12">
      <c r="A36" t="s">
        <v>51</v>
      </c>
      <c r="B36" t="s">
        <v>42</v>
      </c>
      <c r="C36" t="s">
        <v>43</v>
      </c>
      <c r="D36" t="s">
        <v>44</v>
      </c>
      <c r="E36" t="s">
        <v>45</v>
      </c>
      <c r="F36" t="s">
        <v>46</v>
      </c>
      <c r="G36" t="s">
        <v>47</v>
      </c>
      <c r="H36" t="s">
        <v>48</v>
      </c>
      <c r="I36" t="s">
        <v>49</v>
      </c>
      <c r="J36" t="s">
        <v>50</v>
      </c>
      <c r="K36" t="s">
        <v>51</v>
      </c>
      <c r="L36" t="s">
        <v>52</v>
      </c>
    </row>
    <row r="37" spans="1:12">
      <c r="A37" t="s">
        <v>52</v>
      </c>
      <c r="B37" t="s">
        <v>43</v>
      </c>
      <c r="C37" t="s">
        <v>44</v>
      </c>
      <c r="D37" t="s">
        <v>45</v>
      </c>
      <c r="E37" t="s">
        <v>46</v>
      </c>
      <c r="F37" t="s">
        <v>47</v>
      </c>
      <c r="G37" t="s">
        <v>48</v>
      </c>
      <c r="H37" t="s">
        <v>49</v>
      </c>
      <c r="I37" t="s">
        <v>50</v>
      </c>
      <c r="J37" t="s">
        <v>51</v>
      </c>
      <c r="K37" t="s">
        <v>52</v>
      </c>
      <c r="L37" t="s">
        <v>53</v>
      </c>
    </row>
    <row r="38" spans="1:12">
      <c r="A38" t="s">
        <v>53</v>
      </c>
      <c r="B38" t="s">
        <v>44</v>
      </c>
      <c r="C38" t="s">
        <v>45</v>
      </c>
      <c r="D38" t="s">
        <v>46</v>
      </c>
      <c r="E38" t="s">
        <v>47</v>
      </c>
      <c r="F38" t="s">
        <v>48</v>
      </c>
      <c r="G38" t="s">
        <v>49</v>
      </c>
      <c r="H38" t="s">
        <v>49</v>
      </c>
      <c r="I38" t="s">
        <v>50</v>
      </c>
      <c r="J38" t="s">
        <v>51</v>
      </c>
      <c r="K38" t="s">
        <v>52</v>
      </c>
      <c r="L38" t="s">
        <v>53</v>
      </c>
    </row>
    <row r="39" spans="1:12">
      <c r="A39" t="s">
        <v>66</v>
      </c>
      <c r="B39" t="s">
        <v>44</v>
      </c>
      <c r="C39" t="s">
        <v>45</v>
      </c>
      <c r="D39" t="s">
        <v>46</v>
      </c>
      <c r="E39" t="s">
        <v>47</v>
      </c>
      <c r="F39" t="s">
        <v>48</v>
      </c>
      <c r="G39" t="s">
        <v>49</v>
      </c>
      <c r="H39" t="s">
        <v>50</v>
      </c>
      <c r="I39" t="s">
        <v>51</v>
      </c>
      <c r="J39" t="s">
        <v>52</v>
      </c>
      <c r="K39" t="s">
        <v>53</v>
      </c>
      <c r="L39" t="s">
        <v>66</v>
      </c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Data"/>
  <dimension ref="A1:LR245"/>
  <sheetViews>
    <sheetView workbookViewId="0">
      <selection sqref="A1:A58"/>
    </sheetView>
  </sheetViews>
  <sheetFormatPr baseColWidth="10" defaultColWidth="8.83203125" defaultRowHeight="15"/>
  <sheetData>
    <row r="1" spans="1:330">
      <c r="A1">
        <v>43662</v>
      </c>
      <c r="B1" s="15" t="s">
        <v>26</v>
      </c>
      <c r="C1" s="15" t="s">
        <v>510</v>
      </c>
      <c r="D1" s="15" t="s">
        <v>37</v>
      </c>
      <c r="E1" s="15" t="s">
        <v>765</v>
      </c>
      <c r="F1" s="15"/>
      <c r="G1" s="15" t="s">
        <v>24</v>
      </c>
      <c r="H1" s="15" t="s">
        <v>25</v>
      </c>
      <c r="I1" s="15" t="s">
        <v>23</v>
      </c>
      <c r="J1" s="15" t="s">
        <v>25</v>
      </c>
      <c r="K1" s="15" t="s">
        <v>23</v>
      </c>
      <c r="L1" s="15" t="s">
        <v>2</v>
      </c>
      <c r="M1" s="15" t="s">
        <v>24</v>
      </c>
      <c r="N1" s="15" t="s">
        <v>23</v>
      </c>
      <c r="O1" s="15" t="s">
        <v>24</v>
      </c>
      <c r="P1" s="15" t="s">
        <v>24</v>
      </c>
      <c r="Q1" s="15" t="s">
        <v>2</v>
      </c>
      <c r="R1" s="15" t="s">
        <v>24</v>
      </c>
      <c r="S1" s="15" t="s">
        <v>23</v>
      </c>
      <c r="T1" s="15" t="s">
        <v>25</v>
      </c>
      <c r="U1" s="15" t="s">
        <v>23</v>
      </c>
      <c r="V1" s="15" t="s">
        <v>24</v>
      </c>
      <c r="W1" s="15" t="s">
        <v>2</v>
      </c>
      <c r="X1" s="15" t="s">
        <v>23</v>
      </c>
      <c r="Y1" s="15" t="s">
        <v>2</v>
      </c>
      <c r="Z1" s="15" t="s">
        <v>24</v>
      </c>
      <c r="AA1" s="15" t="s">
        <v>23</v>
      </c>
      <c r="AB1" s="15" t="s">
        <v>2</v>
      </c>
      <c r="AC1" s="15" t="s">
        <v>25</v>
      </c>
      <c r="AD1" s="15" t="s">
        <v>2</v>
      </c>
      <c r="AE1" s="15" t="s">
        <v>23</v>
      </c>
      <c r="AF1" s="15" t="s">
        <v>25</v>
      </c>
      <c r="AG1" s="15" t="s">
        <v>23</v>
      </c>
      <c r="AH1" s="15" t="s">
        <v>2</v>
      </c>
      <c r="AI1" s="15" t="s">
        <v>23</v>
      </c>
      <c r="AJ1" s="15" t="s">
        <v>23</v>
      </c>
      <c r="AK1" s="15" t="s">
        <v>25</v>
      </c>
      <c r="AL1" s="15" t="s">
        <v>2</v>
      </c>
      <c r="AM1" s="15" t="s">
        <v>24</v>
      </c>
      <c r="AN1" s="15" t="s">
        <v>23</v>
      </c>
      <c r="AO1" s="15" t="s">
        <v>25</v>
      </c>
      <c r="AP1" s="15" t="s">
        <v>2</v>
      </c>
      <c r="AQ1" s="15" t="s">
        <v>25</v>
      </c>
      <c r="AR1" s="15" t="s">
        <v>23</v>
      </c>
      <c r="AS1" s="15" t="s">
        <v>24</v>
      </c>
      <c r="AT1" s="15" t="s">
        <v>2</v>
      </c>
      <c r="AU1" s="15" t="s">
        <v>25</v>
      </c>
      <c r="AV1" s="15" t="s">
        <v>23</v>
      </c>
      <c r="AW1" s="15" t="s">
        <v>2</v>
      </c>
      <c r="AX1" s="15" t="s">
        <v>24</v>
      </c>
      <c r="AY1" s="15" t="s">
        <v>24</v>
      </c>
      <c r="AZ1" s="15" t="s">
        <v>2</v>
      </c>
      <c r="BA1" s="15" t="s">
        <v>2</v>
      </c>
      <c r="BB1" s="15" t="s">
        <v>23</v>
      </c>
      <c r="BC1" s="15" t="s">
        <v>23</v>
      </c>
      <c r="BD1" s="15" t="s">
        <v>23</v>
      </c>
      <c r="BE1" s="15" t="s">
        <v>25</v>
      </c>
      <c r="BF1" s="15" t="s">
        <v>2</v>
      </c>
      <c r="BG1" s="15" t="s">
        <v>23</v>
      </c>
      <c r="BH1" s="15" t="s">
        <v>23</v>
      </c>
      <c r="BI1" s="15" t="s">
        <v>23</v>
      </c>
      <c r="BJ1" s="15" t="s">
        <v>25</v>
      </c>
      <c r="BK1" s="15" t="s">
        <v>23</v>
      </c>
      <c r="BL1" s="15" t="s">
        <v>24</v>
      </c>
      <c r="BM1" s="15" t="s">
        <v>25</v>
      </c>
      <c r="BN1" s="15" t="s">
        <v>24</v>
      </c>
      <c r="BO1" s="15" t="s">
        <v>23</v>
      </c>
      <c r="BP1" s="15" t="s">
        <v>2</v>
      </c>
      <c r="BQ1" s="15" t="s">
        <v>2</v>
      </c>
      <c r="BR1" s="15" t="s">
        <v>23</v>
      </c>
      <c r="BS1" s="15" t="s">
        <v>23</v>
      </c>
      <c r="BT1" s="15" t="s">
        <v>24</v>
      </c>
      <c r="BU1" s="15"/>
      <c r="BV1" s="15"/>
      <c r="BW1" s="15"/>
      <c r="BX1" s="15"/>
      <c r="BY1" s="15"/>
      <c r="BZ1" s="15"/>
      <c r="CA1" s="15"/>
      <c r="CB1" s="15"/>
      <c r="CC1" s="15"/>
      <c r="CD1" s="15" t="s">
        <v>2</v>
      </c>
      <c r="CE1" s="15" t="s">
        <v>25</v>
      </c>
      <c r="CF1" s="15" t="s">
        <v>24</v>
      </c>
      <c r="CG1" s="15" t="s">
        <v>2</v>
      </c>
      <c r="CH1" s="15" t="s">
        <v>23</v>
      </c>
      <c r="CI1" s="15" t="s">
        <v>23</v>
      </c>
      <c r="CJ1" s="15" t="s">
        <v>25</v>
      </c>
      <c r="CK1" s="15" t="s">
        <v>23</v>
      </c>
      <c r="CL1" s="15" t="s">
        <v>24</v>
      </c>
      <c r="CM1" s="15" t="s">
        <v>24</v>
      </c>
      <c r="CN1" s="15" t="s">
        <v>26</v>
      </c>
      <c r="CO1" s="15" t="s">
        <v>23</v>
      </c>
      <c r="CP1" s="15" t="s">
        <v>25</v>
      </c>
      <c r="CQ1" s="15" t="s">
        <v>24</v>
      </c>
      <c r="CR1" s="15" t="s">
        <v>25</v>
      </c>
      <c r="CS1" s="15" t="s">
        <v>26</v>
      </c>
      <c r="CT1" s="15" t="s">
        <v>23</v>
      </c>
      <c r="CU1" s="15" t="s">
        <v>23</v>
      </c>
      <c r="CV1" s="15" t="s">
        <v>23</v>
      </c>
      <c r="CW1" s="15" t="s">
        <v>24</v>
      </c>
      <c r="CX1" s="15" t="s">
        <v>23</v>
      </c>
      <c r="CY1" s="15" t="s">
        <v>24</v>
      </c>
      <c r="CZ1" s="15" t="s">
        <v>2</v>
      </c>
      <c r="DA1" s="15" t="s">
        <v>2</v>
      </c>
      <c r="DB1" s="15" t="s">
        <v>24</v>
      </c>
      <c r="DC1" s="15" t="s">
        <v>25</v>
      </c>
      <c r="DD1" s="15" t="s">
        <v>23</v>
      </c>
      <c r="DE1" s="15" t="s">
        <v>24</v>
      </c>
      <c r="DF1" s="15" t="s">
        <v>25</v>
      </c>
      <c r="DG1" s="15" t="s">
        <v>25</v>
      </c>
      <c r="DH1" s="15" t="s">
        <v>24</v>
      </c>
      <c r="DI1" s="15" t="s">
        <v>25</v>
      </c>
      <c r="DJ1" s="15" t="s">
        <v>25</v>
      </c>
      <c r="DK1" s="15" t="s">
        <v>24</v>
      </c>
      <c r="DL1" s="15" t="s">
        <v>25</v>
      </c>
      <c r="DM1" s="15" t="s">
        <v>24</v>
      </c>
      <c r="DN1" s="15" t="s">
        <v>25</v>
      </c>
      <c r="DO1" s="15" t="s">
        <v>23</v>
      </c>
      <c r="DP1" s="15" t="s">
        <v>23</v>
      </c>
      <c r="DQ1" s="15" t="s">
        <v>24</v>
      </c>
      <c r="DR1" s="15" t="s">
        <v>25</v>
      </c>
      <c r="DS1" s="15" t="s">
        <v>24</v>
      </c>
      <c r="DT1" s="15" t="s">
        <v>23</v>
      </c>
      <c r="DU1" s="15" t="s">
        <v>23</v>
      </c>
      <c r="DV1" s="15" t="s">
        <v>24</v>
      </c>
      <c r="DW1" s="15" t="s">
        <v>25</v>
      </c>
      <c r="DX1" s="15" t="s">
        <v>24</v>
      </c>
      <c r="DY1" s="15" t="s">
        <v>2</v>
      </c>
      <c r="DZ1" s="15" t="s">
        <v>26</v>
      </c>
      <c r="EA1" s="15" t="s">
        <v>25</v>
      </c>
      <c r="EB1" s="15" t="s">
        <v>25</v>
      </c>
      <c r="EC1" s="15" t="s">
        <v>25</v>
      </c>
      <c r="ED1" s="15" t="s">
        <v>24</v>
      </c>
      <c r="EE1" s="15" t="s">
        <v>25</v>
      </c>
      <c r="EF1" s="15" t="s">
        <v>24</v>
      </c>
      <c r="EG1" s="15" t="s">
        <v>2</v>
      </c>
      <c r="EH1" s="15" t="s">
        <v>23</v>
      </c>
      <c r="EI1" s="15" t="s">
        <v>2</v>
      </c>
      <c r="EJ1" s="15" t="s">
        <v>25</v>
      </c>
      <c r="EK1" s="15" t="s">
        <v>26</v>
      </c>
      <c r="EL1" s="15" t="s">
        <v>25</v>
      </c>
      <c r="EM1" s="15" t="s">
        <v>24</v>
      </c>
      <c r="EN1" s="15" t="s">
        <v>25</v>
      </c>
      <c r="EO1" s="15" t="s">
        <v>24</v>
      </c>
      <c r="EP1" s="15" t="s">
        <v>24</v>
      </c>
      <c r="EQ1" s="15" t="s">
        <v>25</v>
      </c>
      <c r="ER1" s="15" t="s">
        <v>23</v>
      </c>
      <c r="ES1" s="15" t="s">
        <v>2</v>
      </c>
      <c r="ET1" s="15" t="s">
        <v>24</v>
      </c>
      <c r="EU1" s="15" t="s">
        <v>2</v>
      </c>
      <c r="EV1" s="15" t="s">
        <v>2</v>
      </c>
      <c r="EW1" s="15" t="s">
        <v>2</v>
      </c>
      <c r="EX1" s="15" t="s">
        <v>2</v>
      </c>
      <c r="EY1" s="15" t="s">
        <v>2</v>
      </c>
      <c r="EZ1" s="15" t="s">
        <v>25</v>
      </c>
      <c r="FA1" s="15" t="s">
        <v>23</v>
      </c>
      <c r="FB1" s="15" t="s">
        <v>25</v>
      </c>
      <c r="FC1" s="15" t="s">
        <v>25</v>
      </c>
      <c r="FD1" s="15" t="s">
        <v>2</v>
      </c>
      <c r="FE1" s="15" t="s">
        <v>25</v>
      </c>
      <c r="FF1" s="15" t="s">
        <v>2</v>
      </c>
      <c r="FG1" s="15" t="s">
        <v>24</v>
      </c>
      <c r="FH1" s="15" t="s">
        <v>2</v>
      </c>
      <c r="FI1" s="15" t="s">
        <v>25</v>
      </c>
      <c r="FJ1" s="15" t="s">
        <v>24</v>
      </c>
      <c r="FK1" s="15" t="s">
        <v>24</v>
      </c>
      <c r="FL1" s="15" t="s">
        <v>23</v>
      </c>
      <c r="FM1" s="15" t="s">
        <v>24</v>
      </c>
      <c r="FN1" s="15" t="s">
        <v>25</v>
      </c>
      <c r="FO1" s="15" t="s">
        <v>24</v>
      </c>
      <c r="FP1" s="15" t="s">
        <v>23</v>
      </c>
      <c r="FQ1" s="15" t="s">
        <v>23</v>
      </c>
      <c r="FR1" s="15" t="s">
        <v>24</v>
      </c>
      <c r="FS1" s="15" t="s">
        <v>25</v>
      </c>
      <c r="FT1" s="15" t="s">
        <v>24</v>
      </c>
      <c r="FU1" s="15" t="s">
        <v>23</v>
      </c>
      <c r="FV1" s="15" t="s">
        <v>24</v>
      </c>
      <c r="FW1" s="15" t="s">
        <v>24</v>
      </c>
      <c r="FX1" s="15" t="s">
        <v>23</v>
      </c>
      <c r="FY1" s="15" t="s">
        <v>25</v>
      </c>
      <c r="FZ1" s="15" t="s">
        <v>25</v>
      </c>
      <c r="GA1" s="15" t="s">
        <v>24</v>
      </c>
      <c r="GB1" s="15" t="s">
        <v>23</v>
      </c>
      <c r="GC1" s="15" t="s">
        <v>2</v>
      </c>
      <c r="GD1" s="15" t="s">
        <v>25</v>
      </c>
      <c r="GE1" s="15" t="s">
        <v>2</v>
      </c>
      <c r="GF1" s="15" t="s">
        <v>2</v>
      </c>
      <c r="GG1" s="15" t="s">
        <v>23</v>
      </c>
      <c r="GH1" s="15" t="s">
        <v>2</v>
      </c>
      <c r="GI1" s="15" t="s">
        <v>24</v>
      </c>
      <c r="GJ1" s="15" t="s">
        <v>24</v>
      </c>
      <c r="GK1" s="15" t="s">
        <v>25</v>
      </c>
      <c r="GL1" s="15" t="s">
        <v>24</v>
      </c>
      <c r="GM1" s="15" t="s">
        <v>25</v>
      </c>
      <c r="GN1" s="15" t="s">
        <v>25</v>
      </c>
      <c r="GO1" s="15" t="s">
        <v>23</v>
      </c>
      <c r="GP1" s="15" t="s">
        <v>24</v>
      </c>
      <c r="GQ1" s="15" t="s">
        <v>24</v>
      </c>
      <c r="GR1" s="15" t="s">
        <v>25</v>
      </c>
      <c r="GS1" s="15" t="s">
        <v>2</v>
      </c>
      <c r="GT1" s="15" t="s">
        <v>23</v>
      </c>
      <c r="GU1" s="15" t="s">
        <v>24</v>
      </c>
      <c r="GV1" s="15" t="s">
        <v>2</v>
      </c>
      <c r="GW1" s="15" t="s">
        <v>2</v>
      </c>
      <c r="GX1" s="15" t="s">
        <v>24</v>
      </c>
      <c r="GY1" s="15" t="s">
        <v>25</v>
      </c>
      <c r="GZ1" s="15" t="s">
        <v>25</v>
      </c>
      <c r="HA1" s="15" t="s">
        <v>24</v>
      </c>
      <c r="HB1" s="15" t="s">
        <v>23</v>
      </c>
      <c r="HC1" s="15" t="s">
        <v>23</v>
      </c>
      <c r="HD1" s="15" t="s">
        <v>24</v>
      </c>
      <c r="HE1" s="15" t="s">
        <v>25</v>
      </c>
      <c r="HF1" s="15" t="s">
        <v>25</v>
      </c>
      <c r="HG1" s="15" t="s">
        <v>24</v>
      </c>
      <c r="HH1" s="15" t="s">
        <v>25</v>
      </c>
      <c r="HI1" s="15" t="s">
        <v>23</v>
      </c>
      <c r="HJ1" s="15" t="s">
        <v>24</v>
      </c>
      <c r="HK1" s="15" t="s">
        <v>24</v>
      </c>
      <c r="HL1" s="15" t="s">
        <v>25</v>
      </c>
      <c r="HM1" s="15" t="s">
        <v>25</v>
      </c>
      <c r="HN1" s="15"/>
      <c r="HO1" s="15"/>
      <c r="HP1" s="15"/>
      <c r="HQ1" s="15"/>
      <c r="HR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  <c r="IE1" s="15"/>
      <c r="IF1" s="15"/>
      <c r="IG1" s="15"/>
      <c r="IH1" s="15"/>
      <c r="II1" s="15"/>
      <c r="IJ1" s="15"/>
      <c r="IK1" s="15"/>
      <c r="IL1" s="15"/>
      <c r="IM1" s="15"/>
      <c r="IN1" s="15"/>
      <c r="IO1" s="15"/>
      <c r="IP1" s="15"/>
      <c r="IQ1" s="15"/>
      <c r="IR1" s="15"/>
      <c r="IS1" s="15"/>
      <c r="IT1" s="15"/>
      <c r="IU1" s="15"/>
      <c r="IV1" s="15"/>
      <c r="IW1" s="15"/>
      <c r="IX1" s="15"/>
      <c r="IY1" s="15"/>
      <c r="IZ1" s="15"/>
      <c r="JA1" s="15"/>
      <c r="JB1" s="15"/>
      <c r="JC1" s="15"/>
      <c r="JD1" s="15"/>
      <c r="JE1" s="15"/>
      <c r="JF1" s="15"/>
      <c r="JG1" s="15"/>
      <c r="JH1" s="15"/>
      <c r="JI1" s="15"/>
      <c r="JJ1" s="15"/>
      <c r="JK1" s="15"/>
      <c r="JL1" s="15"/>
      <c r="JM1" s="15"/>
      <c r="JN1" s="15"/>
      <c r="JO1" s="15"/>
      <c r="JP1" s="15"/>
      <c r="JQ1" s="15"/>
      <c r="JR1" s="15"/>
      <c r="JS1" s="15"/>
      <c r="JT1" s="15"/>
      <c r="JU1" s="15"/>
      <c r="JV1" s="15"/>
      <c r="JW1" s="15"/>
      <c r="JX1" s="15"/>
      <c r="JY1" s="15"/>
      <c r="JZ1" s="15"/>
      <c r="KA1" s="15"/>
      <c r="KB1" s="15"/>
      <c r="KC1" s="15"/>
      <c r="KD1" s="15"/>
      <c r="KE1" s="15"/>
      <c r="KF1" s="15"/>
      <c r="KG1" s="15"/>
      <c r="KH1" s="15"/>
      <c r="KI1" s="15"/>
      <c r="KJ1" s="15"/>
      <c r="KK1" s="15"/>
      <c r="KL1" s="15"/>
      <c r="KM1" s="15"/>
      <c r="KN1" s="15"/>
      <c r="KO1" s="15"/>
      <c r="KP1" s="15"/>
      <c r="KQ1" s="15"/>
      <c r="KR1" s="15"/>
      <c r="KS1" s="15"/>
      <c r="KT1" s="15"/>
      <c r="KU1" s="15"/>
      <c r="KV1" s="15"/>
      <c r="KW1" s="15"/>
      <c r="KX1" s="15"/>
      <c r="KY1" s="15"/>
      <c r="KZ1" s="15"/>
      <c r="LA1" s="15"/>
      <c r="LB1" s="15"/>
      <c r="LC1" s="15"/>
      <c r="LD1" s="15"/>
      <c r="LE1" s="15"/>
      <c r="LF1" s="15"/>
      <c r="LG1" s="15"/>
      <c r="LH1" s="15"/>
      <c r="LI1" s="15"/>
      <c r="LJ1" s="15"/>
      <c r="LK1" s="15"/>
      <c r="LL1" s="15"/>
      <c r="LM1" s="15"/>
      <c r="LN1" s="15"/>
      <c r="LO1" s="15"/>
      <c r="LP1" s="15"/>
      <c r="LQ1" s="15"/>
      <c r="LR1" s="15"/>
    </row>
    <row r="2" spans="1:330">
      <c r="A2">
        <v>43662</v>
      </c>
      <c r="B2" s="15" t="s">
        <v>27</v>
      </c>
      <c r="C2" s="15" t="s">
        <v>511</v>
      </c>
      <c r="D2" s="15" t="s">
        <v>37</v>
      </c>
      <c r="E2" s="15" t="s">
        <v>765</v>
      </c>
      <c r="F2" s="15"/>
      <c r="G2" s="15" t="s">
        <v>24</v>
      </c>
      <c r="H2" s="15" t="s">
        <v>25</v>
      </c>
      <c r="I2" s="15" t="s">
        <v>23</v>
      </c>
      <c r="J2" s="15" t="s">
        <v>23</v>
      </c>
      <c r="K2" s="15" t="s">
        <v>25</v>
      </c>
      <c r="L2" s="15" t="s">
        <v>2</v>
      </c>
      <c r="M2" s="15" t="s">
        <v>24</v>
      </c>
      <c r="N2" s="15" t="s">
        <v>23</v>
      </c>
      <c r="O2" s="15" t="s">
        <v>24</v>
      </c>
      <c r="P2" s="15" t="s">
        <v>2</v>
      </c>
      <c r="Q2" s="15" t="s">
        <v>2</v>
      </c>
      <c r="R2" s="15" t="s">
        <v>24</v>
      </c>
      <c r="S2" s="15" t="s">
        <v>23</v>
      </c>
      <c r="T2" s="15" t="s">
        <v>25</v>
      </c>
      <c r="U2" s="15" t="s">
        <v>23</v>
      </c>
      <c r="V2" s="15" t="s">
        <v>24</v>
      </c>
      <c r="W2" s="15" t="s">
        <v>2</v>
      </c>
      <c r="X2" s="15" t="s">
        <v>23</v>
      </c>
      <c r="Y2" s="15" t="s">
        <v>2</v>
      </c>
      <c r="Z2" t="s">
        <v>24</v>
      </c>
      <c r="AA2" t="s">
        <v>23</v>
      </c>
      <c r="AB2" t="s">
        <v>2</v>
      </c>
      <c r="AC2" t="s">
        <v>24</v>
      </c>
      <c r="AD2" t="s">
        <v>25</v>
      </c>
      <c r="AE2" t="s">
        <v>23</v>
      </c>
      <c r="AF2" t="s">
        <v>25</v>
      </c>
      <c r="AG2" t="s">
        <v>23</v>
      </c>
      <c r="AH2" t="s">
        <v>2</v>
      </c>
      <c r="AI2" t="s">
        <v>24</v>
      </c>
      <c r="AJ2" t="s">
        <v>23</v>
      </c>
      <c r="AK2" t="s">
        <v>24</v>
      </c>
      <c r="AL2" t="s">
        <v>2</v>
      </c>
      <c r="AM2" t="s">
        <v>2</v>
      </c>
      <c r="AN2" t="s">
        <v>24</v>
      </c>
      <c r="AO2" s="15" t="s">
        <v>25</v>
      </c>
      <c r="AP2" t="s">
        <v>2</v>
      </c>
      <c r="AQ2" s="15" t="s">
        <v>23</v>
      </c>
      <c r="AR2" s="15" t="s">
        <v>24</v>
      </c>
      <c r="AS2" t="s">
        <v>24</v>
      </c>
      <c r="AT2" s="15" t="s">
        <v>25</v>
      </c>
      <c r="AU2" s="15" t="s">
        <v>25</v>
      </c>
      <c r="AV2" t="s">
        <v>2</v>
      </c>
      <c r="AW2" t="s">
        <v>2</v>
      </c>
      <c r="AX2" s="15" t="s">
        <v>2</v>
      </c>
      <c r="AY2" s="15" t="s">
        <v>24</v>
      </c>
      <c r="AZ2" s="15" t="s">
        <v>24</v>
      </c>
      <c r="BA2" s="15" t="s">
        <v>25</v>
      </c>
      <c r="BB2" s="15" t="s">
        <v>23</v>
      </c>
      <c r="BC2" s="15" t="s">
        <v>24</v>
      </c>
      <c r="BD2" s="15" t="s">
        <v>23</v>
      </c>
      <c r="BE2" s="15" t="s">
        <v>24</v>
      </c>
      <c r="BF2" s="15" t="s">
        <v>2</v>
      </c>
      <c r="BG2" s="15" t="s">
        <v>2</v>
      </c>
      <c r="BH2" s="15" t="s">
        <v>25</v>
      </c>
      <c r="BI2" t="s">
        <v>2</v>
      </c>
      <c r="BJ2" s="15" t="s">
        <v>25</v>
      </c>
      <c r="BK2" t="s">
        <v>23</v>
      </c>
      <c r="BL2" t="s">
        <v>24</v>
      </c>
      <c r="BM2" t="s">
        <v>24</v>
      </c>
      <c r="BN2" t="s">
        <v>23</v>
      </c>
      <c r="BO2" t="s">
        <v>2</v>
      </c>
      <c r="BP2" t="s">
        <v>2</v>
      </c>
      <c r="BQ2" t="s">
        <v>24</v>
      </c>
      <c r="BR2" t="s">
        <v>23</v>
      </c>
      <c r="BS2" t="s">
        <v>23</v>
      </c>
      <c r="BT2" t="s">
        <v>25</v>
      </c>
      <c r="BU2" t="s">
        <v>23</v>
      </c>
      <c r="BV2" t="s">
        <v>2</v>
      </c>
      <c r="BW2" t="s">
        <v>24</v>
      </c>
      <c r="BX2" s="15" t="s">
        <v>25</v>
      </c>
      <c r="BY2" s="15" t="s">
        <v>24</v>
      </c>
      <c r="BZ2" s="15" t="s">
        <v>25</v>
      </c>
      <c r="CA2" s="15" t="s">
        <v>24</v>
      </c>
      <c r="CB2" s="15" t="s">
        <v>2</v>
      </c>
      <c r="CC2" s="15" t="s">
        <v>24</v>
      </c>
      <c r="CD2" s="15" t="s">
        <v>2</v>
      </c>
      <c r="CE2" s="15" t="s">
        <v>25</v>
      </c>
      <c r="CF2" t="s">
        <v>24</v>
      </c>
      <c r="CG2" t="s">
        <v>2</v>
      </c>
      <c r="CH2" t="s">
        <v>23</v>
      </c>
      <c r="CI2" t="s">
        <v>23</v>
      </c>
      <c r="CJ2" t="s">
        <v>25</v>
      </c>
      <c r="CK2" t="s">
        <v>23</v>
      </c>
      <c r="CL2" t="s">
        <v>24</v>
      </c>
      <c r="CM2" t="s">
        <v>24</v>
      </c>
      <c r="CN2" t="s">
        <v>26</v>
      </c>
      <c r="CO2" t="s">
        <v>23</v>
      </c>
      <c r="CP2" t="s">
        <v>23</v>
      </c>
      <c r="CQ2" t="s">
        <v>24</v>
      </c>
      <c r="CR2" t="s">
        <v>25</v>
      </c>
      <c r="CS2" t="s">
        <v>26</v>
      </c>
      <c r="CT2" t="s">
        <v>24</v>
      </c>
      <c r="CU2" t="s">
        <v>23</v>
      </c>
      <c r="CV2" t="s">
        <v>23</v>
      </c>
      <c r="CW2" t="s">
        <v>24</v>
      </c>
      <c r="CX2" t="s">
        <v>25</v>
      </c>
      <c r="CY2" t="s">
        <v>2</v>
      </c>
      <c r="CZ2" t="s">
        <v>25</v>
      </c>
      <c r="DA2" t="s">
        <v>25</v>
      </c>
      <c r="DB2" t="s">
        <v>23</v>
      </c>
      <c r="DC2" t="s">
        <v>25</v>
      </c>
      <c r="DD2" t="s">
        <v>2</v>
      </c>
      <c r="DE2" t="s">
        <v>24</v>
      </c>
      <c r="DF2" t="s">
        <v>26</v>
      </c>
      <c r="DG2" t="s">
        <v>26</v>
      </c>
      <c r="DH2" t="s">
        <v>2</v>
      </c>
      <c r="DI2" t="s">
        <v>26</v>
      </c>
      <c r="DJ2" t="s">
        <v>25</v>
      </c>
      <c r="DK2" t="s">
        <v>26</v>
      </c>
      <c r="DL2" t="s">
        <v>24</v>
      </c>
      <c r="DM2" t="s">
        <v>24</v>
      </c>
      <c r="DN2" t="s">
        <v>23</v>
      </c>
      <c r="DO2" t="s">
        <v>23</v>
      </c>
      <c r="DP2" t="s">
        <v>26</v>
      </c>
      <c r="DQ2" t="s">
        <v>2</v>
      </c>
      <c r="DR2" t="s">
        <v>2</v>
      </c>
      <c r="DS2" t="s">
        <v>26</v>
      </c>
      <c r="DT2" t="s">
        <v>25</v>
      </c>
      <c r="DU2" t="s">
        <v>25</v>
      </c>
      <c r="DV2" t="s">
        <v>25</v>
      </c>
      <c r="DW2" t="s">
        <v>25</v>
      </c>
      <c r="DX2" t="s">
        <v>23</v>
      </c>
      <c r="DY2" t="s">
        <v>26</v>
      </c>
      <c r="DZ2" t="s">
        <v>24</v>
      </c>
      <c r="EA2" t="s">
        <v>2</v>
      </c>
      <c r="EB2" t="s">
        <v>23</v>
      </c>
      <c r="EC2" t="s">
        <v>23</v>
      </c>
      <c r="ED2" t="s">
        <v>24</v>
      </c>
      <c r="EE2" t="s">
        <v>26</v>
      </c>
      <c r="EF2" t="s">
        <v>24</v>
      </c>
      <c r="EG2" t="s">
        <v>24</v>
      </c>
      <c r="EH2" t="s">
        <v>26</v>
      </c>
      <c r="EI2" t="s">
        <v>24</v>
      </c>
      <c r="EJ2" t="s">
        <v>2</v>
      </c>
      <c r="EK2" t="s">
        <v>23</v>
      </c>
      <c r="EL2" t="s">
        <v>2</v>
      </c>
      <c r="EM2" t="s">
        <v>24</v>
      </c>
      <c r="EN2" t="s">
        <v>23</v>
      </c>
      <c r="EO2" t="s">
        <v>25</v>
      </c>
      <c r="EP2" t="s">
        <v>24</v>
      </c>
      <c r="EQ2" s="15" t="s">
        <v>24</v>
      </c>
      <c r="ER2" s="15" t="s">
        <v>23</v>
      </c>
      <c r="ES2" s="15" t="s">
        <v>24</v>
      </c>
      <c r="ET2" s="15" t="s">
        <v>24</v>
      </c>
      <c r="EU2" t="s">
        <v>25</v>
      </c>
      <c r="EV2" s="15" t="s">
        <v>25</v>
      </c>
      <c r="EW2" s="15" t="s">
        <v>2</v>
      </c>
      <c r="EX2" s="15" t="s">
        <v>24</v>
      </c>
      <c r="EY2" s="15" t="s">
        <v>2</v>
      </c>
      <c r="EZ2" s="15" t="s">
        <v>25</v>
      </c>
      <c r="FA2" s="15" t="s">
        <v>23</v>
      </c>
      <c r="FB2" t="s">
        <v>25</v>
      </c>
      <c r="FC2" s="15" t="s">
        <v>25</v>
      </c>
      <c r="FD2" s="15" t="s">
        <v>24</v>
      </c>
      <c r="FE2" s="15" t="s">
        <v>24</v>
      </c>
      <c r="FF2" t="s">
        <v>25</v>
      </c>
      <c r="FG2" s="15" t="s">
        <v>23</v>
      </c>
      <c r="FH2" s="15" t="s">
        <v>23</v>
      </c>
      <c r="FI2" s="15" t="s">
        <v>25</v>
      </c>
      <c r="FJ2" s="15" t="s">
        <v>24</v>
      </c>
      <c r="FK2" t="s">
        <v>24</v>
      </c>
      <c r="FL2" t="s">
        <v>23</v>
      </c>
      <c r="FM2" s="15" t="s">
        <v>24</v>
      </c>
      <c r="FN2" s="15" t="s">
        <v>24</v>
      </c>
      <c r="FO2" t="s">
        <v>23</v>
      </c>
      <c r="FP2" s="15" t="s">
        <v>25</v>
      </c>
      <c r="FQ2" s="15" t="s">
        <v>23</v>
      </c>
      <c r="FR2" s="15" t="s">
        <v>2</v>
      </c>
      <c r="FS2" s="15" t="s">
        <v>24</v>
      </c>
      <c r="FT2" s="15" t="s">
        <v>23</v>
      </c>
      <c r="FU2" s="15" t="s">
        <v>2</v>
      </c>
      <c r="FV2" s="15" t="s">
        <v>24</v>
      </c>
      <c r="FW2" s="15" t="s">
        <v>24</v>
      </c>
      <c r="FX2" t="s">
        <v>25</v>
      </c>
      <c r="FY2" s="15" t="s">
        <v>23</v>
      </c>
      <c r="FZ2" t="s">
        <v>24</v>
      </c>
      <c r="GA2" t="s">
        <v>24</v>
      </c>
      <c r="GB2" s="15" t="s">
        <v>23</v>
      </c>
      <c r="GC2" s="15" t="s">
        <v>2</v>
      </c>
      <c r="GD2" s="15" t="s">
        <v>2</v>
      </c>
      <c r="GE2" s="15" t="s">
        <v>2</v>
      </c>
      <c r="GF2" s="15" t="s">
        <v>25</v>
      </c>
      <c r="GG2" s="15" t="s">
        <v>23</v>
      </c>
      <c r="GH2" s="15" t="s">
        <v>2</v>
      </c>
      <c r="GI2" s="15" t="s">
        <v>24</v>
      </c>
      <c r="GJ2" s="15" t="s">
        <v>24</v>
      </c>
      <c r="GK2" t="s">
        <v>25</v>
      </c>
      <c r="GL2" s="15" t="s">
        <v>24</v>
      </c>
      <c r="GM2" s="15" t="s">
        <v>2</v>
      </c>
      <c r="GN2" t="s">
        <v>25</v>
      </c>
      <c r="GO2" s="15" t="s">
        <v>23</v>
      </c>
      <c r="GP2" s="15" t="s">
        <v>24</v>
      </c>
      <c r="GQ2" t="s">
        <v>2</v>
      </c>
      <c r="GR2" t="s">
        <v>2</v>
      </c>
      <c r="GS2" t="s">
        <v>23</v>
      </c>
      <c r="GT2" t="s">
        <v>25</v>
      </c>
      <c r="GU2" s="15" t="s">
        <v>25</v>
      </c>
      <c r="GV2" t="s">
        <v>25</v>
      </c>
      <c r="GW2" t="s">
        <v>23</v>
      </c>
      <c r="GX2" t="s">
        <v>23</v>
      </c>
      <c r="GY2" t="s">
        <v>25</v>
      </c>
      <c r="GZ2" t="s">
        <v>25</v>
      </c>
      <c r="HA2" t="s">
        <v>25</v>
      </c>
      <c r="HB2" t="s">
        <v>23</v>
      </c>
      <c r="HC2" t="s">
        <v>2</v>
      </c>
      <c r="HD2" t="s">
        <v>2</v>
      </c>
      <c r="HE2" t="s">
        <v>25</v>
      </c>
      <c r="HF2" t="s">
        <v>2</v>
      </c>
      <c r="HG2" t="s">
        <v>23</v>
      </c>
      <c r="HH2" s="15" t="s">
        <v>23</v>
      </c>
      <c r="HI2" s="15" t="s">
        <v>25</v>
      </c>
      <c r="HJ2" s="15" t="s">
        <v>2</v>
      </c>
      <c r="HK2" s="15" t="s">
        <v>24</v>
      </c>
      <c r="HL2" s="15" t="s">
        <v>24</v>
      </c>
      <c r="HM2" s="15" t="s">
        <v>2</v>
      </c>
      <c r="HN2" s="15"/>
      <c r="HO2" s="15"/>
      <c r="HQ2" s="15"/>
      <c r="HR2" s="15"/>
      <c r="HT2" s="15"/>
      <c r="HU2" s="15"/>
      <c r="HV2" s="15"/>
      <c r="HW2" s="15"/>
      <c r="IQ2" s="15"/>
      <c r="IS2" s="15"/>
      <c r="IT2" s="15"/>
      <c r="IU2" s="15"/>
      <c r="IW2" s="15"/>
      <c r="IX2" s="15"/>
      <c r="IY2" s="15"/>
      <c r="JA2" s="15"/>
      <c r="JF2" s="15"/>
      <c r="JG2" s="15"/>
      <c r="JH2" s="15"/>
      <c r="JI2" s="15"/>
      <c r="JZ2" s="15"/>
      <c r="KA2" s="15"/>
      <c r="KB2" s="15"/>
      <c r="KC2" s="15"/>
      <c r="KD2" s="15"/>
      <c r="KE2" s="15"/>
      <c r="KF2" s="15"/>
      <c r="KG2" s="15"/>
      <c r="KH2" s="15"/>
      <c r="KK2" s="15"/>
      <c r="KL2" s="15"/>
      <c r="LI2" s="15"/>
      <c r="LJ2" s="15"/>
      <c r="LK2" s="15"/>
      <c r="LL2" s="15"/>
      <c r="LM2" s="15"/>
      <c r="LN2" s="15"/>
      <c r="LO2" s="15"/>
      <c r="LP2" s="15"/>
      <c r="LQ2" s="15"/>
      <c r="LR2" s="15"/>
    </row>
    <row r="3" spans="1:330">
      <c r="A3">
        <v>43662</v>
      </c>
      <c r="B3" s="15" t="s">
        <v>28</v>
      </c>
      <c r="C3" s="15" t="s">
        <v>775</v>
      </c>
      <c r="D3" s="15" t="s">
        <v>37</v>
      </c>
      <c r="E3" s="15" t="s">
        <v>765</v>
      </c>
      <c r="F3" s="15"/>
      <c r="G3" s="15" t="s">
        <v>24</v>
      </c>
      <c r="H3" s="15" t="s">
        <v>25</v>
      </c>
      <c r="I3" s="15" t="s">
        <v>23</v>
      </c>
      <c r="J3" s="15" t="s">
        <v>23</v>
      </c>
      <c r="K3" s="15" t="s">
        <v>25</v>
      </c>
      <c r="L3" s="15" t="s">
        <v>2</v>
      </c>
      <c r="M3" s="15" t="s">
        <v>24</v>
      </c>
      <c r="N3" s="15" t="s">
        <v>23</v>
      </c>
      <c r="O3" s="15" t="s">
        <v>24</v>
      </c>
      <c r="P3" s="15" t="s">
        <v>2</v>
      </c>
      <c r="Q3" s="15" t="s">
        <v>2</v>
      </c>
      <c r="R3" s="15" t="s">
        <v>24</v>
      </c>
      <c r="S3" s="15" t="s">
        <v>2</v>
      </c>
      <c r="T3" s="15" t="s">
        <v>25</v>
      </c>
      <c r="U3" s="15" t="s">
        <v>2</v>
      </c>
      <c r="V3" s="15" t="s">
        <v>2</v>
      </c>
      <c r="W3" s="15" t="s">
        <v>23</v>
      </c>
      <c r="X3" s="15" t="s">
        <v>23</v>
      </c>
      <c r="Y3" s="15" t="s">
        <v>25</v>
      </c>
      <c r="Z3" t="s">
        <v>24</v>
      </c>
      <c r="AA3" t="s">
        <v>23</v>
      </c>
      <c r="AB3" t="s">
        <v>2</v>
      </c>
      <c r="AC3" t="s">
        <v>25</v>
      </c>
      <c r="AD3" t="s">
        <v>25</v>
      </c>
      <c r="AE3" t="s">
        <v>2</v>
      </c>
      <c r="AF3" t="s">
        <v>25</v>
      </c>
      <c r="AG3" t="s">
        <v>23</v>
      </c>
      <c r="AH3" t="s">
        <v>2</v>
      </c>
      <c r="AI3" t="s">
        <v>24</v>
      </c>
      <c r="AJ3" t="s">
        <v>23</v>
      </c>
      <c r="AK3" t="s">
        <v>2</v>
      </c>
      <c r="AL3" t="s">
        <v>2</v>
      </c>
      <c r="AM3" t="s">
        <v>23</v>
      </c>
      <c r="AN3" t="s">
        <v>23</v>
      </c>
      <c r="AO3" s="15" t="s">
        <v>25</v>
      </c>
      <c r="AP3" t="s">
        <v>2</v>
      </c>
      <c r="AQ3" s="15" t="s">
        <v>25</v>
      </c>
      <c r="AR3" t="s">
        <v>23</v>
      </c>
      <c r="AS3" t="s">
        <v>24</v>
      </c>
      <c r="AT3" s="15" t="s">
        <v>2</v>
      </c>
      <c r="AU3" s="15" t="s">
        <v>25</v>
      </c>
      <c r="AV3" s="15" t="s">
        <v>2</v>
      </c>
      <c r="AW3" s="15" t="s">
        <v>25</v>
      </c>
      <c r="AX3" s="15" t="s">
        <v>2</v>
      </c>
      <c r="AY3" s="15" t="s">
        <v>24</v>
      </c>
      <c r="AZ3" s="15" t="s">
        <v>24</v>
      </c>
      <c r="BA3" s="15" t="s">
        <v>25</v>
      </c>
      <c r="BB3" s="15" t="s">
        <v>24</v>
      </c>
      <c r="BC3" s="15" t="s">
        <v>23</v>
      </c>
      <c r="BD3" s="15" t="s">
        <v>23</v>
      </c>
      <c r="BE3" s="15" t="s">
        <v>24</v>
      </c>
      <c r="BF3" t="s">
        <v>2</v>
      </c>
      <c r="BG3" s="15" t="s">
        <v>2</v>
      </c>
      <c r="BH3" s="15" t="s">
        <v>25</v>
      </c>
      <c r="BI3" s="15" t="s">
        <v>2</v>
      </c>
      <c r="BJ3" t="s">
        <v>25</v>
      </c>
      <c r="BK3" t="s">
        <v>23</v>
      </c>
      <c r="BL3" t="s">
        <v>24</v>
      </c>
      <c r="BM3" t="s">
        <v>23</v>
      </c>
      <c r="BN3" t="s">
        <v>23</v>
      </c>
      <c r="BO3" t="s">
        <v>2</v>
      </c>
      <c r="BP3" t="s">
        <v>2</v>
      </c>
      <c r="BQ3" t="s">
        <v>24</v>
      </c>
      <c r="BR3" t="s">
        <v>23</v>
      </c>
      <c r="BS3" t="s">
        <v>25</v>
      </c>
      <c r="BT3" t="s">
        <v>25</v>
      </c>
      <c r="BU3" t="s">
        <v>23</v>
      </c>
      <c r="BV3" t="s">
        <v>2</v>
      </c>
      <c r="BW3" t="s">
        <v>23</v>
      </c>
      <c r="BX3" s="15" t="s">
        <v>25</v>
      </c>
      <c r="BY3" s="15" t="s">
        <v>25</v>
      </c>
      <c r="BZ3" s="15" t="s">
        <v>25</v>
      </c>
      <c r="CA3" s="15" t="s">
        <v>2</v>
      </c>
      <c r="CB3" s="15" t="s">
        <v>2</v>
      </c>
      <c r="CC3" s="15" t="s">
        <v>24</v>
      </c>
      <c r="CD3" s="15" t="s">
        <v>2</v>
      </c>
      <c r="CE3" s="15" t="s">
        <v>25</v>
      </c>
      <c r="CF3" t="s">
        <v>26</v>
      </c>
      <c r="CG3" t="s">
        <v>2</v>
      </c>
      <c r="CH3" t="s">
        <v>23</v>
      </c>
      <c r="CI3" t="s">
        <v>23</v>
      </c>
      <c r="CJ3" t="s">
        <v>25</v>
      </c>
      <c r="CK3" t="s">
        <v>23</v>
      </c>
      <c r="CL3" t="s">
        <v>26</v>
      </c>
      <c r="CM3" t="s">
        <v>24</v>
      </c>
      <c r="CN3" t="s">
        <v>26</v>
      </c>
      <c r="CO3" t="s">
        <v>23</v>
      </c>
      <c r="CP3" t="s">
        <v>2</v>
      </c>
      <c r="CQ3" t="s">
        <v>24</v>
      </c>
      <c r="CR3" t="s">
        <v>25</v>
      </c>
      <c r="CS3" t="s">
        <v>26</v>
      </c>
      <c r="CT3" t="s">
        <v>24</v>
      </c>
      <c r="CU3" t="s">
        <v>23</v>
      </c>
      <c r="CV3" t="s">
        <v>23</v>
      </c>
      <c r="CW3" t="s">
        <v>26</v>
      </c>
      <c r="CX3" t="s">
        <v>25</v>
      </c>
      <c r="CY3" t="s">
        <v>2</v>
      </c>
      <c r="CZ3" t="s">
        <v>25</v>
      </c>
      <c r="DA3" t="s">
        <v>25</v>
      </c>
      <c r="DB3" t="s">
        <v>26</v>
      </c>
      <c r="DC3" t="s">
        <v>25</v>
      </c>
      <c r="DD3" t="s">
        <v>2</v>
      </c>
      <c r="DE3" t="s">
        <v>24</v>
      </c>
      <c r="DF3" t="s">
        <v>26</v>
      </c>
      <c r="DG3" t="s">
        <v>26</v>
      </c>
      <c r="DH3" t="s">
        <v>2</v>
      </c>
      <c r="DI3" t="s">
        <v>26</v>
      </c>
      <c r="DJ3" t="s">
        <v>25</v>
      </c>
      <c r="DK3" t="s">
        <v>2</v>
      </c>
      <c r="DL3" t="s">
        <v>25</v>
      </c>
      <c r="DM3" t="s">
        <v>24</v>
      </c>
      <c r="DN3" t="s">
        <v>25</v>
      </c>
      <c r="DO3" t="s">
        <v>23</v>
      </c>
      <c r="DP3" t="s">
        <v>26</v>
      </c>
      <c r="DQ3" t="s">
        <v>2</v>
      </c>
      <c r="DR3" t="s">
        <v>2</v>
      </c>
      <c r="DS3" t="s">
        <v>26</v>
      </c>
      <c r="DT3" t="s">
        <v>25</v>
      </c>
      <c r="DU3" t="s">
        <v>25</v>
      </c>
      <c r="DV3" t="s">
        <v>25</v>
      </c>
      <c r="DW3" t="s">
        <v>25</v>
      </c>
      <c r="DX3" t="s">
        <v>23</v>
      </c>
      <c r="DY3" t="s">
        <v>26</v>
      </c>
      <c r="DZ3" t="s">
        <v>23</v>
      </c>
      <c r="EA3" t="s">
        <v>2</v>
      </c>
      <c r="EB3" t="s">
        <v>2</v>
      </c>
      <c r="EC3" t="s">
        <v>23</v>
      </c>
      <c r="ED3" t="s">
        <v>26</v>
      </c>
      <c r="EE3" t="s">
        <v>26</v>
      </c>
      <c r="EF3" t="s">
        <v>24</v>
      </c>
      <c r="EG3" t="s">
        <v>26</v>
      </c>
      <c r="EH3" t="s">
        <v>26</v>
      </c>
      <c r="EI3" t="s">
        <v>24</v>
      </c>
      <c r="EJ3" t="s">
        <v>2</v>
      </c>
      <c r="EK3" t="s">
        <v>24</v>
      </c>
      <c r="EL3" t="s">
        <v>2</v>
      </c>
      <c r="EM3" t="s">
        <v>24</v>
      </c>
      <c r="EN3" t="s">
        <v>23</v>
      </c>
      <c r="EO3" t="s">
        <v>25</v>
      </c>
      <c r="EP3" s="15" t="s">
        <v>24</v>
      </c>
      <c r="EQ3" s="15" t="s">
        <v>24</v>
      </c>
      <c r="ER3" s="15" t="s">
        <v>23</v>
      </c>
      <c r="ES3" s="15" t="s">
        <v>2</v>
      </c>
      <c r="ET3" s="15" t="s">
        <v>25</v>
      </c>
      <c r="EU3" s="15" t="s">
        <v>23</v>
      </c>
      <c r="EV3" s="15" t="s">
        <v>23</v>
      </c>
      <c r="EW3" s="15" t="s">
        <v>2</v>
      </c>
      <c r="EX3" s="15" t="s">
        <v>24</v>
      </c>
      <c r="EY3" s="15" t="s">
        <v>23</v>
      </c>
      <c r="EZ3" s="15" t="s">
        <v>25</v>
      </c>
      <c r="FA3" s="15" t="s">
        <v>23</v>
      </c>
      <c r="FB3" s="15" t="s">
        <v>25</v>
      </c>
      <c r="FC3" s="15" t="s">
        <v>2</v>
      </c>
      <c r="FD3" s="15" t="s">
        <v>24</v>
      </c>
      <c r="FE3" s="15" t="s">
        <v>23</v>
      </c>
      <c r="FF3" s="15" t="s">
        <v>24</v>
      </c>
      <c r="FG3" s="15" t="s">
        <v>23</v>
      </c>
      <c r="FH3" s="15" t="s">
        <v>2</v>
      </c>
      <c r="FI3" s="15" t="s">
        <v>25</v>
      </c>
      <c r="FJ3" s="15" t="s">
        <v>23</v>
      </c>
      <c r="FK3" s="15" t="s">
        <v>24</v>
      </c>
      <c r="FL3" s="15" t="s">
        <v>23</v>
      </c>
      <c r="FM3" s="15" t="s">
        <v>24</v>
      </c>
      <c r="FN3" s="15" t="s">
        <v>25</v>
      </c>
      <c r="FO3" s="15" t="s">
        <v>23</v>
      </c>
      <c r="FP3" s="15" t="s">
        <v>25</v>
      </c>
      <c r="FQ3" s="15" t="s">
        <v>23</v>
      </c>
      <c r="FR3" s="15" t="s">
        <v>23</v>
      </c>
      <c r="FS3" s="15" t="s">
        <v>23</v>
      </c>
      <c r="FT3" s="15" t="s">
        <v>24</v>
      </c>
      <c r="FU3" s="15" t="s">
        <v>24</v>
      </c>
      <c r="FV3" s="15" t="s">
        <v>25</v>
      </c>
      <c r="FW3" s="15" t="s">
        <v>24</v>
      </c>
      <c r="FX3" s="15" t="s">
        <v>25</v>
      </c>
      <c r="FY3" s="15" t="s">
        <v>23</v>
      </c>
      <c r="FZ3" s="15" t="s">
        <v>24</v>
      </c>
      <c r="GA3" s="15" t="s">
        <v>24</v>
      </c>
      <c r="GB3" s="15" t="s">
        <v>23</v>
      </c>
      <c r="GC3" t="s">
        <v>2</v>
      </c>
      <c r="GD3" s="15" t="s">
        <v>2</v>
      </c>
      <c r="GE3" t="s">
        <v>2</v>
      </c>
      <c r="GF3" t="s">
        <v>25</v>
      </c>
      <c r="GG3" s="15" t="s">
        <v>23</v>
      </c>
      <c r="GH3" s="15" t="s">
        <v>2</v>
      </c>
      <c r="GI3" s="15" t="s">
        <v>24</v>
      </c>
      <c r="GJ3" s="15" t="s">
        <v>24</v>
      </c>
      <c r="GK3" s="15" t="s">
        <v>25</v>
      </c>
      <c r="GL3" s="15" t="s">
        <v>24</v>
      </c>
      <c r="GM3" s="15" t="s">
        <v>2</v>
      </c>
      <c r="GN3" t="s">
        <v>25</v>
      </c>
      <c r="GO3" s="15" t="s">
        <v>23</v>
      </c>
      <c r="GP3" s="15" t="s">
        <v>24</v>
      </c>
      <c r="GQ3" t="s">
        <v>2</v>
      </c>
      <c r="GR3" s="15" t="s">
        <v>2</v>
      </c>
      <c r="GS3" s="15" t="s">
        <v>23</v>
      </c>
      <c r="GT3" s="15" t="s">
        <v>2</v>
      </c>
      <c r="GU3" s="15" t="s">
        <v>2</v>
      </c>
      <c r="GV3" s="15" t="s">
        <v>24</v>
      </c>
      <c r="GW3" t="s">
        <v>23</v>
      </c>
      <c r="GX3" t="s">
        <v>25</v>
      </c>
      <c r="GY3" t="s">
        <v>25</v>
      </c>
      <c r="GZ3" t="s">
        <v>25</v>
      </c>
      <c r="HA3" t="s">
        <v>24</v>
      </c>
      <c r="HB3" t="s">
        <v>23</v>
      </c>
      <c r="HC3" t="s">
        <v>2</v>
      </c>
      <c r="HD3" t="s">
        <v>24</v>
      </c>
      <c r="HE3" t="s">
        <v>25</v>
      </c>
      <c r="HF3" t="s">
        <v>23</v>
      </c>
      <c r="HG3" t="s">
        <v>24</v>
      </c>
      <c r="HH3" s="15" t="s">
        <v>25</v>
      </c>
      <c r="HI3" s="15" t="s">
        <v>25</v>
      </c>
      <c r="HJ3" s="15" t="s">
        <v>23</v>
      </c>
      <c r="HK3" s="15" t="s">
        <v>25</v>
      </c>
      <c r="HL3" s="15" t="s">
        <v>25</v>
      </c>
      <c r="HM3" s="15" t="s">
        <v>23</v>
      </c>
      <c r="HN3" s="15"/>
      <c r="HO3" s="15"/>
      <c r="HP3" s="15"/>
      <c r="HR3" s="15"/>
      <c r="HS3" s="15"/>
      <c r="HT3" s="15"/>
      <c r="HV3" s="15"/>
      <c r="HW3" s="15"/>
      <c r="IQ3" s="15"/>
      <c r="IS3" s="15"/>
      <c r="IW3" s="15"/>
      <c r="IX3" s="15"/>
      <c r="IY3" s="15"/>
      <c r="IZ3" s="15"/>
      <c r="JA3" s="15"/>
      <c r="JZ3" s="15"/>
      <c r="KA3" s="15"/>
      <c r="KB3" s="15"/>
      <c r="KC3" s="15"/>
      <c r="KD3" s="15"/>
      <c r="KE3" s="15"/>
      <c r="KF3" s="15"/>
      <c r="KG3" s="15"/>
      <c r="KH3" s="15"/>
      <c r="KI3" s="15"/>
      <c r="KJ3" s="15"/>
      <c r="KK3" s="15"/>
      <c r="LI3" s="15"/>
      <c r="LJ3" s="15"/>
      <c r="LK3" s="15"/>
      <c r="LL3" s="15"/>
      <c r="LM3" s="15"/>
      <c r="LN3" s="15"/>
      <c r="LO3" s="15"/>
      <c r="LP3" s="15"/>
      <c r="LQ3" s="15"/>
      <c r="LR3" s="15"/>
    </row>
    <row r="4" spans="1:330">
      <c r="A4">
        <v>43662</v>
      </c>
      <c r="B4" s="15" t="s">
        <v>29</v>
      </c>
      <c r="C4" s="15" t="s">
        <v>509</v>
      </c>
      <c r="D4" s="15" t="s">
        <v>37</v>
      </c>
      <c r="E4" s="15" t="s">
        <v>765</v>
      </c>
      <c r="F4" s="15"/>
      <c r="G4" s="15" t="s">
        <v>24</v>
      </c>
      <c r="H4" s="15" t="s">
        <v>25</v>
      </c>
      <c r="I4" s="15" t="s">
        <v>23</v>
      </c>
      <c r="J4" s="15" t="s">
        <v>23</v>
      </c>
      <c r="K4" s="15" t="s">
        <v>25</v>
      </c>
      <c r="L4" s="15" t="s">
        <v>2</v>
      </c>
      <c r="M4" s="15" t="s">
        <v>24</v>
      </c>
      <c r="N4" s="15" t="s">
        <v>23</v>
      </c>
      <c r="O4" s="15" t="s">
        <v>24</v>
      </c>
      <c r="P4" s="15" t="s">
        <v>2</v>
      </c>
      <c r="Q4" s="15" t="s">
        <v>2</v>
      </c>
      <c r="R4" s="15" t="s">
        <v>24</v>
      </c>
      <c r="S4" s="15" t="s">
        <v>2</v>
      </c>
      <c r="T4" s="15" t="s">
        <v>25</v>
      </c>
      <c r="U4" s="15" t="s">
        <v>23</v>
      </c>
      <c r="V4" s="15" t="s">
        <v>23</v>
      </c>
      <c r="W4" s="15" t="s">
        <v>2</v>
      </c>
      <c r="X4" s="15" t="s">
        <v>23</v>
      </c>
      <c r="Y4" s="15" t="s">
        <v>2</v>
      </c>
      <c r="Z4" t="s">
        <v>24</v>
      </c>
      <c r="AA4" t="s">
        <v>23</v>
      </c>
      <c r="AB4" t="s">
        <v>2</v>
      </c>
      <c r="AC4" t="s">
        <v>25</v>
      </c>
      <c r="AD4" t="s">
        <v>25</v>
      </c>
      <c r="AE4" t="s">
        <v>23</v>
      </c>
      <c r="AF4" t="s">
        <v>25</v>
      </c>
      <c r="AG4" t="s">
        <v>23</v>
      </c>
      <c r="AH4" t="s">
        <v>2</v>
      </c>
      <c r="AI4" t="s">
        <v>24</v>
      </c>
      <c r="AJ4" t="s">
        <v>23</v>
      </c>
      <c r="AK4" t="s">
        <v>2</v>
      </c>
      <c r="AL4" t="s">
        <v>2</v>
      </c>
      <c r="AM4" t="s">
        <v>23</v>
      </c>
      <c r="AN4" t="s">
        <v>23</v>
      </c>
      <c r="AO4" s="15" t="s">
        <v>25</v>
      </c>
      <c r="AP4" s="15" t="s">
        <v>2</v>
      </c>
      <c r="AQ4" s="15" t="s">
        <v>25</v>
      </c>
      <c r="AR4" s="15" t="s">
        <v>23</v>
      </c>
      <c r="AS4" s="15" t="s">
        <v>24</v>
      </c>
      <c r="AT4" s="15" t="s">
        <v>25</v>
      </c>
      <c r="AU4" s="15" t="s">
        <v>25</v>
      </c>
      <c r="AV4" s="15" t="s">
        <v>2</v>
      </c>
      <c r="AW4" s="15" t="s">
        <v>25</v>
      </c>
      <c r="AX4" s="15" t="s">
        <v>23</v>
      </c>
      <c r="AY4" s="15" t="s">
        <v>24</v>
      </c>
      <c r="AZ4" s="15" t="s">
        <v>24</v>
      </c>
      <c r="BA4" s="15" t="s">
        <v>25</v>
      </c>
      <c r="BB4" s="15" t="s">
        <v>24</v>
      </c>
      <c r="BC4" s="15" t="s">
        <v>23</v>
      </c>
      <c r="BD4" s="15" t="s">
        <v>23</v>
      </c>
      <c r="BE4" s="15" t="s">
        <v>24</v>
      </c>
      <c r="BF4" s="15" t="s">
        <v>2</v>
      </c>
      <c r="BG4" s="15" t="s">
        <v>2</v>
      </c>
      <c r="BH4" s="15" t="s">
        <v>24</v>
      </c>
      <c r="BI4" s="15" t="s">
        <v>2</v>
      </c>
      <c r="BJ4" s="15" t="s">
        <v>25</v>
      </c>
      <c r="BK4" t="s">
        <v>23</v>
      </c>
      <c r="BL4" t="s">
        <v>24</v>
      </c>
      <c r="BM4" t="s">
        <v>25</v>
      </c>
      <c r="BN4" t="s">
        <v>23</v>
      </c>
      <c r="BO4" t="s">
        <v>2</v>
      </c>
      <c r="BP4" t="s">
        <v>2</v>
      </c>
      <c r="BQ4" t="s">
        <v>24</v>
      </c>
      <c r="BR4" t="s">
        <v>23</v>
      </c>
      <c r="BS4" t="s">
        <v>23</v>
      </c>
      <c r="BT4" t="s">
        <v>25</v>
      </c>
      <c r="BU4" t="s">
        <v>2</v>
      </c>
      <c r="BV4" t="s">
        <v>23</v>
      </c>
      <c r="BW4" t="s">
        <v>24</v>
      </c>
      <c r="BX4" s="15" t="s">
        <v>25</v>
      </c>
      <c r="BY4" s="15" t="s">
        <v>24</v>
      </c>
      <c r="BZ4" s="15" t="s">
        <v>25</v>
      </c>
      <c r="CA4" s="15" t="s">
        <v>2</v>
      </c>
      <c r="CB4" s="15" t="s">
        <v>2</v>
      </c>
      <c r="CC4" s="15" t="s">
        <v>24</v>
      </c>
      <c r="CD4" s="15" t="s">
        <v>2</v>
      </c>
      <c r="CE4" s="15" t="s">
        <v>25</v>
      </c>
      <c r="CF4" t="s">
        <v>24</v>
      </c>
      <c r="CG4" t="s">
        <v>2</v>
      </c>
      <c r="CH4" t="s">
        <v>23</v>
      </c>
      <c r="CI4" t="s">
        <v>23</v>
      </c>
      <c r="CJ4" t="s">
        <v>25</v>
      </c>
      <c r="CK4" t="s">
        <v>23</v>
      </c>
      <c r="CL4" t="s">
        <v>24</v>
      </c>
      <c r="CM4" t="s">
        <v>24</v>
      </c>
      <c r="CN4" t="s">
        <v>26</v>
      </c>
      <c r="CO4" t="s">
        <v>23</v>
      </c>
      <c r="CP4" t="s">
        <v>2</v>
      </c>
      <c r="CQ4" t="s">
        <v>24</v>
      </c>
      <c r="CR4" t="s">
        <v>25</v>
      </c>
      <c r="CS4" t="s">
        <v>26</v>
      </c>
      <c r="CT4" t="s">
        <v>24</v>
      </c>
      <c r="CU4" t="s">
        <v>23</v>
      </c>
      <c r="CV4" t="s">
        <v>23</v>
      </c>
      <c r="CW4" t="s">
        <v>24</v>
      </c>
      <c r="CX4" t="s">
        <v>25</v>
      </c>
      <c r="CY4" t="s">
        <v>2</v>
      </c>
      <c r="CZ4" t="s">
        <v>25</v>
      </c>
      <c r="DA4" t="s">
        <v>25</v>
      </c>
      <c r="DB4" t="s">
        <v>26</v>
      </c>
      <c r="DC4" t="s">
        <v>25</v>
      </c>
      <c r="DD4" t="s">
        <v>2</v>
      </c>
      <c r="DE4" t="s">
        <v>24</v>
      </c>
      <c r="DF4" t="s">
        <v>26</v>
      </c>
      <c r="DG4" t="s">
        <v>26</v>
      </c>
      <c r="DH4" t="s">
        <v>2</v>
      </c>
      <c r="DI4" t="s">
        <v>26</v>
      </c>
      <c r="DJ4" t="s">
        <v>25</v>
      </c>
      <c r="DK4" t="s">
        <v>26</v>
      </c>
      <c r="DL4" t="s">
        <v>25</v>
      </c>
      <c r="DM4" t="s">
        <v>2</v>
      </c>
      <c r="DN4" t="s">
        <v>23</v>
      </c>
      <c r="DO4" t="s">
        <v>24</v>
      </c>
      <c r="DP4" t="s">
        <v>2</v>
      </c>
      <c r="DQ4" t="s">
        <v>2</v>
      </c>
      <c r="DR4" t="s">
        <v>2</v>
      </c>
      <c r="DS4" t="s">
        <v>26</v>
      </c>
      <c r="DT4" t="s">
        <v>25</v>
      </c>
      <c r="DU4" t="s">
        <v>25</v>
      </c>
      <c r="DW4" t="s">
        <v>25</v>
      </c>
      <c r="DX4" t="s">
        <v>23</v>
      </c>
      <c r="DY4" t="s">
        <v>26</v>
      </c>
      <c r="DZ4" t="s">
        <v>24</v>
      </c>
      <c r="EA4" t="s">
        <v>23</v>
      </c>
      <c r="EB4" t="s">
        <v>23</v>
      </c>
      <c r="EC4" t="s">
        <v>23</v>
      </c>
      <c r="ED4" t="s">
        <v>26</v>
      </c>
      <c r="EE4" t="s">
        <v>26</v>
      </c>
      <c r="EF4" t="s">
        <v>26</v>
      </c>
      <c r="EG4" t="s">
        <v>25</v>
      </c>
      <c r="EH4" t="s">
        <v>23</v>
      </c>
      <c r="EI4" t="s">
        <v>25</v>
      </c>
      <c r="EJ4" t="s">
        <v>25</v>
      </c>
      <c r="EK4" t="s">
        <v>25</v>
      </c>
      <c r="EL4" t="s">
        <v>2</v>
      </c>
      <c r="EM4" t="s">
        <v>24</v>
      </c>
      <c r="EN4" t="s">
        <v>23</v>
      </c>
      <c r="EO4" t="s">
        <v>25</v>
      </c>
      <c r="EP4" s="15" t="s">
        <v>24</v>
      </c>
      <c r="EQ4" s="15" t="s">
        <v>24</v>
      </c>
      <c r="ER4" s="15" t="s">
        <v>23</v>
      </c>
      <c r="ES4" s="15" t="s">
        <v>2</v>
      </c>
      <c r="ET4" s="15" t="s">
        <v>25</v>
      </c>
      <c r="EU4" s="15" t="s">
        <v>2</v>
      </c>
      <c r="EV4" s="15" t="s">
        <v>23</v>
      </c>
      <c r="EW4" s="15" t="s">
        <v>2</v>
      </c>
      <c r="EX4" s="15" t="s">
        <v>24</v>
      </c>
      <c r="EY4" s="15" t="s">
        <v>23</v>
      </c>
      <c r="EZ4" s="15" t="s">
        <v>25</v>
      </c>
      <c r="FA4" s="15" t="s">
        <v>23</v>
      </c>
      <c r="FB4" s="15" t="s">
        <v>25</v>
      </c>
      <c r="FC4" s="15" t="s">
        <v>2</v>
      </c>
      <c r="FD4" s="15" t="s">
        <v>23</v>
      </c>
      <c r="FE4" s="15" t="s">
        <v>24</v>
      </c>
      <c r="FF4" s="15" t="s">
        <v>25</v>
      </c>
      <c r="FG4" s="15" t="s">
        <v>23</v>
      </c>
      <c r="FH4" s="15" t="s">
        <v>2</v>
      </c>
      <c r="FI4" s="15" t="s">
        <v>2</v>
      </c>
      <c r="FJ4" s="15" t="s">
        <v>23</v>
      </c>
      <c r="FK4" s="15" t="s">
        <v>24</v>
      </c>
      <c r="FL4" s="15" t="s">
        <v>23</v>
      </c>
      <c r="FM4" s="15" t="s">
        <v>24</v>
      </c>
      <c r="FN4" s="15" t="s">
        <v>25</v>
      </c>
      <c r="FO4" s="15" t="s">
        <v>24</v>
      </c>
      <c r="FP4" s="15" t="s">
        <v>25</v>
      </c>
      <c r="FQ4" s="15" t="s">
        <v>23</v>
      </c>
      <c r="FR4" s="15" t="s">
        <v>2</v>
      </c>
      <c r="FS4" s="15" t="s">
        <v>24</v>
      </c>
      <c r="FT4" s="15" t="s">
        <v>25</v>
      </c>
      <c r="FU4" s="15" t="s">
        <v>2</v>
      </c>
      <c r="FV4" s="15" t="s">
        <v>24</v>
      </c>
      <c r="FW4" s="15" t="s">
        <v>24</v>
      </c>
      <c r="FX4" s="15" t="s">
        <v>25</v>
      </c>
      <c r="FY4" t="s">
        <v>23</v>
      </c>
      <c r="FZ4" s="15" t="s">
        <v>23</v>
      </c>
      <c r="GA4" s="15" t="s">
        <v>24</v>
      </c>
      <c r="GB4" s="15" t="s">
        <v>23</v>
      </c>
      <c r="GC4" s="15" t="s">
        <v>2</v>
      </c>
      <c r="GD4" s="15" t="s">
        <v>25</v>
      </c>
      <c r="GE4" s="15" t="s">
        <v>2</v>
      </c>
      <c r="GF4" s="15" t="s">
        <v>25</v>
      </c>
      <c r="GG4" s="15" t="s">
        <v>23</v>
      </c>
      <c r="GH4" s="15" t="s">
        <v>2</v>
      </c>
      <c r="GI4" s="15" t="s">
        <v>24</v>
      </c>
      <c r="GJ4" s="15" t="s">
        <v>23</v>
      </c>
      <c r="GK4" s="15" t="s">
        <v>2</v>
      </c>
      <c r="GL4" s="15" t="s">
        <v>24</v>
      </c>
      <c r="GM4" s="15" t="s">
        <v>2</v>
      </c>
      <c r="GN4" s="15" t="s">
        <v>25</v>
      </c>
      <c r="GO4" s="15" t="s">
        <v>24</v>
      </c>
      <c r="GP4" s="15" t="s">
        <v>24</v>
      </c>
      <c r="GQ4" s="15" t="s">
        <v>2</v>
      </c>
      <c r="GR4" s="15" t="s">
        <v>2</v>
      </c>
      <c r="GS4" t="s">
        <v>23</v>
      </c>
      <c r="GT4" s="15" t="s">
        <v>25</v>
      </c>
      <c r="GU4" s="15" t="s">
        <v>25</v>
      </c>
      <c r="GV4" t="s">
        <v>24</v>
      </c>
      <c r="GW4" t="s">
        <v>24</v>
      </c>
      <c r="GX4" t="s">
        <v>23</v>
      </c>
      <c r="GY4" t="s">
        <v>25</v>
      </c>
      <c r="GZ4" t="s">
        <v>25</v>
      </c>
      <c r="HA4" t="s">
        <v>24</v>
      </c>
      <c r="HB4" t="s">
        <v>23</v>
      </c>
      <c r="HC4" t="s">
        <v>2</v>
      </c>
      <c r="HD4" t="s">
        <v>2</v>
      </c>
      <c r="HE4" t="s">
        <v>25</v>
      </c>
      <c r="HF4" t="s">
        <v>23</v>
      </c>
      <c r="HG4" t="s">
        <v>24</v>
      </c>
      <c r="HH4" s="15" t="s">
        <v>24</v>
      </c>
      <c r="HI4" s="15" t="s">
        <v>25</v>
      </c>
      <c r="HJ4" s="15" t="s">
        <v>23</v>
      </c>
      <c r="HK4" s="15" t="s">
        <v>25</v>
      </c>
      <c r="HL4" s="15" t="s">
        <v>2</v>
      </c>
      <c r="HM4" s="15" t="s">
        <v>23</v>
      </c>
      <c r="HN4" s="15"/>
      <c r="HO4" s="15"/>
      <c r="HP4" s="15"/>
      <c r="HQ4" s="15"/>
      <c r="HR4" s="15"/>
      <c r="HS4" s="15"/>
      <c r="HT4" s="15"/>
      <c r="HU4" s="15"/>
      <c r="HV4" s="15"/>
      <c r="HW4" s="15"/>
      <c r="IQ4" s="15"/>
      <c r="IR4" s="15"/>
      <c r="IS4" s="15"/>
      <c r="IT4" s="15"/>
      <c r="IU4" s="15"/>
      <c r="IV4" s="15"/>
      <c r="IX4" s="15"/>
      <c r="IY4" s="15"/>
      <c r="IZ4" s="15"/>
      <c r="JA4" s="15"/>
      <c r="JC4" s="15"/>
      <c r="JD4" s="15"/>
      <c r="JE4" s="15"/>
      <c r="JF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LI4" s="15"/>
      <c r="LJ4" s="15"/>
      <c r="LK4" s="15"/>
      <c r="LL4" s="15"/>
      <c r="LM4" s="15"/>
      <c r="LN4" s="15"/>
      <c r="LO4" s="15"/>
      <c r="LP4" s="15"/>
      <c r="LQ4" s="15"/>
      <c r="LR4" s="15"/>
    </row>
    <row r="5" spans="1:330">
      <c r="A5">
        <v>43662</v>
      </c>
      <c r="B5" s="15" t="s">
        <v>30</v>
      </c>
      <c r="C5" s="15" t="s">
        <v>581</v>
      </c>
      <c r="D5" s="15" t="s">
        <v>37</v>
      </c>
      <c r="E5" s="15" t="s">
        <v>765</v>
      </c>
      <c r="F5" s="15"/>
      <c r="G5" s="15" t="s">
        <v>24</v>
      </c>
      <c r="H5" s="15" t="s">
        <v>25</v>
      </c>
      <c r="I5" s="15" t="s">
        <v>23</v>
      </c>
      <c r="J5" s="15" t="s">
        <v>23</v>
      </c>
      <c r="K5" s="15" t="s">
        <v>25</v>
      </c>
      <c r="L5" s="15" t="s">
        <v>2</v>
      </c>
      <c r="M5" s="15" t="s">
        <v>24</v>
      </c>
      <c r="N5" t="s">
        <v>23</v>
      </c>
      <c r="O5" s="15" t="s">
        <v>24</v>
      </c>
      <c r="P5" s="15" t="s">
        <v>2</v>
      </c>
      <c r="Q5" s="15" t="s">
        <v>2</v>
      </c>
      <c r="R5" s="15" t="s">
        <v>24</v>
      </c>
      <c r="S5" s="15" t="s">
        <v>25</v>
      </c>
      <c r="T5" s="15" t="s">
        <v>25</v>
      </c>
      <c r="U5" s="15" t="s">
        <v>23</v>
      </c>
      <c r="V5" s="15" t="s">
        <v>24</v>
      </c>
      <c r="W5" s="15" t="s">
        <v>2</v>
      </c>
      <c r="X5" s="15" t="s">
        <v>23</v>
      </c>
      <c r="Y5" s="15" t="s">
        <v>2</v>
      </c>
      <c r="Z5" t="s">
        <v>24</v>
      </c>
      <c r="AA5" t="s">
        <v>23</v>
      </c>
      <c r="AB5" t="s">
        <v>2</v>
      </c>
      <c r="AC5" t="s">
        <v>25</v>
      </c>
      <c r="AD5" t="s">
        <v>25</v>
      </c>
      <c r="AE5" t="s">
        <v>23</v>
      </c>
      <c r="AF5" t="s">
        <v>25</v>
      </c>
      <c r="AG5" t="s">
        <v>23</v>
      </c>
      <c r="AH5" t="s">
        <v>2</v>
      </c>
      <c r="AI5" t="s">
        <v>24</v>
      </c>
      <c r="AJ5" t="s">
        <v>23</v>
      </c>
      <c r="AK5" t="s">
        <v>2</v>
      </c>
      <c r="AL5" t="s">
        <v>2</v>
      </c>
      <c r="AM5" t="s">
        <v>23</v>
      </c>
      <c r="AN5" t="s">
        <v>25</v>
      </c>
      <c r="AO5" s="15" t="s">
        <v>25</v>
      </c>
      <c r="AP5" s="15" t="s">
        <v>2</v>
      </c>
      <c r="AQ5" s="15" t="s">
        <v>25</v>
      </c>
      <c r="AR5" s="15" t="s">
        <v>23</v>
      </c>
      <c r="AS5" s="15" t="s">
        <v>24</v>
      </c>
      <c r="AT5" s="15" t="s">
        <v>25</v>
      </c>
      <c r="AU5" s="15" t="s">
        <v>25</v>
      </c>
      <c r="AV5" s="15" t="s">
        <v>2</v>
      </c>
      <c r="AW5" s="15" t="s">
        <v>25</v>
      </c>
      <c r="AX5" s="15" t="s">
        <v>2</v>
      </c>
      <c r="AY5" s="15" t="s">
        <v>25</v>
      </c>
      <c r="AZ5" s="15" t="s">
        <v>24</v>
      </c>
      <c r="BA5" s="15" t="s">
        <v>2</v>
      </c>
      <c r="BB5" s="15" t="s">
        <v>24</v>
      </c>
      <c r="BC5" s="15" t="s">
        <v>23</v>
      </c>
      <c r="BD5" s="15" t="s">
        <v>23</v>
      </c>
      <c r="BE5" s="15" t="s">
        <v>2</v>
      </c>
      <c r="BF5" s="15" t="s">
        <v>2</v>
      </c>
      <c r="BG5" s="15" t="s">
        <v>2</v>
      </c>
      <c r="BH5" s="15" t="s">
        <v>25</v>
      </c>
      <c r="BI5" s="15" t="s">
        <v>2</v>
      </c>
      <c r="BJ5" s="15" t="s">
        <v>25</v>
      </c>
      <c r="BK5" s="15" t="s">
        <v>23</v>
      </c>
      <c r="BL5" s="15" t="s">
        <v>776</v>
      </c>
      <c r="BM5" t="s">
        <v>25</v>
      </c>
      <c r="BN5" t="s">
        <v>23</v>
      </c>
      <c r="BO5" t="s">
        <v>2</v>
      </c>
      <c r="BP5" t="s">
        <v>2</v>
      </c>
      <c r="BQ5" t="s">
        <v>25</v>
      </c>
      <c r="BR5" t="s">
        <v>23</v>
      </c>
      <c r="BS5" t="s">
        <v>23</v>
      </c>
      <c r="BT5" t="s">
        <v>25</v>
      </c>
      <c r="BU5" t="s">
        <v>23</v>
      </c>
      <c r="BV5" t="s">
        <v>2</v>
      </c>
      <c r="BW5" t="s">
        <v>24</v>
      </c>
      <c r="BX5" s="15" t="s">
        <v>2</v>
      </c>
      <c r="BY5" s="15" t="s">
        <v>25</v>
      </c>
      <c r="BZ5" s="15" t="s">
        <v>25</v>
      </c>
      <c r="CA5" s="15" t="s">
        <v>2</v>
      </c>
      <c r="CB5" s="15" t="s">
        <v>2</v>
      </c>
      <c r="CC5" s="15" t="s">
        <v>24</v>
      </c>
      <c r="CD5" s="15" t="s">
        <v>2</v>
      </c>
      <c r="CE5" s="15" t="s">
        <v>25</v>
      </c>
      <c r="CF5" t="s">
        <v>24</v>
      </c>
      <c r="CG5" t="s">
        <v>2</v>
      </c>
      <c r="CH5" t="s">
        <v>23</v>
      </c>
      <c r="CI5" t="s">
        <v>23</v>
      </c>
      <c r="CJ5" t="s">
        <v>25</v>
      </c>
      <c r="CK5" t="s">
        <v>23</v>
      </c>
      <c r="CL5" t="s">
        <v>24</v>
      </c>
      <c r="CM5" t="s">
        <v>24</v>
      </c>
      <c r="CN5" t="s">
        <v>26</v>
      </c>
      <c r="CO5" t="s">
        <v>23</v>
      </c>
      <c r="CP5" t="s">
        <v>2</v>
      </c>
      <c r="CQ5" t="s">
        <v>24</v>
      </c>
      <c r="CR5" t="s">
        <v>25</v>
      </c>
      <c r="CS5" t="s">
        <v>26</v>
      </c>
      <c r="CT5" t="s">
        <v>24</v>
      </c>
      <c r="CU5" t="s">
        <v>23</v>
      </c>
      <c r="CV5" t="s">
        <v>23</v>
      </c>
      <c r="CW5" t="s">
        <v>24</v>
      </c>
      <c r="CX5" t="s">
        <v>25</v>
      </c>
      <c r="CY5" t="s">
        <v>2</v>
      </c>
      <c r="CZ5" t="s">
        <v>25</v>
      </c>
      <c r="DA5" t="s">
        <v>25</v>
      </c>
      <c r="DB5" t="s">
        <v>23</v>
      </c>
      <c r="DC5" t="s">
        <v>25</v>
      </c>
      <c r="DD5" t="s">
        <v>2</v>
      </c>
      <c r="DE5" t="s">
        <v>24</v>
      </c>
      <c r="DF5" t="s">
        <v>26</v>
      </c>
      <c r="DG5" t="s">
        <v>26</v>
      </c>
      <c r="DH5" t="s">
        <v>2</v>
      </c>
      <c r="DI5" t="s">
        <v>26</v>
      </c>
      <c r="DJ5" t="s">
        <v>25</v>
      </c>
      <c r="DK5" t="s">
        <v>26</v>
      </c>
      <c r="DL5" t="s">
        <v>25</v>
      </c>
      <c r="DM5" t="s">
        <v>24</v>
      </c>
      <c r="DN5" t="s">
        <v>23</v>
      </c>
      <c r="DO5" t="s">
        <v>23</v>
      </c>
      <c r="DP5" t="s">
        <v>26</v>
      </c>
      <c r="DQ5" t="s">
        <v>2</v>
      </c>
      <c r="DR5" t="s">
        <v>2</v>
      </c>
      <c r="DS5" t="s">
        <v>26</v>
      </c>
      <c r="DT5" t="s">
        <v>25</v>
      </c>
      <c r="DU5" t="s">
        <v>25</v>
      </c>
      <c r="DV5" t="s">
        <v>25</v>
      </c>
      <c r="DW5" t="s">
        <v>2</v>
      </c>
      <c r="DX5" t="s">
        <v>23</v>
      </c>
      <c r="DY5" t="s">
        <v>26</v>
      </c>
      <c r="DZ5" t="s">
        <v>24</v>
      </c>
      <c r="EA5" t="s">
        <v>2</v>
      </c>
      <c r="EB5" t="s">
        <v>23</v>
      </c>
      <c r="EC5" t="s">
        <v>23</v>
      </c>
      <c r="ED5" t="s">
        <v>24</v>
      </c>
      <c r="EE5" t="s">
        <v>26</v>
      </c>
      <c r="EF5" t="s">
        <v>24</v>
      </c>
      <c r="EG5" t="s">
        <v>25</v>
      </c>
      <c r="EH5" t="s">
        <v>26</v>
      </c>
      <c r="EI5" t="s">
        <v>23</v>
      </c>
      <c r="EJ5" t="s">
        <v>2</v>
      </c>
      <c r="EK5" t="s">
        <v>23</v>
      </c>
      <c r="EL5" t="s">
        <v>2</v>
      </c>
      <c r="EM5" t="s">
        <v>24</v>
      </c>
      <c r="EN5" t="s">
        <v>23</v>
      </c>
      <c r="EO5" t="s">
        <v>25</v>
      </c>
      <c r="EP5" s="15" t="s">
        <v>24</v>
      </c>
      <c r="EQ5" s="15" t="s">
        <v>25</v>
      </c>
      <c r="ER5" s="15" t="s">
        <v>24</v>
      </c>
      <c r="ES5" s="15" t="s">
        <v>2</v>
      </c>
      <c r="ET5" s="15" t="s">
        <v>23</v>
      </c>
      <c r="EU5" s="15" t="s">
        <v>23</v>
      </c>
      <c r="EV5" s="15" t="s">
        <v>25</v>
      </c>
      <c r="EW5" s="15" t="s">
        <v>2</v>
      </c>
      <c r="EX5" s="15" t="s">
        <v>24</v>
      </c>
      <c r="EY5" s="15" t="s">
        <v>25</v>
      </c>
      <c r="EZ5" s="15" t="s">
        <v>25</v>
      </c>
      <c r="FA5" s="15" t="s">
        <v>23</v>
      </c>
      <c r="FB5" s="15" t="s">
        <v>25</v>
      </c>
      <c r="FC5" s="15" t="s">
        <v>2</v>
      </c>
      <c r="FD5" s="15" t="s">
        <v>25</v>
      </c>
      <c r="FE5" s="15" t="s">
        <v>24</v>
      </c>
      <c r="FF5" s="15" t="s">
        <v>25</v>
      </c>
      <c r="FG5" s="15" t="s">
        <v>24</v>
      </c>
      <c r="FH5" s="15" t="s">
        <v>23</v>
      </c>
      <c r="FI5" s="15" t="s">
        <v>25</v>
      </c>
      <c r="FJ5" s="15" t="s">
        <v>24</v>
      </c>
      <c r="FK5" s="15" t="s">
        <v>23</v>
      </c>
      <c r="FL5" s="15" t="s">
        <v>23</v>
      </c>
      <c r="FM5" s="15" t="s">
        <v>23</v>
      </c>
      <c r="FN5" s="15" t="s">
        <v>24</v>
      </c>
      <c r="FO5" s="15" t="s">
        <v>23</v>
      </c>
      <c r="FP5" s="15" t="s">
        <v>25</v>
      </c>
      <c r="FQ5" s="15" t="s">
        <v>24</v>
      </c>
      <c r="FR5" s="15" t="s">
        <v>2</v>
      </c>
      <c r="FS5" s="15" t="s">
        <v>24</v>
      </c>
      <c r="FT5" s="15" t="s">
        <v>23</v>
      </c>
      <c r="FU5" s="15" t="s">
        <v>2</v>
      </c>
      <c r="FV5" s="15" t="s">
        <v>24</v>
      </c>
      <c r="FW5" s="15" t="s">
        <v>24</v>
      </c>
      <c r="FX5" s="15" t="s">
        <v>25</v>
      </c>
      <c r="FY5" s="15" t="s">
        <v>23</v>
      </c>
      <c r="FZ5" s="15" t="s">
        <v>24</v>
      </c>
      <c r="GA5" s="15" t="s">
        <v>2</v>
      </c>
      <c r="GB5" s="15" t="s">
        <v>23</v>
      </c>
      <c r="GC5" s="15" t="s">
        <v>23</v>
      </c>
      <c r="GD5" s="15" t="s">
        <v>25</v>
      </c>
      <c r="GE5" s="15" t="s">
        <v>23</v>
      </c>
      <c r="GF5" s="15" t="s">
        <v>25</v>
      </c>
      <c r="GG5" s="15" t="s">
        <v>23</v>
      </c>
      <c r="GH5" s="15" t="s">
        <v>2</v>
      </c>
      <c r="GI5" s="15" t="s">
        <v>25</v>
      </c>
      <c r="GJ5" s="15" t="s">
        <v>25</v>
      </c>
      <c r="GK5" s="15" t="s">
        <v>2</v>
      </c>
      <c r="GL5" s="15" t="s">
        <v>24</v>
      </c>
      <c r="GM5" s="15" t="s">
        <v>2</v>
      </c>
      <c r="GN5" s="15" t="s">
        <v>25</v>
      </c>
      <c r="GO5" s="15" t="s">
        <v>24</v>
      </c>
      <c r="GP5" s="15" t="s">
        <v>25</v>
      </c>
      <c r="GQ5" s="15" t="s">
        <v>2</v>
      </c>
      <c r="GR5" s="15" t="s">
        <v>2</v>
      </c>
      <c r="GS5" s="15" t="s">
        <v>2</v>
      </c>
      <c r="GT5" s="15" t="s">
        <v>25</v>
      </c>
      <c r="GU5" s="15" t="s">
        <v>25</v>
      </c>
      <c r="GV5" s="15"/>
      <c r="GW5" t="s">
        <v>24</v>
      </c>
      <c r="GX5" t="s">
        <v>23</v>
      </c>
      <c r="GY5" t="s">
        <v>25</v>
      </c>
      <c r="GZ5" t="s">
        <v>2</v>
      </c>
      <c r="HA5" t="s">
        <v>24</v>
      </c>
      <c r="HB5" t="s">
        <v>2</v>
      </c>
      <c r="HC5" t="s">
        <v>25</v>
      </c>
      <c r="HD5" t="s">
        <v>2</v>
      </c>
      <c r="HE5" t="s">
        <v>25</v>
      </c>
      <c r="HF5" t="s">
        <v>23</v>
      </c>
      <c r="HG5" t="s">
        <v>25</v>
      </c>
      <c r="HH5" s="15" t="s">
        <v>24</v>
      </c>
      <c r="HI5" s="15" t="s">
        <v>25</v>
      </c>
      <c r="HJ5" s="15" t="s">
        <v>23</v>
      </c>
      <c r="HK5" s="15" t="s">
        <v>25</v>
      </c>
      <c r="HL5" s="15" t="s">
        <v>25</v>
      </c>
      <c r="HM5" s="15" t="s">
        <v>23</v>
      </c>
      <c r="HN5" s="15"/>
      <c r="HO5" s="15"/>
      <c r="HP5" s="15"/>
      <c r="HQ5" s="15"/>
      <c r="HR5" s="15"/>
      <c r="HS5" s="15"/>
      <c r="HT5" s="15"/>
      <c r="HU5" s="15"/>
      <c r="HV5" s="15"/>
      <c r="HW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D5" s="15"/>
      <c r="JE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LI5" s="15"/>
      <c r="LJ5" s="15"/>
      <c r="LK5" s="15"/>
      <c r="LL5" s="15"/>
      <c r="LM5" s="15"/>
      <c r="LN5" s="15"/>
      <c r="LO5" s="15"/>
      <c r="LP5" s="15"/>
      <c r="LQ5" s="15"/>
      <c r="LR5" s="15"/>
    </row>
    <row r="6" spans="1:330">
      <c r="A6">
        <v>43662</v>
      </c>
      <c r="B6" s="15" t="s">
        <v>31</v>
      </c>
      <c r="C6" s="15" t="s">
        <v>493</v>
      </c>
      <c r="D6" s="15" t="s">
        <v>37</v>
      </c>
      <c r="E6" s="15" t="s">
        <v>765</v>
      </c>
      <c r="F6" s="15"/>
      <c r="G6" s="15" t="s">
        <v>24</v>
      </c>
      <c r="H6" s="15" t="s">
        <v>25</v>
      </c>
      <c r="I6" s="15" t="s">
        <v>23</v>
      </c>
      <c r="J6" s="15" t="s">
        <v>23</v>
      </c>
      <c r="K6" s="15" t="s">
        <v>25</v>
      </c>
      <c r="L6" s="15" t="s">
        <v>2</v>
      </c>
      <c r="M6" s="15" t="s">
        <v>24</v>
      </c>
      <c r="N6" s="15" t="s">
        <v>23</v>
      </c>
      <c r="O6" s="15" t="s">
        <v>24</v>
      </c>
      <c r="P6" s="15" t="s">
        <v>23</v>
      </c>
      <c r="Q6" s="15" t="s">
        <v>2</v>
      </c>
      <c r="R6" s="15" t="s">
        <v>24</v>
      </c>
      <c r="S6" s="15" t="s">
        <v>2</v>
      </c>
      <c r="T6" s="15" t="s">
        <v>25</v>
      </c>
      <c r="U6" s="15" t="s">
        <v>23</v>
      </c>
      <c r="V6" s="15" t="s">
        <v>24</v>
      </c>
      <c r="W6" s="15" t="s">
        <v>2</v>
      </c>
      <c r="X6" s="15" t="s">
        <v>23</v>
      </c>
      <c r="Y6" s="15" t="s">
        <v>23</v>
      </c>
      <c r="Z6" t="s">
        <v>24</v>
      </c>
      <c r="AA6" t="s">
        <v>23</v>
      </c>
      <c r="AB6" t="s">
        <v>2</v>
      </c>
      <c r="AC6" t="s">
        <v>23</v>
      </c>
      <c r="AD6" t="s">
        <v>25</v>
      </c>
      <c r="AE6" t="s">
        <v>24</v>
      </c>
      <c r="AF6" t="s">
        <v>25</v>
      </c>
      <c r="AG6" t="s">
        <v>23</v>
      </c>
      <c r="AH6" t="s">
        <v>2</v>
      </c>
      <c r="AI6" t="s">
        <v>24</v>
      </c>
      <c r="AJ6" t="s">
        <v>23</v>
      </c>
      <c r="AK6" t="s">
        <v>2</v>
      </c>
      <c r="AL6" t="s">
        <v>2</v>
      </c>
      <c r="AM6" t="s">
        <v>23</v>
      </c>
      <c r="AN6" t="s">
        <v>25</v>
      </c>
      <c r="AO6" s="15" t="s">
        <v>23</v>
      </c>
      <c r="AP6" t="s">
        <v>2</v>
      </c>
      <c r="AQ6" s="15" t="s">
        <v>24</v>
      </c>
      <c r="AR6" t="s">
        <v>25</v>
      </c>
      <c r="AS6" s="15" t="s">
        <v>24</v>
      </c>
      <c r="AT6" s="15" t="s">
        <v>25</v>
      </c>
      <c r="AU6" s="15" t="s">
        <v>25</v>
      </c>
      <c r="AV6" s="15" t="s">
        <v>2</v>
      </c>
      <c r="AW6" s="15" t="s">
        <v>25</v>
      </c>
      <c r="AX6" s="15" t="s">
        <v>2</v>
      </c>
      <c r="AY6" s="15" t="s">
        <v>24</v>
      </c>
      <c r="AZ6" s="15" t="s">
        <v>24</v>
      </c>
      <c r="BA6" s="15" t="s">
        <v>25</v>
      </c>
      <c r="BB6" s="15" t="s">
        <v>24</v>
      </c>
      <c r="BC6" s="15" t="s">
        <v>23</v>
      </c>
      <c r="BD6" s="15" t="s">
        <v>23</v>
      </c>
      <c r="BE6" s="15" t="s">
        <v>2</v>
      </c>
      <c r="BF6" s="15" t="s">
        <v>23</v>
      </c>
      <c r="BG6" s="15" t="s">
        <v>2</v>
      </c>
      <c r="BH6" t="s">
        <v>2</v>
      </c>
      <c r="BI6" t="s">
        <v>25</v>
      </c>
      <c r="BJ6" t="s">
        <v>25</v>
      </c>
      <c r="BK6" s="15" t="s">
        <v>25</v>
      </c>
      <c r="BL6" t="s">
        <v>25</v>
      </c>
      <c r="BM6" t="s">
        <v>25</v>
      </c>
      <c r="BN6" t="s">
        <v>25</v>
      </c>
      <c r="BO6" t="s">
        <v>25</v>
      </c>
      <c r="BP6" t="s">
        <v>25</v>
      </c>
      <c r="BQ6" t="s">
        <v>25</v>
      </c>
      <c r="BR6" t="s">
        <v>25</v>
      </c>
      <c r="BS6" t="s">
        <v>25</v>
      </c>
      <c r="BT6" t="s">
        <v>25</v>
      </c>
      <c r="BU6" t="s">
        <v>25</v>
      </c>
      <c r="BV6" t="s">
        <v>25</v>
      </c>
      <c r="BW6" t="s">
        <v>25</v>
      </c>
      <c r="BX6" s="15" t="s">
        <v>25</v>
      </c>
      <c r="BY6" s="15" t="s">
        <v>25</v>
      </c>
      <c r="BZ6" s="15" t="s">
        <v>25</v>
      </c>
      <c r="CA6" s="15" t="s">
        <v>25</v>
      </c>
      <c r="CB6" s="15" t="s">
        <v>25</v>
      </c>
      <c r="CC6" s="15" t="s">
        <v>25</v>
      </c>
      <c r="CD6" s="15" t="s">
        <v>2</v>
      </c>
      <c r="CE6" s="15" t="s">
        <v>25</v>
      </c>
      <c r="CF6" t="s">
        <v>24</v>
      </c>
      <c r="CG6" t="s">
        <v>2</v>
      </c>
      <c r="CH6" t="s">
        <v>23</v>
      </c>
      <c r="CI6" t="s">
        <v>23</v>
      </c>
      <c r="CJ6" t="s">
        <v>25</v>
      </c>
      <c r="CK6" t="s">
        <v>23</v>
      </c>
      <c r="CL6" t="s">
        <v>24</v>
      </c>
      <c r="CM6" t="s">
        <v>24</v>
      </c>
      <c r="CN6" t="s">
        <v>26</v>
      </c>
      <c r="CO6" t="s">
        <v>23</v>
      </c>
      <c r="CP6" t="s">
        <v>24</v>
      </c>
      <c r="CQ6" t="s">
        <v>24</v>
      </c>
      <c r="CR6" t="s">
        <v>25</v>
      </c>
      <c r="CS6" t="s">
        <v>26</v>
      </c>
      <c r="CT6" t="s">
        <v>24</v>
      </c>
      <c r="CU6" t="s">
        <v>23</v>
      </c>
      <c r="CV6" t="s">
        <v>23</v>
      </c>
      <c r="CW6" t="s">
        <v>24</v>
      </c>
      <c r="CX6" t="s">
        <v>25</v>
      </c>
      <c r="CY6" t="s">
        <v>2</v>
      </c>
      <c r="CZ6" t="s">
        <v>25</v>
      </c>
      <c r="DA6" t="s">
        <v>25</v>
      </c>
      <c r="DB6" t="s">
        <v>23</v>
      </c>
      <c r="DC6" t="s">
        <v>25</v>
      </c>
      <c r="DD6" t="s">
        <v>2</v>
      </c>
      <c r="DE6" t="s">
        <v>24</v>
      </c>
      <c r="DF6" t="s">
        <v>24</v>
      </c>
      <c r="DG6" t="s">
        <v>26</v>
      </c>
      <c r="DH6" t="s">
        <v>2</v>
      </c>
      <c r="DI6" t="s">
        <v>26</v>
      </c>
      <c r="DJ6" t="s">
        <v>25</v>
      </c>
      <c r="DK6" t="s">
        <v>26</v>
      </c>
      <c r="DL6" t="s">
        <v>2</v>
      </c>
      <c r="DM6" t="s">
        <v>24</v>
      </c>
      <c r="DN6" t="s">
        <v>23</v>
      </c>
      <c r="DO6" t="s">
        <v>23</v>
      </c>
      <c r="DP6" t="s">
        <v>26</v>
      </c>
      <c r="DQ6" t="s">
        <v>2</v>
      </c>
      <c r="DR6" t="s">
        <v>2</v>
      </c>
      <c r="DS6" t="s">
        <v>26</v>
      </c>
      <c r="DT6" t="s">
        <v>25</v>
      </c>
      <c r="DU6" t="s">
        <v>2</v>
      </c>
      <c r="DV6" t="s">
        <v>25</v>
      </c>
      <c r="DW6" t="s">
        <v>25</v>
      </c>
      <c r="DX6" t="s">
        <v>23</v>
      </c>
      <c r="DY6" t="s">
        <v>26</v>
      </c>
      <c r="DZ6" t="s">
        <v>24</v>
      </c>
      <c r="EA6" t="s">
        <v>2</v>
      </c>
      <c r="EB6" t="s">
        <v>23</v>
      </c>
      <c r="EC6" t="s">
        <v>23</v>
      </c>
      <c r="ED6" t="s">
        <v>24</v>
      </c>
      <c r="EE6" t="s">
        <v>26</v>
      </c>
      <c r="EF6" t="s">
        <v>26</v>
      </c>
      <c r="EG6" t="s">
        <v>25</v>
      </c>
      <c r="EH6" t="s">
        <v>26</v>
      </c>
      <c r="EI6" t="s">
        <v>26</v>
      </c>
      <c r="EJ6" t="s">
        <v>2</v>
      </c>
      <c r="EK6" t="s">
        <v>23</v>
      </c>
      <c r="EL6" t="s">
        <v>25</v>
      </c>
      <c r="EM6" t="s">
        <v>25</v>
      </c>
      <c r="EN6" t="s">
        <v>25</v>
      </c>
      <c r="EO6" t="s">
        <v>25</v>
      </c>
      <c r="EP6" s="15" t="s">
        <v>25</v>
      </c>
      <c r="EQ6" s="15" t="s">
        <v>25</v>
      </c>
      <c r="ER6" s="15" t="s">
        <v>25</v>
      </c>
      <c r="ES6" s="15" t="s">
        <v>25</v>
      </c>
      <c r="ET6" s="15" t="s">
        <v>25</v>
      </c>
      <c r="EU6" s="15" t="s">
        <v>25</v>
      </c>
      <c r="EV6" s="15" t="s">
        <v>25</v>
      </c>
      <c r="EW6" s="15" t="s">
        <v>25</v>
      </c>
      <c r="EX6" s="15" t="s">
        <v>25</v>
      </c>
      <c r="EY6" s="15" t="s">
        <v>25</v>
      </c>
      <c r="EZ6" t="s">
        <v>25</v>
      </c>
      <c r="FA6" s="15" t="s">
        <v>25</v>
      </c>
      <c r="FB6" t="s">
        <v>25</v>
      </c>
      <c r="FC6" s="15" t="s">
        <v>25</v>
      </c>
      <c r="FD6" s="15" t="s">
        <v>25</v>
      </c>
      <c r="FE6" s="15" t="s">
        <v>25</v>
      </c>
      <c r="FF6" s="15" t="s">
        <v>25</v>
      </c>
      <c r="FG6" s="15" t="s">
        <v>25</v>
      </c>
      <c r="FH6" s="15" t="s">
        <v>25</v>
      </c>
      <c r="FI6" t="s">
        <v>25</v>
      </c>
      <c r="FJ6" s="15" t="s">
        <v>25</v>
      </c>
      <c r="FK6" t="s">
        <v>25</v>
      </c>
      <c r="FL6" s="15" t="s">
        <v>25</v>
      </c>
      <c r="FM6" s="15" t="s">
        <v>25</v>
      </c>
      <c r="FN6" t="s">
        <v>25</v>
      </c>
      <c r="FO6" s="15" t="s">
        <v>25</v>
      </c>
      <c r="FP6" s="15" t="s">
        <v>25</v>
      </c>
      <c r="FQ6" s="15" t="s">
        <v>25</v>
      </c>
      <c r="FR6" s="15" t="s">
        <v>25</v>
      </c>
      <c r="FS6" s="15" t="s">
        <v>25</v>
      </c>
      <c r="FT6" s="15" t="s">
        <v>25</v>
      </c>
      <c r="FU6" s="15" t="s">
        <v>25</v>
      </c>
      <c r="FV6" s="15" t="s">
        <v>25</v>
      </c>
      <c r="FW6" s="15" t="s">
        <v>25</v>
      </c>
      <c r="FX6" t="s">
        <v>25</v>
      </c>
      <c r="FY6" t="s">
        <v>25</v>
      </c>
      <c r="FZ6" s="15" t="s">
        <v>24</v>
      </c>
      <c r="GA6" s="15" t="s">
        <v>24</v>
      </c>
      <c r="GB6" t="s">
        <v>23</v>
      </c>
      <c r="GC6" s="15" t="s">
        <v>23</v>
      </c>
      <c r="GD6" s="15" t="s">
        <v>2</v>
      </c>
      <c r="GE6" s="15" t="s">
        <v>23</v>
      </c>
      <c r="GF6" t="s">
        <v>25</v>
      </c>
      <c r="GG6" s="15" t="s">
        <v>23</v>
      </c>
      <c r="GH6" s="15" t="s">
        <v>2</v>
      </c>
      <c r="GI6" s="15" t="s">
        <v>24</v>
      </c>
      <c r="GJ6" s="15" t="s">
        <v>23</v>
      </c>
      <c r="GK6" s="15" t="s">
        <v>24</v>
      </c>
      <c r="GL6" s="15" t="s">
        <v>25</v>
      </c>
      <c r="GM6" s="15" t="s">
        <v>25</v>
      </c>
      <c r="GN6" s="15" t="s">
        <v>25</v>
      </c>
      <c r="GO6" s="15" t="s">
        <v>25</v>
      </c>
      <c r="GP6" s="15" t="s">
        <v>25</v>
      </c>
      <c r="GQ6" s="15" t="s">
        <v>25</v>
      </c>
      <c r="GR6" s="15" t="s">
        <v>25</v>
      </c>
      <c r="GS6" s="15" t="s">
        <v>25</v>
      </c>
      <c r="GT6" s="15" t="s">
        <v>25</v>
      </c>
      <c r="GU6" s="15" t="s">
        <v>25</v>
      </c>
      <c r="GV6" s="15" t="s">
        <v>25</v>
      </c>
      <c r="GW6" t="s">
        <v>25</v>
      </c>
      <c r="GX6" t="s">
        <v>25</v>
      </c>
      <c r="GY6" t="s">
        <v>25</v>
      </c>
      <c r="GZ6" t="s">
        <v>25</v>
      </c>
      <c r="HA6" t="s">
        <v>25</v>
      </c>
      <c r="HB6" t="s">
        <v>25</v>
      </c>
      <c r="HC6" t="s">
        <v>25</v>
      </c>
      <c r="HD6" t="s">
        <v>25</v>
      </c>
      <c r="HE6" t="s">
        <v>25</v>
      </c>
      <c r="HF6" t="s">
        <v>25</v>
      </c>
      <c r="HG6" t="s">
        <v>25</v>
      </c>
      <c r="HH6" s="15" t="s">
        <v>25</v>
      </c>
      <c r="HI6" s="15" t="s">
        <v>25</v>
      </c>
      <c r="HJ6" s="15" t="s">
        <v>25</v>
      </c>
      <c r="HK6" s="15" t="s">
        <v>25</v>
      </c>
      <c r="HL6" s="15" t="s">
        <v>25</v>
      </c>
      <c r="HM6" s="15" t="s">
        <v>25</v>
      </c>
      <c r="HN6" s="15"/>
      <c r="HO6" s="15"/>
      <c r="HP6" s="15"/>
      <c r="HQ6" s="15"/>
      <c r="HR6" s="15"/>
      <c r="HU6" s="15"/>
      <c r="HV6" s="15"/>
      <c r="HW6" s="15"/>
      <c r="IQ6" s="15"/>
      <c r="IR6" s="15"/>
      <c r="IS6" s="15"/>
      <c r="IT6" s="15"/>
      <c r="IV6" s="15"/>
      <c r="IX6" s="15"/>
      <c r="IY6" s="15"/>
      <c r="IZ6" s="15"/>
      <c r="JA6" s="15"/>
      <c r="JB6" s="15"/>
      <c r="JC6" s="15"/>
      <c r="JD6" s="15"/>
      <c r="JE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K6" s="15"/>
      <c r="KL6" s="15"/>
      <c r="LI6" s="15"/>
      <c r="LJ6" s="15"/>
      <c r="LK6" s="15"/>
      <c r="LL6" s="15"/>
      <c r="LM6" s="15"/>
      <c r="LN6" s="15"/>
      <c r="LO6" s="15"/>
      <c r="LP6" s="15"/>
      <c r="LR6" s="15"/>
    </row>
    <row r="7" spans="1:330">
      <c r="A7">
        <v>43662</v>
      </c>
      <c r="B7" s="15" t="s">
        <v>5</v>
      </c>
      <c r="C7" s="15" t="s">
        <v>777</v>
      </c>
      <c r="D7" s="15" t="s">
        <v>37</v>
      </c>
      <c r="E7" s="15" t="s">
        <v>765</v>
      </c>
      <c r="F7" s="15"/>
      <c r="G7" s="15" t="s">
        <v>24</v>
      </c>
      <c r="H7" s="15" t="s">
        <v>25</v>
      </c>
      <c r="I7" s="15" t="s">
        <v>2</v>
      </c>
      <c r="J7" s="15" t="s">
        <v>25</v>
      </c>
      <c r="K7" s="15" t="s">
        <v>25</v>
      </c>
      <c r="L7" s="15" t="s">
        <v>2</v>
      </c>
      <c r="M7" s="15" t="s">
        <v>24</v>
      </c>
      <c r="N7" s="15" t="s">
        <v>25</v>
      </c>
      <c r="O7" s="15" t="s">
        <v>24</v>
      </c>
      <c r="P7" s="15" t="s">
        <v>2</v>
      </c>
      <c r="Q7" s="15" t="s">
        <v>2</v>
      </c>
      <c r="R7" s="15" t="s">
        <v>24</v>
      </c>
      <c r="S7" s="15" t="s">
        <v>2</v>
      </c>
      <c r="T7" s="15" t="s">
        <v>25</v>
      </c>
      <c r="U7" s="15" t="s">
        <v>23</v>
      </c>
      <c r="V7" t="s">
        <v>24</v>
      </c>
      <c r="W7" s="15" t="s">
        <v>2</v>
      </c>
      <c r="X7" s="15" t="s">
        <v>23</v>
      </c>
      <c r="Y7" s="15" t="s">
        <v>2</v>
      </c>
      <c r="Z7" t="s">
        <v>24</v>
      </c>
      <c r="AA7" t="s">
        <v>23</v>
      </c>
      <c r="AB7" t="s">
        <v>2</v>
      </c>
      <c r="AC7" t="s">
        <v>25</v>
      </c>
      <c r="AD7" t="s">
        <v>25</v>
      </c>
      <c r="AE7" t="s">
        <v>23</v>
      </c>
      <c r="AF7" t="s">
        <v>25</v>
      </c>
      <c r="AG7" t="s">
        <v>23</v>
      </c>
      <c r="AH7" t="s">
        <v>2</v>
      </c>
      <c r="AI7" t="s">
        <v>24</v>
      </c>
      <c r="AJ7" t="s">
        <v>23</v>
      </c>
      <c r="AK7" t="s">
        <v>2</v>
      </c>
      <c r="AL7" t="s">
        <v>2</v>
      </c>
      <c r="AM7" t="s">
        <v>24</v>
      </c>
      <c r="AN7" t="s">
        <v>24</v>
      </c>
      <c r="AO7" s="15" t="s">
        <v>25</v>
      </c>
      <c r="AP7" s="15" t="s">
        <v>2</v>
      </c>
      <c r="AQ7" s="15" t="s">
        <v>25</v>
      </c>
      <c r="AR7" s="15" t="s">
        <v>23</v>
      </c>
      <c r="AS7" s="15" t="s">
        <v>24</v>
      </c>
      <c r="AT7" s="15" t="s">
        <v>25</v>
      </c>
      <c r="AU7" s="15" t="s">
        <v>25</v>
      </c>
      <c r="AV7" s="15" t="s">
        <v>2</v>
      </c>
      <c r="AW7" s="15" t="s">
        <v>25</v>
      </c>
      <c r="AX7" s="15" t="s">
        <v>25</v>
      </c>
      <c r="AY7" s="15" t="s">
        <v>24</v>
      </c>
      <c r="AZ7" s="15" t="s">
        <v>2</v>
      </c>
      <c r="BA7" s="15" t="s">
        <v>2</v>
      </c>
      <c r="BB7" s="15" t="s">
        <v>24</v>
      </c>
      <c r="BC7" s="15" t="s">
        <v>24</v>
      </c>
      <c r="BD7" s="15" t="s">
        <v>23</v>
      </c>
      <c r="BE7" s="15" t="s">
        <v>24</v>
      </c>
      <c r="BF7" s="15" t="s">
        <v>2</v>
      </c>
      <c r="BG7" s="15" t="s">
        <v>2</v>
      </c>
      <c r="BH7" s="15" t="s">
        <v>25</v>
      </c>
      <c r="BI7" s="15" t="s">
        <v>2</v>
      </c>
      <c r="BJ7" s="15" t="s">
        <v>25</v>
      </c>
      <c r="BK7" s="15" t="s">
        <v>23</v>
      </c>
      <c r="BL7" s="15" t="s">
        <v>24</v>
      </c>
      <c r="BM7" t="s">
        <v>25</v>
      </c>
      <c r="BN7" t="s">
        <v>2</v>
      </c>
      <c r="BO7" t="s">
        <v>2</v>
      </c>
      <c r="BP7" t="s">
        <v>2</v>
      </c>
      <c r="BQ7" t="s">
        <v>24</v>
      </c>
      <c r="BR7" t="s">
        <v>23</v>
      </c>
      <c r="BS7" t="s">
        <v>25</v>
      </c>
      <c r="BT7" t="s">
        <v>25</v>
      </c>
      <c r="BU7" t="s">
        <v>23</v>
      </c>
      <c r="BV7" t="s">
        <v>2</v>
      </c>
      <c r="BW7" t="s">
        <v>24</v>
      </c>
      <c r="BX7" s="15" t="s">
        <v>25</v>
      </c>
      <c r="BY7" s="15" t="s">
        <v>25</v>
      </c>
      <c r="BZ7" s="15" t="s">
        <v>25</v>
      </c>
      <c r="CA7" s="15" t="s">
        <v>2</v>
      </c>
      <c r="CB7" s="15" t="s">
        <v>2</v>
      </c>
      <c r="CC7" s="15" t="s">
        <v>24</v>
      </c>
      <c r="CD7" s="15" t="s">
        <v>2</v>
      </c>
      <c r="CE7" s="15" t="s">
        <v>24</v>
      </c>
      <c r="CF7" t="s">
        <v>24</v>
      </c>
      <c r="CG7" t="s">
        <v>2</v>
      </c>
      <c r="CH7" t="s">
        <v>23</v>
      </c>
      <c r="CI7" t="s">
        <v>23</v>
      </c>
      <c r="CJ7" t="s">
        <v>25</v>
      </c>
      <c r="CK7" t="s">
        <v>23</v>
      </c>
      <c r="CL7" t="s">
        <v>24</v>
      </c>
      <c r="CM7" t="s">
        <v>24</v>
      </c>
      <c r="CN7" t="s">
        <v>26</v>
      </c>
      <c r="CO7" t="s">
        <v>23</v>
      </c>
      <c r="CP7" t="s">
        <v>2</v>
      </c>
      <c r="CQ7" t="s">
        <v>24</v>
      </c>
      <c r="CR7" t="s">
        <v>25</v>
      </c>
      <c r="CS7" t="s">
        <v>26</v>
      </c>
      <c r="CT7" t="s">
        <v>24</v>
      </c>
      <c r="CU7" t="s">
        <v>23</v>
      </c>
      <c r="CV7" t="s">
        <v>23</v>
      </c>
      <c r="CW7" t="s">
        <v>24</v>
      </c>
      <c r="CX7" t="s">
        <v>25</v>
      </c>
      <c r="CY7" t="s">
        <v>2</v>
      </c>
      <c r="CZ7" t="s">
        <v>25</v>
      </c>
      <c r="DA7" t="s">
        <v>25</v>
      </c>
      <c r="DB7" t="s">
        <v>23</v>
      </c>
      <c r="DC7" t="s">
        <v>25</v>
      </c>
      <c r="DD7" t="s">
        <v>2</v>
      </c>
      <c r="DE7" t="s">
        <v>24</v>
      </c>
      <c r="DF7" t="s">
        <v>26</v>
      </c>
      <c r="DG7" t="s">
        <v>26</v>
      </c>
      <c r="DH7" t="s">
        <v>2</v>
      </c>
      <c r="DI7" t="s">
        <v>26</v>
      </c>
      <c r="DJ7" t="s">
        <v>25</v>
      </c>
      <c r="DK7" t="s">
        <v>26</v>
      </c>
      <c r="DL7" t="s">
        <v>25</v>
      </c>
      <c r="DM7" t="s">
        <v>2</v>
      </c>
      <c r="DN7" t="s">
        <v>23</v>
      </c>
      <c r="DO7" t="s">
        <v>24</v>
      </c>
      <c r="DP7" t="s">
        <v>26</v>
      </c>
      <c r="DQ7" t="s">
        <v>2</v>
      </c>
      <c r="DR7" t="s">
        <v>2</v>
      </c>
      <c r="DS7" t="s">
        <v>26</v>
      </c>
      <c r="DT7" t="s">
        <v>25</v>
      </c>
      <c r="DU7" t="s">
        <v>2</v>
      </c>
      <c r="DV7" t="s">
        <v>25</v>
      </c>
      <c r="DW7" t="s">
        <v>25</v>
      </c>
      <c r="DX7" t="s">
        <v>24</v>
      </c>
      <c r="DY7" t="s">
        <v>26</v>
      </c>
      <c r="DZ7" t="s">
        <v>24</v>
      </c>
      <c r="EA7" t="s">
        <v>25</v>
      </c>
      <c r="EB7" t="s">
        <v>23</v>
      </c>
      <c r="EC7" t="s">
        <v>23</v>
      </c>
      <c r="ED7" t="s">
        <v>25</v>
      </c>
      <c r="EE7" t="s">
        <v>26</v>
      </c>
      <c r="EF7" t="s">
        <v>24</v>
      </c>
      <c r="EG7" t="s">
        <v>25</v>
      </c>
      <c r="EH7" t="s">
        <v>25</v>
      </c>
      <c r="EI7" t="s">
        <v>24</v>
      </c>
      <c r="EJ7" t="s">
        <v>2</v>
      </c>
      <c r="EK7" t="s">
        <v>23</v>
      </c>
      <c r="EL7" t="s">
        <v>2</v>
      </c>
      <c r="EM7" t="s">
        <v>24</v>
      </c>
      <c r="EN7" t="s">
        <v>23</v>
      </c>
      <c r="EO7" t="s">
        <v>25</v>
      </c>
      <c r="EP7" s="15" t="s">
        <v>24</v>
      </c>
      <c r="EQ7" s="15" t="s">
        <v>24</v>
      </c>
      <c r="ER7" s="15" t="s">
        <v>23</v>
      </c>
      <c r="ES7" s="15" t="s">
        <v>2</v>
      </c>
      <c r="ET7" s="15" t="s">
        <v>25</v>
      </c>
      <c r="EU7" s="15" t="s">
        <v>23</v>
      </c>
      <c r="EV7" s="15" t="s">
        <v>23</v>
      </c>
      <c r="EW7" s="15" t="s">
        <v>2</v>
      </c>
      <c r="EX7" s="15" t="s">
        <v>24</v>
      </c>
      <c r="EY7" s="15" t="s">
        <v>2</v>
      </c>
      <c r="EZ7" s="15" t="s">
        <v>25</v>
      </c>
      <c r="FA7" s="15" t="s">
        <v>23</v>
      </c>
      <c r="FB7" s="15" t="s">
        <v>25</v>
      </c>
      <c r="FC7" s="15" t="s">
        <v>25</v>
      </c>
      <c r="FD7" s="15" t="s">
        <v>23</v>
      </c>
      <c r="FE7" s="15" t="s">
        <v>24</v>
      </c>
      <c r="FF7" s="15" t="s">
        <v>25</v>
      </c>
      <c r="FG7" s="15" t="s">
        <v>23</v>
      </c>
      <c r="FH7" s="15" t="s">
        <v>23</v>
      </c>
      <c r="FI7" s="15" t="s">
        <v>25</v>
      </c>
      <c r="FJ7" s="15" t="s">
        <v>23</v>
      </c>
      <c r="FK7" s="15" t="s">
        <v>24</v>
      </c>
      <c r="FL7" s="15" t="s">
        <v>23</v>
      </c>
      <c r="FM7" s="15" t="s">
        <v>24</v>
      </c>
      <c r="FN7" s="15" t="s">
        <v>25</v>
      </c>
      <c r="FO7" s="15" t="s">
        <v>25</v>
      </c>
      <c r="FP7" s="15" t="s">
        <v>25</v>
      </c>
      <c r="FQ7" s="15" t="s">
        <v>23</v>
      </c>
      <c r="FR7" s="15" t="s">
        <v>2</v>
      </c>
      <c r="FS7" s="15" t="s">
        <v>24</v>
      </c>
      <c r="FT7" s="15" t="s">
        <v>23</v>
      </c>
      <c r="FU7" s="15" t="s">
        <v>2</v>
      </c>
      <c r="FV7" s="15" t="s">
        <v>24</v>
      </c>
      <c r="FW7" s="15" t="s">
        <v>24</v>
      </c>
      <c r="FX7" s="15" t="s">
        <v>25</v>
      </c>
      <c r="FY7" s="15" t="s">
        <v>23</v>
      </c>
      <c r="FZ7" s="15" t="s">
        <v>24</v>
      </c>
      <c r="GA7" s="15" t="s">
        <v>24</v>
      </c>
      <c r="GB7" s="15" t="s">
        <v>23</v>
      </c>
      <c r="GC7" s="15" t="s">
        <v>24</v>
      </c>
      <c r="GD7" s="15" t="s">
        <v>2</v>
      </c>
      <c r="GE7" s="15" t="s">
        <v>2</v>
      </c>
      <c r="GF7" s="15" t="s">
        <v>25</v>
      </c>
      <c r="GG7" s="15" t="s">
        <v>23</v>
      </c>
      <c r="GH7" s="15" t="s">
        <v>2</v>
      </c>
      <c r="GI7" s="15" t="s">
        <v>24</v>
      </c>
      <c r="GJ7" s="15" t="s">
        <v>24</v>
      </c>
      <c r="GK7" s="15" t="s">
        <v>2</v>
      </c>
      <c r="GL7" s="15" t="s">
        <v>24</v>
      </c>
      <c r="GM7" s="15" t="s">
        <v>2</v>
      </c>
      <c r="GN7" s="15" t="s">
        <v>25</v>
      </c>
      <c r="GO7" s="15" t="s">
        <v>23</v>
      </c>
      <c r="GP7" s="15" t="s">
        <v>25</v>
      </c>
      <c r="GQ7" s="15" t="s">
        <v>2</v>
      </c>
      <c r="GR7" s="15" t="s">
        <v>25</v>
      </c>
      <c r="GS7" s="15" t="s">
        <v>23</v>
      </c>
      <c r="GT7" s="15" t="s">
        <v>24</v>
      </c>
      <c r="GU7" s="15" t="s">
        <v>24</v>
      </c>
      <c r="GV7" s="15" t="s">
        <v>2</v>
      </c>
      <c r="GW7" t="s">
        <v>24</v>
      </c>
      <c r="GX7" t="s">
        <v>23</v>
      </c>
      <c r="GY7" t="s">
        <v>25</v>
      </c>
      <c r="GZ7" t="s">
        <v>25</v>
      </c>
      <c r="HA7" t="s">
        <v>25</v>
      </c>
      <c r="HB7" t="s">
        <v>23</v>
      </c>
      <c r="HC7" t="s">
        <v>2</v>
      </c>
      <c r="HD7" t="s">
        <v>2</v>
      </c>
      <c r="HE7" t="s">
        <v>25</v>
      </c>
      <c r="HF7" t="s">
        <v>23</v>
      </c>
      <c r="HG7" t="s">
        <v>24</v>
      </c>
      <c r="HH7" s="15" t="s">
        <v>25</v>
      </c>
      <c r="HI7" s="15" t="s">
        <v>25</v>
      </c>
      <c r="HJ7" s="15" t="s">
        <v>23</v>
      </c>
      <c r="HK7" s="15" t="s">
        <v>25</v>
      </c>
      <c r="HL7" s="15" t="s">
        <v>2</v>
      </c>
      <c r="HM7" s="15" t="s">
        <v>23</v>
      </c>
      <c r="HN7" s="15"/>
      <c r="HO7" s="15"/>
      <c r="HP7" s="15"/>
      <c r="HQ7" s="15"/>
      <c r="HR7" s="15"/>
      <c r="HS7" s="15"/>
      <c r="HT7" s="15"/>
      <c r="HU7" s="15"/>
      <c r="HV7" s="15"/>
      <c r="HW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LI7" s="15"/>
      <c r="LJ7" s="15"/>
      <c r="LK7" s="15"/>
      <c r="LL7" s="15"/>
      <c r="LM7" s="15"/>
      <c r="LN7" s="15"/>
      <c r="LO7" s="15"/>
      <c r="LP7" s="15"/>
      <c r="LQ7" s="15"/>
      <c r="LR7" s="15"/>
    </row>
    <row r="8" spans="1:330">
      <c r="A8">
        <v>43662</v>
      </c>
      <c r="B8" s="15" t="s">
        <v>32</v>
      </c>
      <c r="C8" s="15" t="s">
        <v>504</v>
      </c>
      <c r="D8" s="15" t="s">
        <v>37</v>
      </c>
      <c r="E8" s="15" t="s">
        <v>765</v>
      </c>
      <c r="F8" s="15"/>
      <c r="G8" s="15" t="s">
        <v>24</v>
      </c>
      <c r="H8" s="15" t="s">
        <v>25</v>
      </c>
      <c r="I8" s="15" t="s">
        <v>23</v>
      </c>
      <c r="J8" s="15" t="s">
        <v>25</v>
      </c>
      <c r="K8" s="15" t="s">
        <v>25</v>
      </c>
      <c r="L8" s="15" t="s">
        <v>2</v>
      </c>
      <c r="M8" s="15" t="s">
        <v>24</v>
      </c>
      <c r="N8" s="15" t="s">
        <v>23</v>
      </c>
      <c r="O8" s="15" t="s">
        <v>24</v>
      </c>
      <c r="P8" s="15" t="s">
        <v>2</v>
      </c>
      <c r="Q8" s="15" t="s">
        <v>2</v>
      </c>
      <c r="R8" s="15" t="s">
        <v>24</v>
      </c>
      <c r="S8" s="15" t="s">
        <v>2</v>
      </c>
      <c r="T8" s="15" t="s">
        <v>25</v>
      </c>
      <c r="U8" s="15" t="s">
        <v>23</v>
      </c>
      <c r="V8" s="15" t="s">
        <v>24</v>
      </c>
      <c r="W8" s="15" t="s">
        <v>2</v>
      </c>
      <c r="X8" s="15" t="s">
        <v>23</v>
      </c>
      <c r="Y8" s="15" t="s">
        <v>2</v>
      </c>
      <c r="Z8" t="s">
        <v>24</v>
      </c>
      <c r="AA8" t="s">
        <v>23</v>
      </c>
      <c r="AB8" t="s">
        <v>2</v>
      </c>
      <c r="AC8" t="s">
        <v>25</v>
      </c>
      <c r="AD8" t="s">
        <v>25</v>
      </c>
      <c r="AE8" t="s">
        <v>23</v>
      </c>
      <c r="AF8" t="s">
        <v>25</v>
      </c>
      <c r="AG8" t="s">
        <v>23</v>
      </c>
      <c r="AH8" t="s">
        <v>2</v>
      </c>
      <c r="AI8" t="s">
        <v>24</v>
      </c>
      <c r="AJ8" t="s">
        <v>23</v>
      </c>
      <c r="AK8" t="s">
        <v>2</v>
      </c>
      <c r="AL8" t="s">
        <v>2</v>
      </c>
      <c r="AM8" t="s">
        <v>24</v>
      </c>
      <c r="AN8" t="s">
        <v>23</v>
      </c>
      <c r="AO8" s="15" t="s">
        <v>25</v>
      </c>
      <c r="AP8" s="15" t="s">
        <v>2</v>
      </c>
      <c r="AQ8" s="15" t="s">
        <v>25</v>
      </c>
      <c r="AR8" s="15" t="s">
        <v>23</v>
      </c>
      <c r="AS8" s="15" t="s">
        <v>24</v>
      </c>
      <c r="AT8" s="15" t="s">
        <v>25</v>
      </c>
      <c r="AU8" s="15" t="s">
        <v>25</v>
      </c>
      <c r="AV8" s="15" t="s">
        <v>2</v>
      </c>
      <c r="AW8" s="15" t="s">
        <v>25</v>
      </c>
      <c r="AX8" s="15" t="s">
        <v>23</v>
      </c>
      <c r="AY8" s="15" t="s">
        <v>24</v>
      </c>
      <c r="AZ8" s="15" t="s">
        <v>24</v>
      </c>
      <c r="BA8" s="15" t="s">
        <v>2</v>
      </c>
      <c r="BB8" s="15" t="s">
        <v>24</v>
      </c>
      <c r="BC8" s="15" t="s">
        <v>24</v>
      </c>
      <c r="BD8" s="15" t="s">
        <v>23</v>
      </c>
      <c r="BE8" s="15" t="s">
        <v>24</v>
      </c>
      <c r="BF8" s="15" t="s">
        <v>2</v>
      </c>
      <c r="BG8" s="15" t="s">
        <v>2</v>
      </c>
      <c r="BH8" s="15" t="s">
        <v>25</v>
      </c>
      <c r="BI8" s="15" t="s">
        <v>2</v>
      </c>
      <c r="BJ8" s="15" t="s">
        <v>25</v>
      </c>
      <c r="BK8" s="15" t="s">
        <v>23</v>
      </c>
      <c r="BL8" s="15" t="s">
        <v>24</v>
      </c>
      <c r="BM8" t="s">
        <v>25</v>
      </c>
      <c r="BN8" t="s">
        <v>23</v>
      </c>
      <c r="BO8" t="s">
        <v>2</v>
      </c>
      <c r="BP8" t="s">
        <v>2</v>
      </c>
      <c r="BQ8" t="s">
        <v>24</v>
      </c>
      <c r="BR8" t="s">
        <v>23</v>
      </c>
      <c r="BS8" t="s">
        <v>25</v>
      </c>
      <c r="BT8" t="s">
        <v>25</v>
      </c>
      <c r="BU8" t="s">
        <v>23</v>
      </c>
      <c r="BV8" t="s">
        <v>2</v>
      </c>
      <c r="BW8" t="s">
        <v>24</v>
      </c>
      <c r="BX8" s="15" t="s">
        <v>25</v>
      </c>
      <c r="BY8" s="15" t="s">
        <v>25</v>
      </c>
      <c r="BZ8" s="15" t="s">
        <v>25</v>
      </c>
      <c r="CA8" s="15" t="s">
        <v>2</v>
      </c>
      <c r="CB8" s="15" t="s">
        <v>2</v>
      </c>
      <c r="CC8" s="15" t="s">
        <v>24</v>
      </c>
      <c r="CD8" s="15" t="s">
        <v>2</v>
      </c>
      <c r="CE8" s="15" t="s">
        <v>25</v>
      </c>
      <c r="CF8" t="s">
        <v>24</v>
      </c>
      <c r="CG8" t="s">
        <v>2</v>
      </c>
      <c r="CH8" t="s">
        <v>23</v>
      </c>
      <c r="CI8" t="s">
        <v>23</v>
      </c>
      <c r="CJ8" t="s">
        <v>23</v>
      </c>
      <c r="CK8" t="s">
        <v>23</v>
      </c>
      <c r="CL8" t="s">
        <v>24</v>
      </c>
      <c r="CM8" t="s">
        <v>24</v>
      </c>
      <c r="CN8" t="s">
        <v>26</v>
      </c>
      <c r="CO8" t="s">
        <v>26</v>
      </c>
      <c r="CP8" t="s">
        <v>2</v>
      </c>
      <c r="CQ8" t="s">
        <v>24</v>
      </c>
      <c r="CR8" t="s">
        <v>25</v>
      </c>
      <c r="CS8" t="s">
        <v>26</v>
      </c>
      <c r="CT8" t="s">
        <v>24</v>
      </c>
      <c r="CU8" t="s">
        <v>23</v>
      </c>
      <c r="CV8" t="s">
        <v>23</v>
      </c>
      <c r="CW8" t="s">
        <v>24</v>
      </c>
      <c r="CX8" t="s">
        <v>25</v>
      </c>
      <c r="CY8" t="s">
        <v>2</v>
      </c>
      <c r="CZ8" t="s">
        <v>2</v>
      </c>
      <c r="DA8" t="s">
        <v>25</v>
      </c>
      <c r="DB8" t="s">
        <v>23</v>
      </c>
      <c r="DC8" t="s">
        <v>25</v>
      </c>
      <c r="DD8" t="s">
        <v>2</v>
      </c>
      <c r="DE8" t="s">
        <v>24</v>
      </c>
      <c r="DF8" t="s">
        <v>26</v>
      </c>
      <c r="DG8" t="s">
        <v>26</v>
      </c>
      <c r="DH8" t="s">
        <v>2</v>
      </c>
      <c r="DI8" t="s">
        <v>26</v>
      </c>
      <c r="DJ8" t="s">
        <v>25</v>
      </c>
      <c r="DK8" t="s">
        <v>26</v>
      </c>
      <c r="DL8" t="s">
        <v>25</v>
      </c>
      <c r="DM8" t="s">
        <v>24</v>
      </c>
      <c r="DN8" t="s">
        <v>23</v>
      </c>
      <c r="DO8" t="s">
        <v>24</v>
      </c>
      <c r="DP8" t="s">
        <v>26</v>
      </c>
      <c r="DQ8" t="s">
        <v>2</v>
      </c>
      <c r="DR8" t="s">
        <v>2</v>
      </c>
      <c r="DS8" t="s">
        <v>26</v>
      </c>
      <c r="DT8" t="s">
        <v>25</v>
      </c>
      <c r="DU8" t="s">
        <v>2</v>
      </c>
      <c r="DV8" t="s">
        <v>25</v>
      </c>
      <c r="DW8" t="s">
        <v>25</v>
      </c>
      <c r="DX8" t="s">
        <v>24</v>
      </c>
      <c r="DY8" t="s">
        <v>26</v>
      </c>
      <c r="DZ8" t="s">
        <v>24</v>
      </c>
      <c r="EA8" t="s">
        <v>2</v>
      </c>
      <c r="EB8" t="s">
        <v>23</v>
      </c>
      <c r="EC8" t="s">
        <v>23</v>
      </c>
      <c r="ED8" t="s">
        <v>24</v>
      </c>
      <c r="EE8" t="s">
        <v>26</v>
      </c>
      <c r="EF8" t="s">
        <v>24</v>
      </c>
      <c r="EG8" t="s">
        <v>25</v>
      </c>
      <c r="EH8" t="s">
        <v>26</v>
      </c>
      <c r="EI8" t="s">
        <v>24</v>
      </c>
      <c r="EJ8" t="s">
        <v>2</v>
      </c>
      <c r="EK8" t="s">
        <v>23</v>
      </c>
      <c r="EL8" t="s">
        <v>2</v>
      </c>
      <c r="EM8" t="s">
        <v>24</v>
      </c>
      <c r="EN8" t="s">
        <v>23</v>
      </c>
      <c r="EO8" t="s">
        <v>25</v>
      </c>
      <c r="EP8" s="15" t="s">
        <v>24</v>
      </c>
      <c r="EQ8" s="15" t="s">
        <v>24</v>
      </c>
      <c r="ER8" s="15" t="s">
        <v>23</v>
      </c>
      <c r="ES8" s="15" t="s">
        <v>2</v>
      </c>
      <c r="ET8" s="15" t="s">
        <v>25</v>
      </c>
      <c r="EU8" s="15" t="s">
        <v>23</v>
      </c>
      <c r="EV8" s="15" t="s">
        <v>23</v>
      </c>
      <c r="EW8" s="15" t="s">
        <v>2</v>
      </c>
      <c r="EX8" s="15" t="s">
        <v>24</v>
      </c>
      <c r="EY8" s="15" t="s">
        <v>2</v>
      </c>
      <c r="EZ8" s="15" t="s">
        <v>25</v>
      </c>
      <c r="FA8" s="15" t="s">
        <v>23</v>
      </c>
      <c r="FB8" s="15" t="s">
        <v>25</v>
      </c>
      <c r="FC8" s="15" t="s">
        <v>2</v>
      </c>
      <c r="FD8" s="15" t="s">
        <v>23</v>
      </c>
      <c r="FE8" s="15" t="s">
        <v>24</v>
      </c>
      <c r="FF8" s="15" t="s">
        <v>25</v>
      </c>
      <c r="FG8" s="15" t="s">
        <v>23</v>
      </c>
      <c r="FH8" s="15" t="s">
        <v>2</v>
      </c>
      <c r="FI8" s="15" t="s">
        <v>25</v>
      </c>
      <c r="FJ8" s="15" t="s">
        <v>23</v>
      </c>
      <c r="FK8" s="15" t="s">
        <v>24</v>
      </c>
      <c r="FL8" s="15" t="s">
        <v>23</v>
      </c>
      <c r="FM8" s="15" t="s">
        <v>24</v>
      </c>
      <c r="FN8" s="15" t="s">
        <v>25</v>
      </c>
      <c r="FO8" s="15" t="s">
        <v>24</v>
      </c>
      <c r="FP8" s="15" t="s">
        <v>25</v>
      </c>
      <c r="FQ8" s="15" t="s">
        <v>23</v>
      </c>
      <c r="FR8" s="15" t="s">
        <v>2</v>
      </c>
      <c r="FS8" s="15" t="s">
        <v>24</v>
      </c>
      <c r="FT8" s="15" t="s">
        <v>23</v>
      </c>
      <c r="FU8" s="15" t="s">
        <v>2</v>
      </c>
      <c r="FV8" s="15" t="s">
        <v>24</v>
      </c>
      <c r="FW8" s="15" t="s">
        <v>24</v>
      </c>
      <c r="FX8" s="15" t="s">
        <v>23</v>
      </c>
      <c r="FY8" s="15" t="s">
        <v>23</v>
      </c>
      <c r="FZ8" s="15" t="s">
        <v>24</v>
      </c>
      <c r="GA8" s="15" t="s">
        <v>24</v>
      </c>
      <c r="GB8" s="15" t="s">
        <v>23</v>
      </c>
      <c r="GC8" s="15" t="s">
        <v>2</v>
      </c>
      <c r="GD8" s="15" t="s">
        <v>25</v>
      </c>
      <c r="GE8" s="15" t="s">
        <v>2</v>
      </c>
      <c r="GF8" s="15" t="s">
        <v>25</v>
      </c>
      <c r="GG8" s="15" t="s">
        <v>23</v>
      </c>
      <c r="GH8" s="15" t="s">
        <v>2</v>
      </c>
      <c r="GI8" s="15" t="s">
        <v>24</v>
      </c>
      <c r="GJ8" s="15" t="s">
        <v>24</v>
      </c>
      <c r="GK8" s="15" t="s">
        <v>25</v>
      </c>
      <c r="GL8" s="15" t="s">
        <v>24</v>
      </c>
      <c r="GM8" s="15" t="s">
        <v>2</v>
      </c>
      <c r="GN8" s="15" t="s">
        <v>25</v>
      </c>
      <c r="GO8" s="15" t="s">
        <v>23</v>
      </c>
      <c r="GP8" s="15" t="s">
        <v>23</v>
      </c>
      <c r="GQ8" s="15" t="s">
        <v>2</v>
      </c>
      <c r="GR8" s="15" t="s">
        <v>25</v>
      </c>
      <c r="GS8" s="15" t="s">
        <v>23</v>
      </c>
      <c r="GT8" s="15" t="s">
        <v>25</v>
      </c>
      <c r="GU8" s="15" t="s">
        <v>24</v>
      </c>
      <c r="GV8" s="15" t="s">
        <v>2</v>
      </c>
      <c r="GW8" t="s">
        <v>23</v>
      </c>
      <c r="GX8" t="s">
        <v>23</v>
      </c>
      <c r="GY8" t="s">
        <v>25</v>
      </c>
      <c r="GZ8" t="s">
        <v>25</v>
      </c>
      <c r="HA8" t="s">
        <v>25</v>
      </c>
      <c r="HB8" t="s">
        <v>23</v>
      </c>
      <c r="HC8" t="s">
        <v>24</v>
      </c>
      <c r="HD8" t="s">
        <v>2</v>
      </c>
      <c r="HE8" t="s">
        <v>25</v>
      </c>
      <c r="HF8" t="s">
        <v>24</v>
      </c>
      <c r="HG8" t="s">
        <v>24</v>
      </c>
      <c r="HH8" s="15" t="s">
        <v>25</v>
      </c>
      <c r="HI8" s="15" t="s">
        <v>25</v>
      </c>
      <c r="HJ8" s="15" t="s">
        <v>23</v>
      </c>
      <c r="HK8" s="15" t="s">
        <v>25</v>
      </c>
      <c r="HL8" s="15" t="s">
        <v>25</v>
      </c>
      <c r="HM8" s="15" t="s">
        <v>23</v>
      </c>
      <c r="HN8" s="15"/>
      <c r="HO8" s="15"/>
      <c r="HP8" s="15"/>
      <c r="HQ8" s="15"/>
      <c r="HR8" s="15"/>
      <c r="HS8" s="15"/>
      <c r="HT8" s="15"/>
      <c r="HU8" s="15"/>
      <c r="HV8" s="15"/>
      <c r="HW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LI8" s="15"/>
      <c r="LJ8" s="15"/>
      <c r="LK8" s="15"/>
      <c r="LL8" s="15"/>
      <c r="LM8" s="15"/>
      <c r="LN8" s="15"/>
      <c r="LO8" s="15"/>
      <c r="LP8" s="15"/>
      <c r="LQ8" s="15"/>
      <c r="LR8" s="15"/>
    </row>
    <row r="9" spans="1:330">
      <c r="A9">
        <v>43662</v>
      </c>
      <c r="B9" s="15" t="s">
        <v>33</v>
      </c>
      <c r="C9" s="15" t="s">
        <v>571</v>
      </c>
      <c r="D9" s="15" t="s">
        <v>37</v>
      </c>
      <c r="E9" s="15" t="s">
        <v>765</v>
      </c>
      <c r="F9" s="15"/>
      <c r="G9" s="15" t="s">
        <v>24</v>
      </c>
      <c r="H9" s="15" t="s">
        <v>25</v>
      </c>
      <c r="I9" t="s">
        <v>23</v>
      </c>
      <c r="J9" s="15" t="s">
        <v>23</v>
      </c>
      <c r="K9" s="15" t="s">
        <v>25</v>
      </c>
      <c r="L9" s="15" t="s">
        <v>2</v>
      </c>
      <c r="M9" s="15" t="s">
        <v>24</v>
      </c>
      <c r="N9" s="15" t="s">
        <v>23</v>
      </c>
      <c r="O9" s="15" t="s">
        <v>24</v>
      </c>
      <c r="P9" s="15" t="s">
        <v>2</v>
      </c>
      <c r="Q9" s="15" t="s">
        <v>2</v>
      </c>
      <c r="R9" s="15" t="s">
        <v>24</v>
      </c>
      <c r="S9" s="15" t="s">
        <v>2</v>
      </c>
      <c r="T9" t="s">
        <v>25</v>
      </c>
      <c r="U9" s="15" t="s">
        <v>23</v>
      </c>
      <c r="V9" s="15" t="s">
        <v>24</v>
      </c>
      <c r="W9" t="s">
        <v>2</v>
      </c>
      <c r="X9" t="s">
        <v>23</v>
      </c>
      <c r="Y9" t="s">
        <v>2</v>
      </c>
      <c r="Z9" t="s">
        <v>24</v>
      </c>
      <c r="AA9" t="s">
        <v>23</v>
      </c>
      <c r="AB9" t="s">
        <v>2</v>
      </c>
      <c r="AC9" t="s">
        <v>25</v>
      </c>
      <c r="AD9" t="s">
        <v>25</v>
      </c>
      <c r="AE9" t="s">
        <v>24</v>
      </c>
      <c r="AF9" t="s">
        <v>25</v>
      </c>
      <c r="AG9" t="s">
        <v>23</v>
      </c>
      <c r="AH9" t="s">
        <v>2</v>
      </c>
      <c r="AI9" t="s">
        <v>24</v>
      </c>
      <c r="AJ9" t="s">
        <v>23</v>
      </c>
      <c r="AK9" t="s">
        <v>2</v>
      </c>
      <c r="AL9" t="s">
        <v>2</v>
      </c>
      <c r="AM9" t="s">
        <v>23</v>
      </c>
      <c r="AN9" t="s">
        <v>23</v>
      </c>
      <c r="AO9" s="15" t="s">
        <v>25</v>
      </c>
      <c r="AP9" s="15" t="s">
        <v>2</v>
      </c>
      <c r="AQ9" s="15" t="s">
        <v>25</v>
      </c>
      <c r="AR9" s="15" t="s">
        <v>23</v>
      </c>
      <c r="AS9" s="15" t="s">
        <v>24</v>
      </c>
      <c r="AT9" s="15" t="s">
        <v>2</v>
      </c>
      <c r="AU9" s="15" t="s">
        <v>25</v>
      </c>
      <c r="AV9" s="15" t="s">
        <v>2</v>
      </c>
      <c r="AW9" s="15" t="s">
        <v>25</v>
      </c>
      <c r="AX9" s="15" t="s">
        <v>2</v>
      </c>
      <c r="AY9" s="15" t="s">
        <v>24</v>
      </c>
      <c r="AZ9" s="15" t="s">
        <v>25</v>
      </c>
      <c r="BA9" s="15" t="s">
        <v>25</v>
      </c>
      <c r="BB9" s="15" t="s">
        <v>24</v>
      </c>
      <c r="BC9" s="15" t="s">
        <v>23</v>
      </c>
      <c r="BD9" s="15" t="s">
        <v>23</v>
      </c>
      <c r="BE9" s="15" t="s">
        <v>24</v>
      </c>
      <c r="BF9" s="15" t="s">
        <v>2</v>
      </c>
      <c r="BG9" s="15" t="s">
        <v>2</v>
      </c>
      <c r="BH9" s="15" t="s">
        <v>2</v>
      </c>
      <c r="BI9" s="15" t="s">
        <v>2</v>
      </c>
      <c r="BJ9" s="15" t="s">
        <v>25</v>
      </c>
      <c r="BK9" t="s">
        <v>23</v>
      </c>
      <c r="BL9" s="15" t="s">
        <v>24</v>
      </c>
      <c r="BM9" t="s">
        <v>25</v>
      </c>
      <c r="BN9" t="s">
        <v>23</v>
      </c>
      <c r="BO9" t="s">
        <v>2</v>
      </c>
      <c r="BP9" t="s">
        <v>2</v>
      </c>
      <c r="BQ9" t="s">
        <v>24</v>
      </c>
      <c r="BR9" t="s">
        <v>23</v>
      </c>
      <c r="BS9" t="s">
        <v>23</v>
      </c>
      <c r="BT9" t="s">
        <v>25</v>
      </c>
      <c r="BU9" t="s">
        <v>23</v>
      </c>
      <c r="BV9" t="s">
        <v>2</v>
      </c>
      <c r="BW9" t="s">
        <v>24</v>
      </c>
      <c r="BX9" s="15" t="s">
        <v>25</v>
      </c>
      <c r="BY9" s="15" t="s">
        <v>24</v>
      </c>
      <c r="BZ9" s="15" t="s">
        <v>25</v>
      </c>
      <c r="CA9" s="15" t="s">
        <v>2</v>
      </c>
      <c r="CB9" s="15" t="s">
        <v>2</v>
      </c>
      <c r="CC9" s="15" t="s">
        <v>24</v>
      </c>
      <c r="CD9" s="15" t="s">
        <v>2</v>
      </c>
      <c r="CE9" s="15" t="s">
        <v>25</v>
      </c>
      <c r="CF9" t="s">
        <v>24</v>
      </c>
      <c r="CG9" t="s">
        <v>2</v>
      </c>
      <c r="CH9" t="s">
        <v>23</v>
      </c>
      <c r="CI9" t="s">
        <v>23</v>
      </c>
      <c r="CJ9" t="s">
        <v>25</v>
      </c>
      <c r="CK9" t="s">
        <v>23</v>
      </c>
      <c r="CL9" t="s">
        <v>24</v>
      </c>
      <c r="CM9" t="s">
        <v>24</v>
      </c>
      <c r="CN9" t="s">
        <v>26</v>
      </c>
      <c r="CO9" t="s">
        <v>23</v>
      </c>
      <c r="CP9" t="s">
        <v>2</v>
      </c>
      <c r="CQ9" t="s">
        <v>24</v>
      </c>
      <c r="CR9" t="s">
        <v>25</v>
      </c>
      <c r="CS9" t="s">
        <v>26</v>
      </c>
      <c r="CT9" t="s">
        <v>24</v>
      </c>
      <c r="CU9" t="s">
        <v>23</v>
      </c>
      <c r="CV9" t="s">
        <v>23</v>
      </c>
      <c r="CW9" t="s">
        <v>24</v>
      </c>
      <c r="CX9" t="s">
        <v>25</v>
      </c>
      <c r="CY9" t="s">
        <v>2</v>
      </c>
      <c r="CZ9" t="s">
        <v>25</v>
      </c>
      <c r="DA9" t="s">
        <v>25</v>
      </c>
      <c r="DB9" t="s">
        <v>23</v>
      </c>
      <c r="DC9" t="s">
        <v>25</v>
      </c>
      <c r="DD9" t="s">
        <v>25</v>
      </c>
      <c r="DE9" t="s">
        <v>24</v>
      </c>
      <c r="DF9" t="s">
        <v>26</v>
      </c>
      <c r="DG9" t="s">
        <v>26</v>
      </c>
      <c r="DH9" t="s">
        <v>2</v>
      </c>
      <c r="DI9" t="s">
        <v>26</v>
      </c>
      <c r="DJ9" t="s">
        <v>25</v>
      </c>
      <c r="DK9" t="s">
        <v>26</v>
      </c>
      <c r="DL9" t="s">
        <v>25</v>
      </c>
      <c r="DM9" t="s">
        <v>2</v>
      </c>
      <c r="DN9" t="s">
        <v>23</v>
      </c>
      <c r="DO9" t="s">
        <v>23</v>
      </c>
      <c r="DP9" t="s">
        <v>26</v>
      </c>
      <c r="DQ9" t="s">
        <v>2</v>
      </c>
      <c r="DR9" t="s">
        <v>2</v>
      </c>
      <c r="DS9" t="s">
        <v>26</v>
      </c>
      <c r="DT9" t="s">
        <v>24</v>
      </c>
      <c r="DU9" t="s">
        <v>2</v>
      </c>
      <c r="DV9" t="s">
        <v>25</v>
      </c>
      <c r="DW9" t="s">
        <v>25</v>
      </c>
      <c r="DX9" t="s">
        <v>23</v>
      </c>
      <c r="DY9" t="s">
        <v>26</v>
      </c>
      <c r="DZ9" t="s">
        <v>24</v>
      </c>
      <c r="EA9" t="s">
        <v>25</v>
      </c>
      <c r="EB9" t="s">
        <v>23</v>
      </c>
      <c r="EC9" t="s">
        <v>23</v>
      </c>
      <c r="ED9" t="s">
        <v>24</v>
      </c>
      <c r="EE9" t="s">
        <v>26</v>
      </c>
      <c r="EF9" t="s">
        <v>24</v>
      </c>
      <c r="EG9" t="s">
        <v>25</v>
      </c>
      <c r="EH9" t="s">
        <v>26</v>
      </c>
      <c r="EI9" t="s">
        <v>23</v>
      </c>
      <c r="EJ9" t="s">
        <v>24</v>
      </c>
      <c r="EK9" t="s">
        <v>23</v>
      </c>
      <c r="EL9" t="s">
        <v>2</v>
      </c>
      <c r="EM9" t="s">
        <v>24</v>
      </c>
      <c r="EN9" t="s">
        <v>23</v>
      </c>
      <c r="EO9" t="s">
        <v>25</v>
      </c>
      <c r="EP9" s="15" t="s">
        <v>24</v>
      </c>
      <c r="EQ9" s="15" t="s">
        <v>24</v>
      </c>
      <c r="ER9" s="15" t="s">
        <v>23</v>
      </c>
      <c r="ES9" s="15" t="s">
        <v>24</v>
      </c>
      <c r="ET9" s="15" t="s">
        <v>25</v>
      </c>
      <c r="EU9" s="15" t="s">
        <v>23</v>
      </c>
      <c r="EV9" s="15" t="s">
        <v>23</v>
      </c>
      <c r="EW9" s="15" t="s">
        <v>2</v>
      </c>
      <c r="EX9" s="15" t="s">
        <v>24</v>
      </c>
      <c r="EY9" s="15" t="s">
        <v>23</v>
      </c>
      <c r="EZ9" s="15" t="s">
        <v>24</v>
      </c>
      <c r="FA9" s="15" t="s">
        <v>23</v>
      </c>
      <c r="FB9" s="15" t="s">
        <v>24</v>
      </c>
      <c r="FC9" s="15" t="s">
        <v>2</v>
      </c>
      <c r="FD9" s="15" t="s">
        <v>23</v>
      </c>
      <c r="FE9" s="15" t="s">
        <v>24</v>
      </c>
      <c r="FF9" s="15" t="s">
        <v>25</v>
      </c>
      <c r="FG9" s="15" t="s">
        <v>23</v>
      </c>
      <c r="FH9" s="15" t="s">
        <v>25</v>
      </c>
      <c r="FI9" s="15" t="s">
        <v>25</v>
      </c>
      <c r="FJ9" s="15" t="s">
        <v>23</v>
      </c>
      <c r="FK9" s="15" t="s">
        <v>25</v>
      </c>
      <c r="FL9" s="15" t="s">
        <v>23</v>
      </c>
      <c r="FM9" s="15" t="s">
        <v>23</v>
      </c>
      <c r="FN9" s="15" t="s">
        <v>25</v>
      </c>
      <c r="FO9" s="15" t="s">
        <v>24</v>
      </c>
      <c r="FP9" s="15" t="s">
        <v>25</v>
      </c>
      <c r="FQ9" s="15" t="s">
        <v>24</v>
      </c>
      <c r="FR9" s="15" t="s">
        <v>2</v>
      </c>
      <c r="FS9" s="15" t="s">
        <v>24</v>
      </c>
      <c r="FT9" s="15" t="s">
        <v>23</v>
      </c>
      <c r="FU9" s="15" t="s">
        <v>2</v>
      </c>
      <c r="FV9" s="15" t="s">
        <v>24</v>
      </c>
      <c r="FW9" s="15" t="s">
        <v>24</v>
      </c>
      <c r="FX9" s="15" t="s">
        <v>25</v>
      </c>
      <c r="FY9" s="15" t="s">
        <v>23</v>
      </c>
      <c r="FZ9" s="15" t="s">
        <v>24</v>
      </c>
      <c r="GA9" s="15" t="s">
        <v>24</v>
      </c>
      <c r="GB9" s="15" t="s">
        <v>23</v>
      </c>
      <c r="GC9" s="15" t="s">
        <v>2</v>
      </c>
      <c r="GD9" s="15" t="s">
        <v>24</v>
      </c>
      <c r="GE9" s="15" t="s">
        <v>2</v>
      </c>
      <c r="GF9" s="15" t="s">
        <v>25</v>
      </c>
      <c r="GG9" s="15" t="s">
        <v>23</v>
      </c>
      <c r="GH9" s="15" t="s">
        <v>2</v>
      </c>
      <c r="GI9" s="15" t="s">
        <v>24</v>
      </c>
      <c r="GJ9" s="15" t="s">
        <v>24</v>
      </c>
      <c r="GK9" s="15" t="s">
        <v>25</v>
      </c>
      <c r="GL9" s="15" t="s">
        <v>24</v>
      </c>
      <c r="GM9" s="15" t="s">
        <v>2</v>
      </c>
      <c r="GN9" s="15" t="s">
        <v>25</v>
      </c>
      <c r="GO9" s="15" t="s">
        <v>23</v>
      </c>
      <c r="GP9" s="15" t="s">
        <v>23</v>
      </c>
      <c r="GQ9" s="15" t="s">
        <v>2</v>
      </c>
      <c r="GR9" s="15" t="s">
        <v>24</v>
      </c>
      <c r="GS9" s="15" t="s">
        <v>24</v>
      </c>
      <c r="GT9" s="15" t="s">
        <v>24</v>
      </c>
      <c r="GU9" s="15" t="s">
        <v>25</v>
      </c>
      <c r="GV9" s="15" t="s">
        <v>2</v>
      </c>
      <c r="GW9" t="s">
        <v>23</v>
      </c>
      <c r="GX9" t="s">
        <v>23</v>
      </c>
      <c r="GY9" t="s">
        <v>25</v>
      </c>
      <c r="GZ9" t="s">
        <v>25</v>
      </c>
      <c r="HA9" t="s">
        <v>25</v>
      </c>
      <c r="HB9" t="s">
        <v>2</v>
      </c>
      <c r="HC9" t="s">
        <v>2</v>
      </c>
      <c r="HD9" t="s">
        <v>2</v>
      </c>
      <c r="HE9" t="s">
        <v>25</v>
      </c>
      <c r="HF9" t="s">
        <v>24</v>
      </c>
      <c r="HG9" t="s">
        <v>24</v>
      </c>
      <c r="HH9" t="s">
        <v>25</v>
      </c>
      <c r="HI9" s="15" t="s">
        <v>25</v>
      </c>
      <c r="HJ9" s="15" t="s">
        <v>24</v>
      </c>
      <c r="HK9" s="15" t="s">
        <v>24</v>
      </c>
      <c r="HL9" s="15" t="s">
        <v>25</v>
      </c>
      <c r="HM9" s="15" t="s">
        <v>2</v>
      </c>
      <c r="HN9" s="15"/>
      <c r="HO9" s="15"/>
      <c r="HP9" s="15"/>
      <c r="HQ9" s="15"/>
      <c r="HR9" s="15"/>
      <c r="HS9" s="15"/>
      <c r="HT9" s="15"/>
      <c r="HW9" s="15"/>
      <c r="IQ9" s="15"/>
      <c r="IR9" s="15"/>
      <c r="IS9" s="15"/>
      <c r="IT9" s="15"/>
      <c r="IU9" s="15"/>
      <c r="IV9" s="15"/>
      <c r="IW9" s="15"/>
      <c r="IX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LI9" s="15"/>
      <c r="LJ9" s="15"/>
      <c r="LK9" s="15"/>
      <c r="LL9" s="15"/>
      <c r="LM9" s="15"/>
      <c r="LN9" s="15"/>
      <c r="LO9" s="15"/>
    </row>
    <row r="10" spans="1:330">
      <c r="A10">
        <v>43662</v>
      </c>
      <c r="B10" s="15" t="s">
        <v>34</v>
      </c>
      <c r="C10" s="15" t="s">
        <v>530</v>
      </c>
      <c r="D10" s="15" t="s">
        <v>37</v>
      </c>
      <c r="E10" s="15" t="s">
        <v>765</v>
      </c>
      <c r="F10" s="15"/>
      <c r="G10" s="15" t="s">
        <v>24</v>
      </c>
      <c r="H10" s="15" t="s">
        <v>25</v>
      </c>
      <c r="I10" s="15" t="s">
        <v>23</v>
      </c>
      <c r="J10" s="15" t="s">
        <v>23</v>
      </c>
      <c r="K10" s="15" t="s">
        <v>25</v>
      </c>
      <c r="L10" s="15" t="s">
        <v>2</v>
      </c>
      <c r="M10" s="15" t="s">
        <v>24</v>
      </c>
      <c r="N10" s="15" t="s">
        <v>23</v>
      </c>
      <c r="O10" s="15" t="s">
        <v>24</v>
      </c>
      <c r="P10" s="15" t="s">
        <v>23</v>
      </c>
      <c r="Q10" s="15" t="s">
        <v>2</v>
      </c>
      <c r="R10" s="15" t="s">
        <v>24</v>
      </c>
      <c r="S10" s="15" t="s">
        <v>2</v>
      </c>
      <c r="T10" s="15" t="s">
        <v>25</v>
      </c>
      <c r="U10" s="15" t="s">
        <v>23</v>
      </c>
      <c r="V10" s="15" t="s">
        <v>24</v>
      </c>
      <c r="W10" s="15" t="s">
        <v>2</v>
      </c>
      <c r="X10" s="15" t="s">
        <v>23</v>
      </c>
      <c r="Y10" s="15" t="s">
        <v>2</v>
      </c>
      <c r="Z10" t="s">
        <v>24</v>
      </c>
      <c r="AA10" t="s">
        <v>23</v>
      </c>
      <c r="AB10" t="s">
        <v>2</v>
      </c>
      <c r="AC10" t="s">
        <v>25</v>
      </c>
      <c r="AD10" t="s">
        <v>25</v>
      </c>
      <c r="AE10" t="s">
        <v>23</v>
      </c>
      <c r="AF10" t="s">
        <v>25</v>
      </c>
      <c r="AG10" t="s">
        <v>23</v>
      </c>
      <c r="AH10" t="s">
        <v>2</v>
      </c>
      <c r="AI10" t="s">
        <v>24</v>
      </c>
      <c r="AJ10" t="s">
        <v>23</v>
      </c>
      <c r="AK10" t="s">
        <v>2</v>
      </c>
      <c r="AL10" t="s">
        <v>2</v>
      </c>
      <c r="AM10" t="s">
        <v>23</v>
      </c>
      <c r="AN10" t="s">
        <v>23</v>
      </c>
      <c r="AO10" s="15" t="s">
        <v>25</v>
      </c>
      <c r="AP10" s="15" t="s">
        <v>2</v>
      </c>
      <c r="AQ10" s="15" t="s">
        <v>25</v>
      </c>
      <c r="AR10" s="15" t="s">
        <v>23</v>
      </c>
      <c r="AS10" s="15" t="s">
        <v>24</v>
      </c>
      <c r="AT10" s="15" t="s">
        <v>25</v>
      </c>
      <c r="AU10" s="15" t="s">
        <v>25</v>
      </c>
      <c r="AV10" s="15" t="s">
        <v>2</v>
      </c>
      <c r="AW10" s="15" t="s">
        <v>25</v>
      </c>
      <c r="AX10" s="15" t="s">
        <v>23</v>
      </c>
      <c r="AY10" s="15" t="s">
        <v>24</v>
      </c>
      <c r="AZ10" s="15" t="s">
        <v>24</v>
      </c>
      <c r="BA10" s="15" t="s">
        <v>2</v>
      </c>
      <c r="BB10" s="15" t="s">
        <v>24</v>
      </c>
      <c r="BC10" s="15" t="s">
        <v>23</v>
      </c>
      <c r="BD10" s="15" t="s">
        <v>23</v>
      </c>
      <c r="BE10" s="15" t="s">
        <v>24</v>
      </c>
      <c r="BF10" s="15" t="s">
        <v>2</v>
      </c>
      <c r="BG10" s="15" t="s">
        <v>2</v>
      </c>
      <c r="BH10" s="15" t="s">
        <v>25</v>
      </c>
      <c r="BI10" s="15" t="s">
        <v>2</v>
      </c>
      <c r="BJ10" s="15" t="s">
        <v>25</v>
      </c>
      <c r="BK10" t="s">
        <v>23</v>
      </c>
      <c r="BL10" t="s">
        <v>24</v>
      </c>
      <c r="BM10" t="s">
        <v>25</v>
      </c>
      <c r="BN10" t="s">
        <v>23</v>
      </c>
      <c r="BO10" t="s">
        <v>2</v>
      </c>
      <c r="BP10" t="s">
        <v>2</v>
      </c>
      <c r="BQ10" t="s">
        <v>24</v>
      </c>
      <c r="BR10" t="s">
        <v>23</v>
      </c>
      <c r="BS10" t="s">
        <v>23</v>
      </c>
      <c r="BT10" t="s">
        <v>25</v>
      </c>
      <c r="BU10" t="s">
        <v>23</v>
      </c>
      <c r="BV10" t="s">
        <v>2</v>
      </c>
      <c r="BW10" t="s">
        <v>24</v>
      </c>
      <c r="BX10" s="15" t="s">
        <v>25</v>
      </c>
      <c r="BY10" s="15" t="s">
        <v>24</v>
      </c>
      <c r="BZ10" s="15" t="s">
        <v>25</v>
      </c>
      <c r="CA10" s="15" t="s">
        <v>2</v>
      </c>
      <c r="CB10" s="15" t="s">
        <v>2</v>
      </c>
      <c r="CC10" s="15" t="s">
        <v>24</v>
      </c>
      <c r="CD10" s="15" t="s">
        <v>2</v>
      </c>
      <c r="CE10" s="15" t="s">
        <v>25</v>
      </c>
      <c r="CF10" t="s">
        <v>24</v>
      </c>
      <c r="CG10" t="s">
        <v>2</v>
      </c>
      <c r="CH10" t="s">
        <v>23</v>
      </c>
      <c r="CI10" t="s">
        <v>23</v>
      </c>
      <c r="CJ10" t="s">
        <v>25</v>
      </c>
      <c r="CK10" t="s">
        <v>23</v>
      </c>
      <c r="CL10" t="s">
        <v>26</v>
      </c>
      <c r="CM10" t="s">
        <v>24</v>
      </c>
      <c r="CN10" t="s">
        <v>26</v>
      </c>
      <c r="CO10" t="s">
        <v>23</v>
      </c>
      <c r="CP10" t="s">
        <v>2</v>
      </c>
      <c r="CQ10" t="s">
        <v>24</v>
      </c>
      <c r="CR10" t="s">
        <v>25</v>
      </c>
      <c r="CS10" t="s">
        <v>26</v>
      </c>
      <c r="CT10" t="s">
        <v>24</v>
      </c>
      <c r="CU10" t="s">
        <v>23</v>
      </c>
      <c r="CV10" t="s">
        <v>23</v>
      </c>
      <c r="CW10" t="s">
        <v>24</v>
      </c>
      <c r="CX10" t="s">
        <v>25</v>
      </c>
      <c r="CY10" t="s">
        <v>2</v>
      </c>
      <c r="CZ10" t="s">
        <v>25</v>
      </c>
      <c r="DA10" t="s">
        <v>25</v>
      </c>
      <c r="DB10" t="s">
        <v>23</v>
      </c>
      <c r="DC10" t="s">
        <v>25</v>
      </c>
      <c r="DD10" t="s">
        <v>2</v>
      </c>
      <c r="DE10" t="s">
        <v>24</v>
      </c>
      <c r="DF10" t="s">
        <v>26</v>
      </c>
      <c r="DG10" t="s">
        <v>26</v>
      </c>
      <c r="DH10" t="s">
        <v>2</v>
      </c>
      <c r="DI10" t="s">
        <v>26</v>
      </c>
      <c r="DJ10" t="s">
        <v>25</v>
      </c>
      <c r="DK10" t="s">
        <v>26</v>
      </c>
      <c r="DL10" t="s">
        <v>25</v>
      </c>
      <c r="DM10" t="s">
        <v>24</v>
      </c>
      <c r="DN10" t="s">
        <v>23</v>
      </c>
      <c r="DO10" t="s">
        <v>23</v>
      </c>
      <c r="DP10" t="s">
        <v>26</v>
      </c>
      <c r="DQ10" t="s">
        <v>2</v>
      </c>
      <c r="DR10" t="s">
        <v>2</v>
      </c>
      <c r="DS10" t="s">
        <v>26</v>
      </c>
      <c r="DT10" t="s">
        <v>25</v>
      </c>
      <c r="DU10" t="s">
        <v>2</v>
      </c>
      <c r="DV10" t="s">
        <v>25</v>
      </c>
      <c r="DW10" t="s">
        <v>25</v>
      </c>
      <c r="DX10" t="s">
        <v>23</v>
      </c>
      <c r="DY10" t="s">
        <v>26</v>
      </c>
      <c r="DZ10" t="s">
        <v>24</v>
      </c>
      <c r="EA10" t="s">
        <v>25</v>
      </c>
      <c r="EB10" t="s">
        <v>23</v>
      </c>
      <c r="EC10" t="s">
        <v>23</v>
      </c>
      <c r="ED10" t="s">
        <v>24</v>
      </c>
      <c r="EE10" t="s">
        <v>26</v>
      </c>
      <c r="EF10" t="s">
        <v>24</v>
      </c>
      <c r="EG10" t="s">
        <v>25</v>
      </c>
      <c r="EH10" t="s">
        <v>26</v>
      </c>
      <c r="EI10" t="s">
        <v>24</v>
      </c>
      <c r="EJ10" t="s">
        <v>2</v>
      </c>
      <c r="EK10" t="s">
        <v>23</v>
      </c>
      <c r="EL10" t="s">
        <v>2</v>
      </c>
      <c r="EM10" t="s">
        <v>24</v>
      </c>
      <c r="EN10" t="s">
        <v>25</v>
      </c>
      <c r="EO10" t="s">
        <v>23</v>
      </c>
      <c r="EP10" s="15" t="s">
        <v>24</v>
      </c>
      <c r="EQ10" s="15" t="s">
        <v>24</v>
      </c>
      <c r="ER10" s="15" t="s">
        <v>23</v>
      </c>
      <c r="ES10" s="15" t="s">
        <v>24</v>
      </c>
      <c r="ET10" s="15" t="s">
        <v>25</v>
      </c>
      <c r="EU10" s="15" t="s">
        <v>23</v>
      </c>
      <c r="EV10" s="15" t="s">
        <v>23</v>
      </c>
      <c r="EW10" s="15" t="s">
        <v>2</v>
      </c>
      <c r="EX10" s="15" t="s">
        <v>24</v>
      </c>
      <c r="EY10" s="15" t="s">
        <v>2</v>
      </c>
      <c r="EZ10" s="15" t="s">
        <v>25</v>
      </c>
      <c r="FA10" s="15" t="s">
        <v>23</v>
      </c>
      <c r="FB10" s="15" t="s">
        <v>25</v>
      </c>
      <c r="FC10" s="15" t="s">
        <v>2</v>
      </c>
      <c r="FD10" s="15" t="s">
        <v>23</v>
      </c>
      <c r="FE10" s="15" t="s">
        <v>24</v>
      </c>
      <c r="FF10" s="15" t="s">
        <v>25</v>
      </c>
      <c r="FG10" s="15" t="s">
        <v>23</v>
      </c>
      <c r="FH10" s="15" t="s">
        <v>2</v>
      </c>
      <c r="FI10" s="15" t="s">
        <v>25</v>
      </c>
      <c r="FJ10" s="15" t="s">
        <v>23</v>
      </c>
      <c r="FK10" s="15" t="s">
        <v>24</v>
      </c>
      <c r="FL10" s="15" t="s">
        <v>23</v>
      </c>
      <c r="FM10" s="15" t="s">
        <v>24</v>
      </c>
      <c r="FN10" s="15" t="s">
        <v>25</v>
      </c>
      <c r="FO10" s="15" t="s">
        <v>23</v>
      </c>
      <c r="FP10" s="15" t="s">
        <v>2</v>
      </c>
      <c r="FQ10" s="15" t="s">
        <v>23</v>
      </c>
      <c r="FR10" s="15" t="s">
        <v>2</v>
      </c>
      <c r="FS10" t="s">
        <v>24</v>
      </c>
      <c r="FT10" t="s">
        <v>23</v>
      </c>
      <c r="FU10" t="s">
        <v>2</v>
      </c>
      <c r="FV10" t="s">
        <v>24</v>
      </c>
      <c r="FW10" t="s">
        <v>24</v>
      </c>
      <c r="FX10" t="s">
        <v>2</v>
      </c>
      <c r="FY10" s="15" t="s">
        <v>23</v>
      </c>
      <c r="FZ10" s="15" t="s">
        <v>24</v>
      </c>
      <c r="GA10" s="15" t="s">
        <v>2</v>
      </c>
      <c r="GB10" s="15" t="s">
        <v>23</v>
      </c>
      <c r="GC10" s="15" t="s">
        <v>2</v>
      </c>
      <c r="GD10" s="15" t="s">
        <v>2</v>
      </c>
      <c r="GE10" s="15" t="s">
        <v>2</v>
      </c>
      <c r="GF10" s="15" t="s">
        <v>25</v>
      </c>
      <c r="GG10" s="15" t="s">
        <v>23</v>
      </c>
      <c r="GH10" s="15" t="s">
        <v>2</v>
      </c>
      <c r="GI10" s="15" t="s">
        <v>24</v>
      </c>
      <c r="GJ10" s="15" t="s">
        <v>24</v>
      </c>
      <c r="GK10" s="15" t="s">
        <v>25</v>
      </c>
      <c r="GL10" s="15" t="s">
        <v>24</v>
      </c>
      <c r="GM10" s="15" t="s">
        <v>2</v>
      </c>
      <c r="GN10" s="15" t="s">
        <v>25</v>
      </c>
      <c r="GO10" s="15" t="s">
        <v>23</v>
      </c>
      <c r="GP10" s="15" t="s">
        <v>24</v>
      </c>
      <c r="GQ10" s="15" t="s">
        <v>2</v>
      </c>
      <c r="GR10" s="15" t="s">
        <v>23</v>
      </c>
      <c r="GS10" s="15" t="s">
        <v>23</v>
      </c>
      <c r="GT10" s="15" t="s">
        <v>25</v>
      </c>
      <c r="GU10" s="15" t="s">
        <v>25</v>
      </c>
      <c r="GV10" s="15" t="s">
        <v>2</v>
      </c>
      <c r="GW10" t="s">
        <v>24</v>
      </c>
      <c r="GX10" t="s">
        <v>23</v>
      </c>
      <c r="GY10" t="s">
        <v>25</v>
      </c>
      <c r="GZ10" t="s">
        <v>25</v>
      </c>
      <c r="HA10" t="s">
        <v>24</v>
      </c>
      <c r="HB10" t="s">
        <v>23</v>
      </c>
      <c r="HC10" t="s">
        <v>2</v>
      </c>
      <c r="HD10" t="s">
        <v>2</v>
      </c>
      <c r="HE10" t="s">
        <v>25</v>
      </c>
      <c r="HF10" t="s">
        <v>2</v>
      </c>
      <c r="HG10" t="s">
        <v>24</v>
      </c>
      <c r="HH10" s="15" t="s">
        <v>23</v>
      </c>
      <c r="HI10" s="15" t="s">
        <v>25</v>
      </c>
      <c r="HJ10" s="15" t="s">
        <v>23</v>
      </c>
      <c r="HK10" s="15" t="s">
        <v>25</v>
      </c>
      <c r="HL10" s="15" t="s">
        <v>778</v>
      </c>
      <c r="HM10" s="15" t="s">
        <v>23</v>
      </c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</row>
    <row r="11" spans="1:330">
      <c r="A11">
        <v>43662</v>
      </c>
      <c r="B11" s="15" t="s">
        <v>35</v>
      </c>
      <c r="C11" s="15" t="s">
        <v>635</v>
      </c>
      <c r="D11" s="15" t="s">
        <v>37</v>
      </c>
      <c r="E11" s="15" t="s">
        <v>765</v>
      </c>
      <c r="F11" s="15"/>
      <c r="G11" s="15" t="s">
        <v>24</v>
      </c>
      <c r="H11" s="15" t="s">
        <v>25</v>
      </c>
      <c r="I11" s="15" t="s">
        <v>23</v>
      </c>
      <c r="J11" s="15" t="s">
        <v>23</v>
      </c>
      <c r="K11" s="15" t="s">
        <v>25</v>
      </c>
      <c r="L11" s="15" t="s">
        <v>2</v>
      </c>
      <c r="M11" s="15" t="s">
        <v>24</v>
      </c>
      <c r="N11" s="15" t="s">
        <v>23</v>
      </c>
      <c r="O11" s="15" t="s">
        <v>24</v>
      </c>
      <c r="P11" s="15" t="s">
        <v>23</v>
      </c>
      <c r="Q11" s="15" t="s">
        <v>2</v>
      </c>
      <c r="R11" s="15" t="s">
        <v>24</v>
      </c>
      <c r="S11" s="15" t="s">
        <v>2</v>
      </c>
      <c r="T11" s="15" t="s">
        <v>25</v>
      </c>
      <c r="U11" s="15" t="s">
        <v>23</v>
      </c>
      <c r="V11" s="15" t="s">
        <v>24</v>
      </c>
      <c r="W11" s="15" t="s">
        <v>2</v>
      </c>
      <c r="X11" s="15" t="s">
        <v>23</v>
      </c>
      <c r="Y11" s="15" t="s">
        <v>2</v>
      </c>
      <c r="Z11" t="s">
        <v>24</v>
      </c>
      <c r="AA11" t="s">
        <v>23</v>
      </c>
      <c r="AB11" t="s">
        <v>2</v>
      </c>
      <c r="AC11" t="s">
        <v>25</v>
      </c>
      <c r="AD11" t="s">
        <v>25</v>
      </c>
      <c r="AE11" t="s">
        <v>23</v>
      </c>
      <c r="AF11" t="s">
        <v>25</v>
      </c>
      <c r="AG11" t="s">
        <v>23</v>
      </c>
      <c r="AH11" t="s">
        <v>2</v>
      </c>
      <c r="AI11" t="s">
        <v>24</v>
      </c>
      <c r="AJ11" t="s">
        <v>23</v>
      </c>
      <c r="AK11" t="s">
        <v>2</v>
      </c>
      <c r="AL11" t="s">
        <v>2</v>
      </c>
      <c r="AM11" t="s">
        <v>23</v>
      </c>
      <c r="AN11" t="s">
        <v>23</v>
      </c>
      <c r="AO11" s="15" t="s">
        <v>25</v>
      </c>
      <c r="AP11" s="15" t="s">
        <v>2</v>
      </c>
      <c r="AQ11" s="15" t="s">
        <v>25</v>
      </c>
      <c r="AR11" s="15" t="s">
        <v>23</v>
      </c>
      <c r="AS11" s="15" t="s">
        <v>24</v>
      </c>
      <c r="AT11" s="15" t="s">
        <v>25</v>
      </c>
      <c r="AU11" s="15" t="s">
        <v>25</v>
      </c>
      <c r="AV11" s="15" t="s">
        <v>2</v>
      </c>
      <c r="AW11" s="15" t="s">
        <v>25</v>
      </c>
      <c r="AX11" s="15" t="s">
        <v>23</v>
      </c>
      <c r="AY11" s="15" t="s">
        <v>24</v>
      </c>
      <c r="AZ11" s="15" t="s">
        <v>24</v>
      </c>
      <c r="BA11" s="15" t="s">
        <v>2</v>
      </c>
      <c r="BB11" s="15" t="s">
        <v>24</v>
      </c>
      <c r="BC11" s="15" t="s">
        <v>23</v>
      </c>
      <c r="BD11" s="15" t="s">
        <v>23</v>
      </c>
      <c r="BE11" s="15" t="s">
        <v>24</v>
      </c>
      <c r="BF11" s="15" t="s">
        <v>2</v>
      </c>
      <c r="BG11" s="15" t="s">
        <v>2</v>
      </c>
      <c r="BH11" s="15" t="s">
        <v>25</v>
      </c>
      <c r="BI11" s="15" t="s">
        <v>2</v>
      </c>
      <c r="BJ11" t="s">
        <v>25</v>
      </c>
      <c r="BK11" t="s">
        <v>23</v>
      </c>
      <c r="BL11" t="s">
        <v>24</v>
      </c>
      <c r="BM11" t="s">
        <v>25</v>
      </c>
      <c r="BN11" t="s">
        <v>23</v>
      </c>
      <c r="BO11" t="s">
        <v>2</v>
      </c>
      <c r="BP11" t="s">
        <v>2</v>
      </c>
      <c r="BQ11" t="s">
        <v>24</v>
      </c>
      <c r="BR11" t="s">
        <v>23</v>
      </c>
      <c r="BS11" t="s">
        <v>23</v>
      </c>
      <c r="BT11" t="s">
        <v>25</v>
      </c>
      <c r="BU11" t="s">
        <v>23</v>
      </c>
      <c r="BV11" t="s">
        <v>2</v>
      </c>
      <c r="BW11" t="s">
        <v>24</v>
      </c>
      <c r="BX11" s="15" t="s">
        <v>25</v>
      </c>
      <c r="BY11" s="15" t="s">
        <v>24</v>
      </c>
      <c r="BZ11" s="15" t="s">
        <v>25</v>
      </c>
      <c r="CA11" s="15" t="s">
        <v>2</v>
      </c>
      <c r="CB11" s="15" t="s">
        <v>2</v>
      </c>
      <c r="CC11" s="15" t="s">
        <v>24</v>
      </c>
      <c r="CD11" s="15" t="s">
        <v>2</v>
      </c>
      <c r="CE11" s="15" t="s">
        <v>25</v>
      </c>
      <c r="CF11" t="s">
        <v>24</v>
      </c>
      <c r="CG11" t="s">
        <v>2</v>
      </c>
      <c r="CH11" t="s">
        <v>23</v>
      </c>
      <c r="CI11" t="s">
        <v>23</v>
      </c>
      <c r="CJ11" t="s">
        <v>25</v>
      </c>
      <c r="CK11" t="s">
        <v>23</v>
      </c>
      <c r="CL11" t="s">
        <v>26</v>
      </c>
      <c r="CM11" t="s">
        <v>24</v>
      </c>
      <c r="CN11" t="s">
        <v>26</v>
      </c>
      <c r="CO11" t="s">
        <v>23</v>
      </c>
      <c r="CP11" t="s">
        <v>2</v>
      </c>
      <c r="CQ11" t="s">
        <v>24</v>
      </c>
      <c r="CR11" t="s">
        <v>25</v>
      </c>
      <c r="CS11" t="s">
        <v>26</v>
      </c>
      <c r="CT11" t="s">
        <v>24</v>
      </c>
      <c r="CU11" t="s">
        <v>23</v>
      </c>
      <c r="CV11" t="s">
        <v>23</v>
      </c>
      <c r="CW11" t="s">
        <v>24</v>
      </c>
      <c r="CX11" t="s">
        <v>25</v>
      </c>
      <c r="CY11" t="s">
        <v>2</v>
      </c>
      <c r="CZ11" t="s">
        <v>25</v>
      </c>
      <c r="DA11" t="s">
        <v>25</v>
      </c>
      <c r="DB11" t="s">
        <v>23</v>
      </c>
      <c r="DC11" t="s">
        <v>25</v>
      </c>
      <c r="DD11" t="s">
        <v>2</v>
      </c>
      <c r="DE11" t="s">
        <v>24</v>
      </c>
      <c r="DF11" t="s">
        <v>26</v>
      </c>
      <c r="DG11" t="s">
        <v>26</v>
      </c>
      <c r="DH11" t="s">
        <v>2</v>
      </c>
      <c r="DI11" t="s">
        <v>26</v>
      </c>
      <c r="DJ11" t="s">
        <v>25</v>
      </c>
      <c r="DK11" t="s">
        <v>26</v>
      </c>
      <c r="DL11" t="s">
        <v>25</v>
      </c>
      <c r="DM11" t="s">
        <v>24</v>
      </c>
      <c r="DN11" t="s">
        <v>23</v>
      </c>
      <c r="DO11" t="s">
        <v>23</v>
      </c>
      <c r="DP11" t="s">
        <v>26</v>
      </c>
      <c r="DQ11" t="s">
        <v>2</v>
      </c>
      <c r="DR11" t="s">
        <v>2</v>
      </c>
      <c r="DS11" t="s">
        <v>26</v>
      </c>
      <c r="DT11" t="s">
        <v>25</v>
      </c>
      <c r="DU11" t="s">
        <v>2</v>
      </c>
      <c r="DV11" t="s">
        <v>25</v>
      </c>
      <c r="DW11" t="s">
        <v>25</v>
      </c>
      <c r="DX11" t="s">
        <v>23</v>
      </c>
      <c r="DY11" t="s">
        <v>26</v>
      </c>
      <c r="DZ11" t="s">
        <v>24</v>
      </c>
      <c r="EA11" t="s">
        <v>25</v>
      </c>
      <c r="EB11" t="s">
        <v>23</v>
      </c>
      <c r="EC11" t="s">
        <v>23</v>
      </c>
      <c r="ED11" t="s">
        <v>24</v>
      </c>
      <c r="EE11" t="s">
        <v>26</v>
      </c>
      <c r="EF11" t="s">
        <v>24</v>
      </c>
      <c r="EG11" t="s">
        <v>25</v>
      </c>
      <c r="EH11" t="s">
        <v>26</v>
      </c>
      <c r="EI11" t="s">
        <v>24</v>
      </c>
      <c r="EJ11" t="s">
        <v>2</v>
      </c>
      <c r="EK11" t="s">
        <v>23</v>
      </c>
      <c r="EL11" t="s">
        <v>2</v>
      </c>
      <c r="EM11" t="s">
        <v>24</v>
      </c>
      <c r="EN11" t="s">
        <v>23</v>
      </c>
      <c r="EO11" t="s">
        <v>23</v>
      </c>
      <c r="EP11" s="15" t="s">
        <v>2</v>
      </c>
      <c r="EQ11" s="15" t="s">
        <v>24</v>
      </c>
      <c r="ER11" s="15" t="s">
        <v>23</v>
      </c>
      <c r="ES11" s="15" t="s">
        <v>24</v>
      </c>
      <c r="ET11" s="15" t="s">
        <v>25</v>
      </c>
      <c r="EU11" s="15" t="s">
        <v>23</v>
      </c>
      <c r="EV11" s="15" t="s">
        <v>23</v>
      </c>
      <c r="EW11" s="15" t="s">
        <v>2</v>
      </c>
      <c r="EX11" s="15" t="s">
        <v>24</v>
      </c>
      <c r="EY11" s="15" t="s">
        <v>2</v>
      </c>
      <c r="EZ11" s="15" t="s">
        <v>24</v>
      </c>
      <c r="FA11" s="15" t="s">
        <v>23</v>
      </c>
      <c r="FB11" s="15" t="s">
        <v>25</v>
      </c>
      <c r="FC11" s="15" t="s">
        <v>2</v>
      </c>
      <c r="FD11" s="15" t="s">
        <v>23</v>
      </c>
      <c r="FE11" s="15" t="s">
        <v>24</v>
      </c>
      <c r="FF11" s="15" t="s">
        <v>25</v>
      </c>
      <c r="FG11" s="15" t="s">
        <v>23</v>
      </c>
      <c r="FH11" s="15" t="s">
        <v>25</v>
      </c>
      <c r="FI11" s="15" t="s">
        <v>25</v>
      </c>
      <c r="FJ11" s="15" t="s">
        <v>23</v>
      </c>
      <c r="FK11" s="15" t="s">
        <v>24</v>
      </c>
      <c r="FL11" s="15" t="s">
        <v>23</v>
      </c>
      <c r="FM11" s="15" t="s">
        <v>24</v>
      </c>
      <c r="FN11" s="15" t="s">
        <v>25</v>
      </c>
      <c r="FO11" s="15" t="s">
        <v>23</v>
      </c>
      <c r="FP11" s="15" t="s">
        <v>25</v>
      </c>
      <c r="FQ11" s="15" t="s">
        <v>23</v>
      </c>
      <c r="FR11" s="15" t="s">
        <v>2</v>
      </c>
      <c r="FS11" s="15" t="s">
        <v>24</v>
      </c>
      <c r="FT11" s="15" t="s">
        <v>23</v>
      </c>
      <c r="FU11" s="15" t="s">
        <v>2</v>
      </c>
      <c r="FV11" s="15" t="s">
        <v>24</v>
      </c>
      <c r="FW11" s="15" t="s">
        <v>24</v>
      </c>
      <c r="FX11" s="15" t="s">
        <v>25</v>
      </c>
      <c r="FY11" s="15" t="s">
        <v>23</v>
      </c>
      <c r="FZ11" s="15" t="s">
        <v>24</v>
      </c>
      <c r="GA11" s="15" t="s">
        <v>2</v>
      </c>
      <c r="GB11" s="15" t="s">
        <v>23</v>
      </c>
      <c r="GC11" s="15" t="s">
        <v>2</v>
      </c>
      <c r="GD11" s="15" t="s">
        <v>2</v>
      </c>
      <c r="GE11" s="15" t="s">
        <v>2</v>
      </c>
      <c r="GF11" s="15" t="s">
        <v>25</v>
      </c>
      <c r="GG11" s="15" t="s">
        <v>23</v>
      </c>
      <c r="GH11" s="15" t="s">
        <v>2</v>
      </c>
      <c r="GI11" s="15" t="s">
        <v>24</v>
      </c>
      <c r="GJ11" s="15" t="s">
        <v>24</v>
      </c>
      <c r="GK11" s="15" t="s">
        <v>25</v>
      </c>
      <c r="GL11" s="15" t="s">
        <v>24</v>
      </c>
      <c r="GM11" s="15" t="s">
        <v>2</v>
      </c>
      <c r="GN11" s="15" t="s">
        <v>25</v>
      </c>
      <c r="GO11" s="15" t="s">
        <v>23</v>
      </c>
      <c r="GP11" s="15" t="s">
        <v>24</v>
      </c>
      <c r="GQ11" s="15" t="s">
        <v>2</v>
      </c>
      <c r="GR11" s="15" t="s">
        <v>23</v>
      </c>
      <c r="GS11" s="15" t="s">
        <v>23</v>
      </c>
      <c r="GT11" s="15" t="s">
        <v>25</v>
      </c>
      <c r="GU11" s="15" t="s">
        <v>25</v>
      </c>
      <c r="GV11" s="15" t="s">
        <v>2</v>
      </c>
      <c r="GW11" t="s">
        <v>24</v>
      </c>
      <c r="GX11" t="s">
        <v>23</v>
      </c>
      <c r="GY11" t="s">
        <v>25</v>
      </c>
      <c r="GZ11" t="s">
        <v>25</v>
      </c>
      <c r="HA11" t="s">
        <v>25</v>
      </c>
      <c r="HB11" t="s">
        <v>23</v>
      </c>
      <c r="HC11" t="s">
        <v>2</v>
      </c>
      <c r="HD11" t="s">
        <v>2</v>
      </c>
      <c r="HE11" t="s">
        <v>25</v>
      </c>
      <c r="HF11" t="s">
        <v>2</v>
      </c>
      <c r="HG11" t="s">
        <v>24</v>
      </c>
      <c r="HH11" s="15" t="s">
        <v>23</v>
      </c>
      <c r="HI11" s="15" t="s">
        <v>25</v>
      </c>
      <c r="HJ11" s="15" t="s">
        <v>23</v>
      </c>
      <c r="HK11" s="15" t="s">
        <v>25</v>
      </c>
      <c r="HL11" s="15" t="s">
        <v>2</v>
      </c>
      <c r="HM11" s="15" t="s">
        <v>23</v>
      </c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</row>
    <row r="12" spans="1:330">
      <c r="A12">
        <v>43662</v>
      </c>
      <c r="B12" s="15" t="s">
        <v>1</v>
      </c>
      <c r="C12" s="15" t="s">
        <v>779</v>
      </c>
      <c r="D12" s="15" t="s">
        <v>37</v>
      </c>
      <c r="E12" s="15" t="s">
        <v>765</v>
      </c>
      <c r="F12" s="15"/>
      <c r="G12" s="15" t="s">
        <v>24</v>
      </c>
      <c r="H12" s="15" t="s">
        <v>25</v>
      </c>
      <c r="I12" s="15" t="s">
        <v>2</v>
      </c>
      <c r="J12" s="15" t="s">
        <v>23</v>
      </c>
      <c r="K12" s="15" t="s">
        <v>25</v>
      </c>
      <c r="L12" s="15" t="s">
        <v>2</v>
      </c>
      <c r="M12" s="15" t="s">
        <v>24</v>
      </c>
      <c r="N12" s="15" t="s">
        <v>23</v>
      </c>
      <c r="O12" s="15" t="s">
        <v>24</v>
      </c>
      <c r="P12" s="15" t="s">
        <v>2</v>
      </c>
      <c r="Q12" s="15" t="s">
        <v>2</v>
      </c>
      <c r="R12" s="15" t="s">
        <v>24</v>
      </c>
      <c r="S12" s="15" t="s">
        <v>2</v>
      </c>
      <c r="T12" s="15" t="s">
        <v>25</v>
      </c>
      <c r="U12" s="15" t="s">
        <v>2</v>
      </c>
      <c r="V12" s="15" t="s">
        <v>23</v>
      </c>
      <c r="W12" s="15" t="s">
        <v>2</v>
      </c>
      <c r="X12" s="15" t="s">
        <v>23</v>
      </c>
      <c r="Y12" s="15" t="s">
        <v>2</v>
      </c>
      <c r="Z12" t="s">
        <v>24</v>
      </c>
      <c r="AA12" t="s">
        <v>23</v>
      </c>
      <c r="AB12" t="s">
        <v>2</v>
      </c>
      <c r="AC12" t="s">
        <v>25</v>
      </c>
      <c r="AD12" t="s">
        <v>25</v>
      </c>
      <c r="AE12" t="s">
        <v>23</v>
      </c>
      <c r="AF12" t="s">
        <v>25</v>
      </c>
      <c r="AG12" t="s">
        <v>2</v>
      </c>
      <c r="AH12" t="s">
        <v>2</v>
      </c>
      <c r="AI12" t="s">
        <v>24</v>
      </c>
      <c r="AJ12" t="s">
        <v>23</v>
      </c>
      <c r="AK12" t="s">
        <v>2</v>
      </c>
      <c r="AL12" t="s">
        <v>2</v>
      </c>
      <c r="AM12" t="s">
        <v>2</v>
      </c>
      <c r="AN12" t="s">
        <v>23</v>
      </c>
      <c r="AO12" s="15" t="s">
        <v>25</v>
      </c>
      <c r="AP12" s="15" t="s">
        <v>2</v>
      </c>
      <c r="AQ12" s="15" t="s">
        <v>25</v>
      </c>
      <c r="AR12" s="15" t="s">
        <v>25</v>
      </c>
      <c r="AS12" s="15" t="s">
        <v>24</v>
      </c>
      <c r="AT12" s="15" t="s">
        <v>2</v>
      </c>
      <c r="AU12" s="15" t="s">
        <v>25</v>
      </c>
      <c r="AV12" t="s">
        <v>2</v>
      </c>
      <c r="AW12" s="15" t="s">
        <v>25</v>
      </c>
      <c r="AX12" s="15" t="s">
        <v>23</v>
      </c>
      <c r="AY12" s="15" t="s">
        <v>24</v>
      </c>
      <c r="AZ12" s="15" t="s">
        <v>24</v>
      </c>
      <c r="BA12" s="15" t="s">
        <v>2</v>
      </c>
      <c r="BB12" s="15" t="s">
        <v>24</v>
      </c>
      <c r="BC12" s="15" t="s">
        <v>23</v>
      </c>
      <c r="BD12" s="15" t="s">
        <v>23</v>
      </c>
      <c r="BE12" s="15" t="s">
        <v>24</v>
      </c>
      <c r="BF12" s="15" t="s">
        <v>2</v>
      </c>
      <c r="BG12" s="15" t="s">
        <v>2</v>
      </c>
      <c r="BH12" s="15" t="s">
        <v>25</v>
      </c>
      <c r="BI12" s="15" t="s">
        <v>2</v>
      </c>
      <c r="BJ12" t="s">
        <v>25</v>
      </c>
      <c r="BK12" t="s">
        <v>23</v>
      </c>
      <c r="BL12" t="s">
        <v>24</v>
      </c>
      <c r="BM12" t="s">
        <v>25</v>
      </c>
      <c r="BN12" t="s">
        <v>23</v>
      </c>
      <c r="BO12" t="s">
        <v>2</v>
      </c>
      <c r="BP12" t="s">
        <v>25</v>
      </c>
      <c r="BQ12" t="s">
        <v>2</v>
      </c>
      <c r="BR12" t="s">
        <v>23</v>
      </c>
      <c r="BS12" t="s">
        <v>25</v>
      </c>
      <c r="BT12" t="s">
        <v>25</v>
      </c>
      <c r="BU12" t="s">
        <v>2</v>
      </c>
      <c r="BV12" t="s">
        <v>2</v>
      </c>
      <c r="BW12" t="s">
        <v>24</v>
      </c>
      <c r="BX12" s="15" t="s">
        <v>25</v>
      </c>
      <c r="BY12" s="15" t="s">
        <v>25</v>
      </c>
      <c r="BZ12" s="15" t="s">
        <v>2</v>
      </c>
      <c r="CA12" s="15" t="s">
        <v>2</v>
      </c>
      <c r="CB12" s="15" t="s">
        <v>2</v>
      </c>
      <c r="CC12" s="15" t="s">
        <v>24</v>
      </c>
      <c r="CD12" s="15" t="s">
        <v>2</v>
      </c>
      <c r="CE12" s="15" t="s">
        <v>25</v>
      </c>
      <c r="CF12" t="s">
        <v>24</v>
      </c>
      <c r="CG12" t="s">
        <v>2</v>
      </c>
      <c r="CH12" t="s">
        <v>23</v>
      </c>
      <c r="CI12" t="s">
        <v>23</v>
      </c>
      <c r="CJ12" t="s">
        <v>23</v>
      </c>
      <c r="CK12" t="s">
        <v>23</v>
      </c>
      <c r="CL12" t="s">
        <v>24</v>
      </c>
      <c r="CM12" t="s">
        <v>24</v>
      </c>
      <c r="CN12" t="s">
        <v>26</v>
      </c>
      <c r="CO12" t="s">
        <v>23</v>
      </c>
      <c r="CP12" t="s">
        <v>24</v>
      </c>
      <c r="CQ12" t="s">
        <v>24</v>
      </c>
      <c r="CR12" t="s">
        <v>25</v>
      </c>
      <c r="CS12" t="s">
        <v>26</v>
      </c>
      <c r="CT12" t="s">
        <v>24</v>
      </c>
      <c r="CU12" t="s">
        <v>23</v>
      </c>
      <c r="CV12" t="s">
        <v>23</v>
      </c>
      <c r="CW12" t="s">
        <v>24</v>
      </c>
      <c r="CX12" t="s">
        <v>25</v>
      </c>
      <c r="CY12" t="s">
        <v>2</v>
      </c>
      <c r="CZ12" t="s">
        <v>25</v>
      </c>
      <c r="DA12" t="s">
        <v>25</v>
      </c>
      <c r="DB12" t="s">
        <v>23</v>
      </c>
      <c r="DC12" t="s">
        <v>25</v>
      </c>
      <c r="DD12" t="s">
        <v>24</v>
      </c>
      <c r="DE12" t="s">
        <v>24</v>
      </c>
      <c r="DF12" t="s">
        <v>25</v>
      </c>
      <c r="DG12" t="s">
        <v>23</v>
      </c>
      <c r="DH12" t="s">
        <v>23</v>
      </c>
      <c r="DI12" t="s">
        <v>26</v>
      </c>
      <c r="DJ12" t="s">
        <v>25</v>
      </c>
      <c r="DK12" t="s">
        <v>26</v>
      </c>
      <c r="DL12" t="s">
        <v>25</v>
      </c>
      <c r="DM12" t="s">
        <v>2</v>
      </c>
      <c r="DN12" t="s">
        <v>23</v>
      </c>
      <c r="DO12" t="s">
        <v>24</v>
      </c>
      <c r="DP12" t="s">
        <v>2</v>
      </c>
      <c r="DQ12" t="s">
        <v>2</v>
      </c>
      <c r="DR12" t="s">
        <v>2</v>
      </c>
      <c r="DS12" t="s">
        <v>2</v>
      </c>
      <c r="DT12" t="s">
        <v>25</v>
      </c>
      <c r="DU12" t="s">
        <v>23</v>
      </c>
      <c r="DV12" t="s">
        <v>2</v>
      </c>
      <c r="DW12" t="s">
        <v>24</v>
      </c>
      <c r="DX12" t="s">
        <v>24</v>
      </c>
      <c r="DY12" t="s">
        <v>24</v>
      </c>
      <c r="DZ12" t="s">
        <v>24</v>
      </c>
      <c r="EA12" t="s">
        <v>24</v>
      </c>
      <c r="EB12" t="s">
        <v>23</v>
      </c>
      <c r="EC12" t="s">
        <v>23</v>
      </c>
      <c r="ED12" t="s">
        <v>26</v>
      </c>
      <c r="EE12" t="s">
        <v>26</v>
      </c>
      <c r="EF12" t="s">
        <v>26</v>
      </c>
      <c r="EG12" t="s">
        <v>23</v>
      </c>
      <c r="EH12" t="s">
        <v>23</v>
      </c>
      <c r="EI12" t="s">
        <v>23</v>
      </c>
      <c r="EJ12" t="s">
        <v>24</v>
      </c>
      <c r="EK12" t="s">
        <v>24</v>
      </c>
      <c r="EL12" t="s">
        <v>2</v>
      </c>
      <c r="EM12" t="s">
        <v>2</v>
      </c>
      <c r="EN12" t="s">
        <v>23</v>
      </c>
      <c r="EO12" t="s">
        <v>25</v>
      </c>
      <c r="EP12" s="15" t="s">
        <v>24</v>
      </c>
      <c r="EQ12" s="15" t="s">
        <v>24</v>
      </c>
      <c r="ER12" s="15" t="s">
        <v>23</v>
      </c>
      <c r="ES12" s="15" t="s">
        <v>2</v>
      </c>
      <c r="ET12" s="15" t="s">
        <v>25</v>
      </c>
      <c r="EU12" s="15" t="s">
        <v>23</v>
      </c>
      <c r="EV12" s="15" t="s">
        <v>23</v>
      </c>
      <c r="EW12" s="15" t="s">
        <v>2</v>
      </c>
      <c r="EX12" s="15" t="s">
        <v>24</v>
      </c>
      <c r="EY12" s="15" t="s">
        <v>24</v>
      </c>
      <c r="EZ12" s="15" t="s">
        <v>25</v>
      </c>
      <c r="FA12" s="15" t="s">
        <v>23</v>
      </c>
      <c r="FB12" s="15" t="s">
        <v>25</v>
      </c>
      <c r="FC12" s="15" t="s">
        <v>23</v>
      </c>
      <c r="FD12" s="15" t="s">
        <v>23</v>
      </c>
      <c r="FE12" s="15" t="s">
        <v>24</v>
      </c>
      <c r="FF12" s="15" t="s">
        <v>25</v>
      </c>
      <c r="FG12" s="15" t="s">
        <v>23</v>
      </c>
      <c r="FH12" s="15" t="s">
        <v>2</v>
      </c>
      <c r="FI12" s="15" t="s">
        <v>25</v>
      </c>
      <c r="FJ12" s="15" t="s">
        <v>23</v>
      </c>
      <c r="FK12" s="15" t="s">
        <v>24</v>
      </c>
      <c r="FL12" s="15" t="s">
        <v>2</v>
      </c>
      <c r="FM12" s="15" t="s">
        <v>24</v>
      </c>
      <c r="FN12" s="15" t="s">
        <v>25</v>
      </c>
      <c r="FO12" s="15" t="s">
        <v>23</v>
      </c>
      <c r="FP12" s="15" t="s">
        <v>25</v>
      </c>
      <c r="FQ12" s="15" t="s">
        <v>24</v>
      </c>
      <c r="FR12" t="s">
        <v>2</v>
      </c>
      <c r="FS12" s="15" t="s">
        <v>24</v>
      </c>
      <c r="FT12" s="15" t="s">
        <v>23</v>
      </c>
      <c r="FU12" t="s">
        <v>2</v>
      </c>
      <c r="FV12" t="s">
        <v>24</v>
      </c>
      <c r="FW12" t="s">
        <v>24</v>
      </c>
      <c r="FX12" t="s">
        <v>2</v>
      </c>
      <c r="FY12" s="15" t="s">
        <v>23</v>
      </c>
      <c r="FZ12" s="15" t="s">
        <v>24</v>
      </c>
      <c r="GA12" s="15" t="s">
        <v>24</v>
      </c>
      <c r="GB12" s="15" t="s">
        <v>23</v>
      </c>
      <c r="GC12" s="15" t="s">
        <v>23</v>
      </c>
      <c r="GD12" s="15" t="s">
        <v>23</v>
      </c>
      <c r="GE12" s="15" t="s">
        <v>2</v>
      </c>
      <c r="GF12" s="15" t="s">
        <v>25</v>
      </c>
      <c r="GG12" s="15" t="s">
        <v>23</v>
      </c>
      <c r="GH12" s="15" t="s">
        <v>2</v>
      </c>
      <c r="GI12" s="15" t="s">
        <v>25</v>
      </c>
      <c r="GJ12" s="15" t="s">
        <v>24</v>
      </c>
      <c r="GK12" s="15" t="s">
        <v>25</v>
      </c>
      <c r="GL12" s="15" t="s">
        <v>24</v>
      </c>
      <c r="GM12" s="15" t="s">
        <v>2</v>
      </c>
      <c r="GN12" s="15" t="s">
        <v>25</v>
      </c>
      <c r="GO12" s="15" t="s">
        <v>23</v>
      </c>
      <c r="GP12" s="15" t="s">
        <v>23</v>
      </c>
      <c r="GQ12" s="15" t="s">
        <v>2</v>
      </c>
      <c r="GR12" s="15" t="s">
        <v>2</v>
      </c>
      <c r="GS12" s="15" t="s">
        <v>2</v>
      </c>
      <c r="GT12" s="15" t="s">
        <v>24</v>
      </c>
      <c r="GU12" s="15" t="s">
        <v>25</v>
      </c>
      <c r="GV12" s="15" t="s">
        <v>24</v>
      </c>
      <c r="GW12" t="s">
        <v>2</v>
      </c>
      <c r="GX12" t="s">
        <v>23</v>
      </c>
      <c r="GY12" t="s">
        <v>25</v>
      </c>
      <c r="GZ12" t="s">
        <v>24</v>
      </c>
      <c r="HA12" t="s">
        <v>25</v>
      </c>
      <c r="HB12" t="s">
        <v>24</v>
      </c>
      <c r="HC12" t="s">
        <v>2</v>
      </c>
      <c r="HD12" t="s">
        <v>2</v>
      </c>
      <c r="HE12" t="s">
        <v>25</v>
      </c>
      <c r="HF12" t="s">
        <v>23</v>
      </c>
      <c r="HG12" t="s">
        <v>25</v>
      </c>
      <c r="HH12" s="15" t="s">
        <v>24</v>
      </c>
      <c r="HI12" s="15" t="s">
        <v>25</v>
      </c>
      <c r="HJ12" s="15" t="s">
        <v>24</v>
      </c>
      <c r="HK12" s="15" t="s">
        <v>24</v>
      </c>
      <c r="HL12" s="15" t="s">
        <v>2</v>
      </c>
      <c r="HM12" s="15" t="s">
        <v>24</v>
      </c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</row>
    <row r="13" spans="1:330">
      <c r="A13">
        <v>43662</v>
      </c>
      <c r="B13" s="15" t="s">
        <v>36</v>
      </c>
      <c r="C13" s="15" t="s">
        <v>513</v>
      </c>
      <c r="D13" s="15" t="s">
        <v>37</v>
      </c>
      <c r="E13" s="15" t="s">
        <v>765</v>
      </c>
      <c r="F13" s="15"/>
      <c r="G13" s="15" t="s">
        <v>25</v>
      </c>
      <c r="H13" s="15" t="s">
        <v>25</v>
      </c>
      <c r="I13" s="15" t="s">
        <v>23</v>
      </c>
      <c r="J13" s="15" t="s">
        <v>23</v>
      </c>
      <c r="K13" s="15" t="s">
        <v>25</v>
      </c>
      <c r="L13" s="15" t="s">
        <v>2</v>
      </c>
      <c r="M13" s="15" t="s">
        <v>24</v>
      </c>
      <c r="N13" s="15" t="s">
        <v>23</v>
      </c>
      <c r="O13" s="15" t="s">
        <v>24</v>
      </c>
      <c r="P13" s="15" t="s">
        <v>2</v>
      </c>
      <c r="Q13" s="15" t="s">
        <v>2</v>
      </c>
      <c r="R13" s="15" t="s">
        <v>24</v>
      </c>
      <c r="S13" s="15" t="s">
        <v>2</v>
      </c>
      <c r="T13" s="15" t="s">
        <v>25</v>
      </c>
      <c r="U13" s="15" t="s">
        <v>23</v>
      </c>
      <c r="V13" s="15" t="s">
        <v>24</v>
      </c>
      <c r="W13" s="15" t="s">
        <v>2</v>
      </c>
      <c r="X13" s="15" t="s">
        <v>23</v>
      </c>
      <c r="Y13" s="15" t="s">
        <v>2</v>
      </c>
      <c r="Z13" t="s">
        <v>24</v>
      </c>
      <c r="AA13" t="s">
        <v>23</v>
      </c>
      <c r="AB13" t="s">
        <v>2</v>
      </c>
      <c r="AC13" t="s">
        <v>25</v>
      </c>
      <c r="AD13" t="s">
        <v>25</v>
      </c>
      <c r="AE13" t="s">
        <v>23</v>
      </c>
      <c r="AF13" t="s">
        <v>25</v>
      </c>
      <c r="AG13" t="s">
        <v>23</v>
      </c>
      <c r="AH13" t="s">
        <v>2</v>
      </c>
      <c r="AI13" t="s">
        <v>24</v>
      </c>
      <c r="AJ13" t="s">
        <v>24</v>
      </c>
      <c r="AK13" t="s">
        <v>2</v>
      </c>
      <c r="AL13" t="s">
        <v>2</v>
      </c>
      <c r="AM13" t="s">
        <v>23</v>
      </c>
      <c r="AN13" t="s">
        <v>23</v>
      </c>
      <c r="AO13" s="15" t="s">
        <v>25</v>
      </c>
      <c r="AP13" s="15" t="s">
        <v>2</v>
      </c>
      <c r="AQ13" s="15" t="s">
        <v>25</v>
      </c>
      <c r="AR13" s="15" t="s">
        <v>23</v>
      </c>
      <c r="AS13" s="15" t="s">
        <v>24</v>
      </c>
      <c r="AT13" s="15" t="s">
        <v>2</v>
      </c>
      <c r="AU13" s="15" t="s">
        <v>25</v>
      </c>
      <c r="AV13" s="15" t="s">
        <v>2</v>
      </c>
      <c r="AW13" s="15" t="s">
        <v>25</v>
      </c>
      <c r="AX13" s="15" t="s">
        <v>23</v>
      </c>
      <c r="AY13" s="15" t="s">
        <v>24</v>
      </c>
      <c r="AZ13" s="15" t="s">
        <v>24</v>
      </c>
      <c r="BA13" s="15" t="s">
        <v>25</v>
      </c>
      <c r="BB13" s="15" t="s">
        <v>24</v>
      </c>
      <c r="BC13" s="15" t="s">
        <v>23</v>
      </c>
      <c r="BD13" s="15" t="s">
        <v>23</v>
      </c>
      <c r="BE13" s="15" t="s">
        <v>24</v>
      </c>
      <c r="BF13" s="15" t="s">
        <v>23</v>
      </c>
      <c r="BG13" s="15" t="s">
        <v>2</v>
      </c>
      <c r="BH13" s="15" t="s">
        <v>2</v>
      </c>
      <c r="BI13" s="15" t="s">
        <v>2</v>
      </c>
      <c r="BJ13" s="15" t="s">
        <v>25</v>
      </c>
      <c r="BK13" s="15" t="s">
        <v>23</v>
      </c>
      <c r="BL13" t="s">
        <v>24</v>
      </c>
      <c r="BM13" t="s">
        <v>25</v>
      </c>
      <c r="BN13" t="s">
        <v>23</v>
      </c>
      <c r="BO13" t="s">
        <v>2</v>
      </c>
      <c r="BP13" t="s">
        <v>2</v>
      </c>
      <c r="BQ13" t="s">
        <v>24</v>
      </c>
      <c r="BR13" t="s">
        <v>23</v>
      </c>
      <c r="BS13" t="s">
        <v>23</v>
      </c>
      <c r="BT13" t="s">
        <v>25</v>
      </c>
      <c r="BU13" t="s">
        <v>23</v>
      </c>
      <c r="BV13" t="s">
        <v>2</v>
      </c>
      <c r="BW13" t="s">
        <v>24</v>
      </c>
      <c r="BX13" s="15" t="s">
        <v>25</v>
      </c>
      <c r="BY13" s="15" t="s">
        <v>24</v>
      </c>
      <c r="BZ13" s="15" t="s">
        <v>25</v>
      </c>
      <c r="CA13" s="15" t="s">
        <v>2</v>
      </c>
      <c r="CB13" s="15" t="s">
        <v>2</v>
      </c>
      <c r="CC13" s="15" t="s">
        <v>24</v>
      </c>
      <c r="CD13" s="15" t="s">
        <v>2</v>
      </c>
      <c r="CE13" s="15" t="s">
        <v>25</v>
      </c>
      <c r="CF13" t="s">
        <v>24</v>
      </c>
      <c r="CG13" t="s">
        <v>2</v>
      </c>
      <c r="CH13" t="s">
        <v>23</v>
      </c>
      <c r="CI13" t="s">
        <v>23</v>
      </c>
      <c r="CJ13" t="s">
        <v>25</v>
      </c>
      <c r="CK13" t="s">
        <v>23</v>
      </c>
      <c r="CL13" t="s">
        <v>24</v>
      </c>
      <c r="CM13" t="s">
        <v>24</v>
      </c>
      <c r="CN13" t="s">
        <v>26</v>
      </c>
      <c r="CO13" t="s">
        <v>23</v>
      </c>
      <c r="CP13" t="s">
        <v>2</v>
      </c>
      <c r="CQ13" t="s">
        <v>24</v>
      </c>
      <c r="CR13" t="s">
        <v>25</v>
      </c>
      <c r="CS13" t="s">
        <v>26</v>
      </c>
      <c r="CT13" t="s">
        <v>24</v>
      </c>
      <c r="CU13" t="s">
        <v>23</v>
      </c>
      <c r="CV13" t="s">
        <v>23</v>
      </c>
      <c r="CW13" t="s">
        <v>24</v>
      </c>
      <c r="CX13" t="s">
        <v>25</v>
      </c>
      <c r="CY13" t="s">
        <v>2</v>
      </c>
      <c r="CZ13" t="s">
        <v>25</v>
      </c>
      <c r="DA13" t="s">
        <v>25</v>
      </c>
      <c r="DB13" t="s">
        <v>23</v>
      </c>
      <c r="DC13" t="s">
        <v>25</v>
      </c>
      <c r="DD13" t="s">
        <v>2</v>
      </c>
      <c r="DE13" t="s">
        <v>24</v>
      </c>
      <c r="DF13" t="s">
        <v>26</v>
      </c>
      <c r="DG13" t="s">
        <v>26</v>
      </c>
      <c r="DH13" t="s">
        <v>2</v>
      </c>
      <c r="DI13" t="s">
        <v>26</v>
      </c>
      <c r="DJ13" t="s">
        <v>25</v>
      </c>
      <c r="DK13" t="s">
        <v>26</v>
      </c>
      <c r="DL13" t="s">
        <v>25</v>
      </c>
      <c r="DM13" t="s">
        <v>24</v>
      </c>
      <c r="DN13" t="s">
        <v>23</v>
      </c>
      <c r="DO13" t="s">
        <v>23</v>
      </c>
      <c r="DP13" t="s">
        <v>23</v>
      </c>
      <c r="DQ13" t="s">
        <v>2</v>
      </c>
      <c r="DR13" t="s">
        <v>2</v>
      </c>
      <c r="DS13" t="s">
        <v>26</v>
      </c>
      <c r="DT13" t="s">
        <v>25</v>
      </c>
      <c r="DU13" t="s">
        <v>2</v>
      </c>
      <c r="DV13" t="s">
        <v>25</v>
      </c>
      <c r="DW13" t="s">
        <v>25</v>
      </c>
      <c r="DX13" t="s">
        <v>23</v>
      </c>
      <c r="DY13" t="s">
        <v>26</v>
      </c>
      <c r="DZ13" t="s">
        <v>24</v>
      </c>
      <c r="EA13" t="s">
        <v>25</v>
      </c>
      <c r="EB13" t="s">
        <v>23</v>
      </c>
      <c r="EC13" t="s">
        <v>23</v>
      </c>
      <c r="ED13" t="s">
        <v>24</v>
      </c>
      <c r="EE13" t="s">
        <v>26</v>
      </c>
      <c r="EF13" t="s">
        <v>24</v>
      </c>
      <c r="EG13" t="s">
        <v>25</v>
      </c>
      <c r="EH13" t="s">
        <v>26</v>
      </c>
      <c r="EI13" t="s">
        <v>2</v>
      </c>
      <c r="EJ13" t="s">
        <v>2</v>
      </c>
      <c r="EK13" t="s">
        <v>23</v>
      </c>
      <c r="EL13" t="s">
        <v>2</v>
      </c>
      <c r="EM13" t="s">
        <v>24</v>
      </c>
      <c r="EN13" t="s">
        <v>23</v>
      </c>
      <c r="EO13" t="s">
        <v>2</v>
      </c>
      <c r="EP13" s="15" t="s">
        <v>24</v>
      </c>
      <c r="EQ13" s="15" t="s">
        <v>24</v>
      </c>
      <c r="ER13" s="15" t="s">
        <v>23</v>
      </c>
      <c r="ES13" s="15" t="s">
        <v>24</v>
      </c>
      <c r="ET13" s="15" t="s">
        <v>25</v>
      </c>
      <c r="EU13" s="15" t="s">
        <v>23</v>
      </c>
      <c r="EV13" s="15" t="s">
        <v>23</v>
      </c>
      <c r="EW13" s="15" t="s">
        <v>2</v>
      </c>
      <c r="EX13" s="15" t="s">
        <v>24</v>
      </c>
      <c r="EY13" s="15" t="s">
        <v>24</v>
      </c>
      <c r="EZ13" s="15" t="s">
        <v>25</v>
      </c>
      <c r="FA13" s="15" t="s">
        <v>23</v>
      </c>
      <c r="FB13" s="15" t="s">
        <v>25</v>
      </c>
      <c r="FC13" s="15" t="s">
        <v>23</v>
      </c>
      <c r="FD13" s="15" t="s">
        <v>23</v>
      </c>
      <c r="FE13" s="15" t="s">
        <v>24</v>
      </c>
      <c r="FF13" s="15" t="s">
        <v>25</v>
      </c>
      <c r="FG13" s="15" t="s">
        <v>23</v>
      </c>
      <c r="FH13" s="15" t="s">
        <v>25</v>
      </c>
      <c r="FI13" s="15" t="s">
        <v>25</v>
      </c>
      <c r="FJ13" s="15" t="s">
        <v>23</v>
      </c>
      <c r="FK13" s="15" t="s">
        <v>24</v>
      </c>
      <c r="FL13" s="15" t="s">
        <v>23</v>
      </c>
      <c r="FM13" s="15" t="s">
        <v>24</v>
      </c>
      <c r="FN13" s="15" t="s">
        <v>25</v>
      </c>
      <c r="FO13" s="15" t="s">
        <v>23</v>
      </c>
      <c r="FP13" s="15" t="s">
        <v>25</v>
      </c>
      <c r="FQ13" s="15" t="s">
        <v>24</v>
      </c>
      <c r="FR13" s="15" t="s">
        <v>2</v>
      </c>
      <c r="FS13" s="15" t="s">
        <v>24</v>
      </c>
      <c r="FT13" s="15" t="s">
        <v>23</v>
      </c>
      <c r="FU13" s="15" t="s">
        <v>2</v>
      </c>
      <c r="FV13" s="15" t="s">
        <v>24</v>
      </c>
      <c r="FW13" s="15" t="s">
        <v>24</v>
      </c>
      <c r="FX13" t="s">
        <v>25</v>
      </c>
      <c r="FY13" s="15" t="s">
        <v>23</v>
      </c>
      <c r="FZ13" s="15" t="s">
        <v>24</v>
      </c>
      <c r="GA13" s="15" t="s">
        <v>24</v>
      </c>
      <c r="GB13" s="15" t="s">
        <v>23</v>
      </c>
      <c r="GC13" s="15" t="s">
        <v>2</v>
      </c>
      <c r="GD13" s="15" t="s">
        <v>2</v>
      </c>
      <c r="GE13" s="15" t="s">
        <v>2</v>
      </c>
      <c r="GF13" s="15" t="s">
        <v>25</v>
      </c>
      <c r="GG13" s="15" t="s">
        <v>23</v>
      </c>
      <c r="GH13" s="15" t="s">
        <v>2</v>
      </c>
      <c r="GI13" s="15" t="s">
        <v>25</v>
      </c>
      <c r="GJ13" s="15" t="s">
        <v>24</v>
      </c>
      <c r="GK13" s="15" t="s">
        <v>25</v>
      </c>
      <c r="GL13" s="15" t="s">
        <v>24</v>
      </c>
      <c r="GM13" s="15" t="s">
        <v>2</v>
      </c>
      <c r="GN13" s="15" t="s">
        <v>25</v>
      </c>
      <c r="GO13" s="15" t="s">
        <v>23</v>
      </c>
      <c r="GP13" s="15" t="s">
        <v>24</v>
      </c>
      <c r="GQ13" s="15" t="s">
        <v>2</v>
      </c>
      <c r="GR13" s="15" t="s">
        <v>2</v>
      </c>
      <c r="GS13" s="15" t="s">
        <v>25</v>
      </c>
      <c r="GT13" s="15" t="s">
        <v>25</v>
      </c>
      <c r="GU13" s="15" t="s">
        <v>25</v>
      </c>
      <c r="GV13" s="15" t="s">
        <v>2</v>
      </c>
      <c r="GW13" t="s">
        <v>23</v>
      </c>
      <c r="GX13" t="s">
        <v>23</v>
      </c>
      <c r="GY13" t="s">
        <v>25</v>
      </c>
      <c r="GZ13" t="s">
        <v>24</v>
      </c>
      <c r="HA13" t="s">
        <v>24</v>
      </c>
      <c r="HB13" t="s">
        <v>2</v>
      </c>
      <c r="HC13" t="s">
        <v>2</v>
      </c>
      <c r="HD13" t="s">
        <v>2</v>
      </c>
      <c r="HE13" t="s">
        <v>25</v>
      </c>
      <c r="HF13" t="s">
        <v>24</v>
      </c>
      <c r="HG13" t="s">
        <v>24</v>
      </c>
      <c r="HH13" s="15" t="s">
        <v>24</v>
      </c>
      <c r="HI13" s="15" t="s">
        <v>25</v>
      </c>
      <c r="HJ13" s="15" t="s">
        <v>23</v>
      </c>
      <c r="HK13" s="15" t="s">
        <v>25</v>
      </c>
      <c r="HL13" s="15" t="s">
        <v>2</v>
      </c>
      <c r="HM13" s="15" t="s">
        <v>23</v>
      </c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</row>
    <row r="14" spans="1:330">
      <c r="A14">
        <v>43662</v>
      </c>
      <c r="B14" s="15" t="s">
        <v>37</v>
      </c>
      <c r="C14" s="15" t="s">
        <v>647</v>
      </c>
      <c r="D14" s="15" t="s">
        <v>37</v>
      </c>
      <c r="E14" s="15" t="s">
        <v>765</v>
      </c>
      <c r="F14" s="15"/>
      <c r="G14" s="15" t="s">
        <v>25</v>
      </c>
      <c r="H14" s="15" t="s">
        <v>25</v>
      </c>
      <c r="I14" s="15" t="s">
        <v>23</v>
      </c>
      <c r="J14" s="15" t="s">
        <v>23</v>
      </c>
      <c r="K14" s="15" t="s">
        <v>25</v>
      </c>
      <c r="L14" s="15" t="s">
        <v>2</v>
      </c>
      <c r="M14" s="15" t="s">
        <v>24</v>
      </c>
      <c r="N14" s="15" t="s">
        <v>23</v>
      </c>
      <c r="O14" s="15" t="s">
        <v>24</v>
      </c>
      <c r="P14" s="15" t="s">
        <v>2</v>
      </c>
      <c r="Q14" s="15" t="s">
        <v>2</v>
      </c>
      <c r="R14" s="15" t="s">
        <v>24</v>
      </c>
      <c r="S14" s="15" t="s">
        <v>2</v>
      </c>
      <c r="T14" s="15" t="s">
        <v>25</v>
      </c>
      <c r="U14" s="15" t="s">
        <v>2</v>
      </c>
      <c r="V14" s="15" t="s">
        <v>24</v>
      </c>
      <c r="X14" s="15" t="s">
        <v>23</v>
      </c>
      <c r="Y14" t="s">
        <v>2</v>
      </c>
      <c r="Z14" t="s">
        <v>24</v>
      </c>
      <c r="AA14" t="s">
        <v>23</v>
      </c>
      <c r="AB14" t="s">
        <v>2</v>
      </c>
      <c r="AC14" t="s">
        <v>25</v>
      </c>
      <c r="AD14" t="s">
        <v>25</v>
      </c>
      <c r="AE14" t="s">
        <v>23</v>
      </c>
      <c r="AF14" t="s">
        <v>25</v>
      </c>
      <c r="AG14" t="s">
        <v>23</v>
      </c>
      <c r="AH14" t="s">
        <v>2</v>
      </c>
      <c r="AI14" t="s">
        <v>24</v>
      </c>
      <c r="AJ14" t="s">
        <v>23</v>
      </c>
      <c r="AK14" t="s">
        <v>2</v>
      </c>
      <c r="AL14" t="s">
        <v>2</v>
      </c>
      <c r="AM14" t="s">
        <v>23</v>
      </c>
      <c r="AN14" t="s">
        <v>23</v>
      </c>
      <c r="AO14" s="15" t="s">
        <v>25</v>
      </c>
      <c r="AP14" s="15" t="s">
        <v>2</v>
      </c>
      <c r="AQ14" s="15" t="s">
        <v>25</v>
      </c>
      <c r="AR14" s="15" t="s">
        <v>23</v>
      </c>
      <c r="AS14" s="15" t="s">
        <v>24</v>
      </c>
      <c r="AT14" s="15" t="s">
        <v>25</v>
      </c>
      <c r="AU14" s="15" t="s">
        <v>25</v>
      </c>
      <c r="AV14" s="15" t="s">
        <v>2</v>
      </c>
      <c r="AW14" s="15" t="s">
        <v>25</v>
      </c>
      <c r="AX14" s="15" t="s">
        <v>23</v>
      </c>
      <c r="AY14" s="15" t="s">
        <v>24</v>
      </c>
      <c r="AZ14" s="15" t="s">
        <v>25</v>
      </c>
      <c r="BA14" t="s">
        <v>25</v>
      </c>
      <c r="BB14" s="15" t="s">
        <v>24</v>
      </c>
      <c r="BC14" s="15" t="s">
        <v>23</v>
      </c>
      <c r="BD14" s="15" t="s">
        <v>23</v>
      </c>
      <c r="BE14" s="15" t="s">
        <v>24</v>
      </c>
      <c r="BF14" s="15" t="s">
        <v>2</v>
      </c>
      <c r="BG14" s="15" t="s">
        <v>2</v>
      </c>
      <c r="BH14" s="15" t="s">
        <v>25</v>
      </c>
      <c r="BI14" s="15" t="s">
        <v>2</v>
      </c>
      <c r="BJ14" t="s">
        <v>25</v>
      </c>
      <c r="BK14" s="15" t="s">
        <v>23</v>
      </c>
      <c r="BL14" s="15" t="s">
        <v>24</v>
      </c>
      <c r="BM14" t="s">
        <v>25</v>
      </c>
      <c r="BN14" t="s">
        <v>23</v>
      </c>
      <c r="BO14" t="s">
        <v>2</v>
      </c>
      <c r="BP14" t="s">
        <v>2</v>
      </c>
      <c r="BQ14" t="s">
        <v>24</v>
      </c>
      <c r="BR14" t="s">
        <v>2</v>
      </c>
      <c r="BS14" t="s">
        <v>23</v>
      </c>
      <c r="BT14" t="s">
        <v>25</v>
      </c>
      <c r="BU14" t="s">
        <v>23</v>
      </c>
      <c r="BV14" t="s">
        <v>2</v>
      </c>
      <c r="BW14" t="s">
        <v>24</v>
      </c>
      <c r="BX14" s="15" t="s">
        <v>25</v>
      </c>
      <c r="BY14" s="15" t="s">
        <v>24</v>
      </c>
      <c r="BZ14" s="15" t="s">
        <v>25</v>
      </c>
      <c r="CA14" s="15" t="s">
        <v>2</v>
      </c>
      <c r="CB14" s="15" t="s">
        <v>2</v>
      </c>
      <c r="CC14" s="15" t="s">
        <v>24</v>
      </c>
      <c r="CD14" s="15" t="s">
        <v>2</v>
      </c>
      <c r="CE14" s="15" t="s">
        <v>25</v>
      </c>
      <c r="CF14" t="s">
        <v>24</v>
      </c>
      <c r="CG14" t="s">
        <v>2</v>
      </c>
      <c r="CH14" t="s">
        <v>23</v>
      </c>
      <c r="CI14" t="s">
        <v>23</v>
      </c>
      <c r="CJ14" t="s">
        <v>25</v>
      </c>
      <c r="CK14" t="s">
        <v>23</v>
      </c>
      <c r="CL14" t="s">
        <v>24</v>
      </c>
      <c r="CM14" t="s">
        <v>24</v>
      </c>
      <c r="CN14" t="s">
        <v>2</v>
      </c>
      <c r="CO14" t="s">
        <v>23</v>
      </c>
      <c r="CP14" t="s">
        <v>2</v>
      </c>
      <c r="CQ14" t="s">
        <v>24</v>
      </c>
      <c r="CR14" t="s">
        <v>25</v>
      </c>
      <c r="CS14" t="s">
        <v>26</v>
      </c>
      <c r="CT14" t="s">
        <v>24</v>
      </c>
      <c r="CU14" t="s">
        <v>23</v>
      </c>
      <c r="CV14" t="s">
        <v>23</v>
      </c>
      <c r="CW14" t="s">
        <v>24</v>
      </c>
      <c r="CX14" t="s">
        <v>24</v>
      </c>
      <c r="CY14" t="s">
        <v>2</v>
      </c>
      <c r="CZ14" t="s">
        <v>25</v>
      </c>
      <c r="DA14" t="s">
        <v>25</v>
      </c>
      <c r="DB14" t="s">
        <v>23</v>
      </c>
      <c r="DC14" t="s">
        <v>25</v>
      </c>
      <c r="DD14" t="s">
        <v>24</v>
      </c>
      <c r="DE14" t="s">
        <v>24</v>
      </c>
      <c r="DF14" t="s">
        <v>26</v>
      </c>
      <c r="DG14" t="s">
        <v>26</v>
      </c>
      <c r="DH14" t="s">
        <v>2</v>
      </c>
      <c r="DI14" t="s">
        <v>26</v>
      </c>
      <c r="DJ14" t="s">
        <v>25</v>
      </c>
      <c r="DK14" t="s">
        <v>26</v>
      </c>
      <c r="DL14" t="s">
        <v>25</v>
      </c>
      <c r="DM14" t="s">
        <v>2</v>
      </c>
      <c r="DN14" t="s">
        <v>780</v>
      </c>
      <c r="DO14" t="s">
        <v>23</v>
      </c>
      <c r="DP14" t="s">
        <v>26</v>
      </c>
      <c r="DQ14" t="s">
        <v>2</v>
      </c>
      <c r="DR14" t="s">
        <v>26</v>
      </c>
      <c r="DS14" t="s">
        <v>26</v>
      </c>
      <c r="DT14" t="s">
        <v>25</v>
      </c>
      <c r="DU14" t="s">
        <v>25</v>
      </c>
      <c r="DV14" t="s">
        <v>2</v>
      </c>
      <c r="DW14" t="s">
        <v>24</v>
      </c>
      <c r="DX14" t="s">
        <v>23</v>
      </c>
      <c r="DY14" t="s">
        <v>2</v>
      </c>
      <c r="DZ14" t="s">
        <v>24</v>
      </c>
      <c r="EA14" t="s">
        <v>2</v>
      </c>
      <c r="EB14" t="s">
        <v>23</v>
      </c>
      <c r="EC14" t="s">
        <v>23</v>
      </c>
      <c r="ED14" t="s">
        <v>24</v>
      </c>
      <c r="EE14" t="s">
        <v>2</v>
      </c>
      <c r="EF14" t="s">
        <v>24</v>
      </c>
      <c r="EG14" t="s">
        <v>24</v>
      </c>
      <c r="EH14" t="s">
        <v>26</v>
      </c>
      <c r="EI14" t="s">
        <v>25</v>
      </c>
      <c r="EJ14" t="s">
        <v>2</v>
      </c>
      <c r="EK14" t="s">
        <v>25</v>
      </c>
      <c r="EL14" t="s">
        <v>2</v>
      </c>
      <c r="EM14" t="s">
        <v>24</v>
      </c>
      <c r="EN14" t="s">
        <v>24</v>
      </c>
      <c r="EO14" t="s">
        <v>25</v>
      </c>
      <c r="EP14" s="15" t="s">
        <v>24</v>
      </c>
      <c r="EQ14" s="15" t="s">
        <v>24</v>
      </c>
      <c r="ER14" s="15" t="s">
        <v>24</v>
      </c>
      <c r="ES14" s="15" t="s">
        <v>2</v>
      </c>
      <c r="ET14" s="15" t="s">
        <v>25</v>
      </c>
      <c r="EU14" s="15" t="s">
        <v>23</v>
      </c>
      <c r="EV14" s="15" t="s">
        <v>23</v>
      </c>
      <c r="EW14" s="15" t="s">
        <v>24</v>
      </c>
      <c r="EX14" s="15" t="s">
        <v>24</v>
      </c>
      <c r="EY14" s="15" t="s">
        <v>2</v>
      </c>
      <c r="EZ14" s="15" t="s">
        <v>2</v>
      </c>
      <c r="FA14" s="15" t="s">
        <v>23</v>
      </c>
      <c r="FB14" s="15" t="s">
        <v>24</v>
      </c>
      <c r="FC14" s="15" t="s">
        <v>2</v>
      </c>
      <c r="FD14" s="15" t="s">
        <v>2</v>
      </c>
      <c r="FE14" s="15" t="s">
        <v>24</v>
      </c>
      <c r="FF14" s="15" t="s">
        <v>25</v>
      </c>
      <c r="FG14" s="15" t="s">
        <v>25</v>
      </c>
      <c r="FH14" s="15" t="s">
        <v>23</v>
      </c>
      <c r="FI14" s="15" t="s">
        <v>25</v>
      </c>
      <c r="FJ14" s="15" t="s">
        <v>24</v>
      </c>
      <c r="FK14" s="15" t="s">
        <v>23</v>
      </c>
      <c r="FL14" s="15" t="s">
        <v>24</v>
      </c>
      <c r="FM14" s="15" t="s">
        <v>24</v>
      </c>
      <c r="FN14" s="15" t="s">
        <v>25</v>
      </c>
      <c r="FO14" s="15" t="s">
        <v>25</v>
      </c>
      <c r="FP14" s="15" t="s">
        <v>23</v>
      </c>
      <c r="FQ14" s="15" t="s">
        <v>24</v>
      </c>
      <c r="FR14" s="15" t="s">
        <v>2</v>
      </c>
      <c r="FS14" s="15" t="s">
        <v>24</v>
      </c>
      <c r="FT14" s="15" t="s">
        <v>25</v>
      </c>
      <c r="FU14" s="15" t="s">
        <v>2</v>
      </c>
      <c r="FV14" s="15" t="s">
        <v>24</v>
      </c>
      <c r="FW14" s="15" t="s">
        <v>24</v>
      </c>
      <c r="FX14" s="15" t="s">
        <v>25</v>
      </c>
      <c r="FY14" s="15" t="s">
        <v>23</v>
      </c>
      <c r="FZ14" s="15" t="s">
        <v>24</v>
      </c>
      <c r="GA14" s="15" t="s">
        <v>24</v>
      </c>
      <c r="GB14" s="15" t="s">
        <v>23</v>
      </c>
      <c r="GC14" s="15" t="s">
        <v>25</v>
      </c>
      <c r="GD14" s="15" t="s">
        <v>2</v>
      </c>
      <c r="GE14" s="15" t="s">
        <v>2</v>
      </c>
      <c r="GF14" s="15" t="s">
        <v>2</v>
      </c>
      <c r="GG14" s="15" t="s">
        <v>23</v>
      </c>
      <c r="GH14" s="15" t="s">
        <v>2</v>
      </c>
      <c r="GI14" s="15" t="s">
        <v>25</v>
      </c>
      <c r="GJ14" s="15" t="s">
        <v>24</v>
      </c>
      <c r="GK14" s="15" t="s">
        <v>24</v>
      </c>
      <c r="GL14" s="15" t="s">
        <v>24</v>
      </c>
      <c r="GM14" t="s">
        <v>2</v>
      </c>
      <c r="GN14" s="15" t="s">
        <v>25</v>
      </c>
      <c r="GO14" s="15" t="s">
        <v>23</v>
      </c>
      <c r="GP14" s="15" t="s">
        <v>24</v>
      </c>
      <c r="GQ14" s="15" t="s">
        <v>2</v>
      </c>
      <c r="GR14" s="15" t="s">
        <v>2</v>
      </c>
      <c r="GS14" s="15" t="s">
        <v>2</v>
      </c>
      <c r="GT14" t="s">
        <v>25</v>
      </c>
      <c r="GU14" s="15" t="s">
        <v>25</v>
      </c>
      <c r="GV14" s="15" t="s">
        <v>2</v>
      </c>
      <c r="GW14" t="s">
        <v>24</v>
      </c>
      <c r="GX14" t="s">
        <v>23</v>
      </c>
      <c r="GY14" t="s">
        <v>25</v>
      </c>
      <c r="GZ14" t="s">
        <v>25</v>
      </c>
      <c r="HA14" t="s">
        <v>24</v>
      </c>
      <c r="HB14" t="s">
        <v>23</v>
      </c>
      <c r="HC14" t="s">
        <v>2</v>
      </c>
      <c r="HD14" t="s">
        <v>2</v>
      </c>
      <c r="HE14" t="s">
        <v>25</v>
      </c>
      <c r="HF14" t="s">
        <v>23</v>
      </c>
      <c r="HG14" t="s">
        <v>24</v>
      </c>
      <c r="HH14" s="15" t="s">
        <v>24</v>
      </c>
      <c r="HI14" s="15" t="s">
        <v>25</v>
      </c>
      <c r="HJ14" s="15" t="s">
        <v>23</v>
      </c>
      <c r="HK14" s="15" t="s">
        <v>25</v>
      </c>
      <c r="HL14" s="15" t="s">
        <v>2</v>
      </c>
      <c r="HM14" s="15" t="s">
        <v>23</v>
      </c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IQ14" s="15"/>
      <c r="IR14" s="15"/>
      <c r="IS14" s="15"/>
      <c r="IT14" s="15"/>
      <c r="IU14" s="15"/>
      <c r="IV14" s="15"/>
      <c r="IW14" s="15"/>
      <c r="IY14" s="15"/>
      <c r="IZ14" s="15"/>
      <c r="JA14" s="15"/>
      <c r="JC14" s="15"/>
      <c r="JE14" s="15"/>
      <c r="JF14" s="15"/>
      <c r="JG14" s="15"/>
      <c r="JH14" s="15"/>
      <c r="JI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L14" s="15"/>
      <c r="KM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</row>
    <row r="15" spans="1:330">
      <c r="A15">
        <v>43662</v>
      </c>
      <c r="B15" s="15" t="s">
        <v>38</v>
      </c>
      <c r="C15" s="15" t="s">
        <v>644</v>
      </c>
      <c r="D15" s="15" t="s">
        <v>37</v>
      </c>
      <c r="E15" s="15" t="s">
        <v>765</v>
      </c>
      <c r="F15" s="15"/>
      <c r="G15" s="15" t="s">
        <v>25</v>
      </c>
      <c r="H15" s="15" t="s">
        <v>25</v>
      </c>
      <c r="I15" s="15" t="s">
        <v>2</v>
      </c>
      <c r="J15" s="15" t="s">
        <v>23</v>
      </c>
      <c r="K15" s="15" t="s">
        <v>25</v>
      </c>
      <c r="L15" s="15" t="s">
        <v>2</v>
      </c>
      <c r="M15" s="15" t="s">
        <v>24</v>
      </c>
      <c r="N15" s="15" t="s">
        <v>23</v>
      </c>
      <c r="O15" s="15" t="s">
        <v>24</v>
      </c>
      <c r="P15" s="15" t="s">
        <v>25</v>
      </c>
      <c r="Q15" s="15" t="s">
        <v>2</v>
      </c>
      <c r="R15" s="15" t="s">
        <v>24</v>
      </c>
      <c r="S15" s="15" t="s">
        <v>2</v>
      </c>
      <c r="T15" s="15" t="s">
        <v>25</v>
      </c>
      <c r="U15" s="15" t="s">
        <v>23</v>
      </c>
      <c r="V15" s="15" t="s">
        <v>24</v>
      </c>
      <c r="W15" s="15" t="s">
        <v>25</v>
      </c>
      <c r="X15" t="s">
        <v>23</v>
      </c>
      <c r="Y15" t="s">
        <v>2</v>
      </c>
      <c r="Z15" t="s">
        <v>24</v>
      </c>
      <c r="AA15" t="s">
        <v>23</v>
      </c>
      <c r="AB15" t="s">
        <v>2</v>
      </c>
      <c r="AC15" t="s">
        <v>25</v>
      </c>
      <c r="AD15" t="s">
        <v>2</v>
      </c>
      <c r="AE15" t="s">
        <v>23</v>
      </c>
      <c r="AF15" t="s">
        <v>25</v>
      </c>
      <c r="AG15" t="s">
        <v>24</v>
      </c>
      <c r="AH15" t="s">
        <v>2</v>
      </c>
      <c r="AI15" t="s">
        <v>24</v>
      </c>
      <c r="AJ15" t="s">
        <v>23</v>
      </c>
      <c r="AK15" t="s">
        <v>2</v>
      </c>
      <c r="AL15" t="s">
        <v>2</v>
      </c>
      <c r="AM15" t="s">
        <v>23</v>
      </c>
      <c r="AN15" t="s">
        <v>24</v>
      </c>
      <c r="AO15" s="15" t="s">
        <v>25</v>
      </c>
      <c r="AP15" s="15" t="s">
        <v>2</v>
      </c>
      <c r="AQ15" s="15" t="s">
        <v>25</v>
      </c>
      <c r="AR15" s="15" t="s">
        <v>23</v>
      </c>
      <c r="AS15" s="15" t="s">
        <v>24</v>
      </c>
      <c r="AT15" s="15" t="s">
        <v>25</v>
      </c>
      <c r="AU15" s="15" t="s">
        <v>25</v>
      </c>
      <c r="AV15" s="15" t="s">
        <v>2</v>
      </c>
      <c r="AW15" s="15" t="s">
        <v>25</v>
      </c>
      <c r="AX15" s="15" t="s">
        <v>23</v>
      </c>
      <c r="AY15" s="15" t="s">
        <v>25</v>
      </c>
      <c r="AZ15" s="15" t="s">
        <v>2</v>
      </c>
      <c r="BA15" s="15" t="s">
        <v>2</v>
      </c>
      <c r="BB15" s="15" t="s">
        <v>24</v>
      </c>
      <c r="BC15" s="15" t="s">
        <v>2</v>
      </c>
      <c r="BD15" s="15" t="s">
        <v>23</v>
      </c>
      <c r="BE15" s="15" t="s">
        <v>24</v>
      </c>
      <c r="BF15" s="15" t="s">
        <v>2</v>
      </c>
      <c r="BG15" s="15" t="s">
        <v>23</v>
      </c>
      <c r="BH15" s="15" t="s">
        <v>25</v>
      </c>
      <c r="BI15" s="15" t="s">
        <v>2</v>
      </c>
      <c r="BJ15" t="s">
        <v>25</v>
      </c>
      <c r="BK15" t="s">
        <v>23</v>
      </c>
      <c r="BL15" t="s">
        <v>24</v>
      </c>
      <c r="BM15" t="s">
        <v>25</v>
      </c>
      <c r="BN15" t="s">
        <v>23</v>
      </c>
      <c r="BO15" t="s">
        <v>2</v>
      </c>
      <c r="BP15" t="s">
        <v>2</v>
      </c>
      <c r="BQ15" t="s">
        <v>24</v>
      </c>
      <c r="BR15" t="s">
        <v>23</v>
      </c>
      <c r="BS15" t="s">
        <v>25</v>
      </c>
      <c r="BT15" t="s">
        <v>25</v>
      </c>
      <c r="BU15" t="s">
        <v>23</v>
      </c>
      <c r="BV15" t="s">
        <v>23</v>
      </c>
      <c r="BW15" t="s">
        <v>24</v>
      </c>
      <c r="BX15" s="15" t="s">
        <v>25</v>
      </c>
      <c r="BY15" s="15" t="s">
        <v>24</v>
      </c>
      <c r="BZ15" s="15" t="s">
        <v>2</v>
      </c>
      <c r="CA15" s="15" t="s">
        <v>25</v>
      </c>
      <c r="CB15" s="15" t="s">
        <v>2</v>
      </c>
      <c r="CC15" s="15" t="s">
        <v>24</v>
      </c>
      <c r="CD15" s="15" t="s">
        <v>2</v>
      </c>
      <c r="CE15" s="15" t="s">
        <v>25</v>
      </c>
      <c r="CF15" t="s">
        <v>24</v>
      </c>
      <c r="CG15" t="s">
        <v>2</v>
      </c>
      <c r="CH15" t="s">
        <v>23</v>
      </c>
      <c r="CI15" t="s">
        <v>23</v>
      </c>
      <c r="CJ15" t="s">
        <v>25</v>
      </c>
      <c r="CK15" t="s">
        <v>23</v>
      </c>
      <c r="CL15" t="s">
        <v>24</v>
      </c>
      <c r="CM15" t="s">
        <v>24</v>
      </c>
      <c r="CN15" t="s">
        <v>26</v>
      </c>
      <c r="CO15" t="s">
        <v>23</v>
      </c>
      <c r="CP15" t="s">
        <v>24</v>
      </c>
      <c r="CQ15" t="s">
        <v>24</v>
      </c>
      <c r="CR15" t="s">
        <v>25</v>
      </c>
      <c r="CS15" t="s">
        <v>26</v>
      </c>
      <c r="CT15" t="s">
        <v>24</v>
      </c>
      <c r="CU15" t="s">
        <v>23</v>
      </c>
      <c r="CV15" t="s">
        <v>23</v>
      </c>
      <c r="CW15" t="s">
        <v>24</v>
      </c>
      <c r="CX15" t="s">
        <v>25</v>
      </c>
      <c r="CY15" t="s">
        <v>2</v>
      </c>
      <c r="CZ15" t="s">
        <v>25</v>
      </c>
      <c r="DA15" t="s">
        <v>23</v>
      </c>
      <c r="DB15" t="s">
        <v>23</v>
      </c>
      <c r="DC15" t="s">
        <v>25</v>
      </c>
      <c r="DD15" t="s">
        <v>2</v>
      </c>
      <c r="DE15" t="s">
        <v>24</v>
      </c>
      <c r="DF15" t="s">
        <v>26</v>
      </c>
      <c r="DG15" t="s">
        <v>26</v>
      </c>
      <c r="DH15" t="s">
        <v>2</v>
      </c>
      <c r="DI15" t="s">
        <v>26</v>
      </c>
      <c r="DJ15" t="s">
        <v>25</v>
      </c>
      <c r="DK15" t="s">
        <v>25</v>
      </c>
      <c r="DL15" t="s">
        <v>25</v>
      </c>
      <c r="DM15" t="s">
        <v>24</v>
      </c>
      <c r="DN15" t="s">
        <v>23</v>
      </c>
      <c r="DO15" t="s">
        <v>23</v>
      </c>
      <c r="DP15" t="s">
        <v>23</v>
      </c>
      <c r="DQ15" t="s">
        <v>2</v>
      </c>
      <c r="DR15" t="s">
        <v>2</v>
      </c>
      <c r="DS15" t="s">
        <v>26</v>
      </c>
      <c r="DT15" t="s">
        <v>25</v>
      </c>
      <c r="DU15" t="s">
        <v>25</v>
      </c>
      <c r="DV15" t="s">
        <v>24</v>
      </c>
      <c r="DW15" t="s">
        <v>25</v>
      </c>
      <c r="DX15" t="s">
        <v>23</v>
      </c>
      <c r="DY15" t="s">
        <v>26</v>
      </c>
      <c r="DZ15" t="s">
        <v>23</v>
      </c>
      <c r="EA15" t="s">
        <v>24</v>
      </c>
      <c r="EB15" t="s">
        <v>23</v>
      </c>
      <c r="EC15" t="s">
        <v>23</v>
      </c>
      <c r="ED15" t="s">
        <v>26</v>
      </c>
      <c r="EE15" t="s">
        <v>26</v>
      </c>
      <c r="EF15" t="s">
        <v>25</v>
      </c>
      <c r="EG15" t="s">
        <v>25</v>
      </c>
      <c r="EH15" t="s">
        <v>24</v>
      </c>
      <c r="EI15" t="s">
        <v>2</v>
      </c>
      <c r="EJ15" t="s">
        <v>26</v>
      </c>
      <c r="EK15" t="s">
        <v>24</v>
      </c>
      <c r="EL15" t="s">
        <v>2</v>
      </c>
      <c r="EM15" t="s">
        <v>24</v>
      </c>
      <c r="EN15" t="s">
        <v>23</v>
      </c>
      <c r="EO15" t="s">
        <v>25</v>
      </c>
      <c r="EP15" s="15" t="s">
        <v>24</v>
      </c>
      <c r="EQ15" s="15" t="s">
        <v>24</v>
      </c>
      <c r="ER15" s="15" t="s">
        <v>23</v>
      </c>
      <c r="ES15" s="15" t="s">
        <v>24</v>
      </c>
      <c r="ET15" s="15" t="s">
        <v>25</v>
      </c>
      <c r="EU15" s="15" t="s">
        <v>23</v>
      </c>
      <c r="EV15" s="15" t="s">
        <v>24</v>
      </c>
      <c r="EW15" s="15" t="s">
        <v>23</v>
      </c>
      <c r="EX15" s="15" t="s">
        <v>2</v>
      </c>
      <c r="EY15" s="15" t="s">
        <v>23</v>
      </c>
      <c r="EZ15" s="15" t="s">
        <v>25</v>
      </c>
      <c r="FA15" s="15" t="s">
        <v>2</v>
      </c>
      <c r="FB15" s="15" t="s">
        <v>2</v>
      </c>
      <c r="FC15" s="15" t="s">
        <v>25</v>
      </c>
      <c r="FD15" s="15" t="s">
        <v>2</v>
      </c>
      <c r="FE15" s="15" t="s">
        <v>24</v>
      </c>
      <c r="FF15" s="15" t="s">
        <v>25</v>
      </c>
      <c r="FG15" s="15" t="s">
        <v>23</v>
      </c>
      <c r="FH15" s="15" t="s">
        <v>23</v>
      </c>
      <c r="FI15" s="15" t="s">
        <v>25</v>
      </c>
      <c r="FJ15" s="15" t="s">
        <v>23</v>
      </c>
      <c r="FK15" t="s">
        <v>24</v>
      </c>
      <c r="FL15" t="s">
        <v>23</v>
      </c>
      <c r="FM15" t="s">
        <v>24</v>
      </c>
      <c r="FN15" t="s">
        <v>24</v>
      </c>
      <c r="FO15" t="s">
        <v>23</v>
      </c>
      <c r="FP15" t="s">
        <v>25</v>
      </c>
      <c r="FQ15" t="s">
        <v>24</v>
      </c>
      <c r="FR15" t="s">
        <v>2</v>
      </c>
      <c r="FS15" t="s">
        <v>24</v>
      </c>
      <c r="FT15" t="s">
        <v>23</v>
      </c>
      <c r="FU15" t="s">
        <v>2</v>
      </c>
      <c r="FV15" t="s">
        <v>24</v>
      </c>
      <c r="FW15" t="s">
        <v>23</v>
      </c>
      <c r="FX15" t="s">
        <v>25</v>
      </c>
      <c r="FY15" s="15" t="s">
        <v>23</v>
      </c>
      <c r="FZ15" s="15" t="s">
        <v>24</v>
      </c>
      <c r="GA15" s="15" t="s">
        <v>24</v>
      </c>
      <c r="GB15" t="s">
        <v>23</v>
      </c>
      <c r="GC15" s="15" t="s">
        <v>2</v>
      </c>
      <c r="GD15" s="15" t="s">
        <v>25</v>
      </c>
      <c r="GE15" s="15" t="s">
        <v>2</v>
      </c>
      <c r="GF15" s="15" t="s">
        <v>25</v>
      </c>
      <c r="GG15" s="15" t="s">
        <v>23</v>
      </c>
      <c r="GH15" s="15" t="s">
        <v>2</v>
      </c>
      <c r="GI15" s="15" t="s">
        <v>24</v>
      </c>
      <c r="GJ15" s="15" t="s">
        <v>24</v>
      </c>
      <c r="GK15" s="15" t="s">
        <v>25</v>
      </c>
      <c r="GL15" s="15" t="s">
        <v>24</v>
      </c>
      <c r="GM15" s="15" t="s">
        <v>2</v>
      </c>
      <c r="GN15" s="15" t="s">
        <v>25</v>
      </c>
      <c r="GO15" s="15" t="s">
        <v>23</v>
      </c>
      <c r="GP15" s="15" t="s">
        <v>25</v>
      </c>
      <c r="GQ15" s="15" t="s">
        <v>23</v>
      </c>
      <c r="GR15" s="15" t="s">
        <v>2</v>
      </c>
      <c r="GS15" s="15" t="s">
        <v>23</v>
      </c>
      <c r="GT15" s="15" t="s">
        <v>25</v>
      </c>
      <c r="GU15" t="s">
        <v>25</v>
      </c>
      <c r="GV15" t="s">
        <v>2</v>
      </c>
      <c r="GW15" t="s">
        <v>24</v>
      </c>
      <c r="GX15" t="s">
        <v>23</v>
      </c>
      <c r="GY15" t="s">
        <v>25</v>
      </c>
      <c r="GZ15" t="s">
        <v>25</v>
      </c>
      <c r="HA15" t="s">
        <v>25</v>
      </c>
      <c r="HB15" t="s">
        <v>23</v>
      </c>
      <c r="HC15" t="s">
        <v>2</v>
      </c>
      <c r="HD15" t="s">
        <v>2</v>
      </c>
      <c r="HE15" t="s">
        <v>23</v>
      </c>
      <c r="HF15" t="s">
        <v>25</v>
      </c>
      <c r="HG15" t="s">
        <v>24</v>
      </c>
      <c r="HH15" s="15" t="s">
        <v>23</v>
      </c>
      <c r="HI15" s="15" t="s">
        <v>25</v>
      </c>
      <c r="HJ15" s="15" t="s">
        <v>23</v>
      </c>
      <c r="HK15" s="15" t="s">
        <v>25</v>
      </c>
      <c r="HL15" s="15" t="s">
        <v>2</v>
      </c>
      <c r="HM15" s="15" t="s">
        <v>24</v>
      </c>
      <c r="HN15" s="15"/>
      <c r="HO15" s="15"/>
      <c r="HP15" s="15"/>
      <c r="HQ15" s="15"/>
      <c r="HR15" s="15"/>
      <c r="HT15" s="15"/>
      <c r="HV15" s="15"/>
      <c r="HW15" s="15"/>
      <c r="IQ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</row>
    <row r="16" spans="1:330">
      <c r="A16">
        <v>43662</v>
      </c>
      <c r="B16" s="15" t="s">
        <v>0</v>
      </c>
      <c r="C16" s="15" t="s">
        <v>663</v>
      </c>
      <c r="D16" s="15" t="s">
        <v>37</v>
      </c>
      <c r="E16" s="15" t="s">
        <v>765</v>
      </c>
      <c r="F16" s="15"/>
      <c r="G16" s="15" t="s">
        <v>25</v>
      </c>
      <c r="H16" s="15" t="s">
        <v>25</v>
      </c>
      <c r="I16" s="15" t="s">
        <v>23</v>
      </c>
      <c r="J16" s="15" t="s">
        <v>2</v>
      </c>
      <c r="K16" s="15" t="s">
        <v>25</v>
      </c>
      <c r="L16" s="15" t="s">
        <v>2</v>
      </c>
      <c r="M16" s="15" t="s">
        <v>24</v>
      </c>
      <c r="N16" s="15" t="s">
        <v>23</v>
      </c>
      <c r="O16" s="15" t="s">
        <v>24</v>
      </c>
      <c r="P16" s="15" t="s">
        <v>2</v>
      </c>
      <c r="Q16" s="15" t="s">
        <v>2</v>
      </c>
      <c r="R16" s="15" t="s">
        <v>24</v>
      </c>
      <c r="S16" s="15" t="s">
        <v>2</v>
      </c>
      <c r="T16" s="15" t="s">
        <v>25</v>
      </c>
      <c r="U16" s="15" t="s">
        <v>23</v>
      </c>
      <c r="V16" s="15" t="s">
        <v>24</v>
      </c>
      <c r="W16" s="15" t="s">
        <v>2</v>
      </c>
      <c r="X16" s="15" t="s">
        <v>23</v>
      </c>
      <c r="Y16" s="15" t="s">
        <v>2</v>
      </c>
      <c r="Z16" t="s">
        <v>24</v>
      </c>
      <c r="AA16" t="s">
        <v>23</v>
      </c>
      <c r="AB16" t="s">
        <v>2</v>
      </c>
      <c r="AC16" t="s">
        <v>25</v>
      </c>
      <c r="AD16" t="s">
        <v>25</v>
      </c>
      <c r="AE16" t="s">
        <v>2</v>
      </c>
      <c r="AF16" t="s">
        <v>25</v>
      </c>
      <c r="AG16" t="s">
        <v>23</v>
      </c>
      <c r="AH16" t="s">
        <v>2</v>
      </c>
      <c r="AI16" t="s">
        <v>24</v>
      </c>
      <c r="AJ16" t="s">
        <v>23</v>
      </c>
      <c r="AK16" t="s">
        <v>2</v>
      </c>
      <c r="AL16" t="s">
        <v>2</v>
      </c>
      <c r="AM16" t="s">
        <v>23</v>
      </c>
      <c r="AN16" t="s">
        <v>25</v>
      </c>
      <c r="AO16" s="15" t="s">
        <v>23</v>
      </c>
      <c r="AP16" s="15" t="s">
        <v>2</v>
      </c>
      <c r="AQ16" s="15" t="s">
        <v>25</v>
      </c>
      <c r="AR16" s="15" t="s">
        <v>23</v>
      </c>
      <c r="AS16" t="s">
        <v>2</v>
      </c>
      <c r="AT16" s="15" t="s">
        <v>25</v>
      </c>
      <c r="AU16" s="15" t="s">
        <v>25</v>
      </c>
      <c r="AV16" s="15" t="s">
        <v>23</v>
      </c>
      <c r="AW16" s="15" t="s">
        <v>25</v>
      </c>
      <c r="AX16" s="15" t="s">
        <v>23</v>
      </c>
      <c r="AY16" s="15" t="s">
        <v>24</v>
      </c>
      <c r="AZ16" s="15" t="s">
        <v>24</v>
      </c>
      <c r="BA16" s="15" t="s">
        <v>25</v>
      </c>
      <c r="BB16" s="15" t="s">
        <v>24</v>
      </c>
      <c r="BC16" s="15" t="s">
        <v>23</v>
      </c>
      <c r="BD16" s="15" t="s">
        <v>23</v>
      </c>
      <c r="BE16" s="15" t="s">
        <v>24</v>
      </c>
      <c r="BF16" s="15" t="s">
        <v>2</v>
      </c>
      <c r="BG16" s="15" t="s">
        <v>2</v>
      </c>
      <c r="BH16" s="15" t="s">
        <v>25</v>
      </c>
      <c r="BI16" t="s">
        <v>2</v>
      </c>
      <c r="BJ16" t="s">
        <v>25</v>
      </c>
      <c r="BK16" t="s">
        <v>23</v>
      </c>
      <c r="BL16" t="s">
        <v>24</v>
      </c>
      <c r="BM16" t="s">
        <v>24</v>
      </c>
      <c r="BN16" t="s">
        <v>23</v>
      </c>
      <c r="BO16" t="s">
        <v>2</v>
      </c>
      <c r="BP16" t="s">
        <v>2</v>
      </c>
      <c r="BQ16" t="s">
        <v>24</v>
      </c>
      <c r="BR16" t="s">
        <v>23</v>
      </c>
      <c r="BS16" t="s">
        <v>23</v>
      </c>
      <c r="BT16" t="s">
        <v>25</v>
      </c>
      <c r="BU16" t="s">
        <v>23</v>
      </c>
      <c r="BV16" t="s">
        <v>23</v>
      </c>
      <c r="BW16" t="s">
        <v>24</v>
      </c>
      <c r="BX16" s="15" t="s">
        <v>25</v>
      </c>
      <c r="BY16" s="15" t="s">
        <v>23</v>
      </c>
      <c r="BZ16" s="15" t="s">
        <v>25</v>
      </c>
      <c r="CA16" s="15" t="s">
        <v>2</v>
      </c>
      <c r="CB16" s="15" t="s">
        <v>2</v>
      </c>
      <c r="CC16" s="15" t="s">
        <v>24</v>
      </c>
      <c r="CD16" s="15" t="s">
        <v>2</v>
      </c>
      <c r="CE16" s="15" t="s">
        <v>25</v>
      </c>
      <c r="CF16" t="s">
        <v>24</v>
      </c>
      <c r="CG16" t="s">
        <v>2</v>
      </c>
      <c r="CH16" t="s">
        <v>23</v>
      </c>
      <c r="CI16" t="s">
        <v>23</v>
      </c>
      <c r="CJ16" t="s">
        <v>25</v>
      </c>
      <c r="CK16" t="s">
        <v>23</v>
      </c>
      <c r="CL16" t="s">
        <v>24</v>
      </c>
      <c r="CM16" t="s">
        <v>24</v>
      </c>
      <c r="CN16" t="s">
        <v>26</v>
      </c>
      <c r="CO16" t="s">
        <v>23</v>
      </c>
      <c r="CP16" t="s">
        <v>23</v>
      </c>
      <c r="CQ16" t="s">
        <v>24</v>
      </c>
      <c r="CR16" t="s">
        <v>25</v>
      </c>
      <c r="CS16" t="s">
        <v>26</v>
      </c>
      <c r="CT16" t="s">
        <v>24</v>
      </c>
      <c r="CU16" t="s">
        <v>23</v>
      </c>
      <c r="CV16" t="s">
        <v>23</v>
      </c>
      <c r="CW16" t="s">
        <v>26</v>
      </c>
      <c r="CX16" t="s">
        <v>25</v>
      </c>
      <c r="CY16" t="s">
        <v>2</v>
      </c>
      <c r="CZ16" t="s">
        <v>25</v>
      </c>
      <c r="DB16" t="s">
        <v>23</v>
      </c>
      <c r="DC16" t="s">
        <v>25</v>
      </c>
      <c r="DD16" t="s">
        <v>2</v>
      </c>
      <c r="DE16" t="s">
        <v>24</v>
      </c>
      <c r="DF16" t="s">
        <v>26</v>
      </c>
      <c r="DG16" t="s">
        <v>26</v>
      </c>
      <c r="DH16" t="s">
        <v>2</v>
      </c>
      <c r="DI16" t="s">
        <v>26</v>
      </c>
      <c r="DJ16" t="s">
        <v>25</v>
      </c>
      <c r="DK16" t="s">
        <v>26</v>
      </c>
      <c r="DL16" t="s">
        <v>25</v>
      </c>
      <c r="DM16" t="s">
        <v>24</v>
      </c>
      <c r="DN16" t="s">
        <v>23</v>
      </c>
      <c r="DO16" t="s">
        <v>25</v>
      </c>
      <c r="DP16" t="s">
        <v>26</v>
      </c>
      <c r="DQ16" t="s">
        <v>2</v>
      </c>
      <c r="DR16" t="s">
        <v>24</v>
      </c>
      <c r="DS16" t="s">
        <v>26</v>
      </c>
      <c r="DT16" t="s">
        <v>25</v>
      </c>
      <c r="DU16" t="s">
        <v>24</v>
      </c>
      <c r="DV16" t="s">
        <v>25</v>
      </c>
      <c r="DW16" t="s">
        <v>25</v>
      </c>
      <c r="DX16" t="s">
        <v>24</v>
      </c>
      <c r="DY16" t="s">
        <v>26</v>
      </c>
      <c r="DZ16" t="s">
        <v>24</v>
      </c>
      <c r="EA16" t="s">
        <v>25</v>
      </c>
      <c r="EB16" t="s">
        <v>23</v>
      </c>
      <c r="EC16" t="s">
        <v>23</v>
      </c>
      <c r="ED16" t="s">
        <v>25</v>
      </c>
      <c r="EE16" t="s">
        <v>26</v>
      </c>
      <c r="EF16" t="s">
        <v>24</v>
      </c>
      <c r="EG16" t="s">
        <v>25</v>
      </c>
      <c r="EH16" t="s">
        <v>23</v>
      </c>
      <c r="EI16" t="s">
        <v>2</v>
      </c>
      <c r="EJ16" t="s">
        <v>24</v>
      </c>
      <c r="EK16" t="s">
        <v>2</v>
      </c>
      <c r="EL16" t="s">
        <v>2</v>
      </c>
      <c r="EM16" t="s">
        <v>2</v>
      </c>
      <c r="EN16" t="s">
        <v>23</v>
      </c>
      <c r="EO16" t="s">
        <v>25</v>
      </c>
      <c r="EP16" s="15" t="s">
        <v>24</v>
      </c>
      <c r="EQ16" s="15" t="s">
        <v>24</v>
      </c>
      <c r="ER16" s="15" t="s">
        <v>23</v>
      </c>
      <c r="ES16" s="15" t="s">
        <v>24</v>
      </c>
      <c r="ET16" s="15" t="s">
        <v>23</v>
      </c>
      <c r="EU16" s="15" t="s">
        <v>25</v>
      </c>
      <c r="EV16" s="15" t="s">
        <v>23</v>
      </c>
      <c r="EW16" s="15" t="s">
        <v>2</v>
      </c>
      <c r="EX16" s="15" t="s">
        <v>24</v>
      </c>
      <c r="EY16" s="15"/>
      <c r="EZ16" s="15" t="s">
        <v>25</v>
      </c>
      <c r="FA16" s="15" t="s">
        <v>23</v>
      </c>
      <c r="FB16" s="15" t="s">
        <v>2</v>
      </c>
      <c r="FC16" s="15" t="s">
        <v>2</v>
      </c>
      <c r="FD16" s="15" t="s">
        <v>23</v>
      </c>
      <c r="FE16" s="15" t="s">
        <v>24</v>
      </c>
      <c r="FF16" s="15" t="s">
        <v>25</v>
      </c>
      <c r="FG16" s="15" t="s">
        <v>23</v>
      </c>
      <c r="FH16" s="15" t="s">
        <v>2</v>
      </c>
      <c r="FI16" s="15" t="s">
        <v>25</v>
      </c>
      <c r="FJ16" s="15" t="s">
        <v>25</v>
      </c>
      <c r="FK16" s="15" t="s">
        <v>2</v>
      </c>
      <c r="FL16" s="15" t="s">
        <v>23</v>
      </c>
      <c r="FM16" s="15" t="s">
        <v>24</v>
      </c>
      <c r="FN16" s="15" t="s">
        <v>25</v>
      </c>
      <c r="FO16" s="15" t="s">
        <v>23</v>
      </c>
      <c r="FP16" s="15" t="s">
        <v>25</v>
      </c>
      <c r="FQ16" s="15" t="s">
        <v>2</v>
      </c>
      <c r="FR16" s="15" t="s">
        <v>2</v>
      </c>
      <c r="FS16" t="s">
        <v>23</v>
      </c>
      <c r="FT16" t="s">
        <v>23</v>
      </c>
      <c r="FU16" t="s">
        <v>2</v>
      </c>
      <c r="FV16" t="s">
        <v>25</v>
      </c>
      <c r="FW16" t="s">
        <v>25</v>
      </c>
      <c r="FX16" t="s">
        <v>24</v>
      </c>
      <c r="FY16" s="15" t="s">
        <v>23</v>
      </c>
      <c r="FZ16" s="15" t="s">
        <v>24</v>
      </c>
      <c r="GA16" s="15" t="s">
        <v>24</v>
      </c>
      <c r="GB16" t="s">
        <v>23</v>
      </c>
      <c r="GC16" t="s">
        <v>2</v>
      </c>
      <c r="GD16" t="s">
        <v>2</v>
      </c>
      <c r="GE16" t="s">
        <v>25</v>
      </c>
      <c r="GF16" t="s">
        <v>25</v>
      </c>
      <c r="GG16" s="15" t="s">
        <v>23</v>
      </c>
      <c r="GH16" s="15" t="s">
        <v>24</v>
      </c>
      <c r="GI16" s="15" t="s">
        <v>24</v>
      </c>
      <c r="GJ16" s="15" t="s">
        <v>25</v>
      </c>
      <c r="GK16" t="s">
        <v>24</v>
      </c>
      <c r="GL16" s="15" t="s">
        <v>24</v>
      </c>
      <c r="GM16" s="15" t="s">
        <v>2</v>
      </c>
      <c r="GN16" t="s">
        <v>25</v>
      </c>
      <c r="GO16" s="15" t="s">
        <v>23</v>
      </c>
      <c r="GP16" s="15" t="s">
        <v>2</v>
      </c>
      <c r="GQ16" s="15" t="s">
        <v>2</v>
      </c>
      <c r="GR16" s="15" t="s">
        <v>23</v>
      </c>
      <c r="GS16" s="15" t="s">
        <v>23</v>
      </c>
      <c r="GT16" s="15" t="s">
        <v>25</v>
      </c>
      <c r="GU16" t="s">
        <v>25</v>
      </c>
      <c r="GV16" t="s">
        <v>24</v>
      </c>
      <c r="GW16" t="s">
        <v>23</v>
      </c>
      <c r="GX16" t="s">
        <v>23</v>
      </c>
      <c r="GY16" t="s">
        <v>25</v>
      </c>
      <c r="GZ16" t="s">
        <v>25</v>
      </c>
      <c r="HA16" t="s">
        <v>25</v>
      </c>
      <c r="HB16" t="s">
        <v>2</v>
      </c>
      <c r="HC16" t="s">
        <v>2</v>
      </c>
      <c r="HD16" t="s">
        <v>25</v>
      </c>
      <c r="HE16" t="s">
        <v>23</v>
      </c>
      <c r="HF16" t="s">
        <v>23</v>
      </c>
      <c r="HG16" t="s">
        <v>24</v>
      </c>
      <c r="HH16" s="15"/>
      <c r="HI16" s="15" t="s">
        <v>25</v>
      </c>
      <c r="HJ16" s="15" t="s">
        <v>24</v>
      </c>
      <c r="HK16" s="15" t="s">
        <v>25</v>
      </c>
      <c r="HL16" s="15" t="s">
        <v>25</v>
      </c>
      <c r="HM16" s="15" t="s">
        <v>23</v>
      </c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IQ16" s="15"/>
      <c r="IS16" s="15"/>
      <c r="IU16" s="15"/>
      <c r="IW16" s="15"/>
      <c r="IX16" s="15"/>
      <c r="IY16" s="15"/>
      <c r="IZ16" s="15"/>
      <c r="JZ16" s="15"/>
      <c r="KA16" s="15"/>
      <c r="KB16" s="15"/>
      <c r="KC16" s="15"/>
      <c r="KD16" s="15"/>
      <c r="KE16" s="15"/>
      <c r="KF16" s="15"/>
      <c r="KG16" s="15"/>
      <c r="KH16" s="15"/>
      <c r="KK16" s="15"/>
      <c r="KL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</row>
    <row r="17" spans="1:330">
      <c r="A17">
        <v>43662</v>
      </c>
      <c r="B17" s="15" t="s">
        <v>39</v>
      </c>
      <c r="C17" s="15" t="s">
        <v>507</v>
      </c>
      <c r="D17" s="15" t="s">
        <v>37</v>
      </c>
      <c r="E17" s="15" t="s">
        <v>765</v>
      </c>
      <c r="F17" s="15"/>
      <c r="G17" s="15" t="s">
        <v>24</v>
      </c>
      <c r="H17" s="15" t="s">
        <v>25</v>
      </c>
      <c r="I17" s="15" t="s">
        <v>23</v>
      </c>
      <c r="J17" s="15" t="s">
        <v>23</v>
      </c>
      <c r="K17" s="15" t="s">
        <v>25</v>
      </c>
      <c r="L17" s="15" t="s">
        <v>2</v>
      </c>
      <c r="M17" s="15" t="s">
        <v>24</v>
      </c>
      <c r="N17" s="15" t="s">
        <v>23</v>
      </c>
      <c r="O17" s="15" t="s">
        <v>24</v>
      </c>
      <c r="P17" s="15" t="s">
        <v>2</v>
      </c>
      <c r="Q17" s="15" t="s">
        <v>2</v>
      </c>
      <c r="R17" s="15" t="s">
        <v>24</v>
      </c>
      <c r="S17" s="15" t="s">
        <v>2</v>
      </c>
      <c r="T17" s="15" t="s">
        <v>25</v>
      </c>
      <c r="U17" s="15" t="s">
        <v>23</v>
      </c>
      <c r="V17" s="15" t="s">
        <v>24</v>
      </c>
      <c r="W17" s="15" t="s">
        <v>2</v>
      </c>
      <c r="X17" s="15" t="s">
        <v>23</v>
      </c>
      <c r="Y17" s="15" t="s">
        <v>2</v>
      </c>
      <c r="Z17" t="s">
        <v>24</v>
      </c>
      <c r="AA17" t="s">
        <v>23</v>
      </c>
      <c r="AB17" t="s">
        <v>2</v>
      </c>
      <c r="AC17" t="s">
        <v>25</v>
      </c>
      <c r="AD17" t="s">
        <v>25</v>
      </c>
      <c r="AE17" t="s">
        <v>23</v>
      </c>
      <c r="AF17" t="s">
        <v>25</v>
      </c>
      <c r="AG17" t="s">
        <v>2</v>
      </c>
      <c r="AH17" t="s">
        <v>2</v>
      </c>
      <c r="AI17" t="s">
        <v>24</v>
      </c>
      <c r="AJ17" t="s">
        <v>23</v>
      </c>
      <c r="AK17" t="s">
        <v>2</v>
      </c>
      <c r="AL17" t="s">
        <v>2</v>
      </c>
      <c r="AM17" t="s">
        <v>23</v>
      </c>
      <c r="AN17" t="s">
        <v>23</v>
      </c>
      <c r="AO17" s="15" t="s">
        <v>25</v>
      </c>
      <c r="AP17" s="15" t="s">
        <v>2</v>
      </c>
      <c r="AQ17" s="15" t="s">
        <v>25</v>
      </c>
      <c r="AR17" s="15" t="s">
        <v>23</v>
      </c>
      <c r="AS17" s="15" t="s">
        <v>24</v>
      </c>
      <c r="AT17" s="15" t="s">
        <v>25</v>
      </c>
      <c r="AU17" s="15" t="s">
        <v>25</v>
      </c>
      <c r="AV17" s="15" t="s">
        <v>2</v>
      </c>
      <c r="AW17" s="15" t="s">
        <v>25</v>
      </c>
      <c r="AX17" s="15" t="s">
        <v>23</v>
      </c>
      <c r="AY17" s="15" t="s">
        <v>24</v>
      </c>
      <c r="AZ17" s="15" t="s">
        <v>24</v>
      </c>
      <c r="BA17" s="15" t="s">
        <v>25</v>
      </c>
      <c r="BB17" s="15" t="s">
        <v>24</v>
      </c>
      <c r="BC17" s="15" t="s">
        <v>23</v>
      </c>
      <c r="BD17" s="15" t="s">
        <v>23</v>
      </c>
      <c r="BE17" s="15" t="s">
        <v>24</v>
      </c>
      <c r="BF17" s="15" t="s">
        <v>2</v>
      </c>
      <c r="BG17" s="15" t="s">
        <v>2</v>
      </c>
      <c r="BH17" s="15" t="s">
        <v>25</v>
      </c>
      <c r="BI17" s="15" t="s">
        <v>2</v>
      </c>
      <c r="BJ17" s="15" t="s">
        <v>25</v>
      </c>
      <c r="BK17" s="15" t="s">
        <v>23</v>
      </c>
      <c r="BL17" s="15" t="s">
        <v>24</v>
      </c>
      <c r="BM17" t="s">
        <v>25</v>
      </c>
      <c r="BN17" t="s">
        <v>23</v>
      </c>
      <c r="BO17" t="s">
        <v>2</v>
      </c>
      <c r="BP17" t="s">
        <v>2</v>
      </c>
      <c r="BQ17" t="s">
        <v>24</v>
      </c>
      <c r="BR17" t="s">
        <v>23</v>
      </c>
      <c r="BS17" t="s">
        <v>23</v>
      </c>
      <c r="BT17" t="s">
        <v>25</v>
      </c>
      <c r="BU17" t="s">
        <v>23</v>
      </c>
      <c r="BV17" t="s">
        <v>2</v>
      </c>
      <c r="BW17" t="s">
        <v>24</v>
      </c>
      <c r="BX17" s="15" t="s">
        <v>25</v>
      </c>
      <c r="BY17" s="15" t="s">
        <v>25</v>
      </c>
      <c r="BZ17" s="15" t="s">
        <v>25</v>
      </c>
      <c r="CA17" s="15" t="s">
        <v>2</v>
      </c>
      <c r="CB17" s="15" t="s">
        <v>2</v>
      </c>
      <c r="CC17" s="15" t="s">
        <v>24</v>
      </c>
      <c r="CD17" s="15" t="s">
        <v>2</v>
      </c>
      <c r="CE17" s="15" t="s">
        <v>25</v>
      </c>
      <c r="CF17" t="s">
        <v>24</v>
      </c>
      <c r="CG17" t="s">
        <v>2</v>
      </c>
      <c r="CH17" t="s">
        <v>25</v>
      </c>
      <c r="CI17" t="s">
        <v>23</v>
      </c>
      <c r="CJ17" t="s">
        <v>25</v>
      </c>
      <c r="CK17" t="s">
        <v>23</v>
      </c>
      <c r="CL17" t="s">
        <v>24</v>
      </c>
      <c r="CM17" t="s">
        <v>24</v>
      </c>
      <c r="CN17" t="s">
        <v>26</v>
      </c>
      <c r="CO17" t="s">
        <v>23</v>
      </c>
      <c r="CP17" t="s">
        <v>2</v>
      </c>
      <c r="CQ17" t="s">
        <v>24</v>
      </c>
      <c r="CR17" t="s">
        <v>25</v>
      </c>
      <c r="CS17" t="s">
        <v>26</v>
      </c>
      <c r="CT17" t="s">
        <v>24</v>
      </c>
      <c r="CU17" t="s">
        <v>23</v>
      </c>
      <c r="CV17" t="s">
        <v>23</v>
      </c>
      <c r="CW17" t="s">
        <v>24</v>
      </c>
      <c r="CX17" t="s">
        <v>25</v>
      </c>
      <c r="CY17" t="s">
        <v>2</v>
      </c>
      <c r="CZ17" t="s">
        <v>25</v>
      </c>
      <c r="DA17" t="s">
        <v>25</v>
      </c>
      <c r="DB17" t="s">
        <v>26</v>
      </c>
      <c r="DC17" t="s">
        <v>25</v>
      </c>
      <c r="DD17" t="s">
        <v>2</v>
      </c>
      <c r="DE17" t="s">
        <v>24</v>
      </c>
      <c r="DF17" t="s">
        <v>26</v>
      </c>
      <c r="DG17" t="s">
        <v>26</v>
      </c>
      <c r="DH17" t="s">
        <v>2</v>
      </c>
      <c r="DI17" t="s">
        <v>26</v>
      </c>
      <c r="DJ17" t="s">
        <v>25</v>
      </c>
      <c r="DK17" t="s">
        <v>26</v>
      </c>
      <c r="DL17" t="s">
        <v>25</v>
      </c>
      <c r="DM17" t="s">
        <v>2</v>
      </c>
      <c r="DN17" t="s">
        <v>23</v>
      </c>
      <c r="DO17" t="s">
        <v>23</v>
      </c>
      <c r="DP17" t="s">
        <v>26</v>
      </c>
      <c r="DQ17" t="s">
        <v>2</v>
      </c>
      <c r="DR17" t="s">
        <v>2</v>
      </c>
      <c r="DS17" t="s">
        <v>26</v>
      </c>
      <c r="DT17" t="s">
        <v>25</v>
      </c>
      <c r="DU17" t="s">
        <v>23</v>
      </c>
      <c r="DV17" t="s">
        <v>25</v>
      </c>
      <c r="DW17" t="s">
        <v>25</v>
      </c>
      <c r="DX17" t="s">
        <v>23</v>
      </c>
      <c r="DY17" t="s">
        <v>26</v>
      </c>
      <c r="DZ17" t="s">
        <v>24</v>
      </c>
      <c r="EA17" t="s">
        <v>25</v>
      </c>
      <c r="EB17" t="s">
        <v>23</v>
      </c>
      <c r="EC17" t="s">
        <v>23</v>
      </c>
      <c r="ED17" t="s">
        <v>2</v>
      </c>
      <c r="EE17" t="s">
        <v>26</v>
      </c>
      <c r="EF17" t="s">
        <v>24</v>
      </c>
      <c r="EG17" t="s">
        <v>25</v>
      </c>
      <c r="EH17" t="s">
        <v>26</v>
      </c>
      <c r="EI17" t="s">
        <v>25</v>
      </c>
      <c r="EJ17" t="s">
        <v>2</v>
      </c>
      <c r="EK17" t="s">
        <v>23</v>
      </c>
      <c r="EL17" t="s">
        <v>2</v>
      </c>
      <c r="EM17" t="s">
        <v>24</v>
      </c>
      <c r="EN17" t="s">
        <v>23</v>
      </c>
      <c r="EO17" t="s">
        <v>2</v>
      </c>
      <c r="EP17" s="15" t="s">
        <v>24</v>
      </c>
      <c r="EQ17" s="15" t="s">
        <v>24</v>
      </c>
      <c r="ER17" s="15" t="s">
        <v>23</v>
      </c>
      <c r="ES17" t="s">
        <v>2</v>
      </c>
      <c r="ET17" s="15" t="s">
        <v>23</v>
      </c>
      <c r="EU17" s="15" t="s">
        <v>23</v>
      </c>
      <c r="EV17" s="15" t="s">
        <v>23</v>
      </c>
      <c r="EW17" s="15" t="s">
        <v>2</v>
      </c>
      <c r="EX17" s="15" t="s">
        <v>24</v>
      </c>
      <c r="EY17" s="15" t="s">
        <v>2</v>
      </c>
      <c r="EZ17" s="15" t="s">
        <v>25</v>
      </c>
      <c r="FA17" s="15" t="s">
        <v>23</v>
      </c>
      <c r="FB17" s="15" t="s">
        <v>25</v>
      </c>
      <c r="FC17" s="15" t="s">
        <v>2</v>
      </c>
      <c r="FD17" s="15" t="s">
        <v>2</v>
      </c>
      <c r="FE17" s="15" t="s">
        <v>24</v>
      </c>
      <c r="FF17" s="15" t="s">
        <v>25</v>
      </c>
      <c r="FG17" s="15" t="s">
        <v>23</v>
      </c>
      <c r="FH17" s="15" t="s">
        <v>2</v>
      </c>
      <c r="FI17" s="15" t="s">
        <v>25</v>
      </c>
      <c r="FJ17" s="15" t="s">
        <v>23</v>
      </c>
      <c r="FK17" s="15" t="s">
        <v>24</v>
      </c>
      <c r="FL17" s="15" t="s">
        <v>23</v>
      </c>
      <c r="FM17" s="15" t="s">
        <v>24</v>
      </c>
      <c r="FN17" s="15" t="s">
        <v>25</v>
      </c>
      <c r="FO17" s="15" t="s">
        <v>24</v>
      </c>
      <c r="FP17" s="15" t="s">
        <v>25</v>
      </c>
      <c r="FQ17" s="15" t="s">
        <v>24</v>
      </c>
      <c r="FR17" s="15" t="s">
        <v>2</v>
      </c>
      <c r="FS17" s="15" t="s">
        <v>2</v>
      </c>
      <c r="FT17" s="15" t="s">
        <v>23</v>
      </c>
      <c r="FU17" s="15" t="s">
        <v>2</v>
      </c>
      <c r="FV17" s="15" t="s">
        <v>24</v>
      </c>
      <c r="FW17" s="15" t="s">
        <v>24</v>
      </c>
      <c r="FX17" s="15" t="s">
        <v>25</v>
      </c>
      <c r="FY17" s="15" t="s">
        <v>23</v>
      </c>
      <c r="FZ17" s="15" t="s">
        <v>24</v>
      </c>
      <c r="GA17" s="15" t="s">
        <v>24</v>
      </c>
      <c r="GB17" s="15" t="s">
        <v>23</v>
      </c>
      <c r="GC17" s="15" t="s">
        <v>2</v>
      </c>
      <c r="GD17" s="15" t="s">
        <v>2</v>
      </c>
      <c r="GE17" s="15" t="s">
        <v>2</v>
      </c>
      <c r="GF17" s="15" t="s">
        <v>25</v>
      </c>
      <c r="GG17" s="15" t="s">
        <v>23</v>
      </c>
      <c r="GH17" s="15" t="s">
        <v>2</v>
      </c>
      <c r="GI17" s="15" t="s">
        <v>24</v>
      </c>
      <c r="GJ17" s="15" t="s">
        <v>24</v>
      </c>
      <c r="GK17" s="15" t="s">
        <v>25</v>
      </c>
      <c r="GL17" s="15" t="s">
        <v>24</v>
      </c>
      <c r="GM17" s="15" t="s">
        <v>2</v>
      </c>
      <c r="GN17" s="15" t="s">
        <v>25</v>
      </c>
      <c r="GO17" s="15" t="s">
        <v>24</v>
      </c>
      <c r="GP17" s="15" t="s">
        <v>24</v>
      </c>
      <c r="GQ17" s="15" t="s">
        <v>2</v>
      </c>
      <c r="GR17" s="15" t="s">
        <v>2</v>
      </c>
      <c r="GS17" s="15" t="s">
        <v>23</v>
      </c>
      <c r="GT17" s="15" t="s">
        <v>25</v>
      </c>
      <c r="GU17" s="15" t="s">
        <v>24</v>
      </c>
      <c r="GV17" s="15" t="s">
        <v>25</v>
      </c>
      <c r="GW17" t="s">
        <v>24</v>
      </c>
      <c r="GX17" t="s">
        <v>23</v>
      </c>
      <c r="GY17" t="s">
        <v>25</v>
      </c>
      <c r="GZ17" t="s">
        <v>25</v>
      </c>
      <c r="HA17" t="s">
        <v>24</v>
      </c>
      <c r="HB17" t="s">
        <v>23</v>
      </c>
      <c r="HC17" t="s">
        <v>2</v>
      </c>
      <c r="HD17" t="s">
        <v>2</v>
      </c>
      <c r="HE17" t="s">
        <v>25</v>
      </c>
      <c r="HF17" t="s">
        <v>23</v>
      </c>
      <c r="HG17" t="s">
        <v>25</v>
      </c>
      <c r="HH17" s="15" t="s">
        <v>24</v>
      </c>
      <c r="HI17" s="15" t="s">
        <v>25</v>
      </c>
      <c r="HJ17" s="15" t="s">
        <v>23</v>
      </c>
      <c r="HK17" s="15" t="s">
        <v>25</v>
      </c>
      <c r="HL17" s="15" t="s">
        <v>25</v>
      </c>
      <c r="HM17" s="15" t="s">
        <v>23</v>
      </c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</row>
    <row r="18" spans="1:330">
      <c r="A18">
        <v>43662</v>
      </c>
      <c r="B18" s="15" t="s">
        <v>40</v>
      </c>
      <c r="C18" s="15" t="s">
        <v>645</v>
      </c>
      <c r="D18" s="15" t="s">
        <v>37</v>
      </c>
      <c r="E18" s="15" t="s">
        <v>765</v>
      </c>
      <c r="F18" s="15"/>
      <c r="G18" s="15" t="s">
        <v>24</v>
      </c>
      <c r="H18" s="15" t="s">
        <v>25</v>
      </c>
      <c r="I18" s="15" t="s">
        <v>24</v>
      </c>
      <c r="J18" s="15" t="s">
        <v>23</v>
      </c>
      <c r="K18" s="15" t="s">
        <v>25</v>
      </c>
      <c r="L18" s="15" t="s">
        <v>2</v>
      </c>
      <c r="M18" s="15" t="s">
        <v>24</v>
      </c>
      <c r="N18" s="15" t="s">
        <v>23</v>
      </c>
      <c r="O18" s="15" t="s">
        <v>24</v>
      </c>
      <c r="P18" s="15" t="s">
        <v>23</v>
      </c>
      <c r="Q18" s="15" t="s">
        <v>2</v>
      </c>
      <c r="R18" s="15" t="s">
        <v>24</v>
      </c>
      <c r="S18" s="15" t="s">
        <v>2</v>
      </c>
      <c r="T18" s="15" t="s">
        <v>23</v>
      </c>
      <c r="U18" s="15" t="s">
        <v>2</v>
      </c>
      <c r="V18" s="15" t="s">
        <v>25</v>
      </c>
      <c r="W18" s="15" t="s">
        <v>2</v>
      </c>
      <c r="X18" s="15" t="s">
        <v>23</v>
      </c>
      <c r="Y18" s="15" t="s">
        <v>2</v>
      </c>
      <c r="Z18" t="s">
        <v>24</v>
      </c>
      <c r="AA18" t="s">
        <v>23</v>
      </c>
      <c r="AB18" t="s">
        <v>2</v>
      </c>
      <c r="AC18" t="s">
        <v>25</v>
      </c>
      <c r="AD18" t="s">
        <v>25</v>
      </c>
      <c r="AE18" t="s">
        <v>23</v>
      </c>
      <c r="AF18" t="s">
        <v>25</v>
      </c>
      <c r="AG18" t="s">
        <v>23</v>
      </c>
      <c r="AH18" t="s">
        <v>2</v>
      </c>
      <c r="AI18" t="s">
        <v>24</v>
      </c>
      <c r="AJ18" t="s">
        <v>23</v>
      </c>
      <c r="AK18" t="s">
        <v>2</v>
      </c>
      <c r="AL18" t="s">
        <v>2</v>
      </c>
      <c r="AM18" t="s">
        <v>23</v>
      </c>
      <c r="AN18" t="s">
        <v>24</v>
      </c>
      <c r="AO18" s="15" t="s">
        <v>25</v>
      </c>
      <c r="AP18" s="15" t="s">
        <v>2</v>
      </c>
      <c r="AQ18" s="15" t="s">
        <v>25</v>
      </c>
      <c r="AR18" t="s">
        <v>23</v>
      </c>
      <c r="AS18" s="15" t="s">
        <v>24</v>
      </c>
      <c r="AT18" s="15" t="s">
        <v>25</v>
      </c>
      <c r="AU18" s="15" t="s">
        <v>25</v>
      </c>
      <c r="AV18" s="15" t="s">
        <v>2</v>
      </c>
      <c r="AW18" s="15" t="s">
        <v>25</v>
      </c>
      <c r="AX18" s="15" t="s">
        <v>24</v>
      </c>
      <c r="AY18" s="15" t="s">
        <v>24</v>
      </c>
      <c r="AZ18" s="15" t="s">
        <v>25</v>
      </c>
      <c r="BA18" s="15" t="s">
        <v>25</v>
      </c>
      <c r="BB18" s="15" t="s">
        <v>23</v>
      </c>
      <c r="BC18" s="15" t="s">
        <v>25</v>
      </c>
      <c r="BD18" s="15" t="s">
        <v>23</v>
      </c>
      <c r="BE18" s="15" t="s">
        <v>24</v>
      </c>
      <c r="BF18" s="15" t="s">
        <v>2</v>
      </c>
      <c r="BG18" s="15" t="s">
        <v>24</v>
      </c>
      <c r="BH18" s="15" t="s">
        <v>2</v>
      </c>
      <c r="BI18" s="15" t="s">
        <v>24</v>
      </c>
      <c r="BJ18" s="15" t="s">
        <v>25</v>
      </c>
      <c r="BK18" s="15" t="s">
        <v>23</v>
      </c>
      <c r="BL18" s="15" t="s">
        <v>24</v>
      </c>
      <c r="BM18" t="s">
        <v>25</v>
      </c>
      <c r="BN18" t="s">
        <v>23</v>
      </c>
      <c r="BO18" t="s">
        <v>2</v>
      </c>
      <c r="BP18" t="s">
        <v>25</v>
      </c>
      <c r="BQ18" t="s">
        <v>24</v>
      </c>
      <c r="BR18" t="s">
        <v>23</v>
      </c>
      <c r="BS18" t="s">
        <v>25</v>
      </c>
      <c r="BT18" t="s">
        <v>24</v>
      </c>
      <c r="BU18" t="s">
        <v>23</v>
      </c>
      <c r="BV18" t="s">
        <v>2</v>
      </c>
      <c r="BW18" t="s">
        <v>24</v>
      </c>
      <c r="BX18" s="15" t="s">
        <v>23</v>
      </c>
      <c r="BY18" s="15" t="s">
        <v>24</v>
      </c>
      <c r="BZ18" s="15" t="s">
        <v>25</v>
      </c>
      <c r="CA18" s="15" t="s">
        <v>2</v>
      </c>
      <c r="CB18" s="15" t="s">
        <v>24</v>
      </c>
      <c r="CC18" s="15" t="s">
        <v>24</v>
      </c>
      <c r="CD18" s="15" t="s">
        <v>2</v>
      </c>
      <c r="CE18" s="15" t="s">
        <v>25</v>
      </c>
      <c r="CF18" t="s">
        <v>24</v>
      </c>
      <c r="CG18" t="s">
        <v>2</v>
      </c>
      <c r="CH18" t="s">
        <v>23</v>
      </c>
      <c r="CI18" t="s">
        <v>23</v>
      </c>
      <c r="CJ18" t="s">
        <v>25</v>
      </c>
      <c r="CK18" t="s">
        <v>23</v>
      </c>
      <c r="CL18" t="s">
        <v>24</v>
      </c>
      <c r="CM18" t="s">
        <v>24</v>
      </c>
      <c r="CN18" t="s">
        <v>26</v>
      </c>
      <c r="CO18" t="s">
        <v>23</v>
      </c>
      <c r="CP18" t="s">
        <v>2</v>
      </c>
      <c r="CQ18" t="s">
        <v>24</v>
      </c>
      <c r="CR18" t="s">
        <v>25</v>
      </c>
      <c r="CS18" t="s">
        <v>26</v>
      </c>
      <c r="CT18" t="s">
        <v>24</v>
      </c>
      <c r="CU18" t="s">
        <v>23</v>
      </c>
      <c r="CV18" t="s">
        <v>23</v>
      </c>
      <c r="CW18" t="s">
        <v>24</v>
      </c>
      <c r="CX18" t="s">
        <v>25</v>
      </c>
      <c r="CY18" t="s">
        <v>25</v>
      </c>
      <c r="CZ18" t="s">
        <v>25</v>
      </c>
      <c r="DA18" t="s">
        <v>24</v>
      </c>
      <c r="DB18" t="s">
        <v>23</v>
      </c>
      <c r="DC18" t="s">
        <v>25</v>
      </c>
      <c r="DD18" t="s">
        <v>2</v>
      </c>
      <c r="DE18" t="s">
        <v>24</v>
      </c>
      <c r="DF18" t="s">
        <v>24</v>
      </c>
      <c r="DG18" t="s">
        <v>26</v>
      </c>
      <c r="DH18" t="s">
        <v>25</v>
      </c>
      <c r="DI18" t="s">
        <v>26</v>
      </c>
      <c r="DJ18" t="s">
        <v>25</v>
      </c>
      <c r="DK18" t="s">
        <v>26</v>
      </c>
      <c r="DL18" t="s">
        <v>25</v>
      </c>
      <c r="DM18" t="s">
        <v>24</v>
      </c>
      <c r="DN18" t="s">
        <v>23</v>
      </c>
      <c r="DO18" t="s">
        <v>23</v>
      </c>
      <c r="DP18" t="s">
        <v>2</v>
      </c>
      <c r="DQ18" t="s">
        <v>2</v>
      </c>
      <c r="DR18" t="s">
        <v>2</v>
      </c>
      <c r="DS18" t="s">
        <v>26</v>
      </c>
      <c r="DT18" t="s">
        <v>26</v>
      </c>
      <c r="DU18" t="s">
        <v>25</v>
      </c>
      <c r="DV18" t="s">
        <v>25</v>
      </c>
      <c r="DW18" t="s">
        <v>23</v>
      </c>
      <c r="DX18" t="s">
        <v>24</v>
      </c>
      <c r="DY18" t="s">
        <v>25</v>
      </c>
      <c r="DZ18" t="s">
        <v>24</v>
      </c>
      <c r="EA18" t="s">
        <v>2</v>
      </c>
      <c r="EB18" t="s">
        <v>23</v>
      </c>
      <c r="EC18" t="s">
        <v>23</v>
      </c>
      <c r="ED18" t="s">
        <v>2</v>
      </c>
      <c r="EE18" t="s">
        <v>26</v>
      </c>
      <c r="EF18" t="s">
        <v>26</v>
      </c>
      <c r="EG18" t="s">
        <v>25</v>
      </c>
      <c r="EH18" t="s">
        <v>26</v>
      </c>
      <c r="EI18" t="s">
        <v>23</v>
      </c>
      <c r="EJ18" t="s">
        <v>2</v>
      </c>
      <c r="EK18" t="s">
        <v>23</v>
      </c>
      <c r="EL18" t="s">
        <v>25</v>
      </c>
      <c r="EM18" t="s">
        <v>24</v>
      </c>
      <c r="EN18" t="s">
        <v>25</v>
      </c>
      <c r="EO18" t="s">
        <v>25</v>
      </c>
      <c r="EP18" s="15" t="s">
        <v>24</v>
      </c>
      <c r="EQ18" s="15" t="s">
        <v>25</v>
      </c>
      <c r="ER18" s="15" t="s">
        <v>23</v>
      </c>
      <c r="ES18" s="15" t="s">
        <v>2</v>
      </c>
      <c r="ET18" s="15" t="s">
        <v>25</v>
      </c>
      <c r="EU18" s="15" t="s">
        <v>2</v>
      </c>
      <c r="EV18" s="15" t="s">
        <v>23</v>
      </c>
      <c r="EW18" s="15" t="s">
        <v>2</v>
      </c>
      <c r="EX18" s="15" t="s">
        <v>24</v>
      </c>
      <c r="EY18" s="15" t="s">
        <v>23</v>
      </c>
      <c r="EZ18" s="15"/>
      <c r="FA18" s="15" t="s">
        <v>23</v>
      </c>
      <c r="FB18" s="15" t="s">
        <v>25</v>
      </c>
      <c r="FC18" s="15" t="s">
        <v>25</v>
      </c>
      <c r="FD18" s="15" t="s">
        <v>24</v>
      </c>
      <c r="FE18" s="15" t="s">
        <v>2</v>
      </c>
      <c r="FF18" s="15" t="s">
        <v>2</v>
      </c>
      <c r="FG18" s="15" t="s">
        <v>25</v>
      </c>
      <c r="FH18" s="15" t="s">
        <v>2</v>
      </c>
      <c r="FI18" s="15" t="s">
        <v>25</v>
      </c>
      <c r="FJ18" s="15" t="s">
        <v>23</v>
      </c>
      <c r="FK18" s="15" t="s">
        <v>23</v>
      </c>
      <c r="FL18" s="15"/>
      <c r="FM18" s="15"/>
      <c r="FN18" s="15"/>
      <c r="FO18" s="15"/>
      <c r="FP18" s="15" t="s">
        <v>25</v>
      </c>
      <c r="FQ18" s="15" t="s">
        <v>23</v>
      </c>
      <c r="FR18" s="15" t="s">
        <v>2</v>
      </c>
      <c r="FS18" s="15" t="s">
        <v>2</v>
      </c>
      <c r="FT18" s="15" t="s">
        <v>23</v>
      </c>
      <c r="FU18" s="15" t="s">
        <v>2</v>
      </c>
      <c r="FV18" s="15" t="s">
        <v>24</v>
      </c>
      <c r="FW18" s="15" t="s">
        <v>24</v>
      </c>
      <c r="FX18" s="15" t="s">
        <v>25</v>
      </c>
      <c r="FY18" s="15" t="s">
        <v>23</v>
      </c>
      <c r="FZ18" s="15" t="s">
        <v>24</v>
      </c>
      <c r="GA18" s="15" t="s">
        <v>24</v>
      </c>
      <c r="GB18" s="15" t="s">
        <v>23</v>
      </c>
      <c r="GC18" s="15" t="s">
        <v>25</v>
      </c>
      <c r="GD18" s="15" t="s">
        <v>2</v>
      </c>
      <c r="GE18" s="15" t="s">
        <v>23</v>
      </c>
      <c r="GF18" s="15" t="s">
        <v>25</v>
      </c>
      <c r="GG18" s="15" t="s">
        <v>23</v>
      </c>
      <c r="GH18" s="15" t="s">
        <v>2</v>
      </c>
      <c r="GI18" s="15" t="s">
        <v>25</v>
      </c>
      <c r="GJ18" s="15" t="s">
        <v>23</v>
      </c>
      <c r="GK18" s="15" t="s">
        <v>25</v>
      </c>
      <c r="GL18" s="15" t="s">
        <v>23</v>
      </c>
      <c r="GM18" s="15" t="s">
        <v>2</v>
      </c>
      <c r="GN18" s="15" t="s">
        <v>25</v>
      </c>
      <c r="GO18" s="15" t="s">
        <v>23</v>
      </c>
      <c r="GP18" s="15" t="s">
        <v>24</v>
      </c>
      <c r="GQ18" s="15" t="s">
        <v>23</v>
      </c>
      <c r="GR18" s="15" t="s">
        <v>2</v>
      </c>
      <c r="GS18" s="15" t="s">
        <v>23</v>
      </c>
      <c r="GT18" s="15" t="s">
        <v>25</v>
      </c>
      <c r="GU18" s="15" t="s">
        <v>25</v>
      </c>
      <c r="GV18" s="15" t="s">
        <v>24</v>
      </c>
      <c r="GW18" t="s">
        <v>23</v>
      </c>
      <c r="GX18" t="s">
        <v>23</v>
      </c>
      <c r="GY18" t="s">
        <v>25</v>
      </c>
      <c r="GZ18" t="s">
        <v>25</v>
      </c>
      <c r="HA18" t="s">
        <v>25</v>
      </c>
      <c r="HB18" t="s">
        <v>23</v>
      </c>
      <c r="HC18" t="s">
        <v>2</v>
      </c>
      <c r="HD18" t="s">
        <v>2</v>
      </c>
      <c r="HE18" t="s">
        <v>25</v>
      </c>
      <c r="HF18" t="s">
        <v>23</v>
      </c>
      <c r="HG18" t="s">
        <v>25</v>
      </c>
      <c r="HH18" s="15" t="s">
        <v>24</v>
      </c>
      <c r="HI18" s="15" t="s">
        <v>25</v>
      </c>
      <c r="HJ18" s="15" t="s">
        <v>23</v>
      </c>
      <c r="HK18" s="15" t="s">
        <v>25</v>
      </c>
      <c r="HL18" s="15" t="s">
        <v>2</v>
      </c>
      <c r="HM18" s="15" t="s">
        <v>23</v>
      </c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</row>
    <row r="19" spans="1:330">
      <c r="A19">
        <v>43662</v>
      </c>
      <c r="B19" s="15" t="s">
        <v>41</v>
      </c>
      <c r="C19" s="15" t="s">
        <v>591</v>
      </c>
      <c r="D19" s="15" t="s">
        <v>37</v>
      </c>
      <c r="E19" s="15" t="s">
        <v>765</v>
      </c>
      <c r="F19" s="15"/>
      <c r="G19" s="15" t="s">
        <v>24</v>
      </c>
      <c r="H19" s="15" t="s">
        <v>25</v>
      </c>
      <c r="I19" s="15" t="s">
        <v>23</v>
      </c>
      <c r="J19" s="15" t="s">
        <v>23</v>
      </c>
      <c r="K19" s="15" t="s">
        <v>25</v>
      </c>
      <c r="L19" s="15" t="s">
        <v>2</v>
      </c>
      <c r="M19" s="15" t="s">
        <v>24</v>
      </c>
      <c r="N19" s="15" t="s">
        <v>23</v>
      </c>
      <c r="O19" s="15" t="s">
        <v>24</v>
      </c>
      <c r="P19" s="15" t="s">
        <v>2</v>
      </c>
      <c r="Q19" s="15" t="s">
        <v>2</v>
      </c>
      <c r="R19" s="15" t="s">
        <v>24</v>
      </c>
      <c r="S19" s="15" t="s">
        <v>2</v>
      </c>
      <c r="T19" s="15" t="s">
        <v>25</v>
      </c>
      <c r="U19" s="15" t="s">
        <v>23</v>
      </c>
      <c r="V19" s="15" t="s">
        <v>24</v>
      </c>
      <c r="W19" s="15" t="s">
        <v>2</v>
      </c>
      <c r="X19" t="s">
        <v>23</v>
      </c>
      <c r="Y19" s="15" t="s">
        <v>23</v>
      </c>
      <c r="Z19" t="s">
        <v>24</v>
      </c>
      <c r="AA19" t="s">
        <v>25</v>
      </c>
      <c r="AB19" t="s">
        <v>2</v>
      </c>
      <c r="AC19" t="s">
        <v>23</v>
      </c>
      <c r="AD19" t="s">
        <v>25</v>
      </c>
      <c r="AE19" t="s">
        <v>25</v>
      </c>
      <c r="AF19" t="s">
        <v>25</v>
      </c>
      <c r="AG19" t="s">
        <v>23</v>
      </c>
      <c r="AH19" t="s">
        <v>2</v>
      </c>
      <c r="AI19" t="s">
        <v>2</v>
      </c>
      <c r="AJ19" t="s">
        <v>23</v>
      </c>
      <c r="AK19" t="s">
        <v>2</v>
      </c>
      <c r="AL19" t="s">
        <v>2</v>
      </c>
      <c r="AM19" t="s">
        <v>23</v>
      </c>
      <c r="AN19" t="s">
        <v>24</v>
      </c>
      <c r="AO19" s="15" t="s">
        <v>25</v>
      </c>
      <c r="AP19" s="15" t="s">
        <v>2</v>
      </c>
      <c r="AQ19" s="15" t="s">
        <v>25</v>
      </c>
      <c r="AR19" t="s">
        <v>23</v>
      </c>
      <c r="AS19" t="s">
        <v>24</v>
      </c>
      <c r="AT19" s="15" t="s">
        <v>2</v>
      </c>
      <c r="AU19" s="15" t="s">
        <v>2</v>
      </c>
      <c r="AV19" t="s">
        <v>2</v>
      </c>
      <c r="AW19" s="15" t="s">
        <v>25</v>
      </c>
      <c r="AX19" s="15" t="s">
        <v>24</v>
      </c>
      <c r="AY19" s="15" t="s">
        <v>24</v>
      </c>
      <c r="AZ19" s="15" t="s">
        <v>23</v>
      </c>
      <c r="BA19" s="15" t="s">
        <v>25</v>
      </c>
      <c r="BB19" s="15" t="s">
        <v>24</v>
      </c>
      <c r="BC19" s="15" t="s">
        <v>23</v>
      </c>
      <c r="BD19" s="15" t="s">
        <v>23</v>
      </c>
      <c r="BE19" s="15"/>
      <c r="BF19" s="15" t="s">
        <v>2</v>
      </c>
      <c r="BG19" s="15" t="s">
        <v>23</v>
      </c>
      <c r="BH19" s="15" t="s">
        <v>2</v>
      </c>
      <c r="BI19" s="15" t="s">
        <v>2</v>
      </c>
      <c r="BJ19" t="s">
        <v>25</v>
      </c>
      <c r="BK19" s="15" t="s">
        <v>23</v>
      </c>
      <c r="BL19" s="15" t="s">
        <v>24</v>
      </c>
      <c r="BM19" t="s">
        <v>25</v>
      </c>
      <c r="BN19" t="s">
        <v>23</v>
      </c>
      <c r="BO19" t="s">
        <v>2</v>
      </c>
      <c r="BP19" t="s">
        <v>2</v>
      </c>
      <c r="BQ19" t="s">
        <v>24</v>
      </c>
      <c r="BR19" t="s">
        <v>23</v>
      </c>
      <c r="BS19" t="s">
        <v>23</v>
      </c>
      <c r="BT19" t="s">
        <v>25</v>
      </c>
      <c r="BU19" t="s">
        <v>23</v>
      </c>
      <c r="BV19" t="s">
        <v>23</v>
      </c>
      <c r="BW19" t="s">
        <v>24</v>
      </c>
      <c r="BX19" s="15" t="s">
        <v>25</v>
      </c>
      <c r="BY19" s="15" t="s">
        <v>23</v>
      </c>
      <c r="BZ19" s="15" t="s">
        <v>2</v>
      </c>
      <c r="CA19" s="15" t="s">
        <v>23</v>
      </c>
      <c r="CB19" s="15" t="s">
        <v>2</v>
      </c>
      <c r="CC19" s="15" t="s">
        <v>23</v>
      </c>
      <c r="CD19" s="15" t="s">
        <v>2</v>
      </c>
      <c r="CE19" s="15" t="s">
        <v>24</v>
      </c>
      <c r="CF19" t="s">
        <v>24</v>
      </c>
      <c r="CG19" t="s">
        <v>23</v>
      </c>
      <c r="CH19" t="s">
        <v>23</v>
      </c>
      <c r="CI19" t="s">
        <v>23</v>
      </c>
      <c r="CJ19" t="s">
        <v>25</v>
      </c>
      <c r="CK19" t="s">
        <v>23</v>
      </c>
      <c r="CL19" t="s">
        <v>24</v>
      </c>
      <c r="CM19" t="s">
        <v>24</v>
      </c>
      <c r="CN19" t="s">
        <v>26</v>
      </c>
      <c r="CO19" t="s">
        <v>23</v>
      </c>
      <c r="CP19" t="s">
        <v>2</v>
      </c>
      <c r="CQ19" t="s">
        <v>24</v>
      </c>
      <c r="CR19" t="s">
        <v>25</v>
      </c>
      <c r="CS19" t="s">
        <v>26</v>
      </c>
      <c r="CT19" t="s">
        <v>24</v>
      </c>
      <c r="CU19" t="s">
        <v>23</v>
      </c>
      <c r="CV19" t="s">
        <v>23</v>
      </c>
      <c r="CW19" t="s">
        <v>24</v>
      </c>
      <c r="CX19" t="s">
        <v>25</v>
      </c>
      <c r="CY19" t="s">
        <v>24</v>
      </c>
      <c r="CZ19" t="s">
        <v>25</v>
      </c>
      <c r="DA19" t="s">
        <v>25</v>
      </c>
      <c r="DB19" t="s">
        <v>26</v>
      </c>
      <c r="DC19" t="s">
        <v>25</v>
      </c>
      <c r="DD19" t="s">
        <v>2</v>
      </c>
      <c r="DE19" t="s">
        <v>23</v>
      </c>
      <c r="DF19" t="s">
        <v>25</v>
      </c>
      <c r="DG19" t="s">
        <v>25</v>
      </c>
      <c r="DH19" t="s">
        <v>2</v>
      </c>
      <c r="DI19" t="s">
        <v>26</v>
      </c>
      <c r="DJ19" t="s">
        <v>25</v>
      </c>
      <c r="DK19" t="s">
        <v>26</v>
      </c>
      <c r="DL19" t="s">
        <v>25</v>
      </c>
      <c r="DM19" t="s">
        <v>24</v>
      </c>
      <c r="DN19" t="s">
        <v>23</v>
      </c>
      <c r="DO19" t="s">
        <v>23</v>
      </c>
      <c r="DP19" t="s">
        <v>2</v>
      </c>
      <c r="DQ19" t="s">
        <v>25</v>
      </c>
      <c r="DR19" t="s">
        <v>2</v>
      </c>
      <c r="DS19" t="s">
        <v>26</v>
      </c>
      <c r="DT19" t="s">
        <v>25</v>
      </c>
      <c r="DU19" t="s">
        <v>2</v>
      </c>
      <c r="DV19" t="s">
        <v>25</v>
      </c>
      <c r="DW19" t="s">
        <v>2</v>
      </c>
      <c r="DX19" t="s">
        <v>23</v>
      </c>
      <c r="DY19" t="s">
        <v>26</v>
      </c>
      <c r="DZ19" t="s">
        <v>23</v>
      </c>
      <c r="EA19" t="s">
        <v>25</v>
      </c>
      <c r="EB19" t="s">
        <v>23</v>
      </c>
      <c r="EC19" t="s">
        <v>23</v>
      </c>
      <c r="ED19" t="s">
        <v>24</v>
      </c>
      <c r="EE19" t="s">
        <v>26</v>
      </c>
      <c r="EF19" t="s">
        <v>26</v>
      </c>
      <c r="EG19" t="s">
        <v>25</v>
      </c>
      <c r="EH19" t="s">
        <v>26</v>
      </c>
      <c r="EI19" t="s">
        <v>26</v>
      </c>
      <c r="EJ19" t="s">
        <v>2</v>
      </c>
      <c r="EK19" t="s">
        <v>2</v>
      </c>
      <c r="EL19" t="s">
        <v>2</v>
      </c>
      <c r="EM19" t="s">
        <v>24</v>
      </c>
      <c r="EN19" t="s">
        <v>23</v>
      </c>
      <c r="EO19" t="s">
        <v>25</v>
      </c>
      <c r="EP19" s="15" t="s">
        <v>24</v>
      </c>
      <c r="EQ19" s="15" t="s">
        <v>24</v>
      </c>
      <c r="ER19" s="15" t="s">
        <v>23</v>
      </c>
      <c r="ES19" s="15" t="s">
        <v>2</v>
      </c>
      <c r="ET19" s="15" t="s">
        <v>25</v>
      </c>
      <c r="EU19" s="15" t="s">
        <v>24</v>
      </c>
      <c r="EV19" s="15" t="s">
        <v>23</v>
      </c>
      <c r="EW19" s="15" t="s">
        <v>2</v>
      </c>
      <c r="EX19" s="15" t="s">
        <v>24</v>
      </c>
      <c r="EY19" t="s">
        <v>2</v>
      </c>
      <c r="EZ19" s="15" t="s">
        <v>25</v>
      </c>
      <c r="FA19" s="15" t="s">
        <v>23</v>
      </c>
      <c r="FB19" s="15" t="s">
        <v>25</v>
      </c>
      <c r="FC19" s="15" t="s">
        <v>25</v>
      </c>
      <c r="FD19" s="15" t="s">
        <v>2</v>
      </c>
      <c r="FE19" s="15" t="s">
        <v>24</v>
      </c>
      <c r="FF19" s="15" t="s">
        <v>23</v>
      </c>
      <c r="FG19" s="15" t="s">
        <v>25</v>
      </c>
      <c r="FH19" s="15" t="s">
        <v>24</v>
      </c>
      <c r="FI19" s="15" t="s">
        <v>24</v>
      </c>
      <c r="FJ19" s="15" t="s">
        <v>2</v>
      </c>
      <c r="FK19" s="15" t="s">
        <v>23</v>
      </c>
      <c r="FL19" s="15" t="s">
        <v>23</v>
      </c>
      <c r="FM19" s="15" t="s">
        <v>25</v>
      </c>
      <c r="FN19" s="15" t="s">
        <v>2</v>
      </c>
      <c r="FO19" s="15" t="s">
        <v>2</v>
      </c>
      <c r="FP19" s="15" t="s">
        <v>25</v>
      </c>
      <c r="FQ19" s="15" t="s">
        <v>24</v>
      </c>
      <c r="FR19" s="15" t="s">
        <v>2</v>
      </c>
      <c r="FS19" s="15" t="s">
        <v>24</v>
      </c>
      <c r="FT19" s="15" t="s">
        <v>23</v>
      </c>
      <c r="FU19" s="15" t="s">
        <v>23</v>
      </c>
      <c r="FV19" s="15" t="s">
        <v>24</v>
      </c>
      <c r="FW19" t="s">
        <v>2</v>
      </c>
      <c r="FX19" t="s">
        <v>25</v>
      </c>
      <c r="FY19" t="s">
        <v>23</v>
      </c>
      <c r="FZ19" s="15" t="s">
        <v>24</v>
      </c>
      <c r="GA19" t="s">
        <v>24</v>
      </c>
      <c r="GB19" s="15" t="s">
        <v>23</v>
      </c>
      <c r="GC19" s="15" t="s">
        <v>2</v>
      </c>
      <c r="GD19" s="15" t="s">
        <v>25</v>
      </c>
      <c r="GE19" t="s">
        <v>2</v>
      </c>
      <c r="GF19" t="s">
        <v>25</v>
      </c>
      <c r="GG19" s="15" t="s">
        <v>23</v>
      </c>
      <c r="GH19" s="15" t="s">
        <v>2</v>
      </c>
      <c r="GI19" s="15" t="s">
        <v>24</v>
      </c>
      <c r="GJ19" t="s">
        <v>24</v>
      </c>
      <c r="GK19" s="15" t="s">
        <v>25</v>
      </c>
      <c r="GL19" s="15" t="s">
        <v>24</v>
      </c>
      <c r="GM19" s="15" t="s">
        <v>2</v>
      </c>
      <c r="GN19" s="15" t="s">
        <v>25</v>
      </c>
      <c r="GO19" s="15" t="s">
        <v>24</v>
      </c>
      <c r="GP19" t="s">
        <v>23</v>
      </c>
      <c r="GQ19" t="s">
        <v>2</v>
      </c>
      <c r="GR19" t="s">
        <v>2</v>
      </c>
      <c r="GS19" t="s">
        <v>23</v>
      </c>
      <c r="GT19" s="15" t="s">
        <v>25</v>
      </c>
      <c r="GU19" s="15" t="s">
        <v>2</v>
      </c>
      <c r="GV19" s="15" t="s">
        <v>25</v>
      </c>
      <c r="GW19" t="s">
        <v>24</v>
      </c>
      <c r="GX19" t="s">
        <v>23</v>
      </c>
      <c r="GY19" t="s">
        <v>25</v>
      </c>
      <c r="GZ19" t="s">
        <v>25</v>
      </c>
      <c r="HA19" t="s">
        <v>25</v>
      </c>
      <c r="HB19" t="s">
        <v>2</v>
      </c>
      <c r="HC19" t="s">
        <v>23</v>
      </c>
      <c r="HD19" t="s">
        <v>24</v>
      </c>
      <c r="HE19" t="s">
        <v>24</v>
      </c>
      <c r="HF19" t="s">
        <v>23</v>
      </c>
      <c r="HG19" t="s">
        <v>25</v>
      </c>
      <c r="HH19" s="15" t="s">
        <v>23</v>
      </c>
      <c r="HI19" s="15" t="s">
        <v>25</v>
      </c>
      <c r="HJ19" s="15" t="s">
        <v>23</v>
      </c>
      <c r="HK19" s="15" t="s">
        <v>24</v>
      </c>
      <c r="HL19" s="15" t="s">
        <v>25</v>
      </c>
      <c r="HM19" s="15" t="s">
        <v>2</v>
      </c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IQ19" s="15"/>
      <c r="IT19" s="15"/>
      <c r="IU19" s="15"/>
      <c r="IX19" s="15"/>
      <c r="IY19" s="15"/>
      <c r="IZ19" s="15"/>
      <c r="JA19" s="15"/>
      <c r="JC19" s="15"/>
      <c r="JE19" s="15"/>
      <c r="JF19" s="15"/>
      <c r="JG19" s="15"/>
      <c r="JH19" s="15"/>
      <c r="JI19" s="15"/>
      <c r="JZ19" s="15"/>
      <c r="KB19" s="15"/>
      <c r="KD19" s="15"/>
      <c r="KE19" s="15"/>
      <c r="KF19" s="15"/>
      <c r="KG19" s="15"/>
      <c r="KH19" s="15"/>
      <c r="KI19" s="15"/>
      <c r="KJ19" s="15"/>
      <c r="KK19" s="15"/>
      <c r="KL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</row>
    <row r="20" spans="1:330">
      <c r="A20">
        <v>43662</v>
      </c>
      <c r="B20" s="15" t="s">
        <v>42</v>
      </c>
      <c r="C20" s="15" t="s">
        <v>512</v>
      </c>
      <c r="D20" s="15" t="s">
        <v>37</v>
      </c>
      <c r="E20" s="15" t="s">
        <v>765</v>
      </c>
      <c r="F20" s="15"/>
      <c r="G20" s="15" t="s">
        <v>24</v>
      </c>
      <c r="H20" s="15" t="s">
        <v>25</v>
      </c>
      <c r="I20" s="15" t="s">
        <v>23</v>
      </c>
      <c r="J20" s="15" t="s">
        <v>23</v>
      </c>
      <c r="K20" s="15" t="s">
        <v>25</v>
      </c>
      <c r="L20" s="15" t="s">
        <v>2</v>
      </c>
      <c r="M20" s="15" t="s">
        <v>24</v>
      </c>
      <c r="N20" s="15" t="s">
        <v>23</v>
      </c>
      <c r="O20" s="15" t="s">
        <v>24</v>
      </c>
      <c r="P20" s="15" t="s">
        <v>2</v>
      </c>
      <c r="Q20" s="15" t="s">
        <v>2</v>
      </c>
      <c r="R20" s="15" t="s">
        <v>24</v>
      </c>
      <c r="S20" s="15" t="s">
        <v>2</v>
      </c>
      <c r="T20" s="15" t="s">
        <v>25</v>
      </c>
      <c r="U20" s="15" t="s">
        <v>23</v>
      </c>
      <c r="V20" s="15" t="s">
        <v>25</v>
      </c>
      <c r="W20" s="15" t="s">
        <v>2</v>
      </c>
      <c r="X20" s="15" t="s">
        <v>23</v>
      </c>
      <c r="Y20" s="15" t="s">
        <v>2</v>
      </c>
      <c r="Z20" t="s">
        <v>24</v>
      </c>
      <c r="AA20" t="s">
        <v>23</v>
      </c>
      <c r="AB20" t="s">
        <v>2</v>
      </c>
      <c r="AC20" t="s">
        <v>24</v>
      </c>
      <c r="AD20" t="s">
        <v>25</v>
      </c>
      <c r="AE20" t="s">
        <v>2</v>
      </c>
      <c r="AF20" t="s">
        <v>25</v>
      </c>
      <c r="AG20" t="s">
        <v>2</v>
      </c>
      <c r="AH20" t="s">
        <v>2</v>
      </c>
      <c r="AI20" t="s">
        <v>24</v>
      </c>
      <c r="AJ20" t="s">
        <v>23</v>
      </c>
      <c r="AK20" t="s">
        <v>2</v>
      </c>
      <c r="AL20" t="s">
        <v>2</v>
      </c>
      <c r="AM20" t="s">
        <v>23</v>
      </c>
      <c r="AN20" t="s">
        <v>24</v>
      </c>
      <c r="AO20" s="15" t="s">
        <v>25</v>
      </c>
      <c r="AP20" s="15" t="s">
        <v>2</v>
      </c>
      <c r="AQ20" s="15" t="s">
        <v>25</v>
      </c>
      <c r="AR20" s="15" t="s">
        <v>23</v>
      </c>
      <c r="AS20" s="15" t="s">
        <v>24</v>
      </c>
      <c r="AT20" s="15" t="s">
        <v>2</v>
      </c>
      <c r="AU20" s="15" t="s">
        <v>25</v>
      </c>
      <c r="AV20" s="15" t="s">
        <v>2</v>
      </c>
      <c r="AW20" s="15" t="s">
        <v>25</v>
      </c>
      <c r="AX20" s="15" t="s">
        <v>2</v>
      </c>
      <c r="AY20" s="15" t="s">
        <v>24</v>
      </c>
      <c r="AZ20" s="15" t="s">
        <v>24</v>
      </c>
      <c r="BA20" s="15" t="s">
        <v>25</v>
      </c>
      <c r="BB20" s="15" t="s">
        <v>24</v>
      </c>
      <c r="BC20" s="15" t="s">
        <v>25</v>
      </c>
      <c r="BD20" s="15" t="s">
        <v>23</v>
      </c>
      <c r="BE20" s="15" t="s">
        <v>24</v>
      </c>
      <c r="BF20" s="15" t="s">
        <v>24</v>
      </c>
      <c r="BG20" s="15" t="s">
        <v>2</v>
      </c>
      <c r="BH20" t="s">
        <v>25</v>
      </c>
      <c r="BI20" t="s">
        <v>23</v>
      </c>
      <c r="BJ20" t="s">
        <v>25</v>
      </c>
      <c r="BK20" t="s">
        <v>23</v>
      </c>
      <c r="BL20" t="s">
        <v>24</v>
      </c>
      <c r="BM20" t="s">
        <v>25</v>
      </c>
      <c r="BN20" t="s">
        <v>23</v>
      </c>
      <c r="BO20" t="s">
        <v>2</v>
      </c>
      <c r="BP20" t="s">
        <v>2</v>
      </c>
      <c r="BQ20" t="s">
        <v>24</v>
      </c>
      <c r="BR20" t="s">
        <v>23</v>
      </c>
      <c r="BS20" t="s">
        <v>25</v>
      </c>
      <c r="BT20" t="s">
        <v>24</v>
      </c>
      <c r="BU20" t="s">
        <v>23</v>
      </c>
      <c r="BV20" t="s">
        <v>25</v>
      </c>
      <c r="BW20" t="s">
        <v>24</v>
      </c>
      <c r="BX20" s="15" t="s">
        <v>23</v>
      </c>
      <c r="BY20" s="15" t="s">
        <v>25</v>
      </c>
      <c r="BZ20" s="15" t="s">
        <v>25</v>
      </c>
      <c r="CA20" s="15" t="s">
        <v>24</v>
      </c>
      <c r="CB20" s="15" t="s">
        <v>25</v>
      </c>
      <c r="CC20" s="15" t="s">
        <v>24</v>
      </c>
      <c r="CD20" s="15" t="s">
        <v>2</v>
      </c>
      <c r="CE20" s="15" t="s">
        <v>25</v>
      </c>
      <c r="CF20" t="s">
        <v>24</v>
      </c>
      <c r="CG20" t="s">
        <v>2</v>
      </c>
      <c r="CH20" t="s">
        <v>23</v>
      </c>
      <c r="CI20" t="s">
        <v>23</v>
      </c>
      <c r="CJ20" t="s">
        <v>25</v>
      </c>
      <c r="CK20" t="s">
        <v>23</v>
      </c>
      <c r="CL20" t="s">
        <v>24</v>
      </c>
      <c r="CM20" t="s">
        <v>24</v>
      </c>
      <c r="CN20" t="s">
        <v>2</v>
      </c>
      <c r="CO20" t="s">
        <v>23</v>
      </c>
      <c r="CP20" t="s">
        <v>2</v>
      </c>
      <c r="CQ20" t="s">
        <v>24</v>
      </c>
      <c r="CR20" t="s">
        <v>25</v>
      </c>
      <c r="CS20" t="s">
        <v>26</v>
      </c>
      <c r="CT20" t="s">
        <v>24</v>
      </c>
      <c r="CU20" t="s">
        <v>23</v>
      </c>
      <c r="CV20" t="s">
        <v>23</v>
      </c>
      <c r="CW20" t="s">
        <v>24</v>
      </c>
      <c r="CX20" t="s">
        <v>25</v>
      </c>
      <c r="CY20" t="s">
        <v>2</v>
      </c>
      <c r="CZ20" t="s">
        <v>25</v>
      </c>
      <c r="DA20" t="s">
        <v>25</v>
      </c>
      <c r="DB20" t="s">
        <v>26</v>
      </c>
      <c r="DC20" t="s">
        <v>25</v>
      </c>
      <c r="DD20" t="s">
        <v>2</v>
      </c>
      <c r="DE20" t="s">
        <v>24</v>
      </c>
      <c r="DF20" t="s">
        <v>26</v>
      </c>
      <c r="DG20" t="s">
        <v>26</v>
      </c>
      <c r="DH20" t="s">
        <v>2</v>
      </c>
      <c r="DI20" t="s">
        <v>26</v>
      </c>
      <c r="DJ20" t="s">
        <v>25</v>
      </c>
      <c r="DK20" t="s">
        <v>26</v>
      </c>
      <c r="DL20" t="s">
        <v>2</v>
      </c>
      <c r="DM20" t="s">
        <v>24</v>
      </c>
      <c r="DN20" t="s">
        <v>23</v>
      </c>
      <c r="DO20" t="s">
        <v>23</v>
      </c>
      <c r="DP20" t="s">
        <v>2</v>
      </c>
      <c r="DQ20" t="s">
        <v>2</v>
      </c>
      <c r="DR20" t="s">
        <v>2</v>
      </c>
      <c r="DS20" t="s">
        <v>26</v>
      </c>
      <c r="DT20" t="s">
        <v>25</v>
      </c>
      <c r="DU20" t="s">
        <v>25</v>
      </c>
      <c r="DV20" t="s">
        <v>2</v>
      </c>
      <c r="DW20" t="s">
        <v>25</v>
      </c>
      <c r="DX20" t="s">
        <v>23</v>
      </c>
      <c r="DY20" t="s">
        <v>26</v>
      </c>
      <c r="DZ20" t="s">
        <v>24</v>
      </c>
      <c r="EA20" t="s">
        <v>25</v>
      </c>
      <c r="EB20" t="s">
        <v>23</v>
      </c>
      <c r="EC20" t="s">
        <v>23</v>
      </c>
      <c r="ED20" t="s">
        <v>26</v>
      </c>
      <c r="EE20" t="s">
        <v>26</v>
      </c>
      <c r="EF20" t="s">
        <v>24</v>
      </c>
      <c r="EG20" t="s">
        <v>25</v>
      </c>
      <c r="EH20" t="s">
        <v>26</v>
      </c>
      <c r="EI20" t="s">
        <v>25</v>
      </c>
      <c r="EJ20" t="s">
        <v>2</v>
      </c>
      <c r="EK20" t="s">
        <v>23</v>
      </c>
      <c r="EL20" t="s">
        <v>2</v>
      </c>
      <c r="EM20" t="s">
        <v>24</v>
      </c>
      <c r="EN20" t="s">
        <v>23</v>
      </c>
      <c r="EO20" t="s">
        <v>25</v>
      </c>
      <c r="EP20" s="15" t="s">
        <v>24</v>
      </c>
      <c r="EQ20" s="15" t="s">
        <v>24</v>
      </c>
      <c r="ER20" s="15" t="s">
        <v>23</v>
      </c>
      <c r="ES20" s="15" t="s">
        <v>24</v>
      </c>
      <c r="ET20" s="15" t="s">
        <v>25</v>
      </c>
      <c r="EU20" s="15" t="s">
        <v>23</v>
      </c>
      <c r="EV20" s="15" t="s">
        <v>23</v>
      </c>
      <c r="EW20" s="15" t="s">
        <v>2</v>
      </c>
      <c r="EX20" s="15" t="s">
        <v>24</v>
      </c>
      <c r="EY20" s="15" t="s">
        <v>2</v>
      </c>
      <c r="EZ20" s="15" t="s">
        <v>25</v>
      </c>
      <c r="FA20" s="15" t="s">
        <v>23</v>
      </c>
      <c r="FB20" s="15" t="s">
        <v>24</v>
      </c>
      <c r="FC20" s="15" t="s">
        <v>2</v>
      </c>
      <c r="FD20" s="15" t="s">
        <v>23</v>
      </c>
      <c r="FE20" s="15" t="s">
        <v>24</v>
      </c>
      <c r="FF20" s="15" t="s">
        <v>25</v>
      </c>
      <c r="FG20" s="15" t="s">
        <v>2</v>
      </c>
      <c r="FH20" s="15" t="s">
        <v>2</v>
      </c>
      <c r="FI20" s="15" t="s">
        <v>25</v>
      </c>
      <c r="FJ20" s="15" t="s">
        <v>23</v>
      </c>
      <c r="FK20" s="15" t="s">
        <v>24</v>
      </c>
      <c r="FL20" s="15" t="s">
        <v>2</v>
      </c>
      <c r="FM20" s="15" t="s">
        <v>24</v>
      </c>
      <c r="FN20" s="15" t="s">
        <v>25</v>
      </c>
      <c r="FO20" s="15" t="s">
        <v>23</v>
      </c>
      <c r="FP20" s="15" t="s">
        <v>25</v>
      </c>
      <c r="FQ20" s="15" t="s">
        <v>23</v>
      </c>
      <c r="FR20" s="15" t="s">
        <v>2</v>
      </c>
      <c r="FS20" t="s">
        <v>24</v>
      </c>
      <c r="FT20" t="s">
        <v>23</v>
      </c>
      <c r="FU20" t="s">
        <v>2</v>
      </c>
      <c r="FV20" t="s">
        <v>24</v>
      </c>
      <c r="FW20" t="s">
        <v>24</v>
      </c>
      <c r="FX20" t="s">
        <v>25</v>
      </c>
      <c r="FY20" s="15" t="s">
        <v>23</v>
      </c>
      <c r="FZ20" s="15" t="s">
        <v>24</v>
      </c>
      <c r="GA20" s="15" t="s">
        <v>24</v>
      </c>
      <c r="GB20" t="s">
        <v>23</v>
      </c>
      <c r="GC20" s="15" t="s">
        <v>2</v>
      </c>
      <c r="GD20" s="15" t="s">
        <v>2</v>
      </c>
      <c r="GE20" s="15" t="s">
        <v>2</v>
      </c>
      <c r="GF20" s="15" t="s">
        <v>25</v>
      </c>
      <c r="GG20" s="15" t="s">
        <v>23</v>
      </c>
      <c r="GH20" s="15" t="s">
        <v>2</v>
      </c>
      <c r="GI20" t="s">
        <v>24</v>
      </c>
      <c r="GJ20" s="15" t="s">
        <v>24</v>
      </c>
      <c r="GK20" s="15" t="s">
        <v>25</v>
      </c>
      <c r="GL20" s="15" t="s">
        <v>24</v>
      </c>
      <c r="GM20" s="15" t="s">
        <v>2</v>
      </c>
      <c r="GN20" s="15" t="s">
        <v>25</v>
      </c>
      <c r="GO20" s="15" t="s">
        <v>24</v>
      </c>
      <c r="GP20" s="15" t="s">
        <v>24</v>
      </c>
      <c r="GQ20" s="15" t="s">
        <v>2</v>
      </c>
      <c r="GR20" s="15" t="s">
        <v>2</v>
      </c>
      <c r="GS20" s="15" t="s">
        <v>25</v>
      </c>
      <c r="GT20" s="15" t="s">
        <v>25</v>
      </c>
      <c r="GU20" s="15" t="s">
        <v>25</v>
      </c>
      <c r="GV20" s="15" t="s">
        <v>24</v>
      </c>
      <c r="GW20" t="s">
        <v>23</v>
      </c>
      <c r="GX20" t="s">
        <v>23</v>
      </c>
      <c r="GY20" t="s">
        <v>25</v>
      </c>
      <c r="GZ20" t="s">
        <v>25</v>
      </c>
      <c r="HA20" t="s">
        <v>24</v>
      </c>
      <c r="HB20" t="s">
        <v>23</v>
      </c>
      <c r="HC20" t="s">
        <v>25</v>
      </c>
      <c r="HD20" t="s">
        <v>23</v>
      </c>
      <c r="HE20" t="s">
        <v>25</v>
      </c>
      <c r="HF20" t="s">
        <v>24</v>
      </c>
      <c r="HG20" t="s">
        <v>24</v>
      </c>
      <c r="HH20" s="15" t="s">
        <v>24</v>
      </c>
      <c r="HI20" s="15" t="s">
        <v>25</v>
      </c>
      <c r="HJ20" s="15" t="s">
        <v>23</v>
      </c>
      <c r="HK20" s="15" t="s">
        <v>25</v>
      </c>
      <c r="HL20" s="15" t="s">
        <v>2</v>
      </c>
      <c r="HM20" s="15" t="s">
        <v>24</v>
      </c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</row>
    <row r="21" spans="1:330">
      <c r="A21">
        <v>43662</v>
      </c>
      <c r="B21" s="15" t="s">
        <v>43</v>
      </c>
      <c r="C21" s="15" t="s">
        <v>598</v>
      </c>
      <c r="D21" s="15" t="s">
        <v>37</v>
      </c>
      <c r="E21" s="15" t="s">
        <v>765</v>
      </c>
      <c r="F21" s="15"/>
      <c r="G21" s="15" t="s">
        <v>24</v>
      </c>
      <c r="H21" s="15" t="s">
        <v>25</v>
      </c>
      <c r="I21" s="15" t="s">
        <v>24</v>
      </c>
      <c r="J21" s="15" t="s">
        <v>23</v>
      </c>
      <c r="K21" s="15" t="s">
        <v>23</v>
      </c>
      <c r="L21" s="15" t="s">
        <v>2</v>
      </c>
      <c r="M21" s="15" t="s">
        <v>24</v>
      </c>
      <c r="N21" s="15" t="s">
        <v>23</v>
      </c>
      <c r="O21" s="15" t="s">
        <v>24</v>
      </c>
      <c r="P21" s="15" t="s">
        <v>25</v>
      </c>
      <c r="Q21" s="15" t="s">
        <v>2</v>
      </c>
      <c r="R21" s="15" t="s">
        <v>2</v>
      </c>
      <c r="S21" s="15" t="s">
        <v>23</v>
      </c>
      <c r="T21" s="15" t="s">
        <v>25</v>
      </c>
      <c r="U21" s="15" t="s">
        <v>23</v>
      </c>
      <c r="V21" s="15" t="s">
        <v>25</v>
      </c>
      <c r="W21" s="15" t="s">
        <v>2</v>
      </c>
      <c r="X21" s="15" t="s">
        <v>23</v>
      </c>
      <c r="Y21" s="15" t="s">
        <v>2</v>
      </c>
      <c r="Z21" t="s">
        <v>24</v>
      </c>
      <c r="AA21" t="s">
        <v>23</v>
      </c>
      <c r="AB21" t="s">
        <v>2</v>
      </c>
      <c r="AC21" t="s">
        <v>25</v>
      </c>
      <c r="AD21" t="s">
        <v>25</v>
      </c>
      <c r="AE21" t="s">
        <v>24</v>
      </c>
      <c r="AF21" t="s">
        <v>25</v>
      </c>
      <c r="AG21" t="s">
        <v>2</v>
      </c>
      <c r="AH21" t="s">
        <v>2</v>
      </c>
      <c r="AI21" t="s">
        <v>24</v>
      </c>
      <c r="AJ21" t="s">
        <v>23</v>
      </c>
      <c r="AK21" t="s">
        <v>2</v>
      </c>
      <c r="AL21" t="s">
        <v>2</v>
      </c>
      <c r="AM21" t="s">
        <v>24</v>
      </c>
      <c r="AN21" t="s">
        <v>24</v>
      </c>
      <c r="AO21" s="15" t="s">
        <v>25</v>
      </c>
      <c r="AP21" s="15" t="s">
        <v>2</v>
      </c>
      <c r="AQ21" s="15" t="s">
        <v>25</v>
      </c>
      <c r="AR21" s="15" t="s">
        <v>23</v>
      </c>
      <c r="AS21" s="15" t="s">
        <v>24</v>
      </c>
      <c r="AT21" s="15" t="s">
        <v>2</v>
      </c>
      <c r="AU21" s="15" t="s">
        <v>25</v>
      </c>
      <c r="AV21" s="15" t="s">
        <v>2</v>
      </c>
      <c r="AW21" s="15" t="s">
        <v>25</v>
      </c>
      <c r="AX21" s="15" t="s">
        <v>23</v>
      </c>
      <c r="AY21" s="15" t="s">
        <v>25</v>
      </c>
      <c r="AZ21" s="15" t="s">
        <v>24</v>
      </c>
      <c r="BA21" s="15" t="s">
        <v>2</v>
      </c>
      <c r="BB21" s="15" t="s">
        <v>23</v>
      </c>
      <c r="BC21" s="15" t="s">
        <v>24</v>
      </c>
      <c r="BD21" s="15" t="s">
        <v>23</v>
      </c>
      <c r="BE21" s="15" t="s">
        <v>2</v>
      </c>
      <c r="BF21" s="15" t="s">
        <v>25</v>
      </c>
      <c r="BG21" t="s">
        <v>23</v>
      </c>
      <c r="BH21" s="15" t="s">
        <v>2</v>
      </c>
      <c r="BI21" s="15" t="s">
        <v>25</v>
      </c>
      <c r="BJ21" t="s">
        <v>2</v>
      </c>
      <c r="BK21" t="s">
        <v>24</v>
      </c>
      <c r="BL21" t="s">
        <v>24</v>
      </c>
      <c r="BM21" t="s">
        <v>25</v>
      </c>
      <c r="BN21" t="s">
        <v>23</v>
      </c>
      <c r="BO21" t="s">
        <v>2</v>
      </c>
      <c r="BP21" t="s">
        <v>23</v>
      </c>
      <c r="BQ21" t="s">
        <v>25</v>
      </c>
      <c r="BR21" t="s">
        <v>25</v>
      </c>
      <c r="BS21" t="s">
        <v>23</v>
      </c>
      <c r="BT21" t="s">
        <v>23</v>
      </c>
      <c r="BU21" t="s">
        <v>25</v>
      </c>
      <c r="BV21" t="s">
        <v>24</v>
      </c>
      <c r="BW21" t="s">
        <v>2</v>
      </c>
      <c r="BX21" s="15" t="s">
        <v>23</v>
      </c>
      <c r="BY21" s="15" t="s">
        <v>24</v>
      </c>
      <c r="BZ21" s="15" t="s">
        <v>23</v>
      </c>
      <c r="CA21" s="15" t="s">
        <v>2</v>
      </c>
      <c r="CB21" s="15" t="s">
        <v>2</v>
      </c>
      <c r="CC21" s="15" t="s">
        <v>25</v>
      </c>
      <c r="CD21" s="15" t="s">
        <v>2</v>
      </c>
      <c r="CE21" s="15" t="s">
        <v>25</v>
      </c>
      <c r="CF21" t="s">
        <v>24</v>
      </c>
      <c r="CG21" t="s">
        <v>2</v>
      </c>
      <c r="CH21" t="s">
        <v>23</v>
      </c>
      <c r="CI21" t="s">
        <v>23</v>
      </c>
      <c r="CJ21" t="s">
        <v>25</v>
      </c>
      <c r="CK21" t="s">
        <v>23</v>
      </c>
      <c r="CL21" t="s">
        <v>24</v>
      </c>
      <c r="CM21" t="s">
        <v>24</v>
      </c>
      <c r="CN21" t="s">
        <v>26</v>
      </c>
      <c r="CO21" t="s">
        <v>23</v>
      </c>
      <c r="CP21" t="s">
        <v>2</v>
      </c>
      <c r="CQ21" t="s">
        <v>24</v>
      </c>
      <c r="CR21" t="s">
        <v>25</v>
      </c>
      <c r="CS21" t="s">
        <v>26</v>
      </c>
      <c r="CT21" t="s">
        <v>24</v>
      </c>
      <c r="CU21" t="s">
        <v>23</v>
      </c>
      <c r="CV21" t="s">
        <v>23</v>
      </c>
      <c r="CW21" t="s">
        <v>2</v>
      </c>
      <c r="CX21" t="s">
        <v>24</v>
      </c>
      <c r="CY21" t="s">
        <v>2</v>
      </c>
      <c r="CZ21" t="s">
        <v>25</v>
      </c>
      <c r="DA21" t="s">
        <v>23</v>
      </c>
      <c r="DB21" t="s">
        <v>26</v>
      </c>
      <c r="DC21" t="s">
        <v>25</v>
      </c>
      <c r="DD21" t="s">
        <v>24</v>
      </c>
      <c r="DE21" t="s">
        <v>24</v>
      </c>
      <c r="DF21" t="s">
        <v>25</v>
      </c>
      <c r="DG21" t="s">
        <v>23</v>
      </c>
      <c r="DH21" t="s">
        <v>2</v>
      </c>
      <c r="DI21" t="s">
        <v>26</v>
      </c>
      <c r="DJ21" t="s">
        <v>25</v>
      </c>
      <c r="DK21" t="s">
        <v>2</v>
      </c>
      <c r="DL21" t="s">
        <v>26</v>
      </c>
      <c r="DM21" t="s">
        <v>2</v>
      </c>
      <c r="DN21" t="s">
        <v>24</v>
      </c>
      <c r="DO21" t="s">
        <v>23</v>
      </c>
      <c r="DP21" t="s">
        <v>2</v>
      </c>
      <c r="DQ21" t="s">
        <v>25</v>
      </c>
      <c r="DR21" t="s">
        <v>2</v>
      </c>
      <c r="DS21" t="s">
        <v>2</v>
      </c>
      <c r="DT21" t="s">
        <v>26</v>
      </c>
      <c r="DU21" t="s">
        <v>23</v>
      </c>
      <c r="DV21" t="s">
        <v>2</v>
      </c>
      <c r="DW21" t="s">
        <v>24</v>
      </c>
      <c r="DX21" t="s">
        <v>24</v>
      </c>
      <c r="DY21" t="s">
        <v>26</v>
      </c>
      <c r="DZ21" t="s">
        <v>23</v>
      </c>
      <c r="EA21" t="s">
        <v>25</v>
      </c>
      <c r="EB21" t="s">
        <v>23</v>
      </c>
      <c r="EC21" t="s">
        <v>23</v>
      </c>
      <c r="ED21" t="s">
        <v>26</v>
      </c>
      <c r="EE21" t="s">
        <v>25</v>
      </c>
      <c r="EF21" t="s">
        <v>2</v>
      </c>
      <c r="EG21" t="s">
        <v>24</v>
      </c>
      <c r="EH21" t="s">
        <v>26</v>
      </c>
      <c r="EI21" t="s">
        <v>25</v>
      </c>
      <c r="EJ21" t="s">
        <v>23</v>
      </c>
      <c r="EK21" t="s">
        <v>2</v>
      </c>
      <c r="EL21" t="s">
        <v>2</v>
      </c>
      <c r="EM21" t="s">
        <v>24</v>
      </c>
      <c r="EN21" t="s">
        <v>2</v>
      </c>
      <c r="EO21" t="s">
        <v>25</v>
      </c>
      <c r="EP21" s="15" t="s">
        <v>23</v>
      </c>
      <c r="EQ21" s="15" t="s">
        <v>24</v>
      </c>
      <c r="ER21" s="15" t="s">
        <v>2</v>
      </c>
      <c r="ES21" s="15" t="s">
        <v>23</v>
      </c>
      <c r="ET21" s="15" t="s">
        <v>24</v>
      </c>
      <c r="EU21" s="15" t="s">
        <v>25</v>
      </c>
      <c r="EV21" s="15" t="s">
        <v>2</v>
      </c>
      <c r="EW21" s="15" t="s">
        <v>25</v>
      </c>
      <c r="EX21" s="15" t="s">
        <v>24</v>
      </c>
      <c r="EY21" s="15" t="s">
        <v>23</v>
      </c>
      <c r="EZ21" s="15" t="s">
        <v>24</v>
      </c>
      <c r="FA21" s="15" t="s">
        <v>25</v>
      </c>
      <c r="FB21" s="15" t="s">
        <v>2</v>
      </c>
      <c r="FC21" s="15" t="s">
        <v>23</v>
      </c>
      <c r="FD21" s="15" t="s">
        <v>25</v>
      </c>
      <c r="FE21" s="15" t="s">
        <v>24</v>
      </c>
      <c r="FF21" s="15" t="s">
        <v>24</v>
      </c>
      <c r="FG21" s="15" t="s">
        <v>2</v>
      </c>
      <c r="FH21" s="15" t="s">
        <v>25</v>
      </c>
      <c r="FI21" s="15" t="s">
        <v>25</v>
      </c>
      <c r="FJ21" s="15" t="s">
        <v>24</v>
      </c>
      <c r="FK21" s="15" t="s">
        <v>23</v>
      </c>
      <c r="FL21" s="15" t="s">
        <v>2</v>
      </c>
      <c r="FM21" s="15" t="s">
        <v>23</v>
      </c>
      <c r="FN21" s="15" t="s">
        <v>25</v>
      </c>
      <c r="FO21" s="15" t="s">
        <v>23</v>
      </c>
      <c r="FP21" s="15" t="s">
        <v>25</v>
      </c>
      <c r="FQ21" t="s">
        <v>24</v>
      </c>
      <c r="FR21" t="s">
        <v>25</v>
      </c>
      <c r="FS21" t="s">
        <v>24</v>
      </c>
      <c r="FT21" t="s">
        <v>23</v>
      </c>
      <c r="FU21" t="s">
        <v>24</v>
      </c>
      <c r="FV21" t="s">
        <v>2</v>
      </c>
      <c r="FW21" t="s">
        <v>25</v>
      </c>
      <c r="FX21" t="s">
        <v>25</v>
      </c>
      <c r="FY21" s="15" t="s">
        <v>23</v>
      </c>
      <c r="FZ21" t="s">
        <v>24</v>
      </c>
      <c r="GA21" s="15" t="s">
        <v>24</v>
      </c>
      <c r="GB21" s="15" t="s">
        <v>23</v>
      </c>
      <c r="GC21" t="s">
        <v>2</v>
      </c>
      <c r="GD21" s="15" t="s">
        <v>2</v>
      </c>
      <c r="GE21" t="s">
        <v>23</v>
      </c>
      <c r="GF21" s="15" t="s">
        <v>23</v>
      </c>
      <c r="GG21" s="15" t="s">
        <v>23</v>
      </c>
      <c r="GH21" s="15" t="s">
        <v>2</v>
      </c>
      <c r="GI21" s="15" t="s">
        <v>24</v>
      </c>
      <c r="GJ21" t="s">
        <v>25</v>
      </c>
      <c r="GK21" s="15" t="s">
        <v>25</v>
      </c>
      <c r="GL21" s="15" t="s">
        <v>24</v>
      </c>
      <c r="GM21" t="s">
        <v>2</v>
      </c>
      <c r="GN21" t="s">
        <v>25</v>
      </c>
      <c r="GO21" t="s">
        <v>25</v>
      </c>
      <c r="GP21" t="s">
        <v>25</v>
      </c>
      <c r="GQ21" t="s">
        <v>2</v>
      </c>
      <c r="GR21" t="s">
        <v>2</v>
      </c>
      <c r="GS21" t="s">
        <v>23</v>
      </c>
      <c r="GT21" s="15" t="s">
        <v>25</v>
      </c>
      <c r="GU21" s="15" t="s">
        <v>25</v>
      </c>
      <c r="GV21" t="s">
        <v>2</v>
      </c>
      <c r="GW21" t="s">
        <v>24</v>
      </c>
      <c r="GX21" t="s">
        <v>23</v>
      </c>
      <c r="GY21" t="s">
        <v>25</v>
      </c>
      <c r="GZ21" t="s">
        <v>25</v>
      </c>
      <c r="HA21" t="s">
        <v>2</v>
      </c>
      <c r="HB21" t="s">
        <v>2</v>
      </c>
      <c r="HC21" t="s">
        <v>24</v>
      </c>
      <c r="HD21" t="s">
        <v>2</v>
      </c>
      <c r="HE21" t="s">
        <v>23</v>
      </c>
      <c r="HF21" t="s">
        <v>25</v>
      </c>
      <c r="HG21" t="s">
        <v>24</v>
      </c>
      <c r="HH21" s="15" t="s">
        <v>23</v>
      </c>
      <c r="HI21" s="15" t="s">
        <v>25</v>
      </c>
      <c r="HJ21" s="15" t="s">
        <v>24</v>
      </c>
      <c r="HK21" s="15" t="s">
        <v>2</v>
      </c>
      <c r="HL21" s="15" t="s">
        <v>23</v>
      </c>
      <c r="HM21" s="15" t="s">
        <v>25</v>
      </c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IQ21" s="15"/>
      <c r="IR21" s="15"/>
      <c r="IS21" s="15"/>
      <c r="IU21" s="15"/>
      <c r="IW21" s="15"/>
      <c r="IX21" s="15"/>
      <c r="IY21" s="15"/>
      <c r="IZ21" s="15"/>
      <c r="JA21" s="15"/>
      <c r="JC21" s="15"/>
      <c r="JD21" s="15"/>
      <c r="JE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</row>
    <row r="22" spans="1:330">
      <c r="A22">
        <v>43662</v>
      </c>
      <c r="B22" s="15" t="s">
        <v>44</v>
      </c>
      <c r="C22" s="15" t="s">
        <v>492</v>
      </c>
      <c r="D22" s="15" t="s">
        <v>37</v>
      </c>
      <c r="E22" s="15" t="s">
        <v>765</v>
      </c>
      <c r="F22" s="15"/>
      <c r="G22" s="15" t="s">
        <v>24</v>
      </c>
      <c r="H22" s="15" t="s">
        <v>25</v>
      </c>
      <c r="I22" s="15" t="s">
        <v>23</v>
      </c>
      <c r="J22" s="15" t="s">
        <v>23</v>
      </c>
      <c r="K22" s="15" t="s">
        <v>25</v>
      </c>
      <c r="L22" s="15" t="s">
        <v>2</v>
      </c>
      <c r="M22" s="15" t="s">
        <v>24</v>
      </c>
      <c r="N22" s="15" t="s">
        <v>23</v>
      </c>
      <c r="O22" s="15" t="s">
        <v>24</v>
      </c>
      <c r="P22" s="15" t="s">
        <v>24</v>
      </c>
      <c r="Q22" s="15" t="s">
        <v>2</v>
      </c>
      <c r="R22" s="15" t="s">
        <v>24</v>
      </c>
      <c r="S22" s="15" t="s">
        <v>2</v>
      </c>
      <c r="T22" s="15" t="s">
        <v>25</v>
      </c>
      <c r="U22" s="15" t="s">
        <v>23</v>
      </c>
      <c r="V22" s="15" t="s">
        <v>24</v>
      </c>
      <c r="W22" t="s">
        <v>2</v>
      </c>
      <c r="X22" s="15" t="s">
        <v>23</v>
      </c>
      <c r="Y22" s="15" t="s">
        <v>2</v>
      </c>
      <c r="Z22" t="s">
        <v>24</v>
      </c>
      <c r="AA22" t="s">
        <v>23</v>
      </c>
      <c r="AB22" t="s">
        <v>2</v>
      </c>
      <c r="AC22" t="s">
        <v>25</v>
      </c>
      <c r="AD22" t="s">
        <v>25</v>
      </c>
      <c r="AE22" t="s">
        <v>23</v>
      </c>
      <c r="AF22" t="s">
        <v>25</v>
      </c>
      <c r="AG22" t="s">
        <v>23</v>
      </c>
      <c r="AH22" t="s">
        <v>2</v>
      </c>
      <c r="AI22" t="s">
        <v>24</v>
      </c>
      <c r="AJ22" t="s">
        <v>23</v>
      </c>
      <c r="AK22" t="s">
        <v>2</v>
      </c>
      <c r="AL22" t="s">
        <v>2</v>
      </c>
      <c r="AM22" t="s">
        <v>24</v>
      </c>
      <c r="AN22" t="s">
        <v>24</v>
      </c>
      <c r="AO22" t="s">
        <v>25</v>
      </c>
      <c r="AP22" t="s">
        <v>2</v>
      </c>
      <c r="AQ22" t="s">
        <v>25</v>
      </c>
      <c r="AR22" t="s">
        <v>23</v>
      </c>
      <c r="AS22" t="s">
        <v>23</v>
      </c>
      <c r="AT22" s="15" t="s">
        <v>2</v>
      </c>
      <c r="AU22" t="s">
        <v>25</v>
      </c>
      <c r="AV22" s="15" t="s">
        <v>2</v>
      </c>
      <c r="AW22" s="15" t="s">
        <v>25</v>
      </c>
      <c r="AX22" s="15" t="s">
        <v>25</v>
      </c>
      <c r="AY22" s="15" t="s">
        <v>24</v>
      </c>
      <c r="AZ22" s="15" t="s">
        <v>24</v>
      </c>
      <c r="BA22" s="15" t="s">
        <v>2</v>
      </c>
      <c r="BB22" s="15" t="s">
        <v>24</v>
      </c>
      <c r="BC22" s="15" t="s">
        <v>24</v>
      </c>
      <c r="BD22" s="15" t="s">
        <v>23</v>
      </c>
      <c r="BE22" s="15" t="s">
        <v>23</v>
      </c>
      <c r="BF22" t="s">
        <v>2</v>
      </c>
      <c r="BG22" t="s">
        <v>23</v>
      </c>
      <c r="BH22" t="s">
        <v>25</v>
      </c>
      <c r="BI22" t="s">
        <v>2</v>
      </c>
      <c r="BJ22" t="s">
        <v>23</v>
      </c>
      <c r="BK22" t="s">
        <v>23</v>
      </c>
      <c r="BL22" t="s">
        <v>24</v>
      </c>
      <c r="BM22" t="s">
        <v>25</v>
      </c>
      <c r="BN22" t="s">
        <v>23</v>
      </c>
      <c r="BO22" t="s">
        <v>2</v>
      </c>
      <c r="BP22" t="s">
        <v>2</v>
      </c>
      <c r="BQ22" t="s">
        <v>24</v>
      </c>
      <c r="BR22" t="s">
        <v>23</v>
      </c>
      <c r="BS22" t="s">
        <v>23</v>
      </c>
      <c r="BT22" t="s">
        <v>25</v>
      </c>
      <c r="BU22" t="s">
        <v>23</v>
      </c>
      <c r="BV22" t="s">
        <v>23</v>
      </c>
      <c r="BW22" t="s">
        <v>24</v>
      </c>
      <c r="BX22" s="15" t="s">
        <v>23</v>
      </c>
      <c r="BY22" s="15" t="s">
        <v>24</v>
      </c>
      <c r="BZ22" s="15" t="s">
        <v>25</v>
      </c>
      <c r="CA22" s="15" t="s">
        <v>2</v>
      </c>
      <c r="CB22" s="15" t="s">
        <v>2</v>
      </c>
      <c r="CC22" s="15" t="s">
        <v>23</v>
      </c>
      <c r="CD22" t="s">
        <v>2</v>
      </c>
      <c r="CE22" s="15" t="s">
        <v>25</v>
      </c>
      <c r="CF22" t="s">
        <v>24</v>
      </c>
      <c r="CG22" t="s">
        <v>2</v>
      </c>
      <c r="CH22" t="s">
        <v>23</v>
      </c>
      <c r="CI22" t="s">
        <v>23</v>
      </c>
      <c r="CJ22" t="s">
        <v>25</v>
      </c>
      <c r="CK22" t="s">
        <v>23</v>
      </c>
      <c r="CL22" t="s">
        <v>24</v>
      </c>
      <c r="CM22" t="s">
        <v>24</v>
      </c>
      <c r="CN22" t="s">
        <v>26</v>
      </c>
      <c r="CO22" t="s">
        <v>23</v>
      </c>
      <c r="CP22" t="s">
        <v>2</v>
      </c>
      <c r="CQ22" t="s">
        <v>24</v>
      </c>
      <c r="CR22" t="s">
        <v>25</v>
      </c>
      <c r="CS22" t="s">
        <v>26</v>
      </c>
      <c r="CT22" t="s">
        <v>24</v>
      </c>
      <c r="CU22" t="s">
        <v>23</v>
      </c>
      <c r="CV22" t="s">
        <v>23</v>
      </c>
      <c r="CW22" t="s">
        <v>26</v>
      </c>
      <c r="CX22" t="s">
        <v>25</v>
      </c>
      <c r="CY22" t="s">
        <v>2</v>
      </c>
      <c r="CZ22" t="s">
        <v>25</v>
      </c>
      <c r="DA22" t="s">
        <v>25</v>
      </c>
      <c r="DB22" t="s">
        <v>23</v>
      </c>
      <c r="DC22" t="s">
        <v>25</v>
      </c>
      <c r="DD22" t="s">
        <v>2</v>
      </c>
      <c r="DE22" t="s">
        <v>24</v>
      </c>
      <c r="DF22" t="s">
        <v>26</v>
      </c>
      <c r="DG22" t="s">
        <v>26</v>
      </c>
      <c r="DH22" t="s">
        <v>25</v>
      </c>
      <c r="DI22" t="s">
        <v>26</v>
      </c>
      <c r="DJ22" t="s">
        <v>25</v>
      </c>
      <c r="DK22" t="s">
        <v>26</v>
      </c>
      <c r="DL22" t="s">
        <v>25</v>
      </c>
      <c r="DM22" t="s">
        <v>2</v>
      </c>
      <c r="DN22" t="s">
        <v>24</v>
      </c>
      <c r="DO22" t="s">
        <v>26</v>
      </c>
      <c r="DP22" t="s">
        <v>2</v>
      </c>
      <c r="DQ22" t="s">
        <v>2</v>
      </c>
      <c r="DR22" t="s">
        <v>2</v>
      </c>
      <c r="DS22" t="s">
        <v>26</v>
      </c>
      <c r="DT22" t="s">
        <v>25</v>
      </c>
      <c r="DU22" t="s">
        <v>2</v>
      </c>
      <c r="DV22" t="s">
        <v>25</v>
      </c>
      <c r="DW22" t="s">
        <v>2</v>
      </c>
      <c r="DX22" t="s">
        <v>23</v>
      </c>
      <c r="DY22" t="s">
        <v>26</v>
      </c>
      <c r="DZ22" t="s">
        <v>24</v>
      </c>
      <c r="EA22" t="s">
        <v>2</v>
      </c>
      <c r="EB22" t="s">
        <v>23</v>
      </c>
      <c r="EC22" t="s">
        <v>23</v>
      </c>
      <c r="ED22" t="s">
        <v>24</v>
      </c>
      <c r="EE22" t="s">
        <v>26</v>
      </c>
      <c r="EF22" t="s">
        <v>23</v>
      </c>
      <c r="EG22" t="s">
        <v>25</v>
      </c>
      <c r="EH22" t="s">
        <v>26</v>
      </c>
      <c r="EI22" t="s">
        <v>24</v>
      </c>
      <c r="EJ22" t="s">
        <v>2</v>
      </c>
      <c r="EK22" t="s">
        <v>23</v>
      </c>
      <c r="EL22" t="s">
        <v>25</v>
      </c>
      <c r="EM22" t="s">
        <v>25</v>
      </c>
      <c r="EN22" t="s">
        <v>25</v>
      </c>
      <c r="EO22" t="s">
        <v>25</v>
      </c>
      <c r="EP22" s="15" t="s">
        <v>25</v>
      </c>
      <c r="EQ22" s="15" t="s">
        <v>25</v>
      </c>
      <c r="ER22" s="15" t="s">
        <v>25</v>
      </c>
      <c r="ES22" s="15" t="s">
        <v>25</v>
      </c>
      <c r="ET22" s="15" t="s">
        <v>25</v>
      </c>
      <c r="EU22" s="15" t="s">
        <v>25</v>
      </c>
      <c r="EV22" s="15" t="s">
        <v>23</v>
      </c>
      <c r="EW22" s="15" t="s">
        <v>2</v>
      </c>
      <c r="EX22" s="15" t="s">
        <v>24</v>
      </c>
      <c r="EY22" s="15" t="s">
        <v>23</v>
      </c>
      <c r="EZ22" t="s">
        <v>25</v>
      </c>
      <c r="FA22" s="15" t="s">
        <v>23</v>
      </c>
      <c r="FB22" t="s">
        <v>24</v>
      </c>
      <c r="FC22" t="s">
        <v>2</v>
      </c>
      <c r="FD22" s="15" t="s">
        <v>23</v>
      </c>
      <c r="FE22" t="s">
        <v>24</v>
      </c>
      <c r="FF22" s="15" t="s">
        <v>25</v>
      </c>
      <c r="FG22" s="15" t="s">
        <v>25</v>
      </c>
      <c r="FH22" s="15" t="s">
        <v>25</v>
      </c>
      <c r="FI22" t="s">
        <v>25</v>
      </c>
      <c r="FJ22" s="15" t="s">
        <v>25</v>
      </c>
      <c r="FK22" t="s">
        <v>25</v>
      </c>
      <c r="FL22" t="s">
        <v>25</v>
      </c>
      <c r="FM22" s="15" t="s">
        <v>25</v>
      </c>
      <c r="FN22" t="s">
        <v>25</v>
      </c>
      <c r="FO22" s="15" t="s">
        <v>25</v>
      </c>
      <c r="FP22" s="15" t="s">
        <v>25</v>
      </c>
      <c r="FQ22" s="15" t="s">
        <v>24</v>
      </c>
      <c r="FR22" s="15" t="s">
        <v>2</v>
      </c>
      <c r="FS22" t="s">
        <v>24</v>
      </c>
      <c r="FT22" t="s">
        <v>2</v>
      </c>
      <c r="FU22" t="s">
        <v>2</v>
      </c>
      <c r="FV22" t="s">
        <v>24</v>
      </c>
      <c r="FW22" t="s">
        <v>2</v>
      </c>
      <c r="FX22" t="s">
        <v>25</v>
      </c>
      <c r="FY22" t="s">
        <v>23</v>
      </c>
      <c r="FZ22" t="s">
        <v>24</v>
      </c>
      <c r="GA22" t="s">
        <v>24</v>
      </c>
      <c r="GB22" t="s">
        <v>23</v>
      </c>
      <c r="GC22" t="s">
        <v>2</v>
      </c>
      <c r="GD22" t="s">
        <v>25</v>
      </c>
      <c r="GE22" t="s">
        <v>2</v>
      </c>
      <c r="GF22" t="s">
        <v>25</v>
      </c>
      <c r="GG22" s="15" t="s">
        <v>23</v>
      </c>
      <c r="GH22" s="15" t="s">
        <v>2</v>
      </c>
      <c r="GI22" s="15" t="s">
        <v>25</v>
      </c>
      <c r="GJ22" s="15" t="s">
        <v>24</v>
      </c>
      <c r="GK22" s="15" t="s">
        <v>25</v>
      </c>
      <c r="GL22" s="15" t="s">
        <v>24</v>
      </c>
      <c r="GM22" s="15" t="s">
        <v>2</v>
      </c>
      <c r="GN22" t="s">
        <v>25</v>
      </c>
      <c r="GO22" s="15" t="s">
        <v>23</v>
      </c>
      <c r="GP22" s="15" t="s">
        <v>24</v>
      </c>
      <c r="GQ22" t="s">
        <v>2</v>
      </c>
      <c r="GR22" s="15" t="s">
        <v>2</v>
      </c>
      <c r="GS22" s="15" t="s">
        <v>23</v>
      </c>
      <c r="GT22" t="s">
        <v>25</v>
      </c>
      <c r="GU22" s="15" t="s">
        <v>25</v>
      </c>
      <c r="GV22" t="s">
        <v>24</v>
      </c>
      <c r="GW22" t="s">
        <v>23</v>
      </c>
      <c r="GX22" t="s">
        <v>23</v>
      </c>
      <c r="GY22" t="s">
        <v>25</v>
      </c>
      <c r="GZ22" t="s">
        <v>25</v>
      </c>
      <c r="HA22" t="s">
        <v>24</v>
      </c>
      <c r="HB22" t="s">
        <v>23</v>
      </c>
      <c r="HC22" t="s">
        <v>2</v>
      </c>
      <c r="HD22" t="s">
        <v>2</v>
      </c>
      <c r="HE22" t="s">
        <v>25</v>
      </c>
      <c r="HF22" t="s">
        <v>2</v>
      </c>
      <c r="HG22" t="s">
        <v>24</v>
      </c>
      <c r="HH22" s="15" t="s">
        <v>23</v>
      </c>
      <c r="HI22" s="15" t="s">
        <v>25</v>
      </c>
      <c r="HJ22" s="15" t="s">
        <v>23</v>
      </c>
      <c r="HK22" s="15" t="s">
        <v>25</v>
      </c>
      <c r="HL22" s="15" t="s">
        <v>25</v>
      </c>
      <c r="HM22" s="15" t="s">
        <v>23</v>
      </c>
      <c r="HN22" s="15"/>
      <c r="HO22" s="15"/>
      <c r="HP22" s="15"/>
      <c r="HQ22" s="15"/>
      <c r="HS22" s="15"/>
      <c r="HT22" s="15"/>
      <c r="HU22" s="15"/>
      <c r="HV22" s="15"/>
      <c r="HW22" s="15"/>
      <c r="IW22" s="15"/>
      <c r="IX22" s="15"/>
      <c r="IY22" s="15"/>
      <c r="IZ22" s="15"/>
      <c r="JA22" s="15"/>
      <c r="JZ22" s="15"/>
      <c r="KA22" s="15"/>
      <c r="KB22" s="15"/>
      <c r="KC22" s="15"/>
      <c r="KD22" s="15"/>
      <c r="KE22" s="15"/>
      <c r="KG22" s="15"/>
      <c r="KH22" s="15"/>
      <c r="KI22" s="15"/>
      <c r="KL22" s="15"/>
      <c r="LI22" s="15"/>
      <c r="LJ22" s="15"/>
      <c r="LL22" s="15"/>
      <c r="LM22" s="15"/>
      <c r="LN22" s="15"/>
      <c r="LO22" s="15"/>
      <c r="LP22" s="15"/>
      <c r="LR22" s="15"/>
    </row>
    <row r="23" spans="1:330">
      <c r="A23">
        <v>43662</v>
      </c>
      <c r="B23" s="15" t="s">
        <v>45</v>
      </c>
      <c r="C23" s="15" t="s">
        <v>620</v>
      </c>
      <c r="D23" s="15" t="s">
        <v>37</v>
      </c>
      <c r="E23" s="15" t="s">
        <v>765</v>
      </c>
      <c r="F23" s="15"/>
      <c r="G23" s="15" t="s">
        <v>24</v>
      </c>
      <c r="H23" s="15" t="s">
        <v>25</v>
      </c>
      <c r="I23" s="15" t="s">
        <v>23</v>
      </c>
      <c r="J23" s="15" t="s">
        <v>23</v>
      </c>
      <c r="K23" s="15" t="s">
        <v>25</v>
      </c>
      <c r="L23" s="15" t="s">
        <v>2</v>
      </c>
      <c r="M23" s="15" t="s">
        <v>24</v>
      </c>
      <c r="N23" s="15" t="s">
        <v>23</v>
      </c>
      <c r="O23" s="15" t="s">
        <v>24</v>
      </c>
      <c r="P23" s="15" t="s">
        <v>2</v>
      </c>
      <c r="Q23" s="15" t="s">
        <v>2</v>
      </c>
      <c r="R23" s="15" t="s">
        <v>24</v>
      </c>
      <c r="S23" s="15" t="s">
        <v>2</v>
      </c>
      <c r="T23" t="s">
        <v>25</v>
      </c>
      <c r="U23" s="15" t="s">
        <v>23</v>
      </c>
      <c r="V23" s="15" t="s">
        <v>24</v>
      </c>
      <c r="W23" s="15" t="s">
        <v>2</v>
      </c>
      <c r="X23" s="15" t="s">
        <v>23</v>
      </c>
      <c r="Y23" s="15" t="s">
        <v>2</v>
      </c>
      <c r="Z23" t="s">
        <v>24</v>
      </c>
      <c r="AA23" t="s">
        <v>23</v>
      </c>
      <c r="AB23" t="s">
        <v>2</v>
      </c>
      <c r="AC23" t="s">
        <v>25</v>
      </c>
      <c r="AD23" t="s">
        <v>25</v>
      </c>
      <c r="AE23" t="s">
        <v>23</v>
      </c>
      <c r="AF23" t="s">
        <v>25</v>
      </c>
      <c r="AG23" t="s">
        <v>23</v>
      </c>
      <c r="AH23" t="s">
        <v>2</v>
      </c>
      <c r="AI23" t="s">
        <v>24</v>
      </c>
      <c r="AJ23" t="s">
        <v>23</v>
      </c>
      <c r="AK23" t="s">
        <v>2</v>
      </c>
      <c r="AL23" t="s">
        <v>2</v>
      </c>
      <c r="AM23" t="s">
        <v>2</v>
      </c>
      <c r="AN23" t="s">
        <v>24</v>
      </c>
      <c r="AO23" s="15" t="s">
        <v>25</v>
      </c>
      <c r="AP23" s="15" t="s">
        <v>2</v>
      </c>
      <c r="AQ23" s="15" t="s">
        <v>25</v>
      </c>
      <c r="AR23" t="s">
        <v>23</v>
      </c>
      <c r="AS23" t="s">
        <v>24</v>
      </c>
      <c r="AT23" s="15" t="s">
        <v>25</v>
      </c>
      <c r="AU23" s="15" t="s">
        <v>25</v>
      </c>
      <c r="AV23" s="15" t="s">
        <v>2</v>
      </c>
      <c r="AW23" t="s">
        <v>25</v>
      </c>
      <c r="AX23" s="15" t="s">
        <v>23</v>
      </c>
      <c r="AY23" t="s">
        <v>24</v>
      </c>
      <c r="AZ23" s="15" t="s">
        <v>24</v>
      </c>
      <c r="BA23" s="15" t="s">
        <v>2</v>
      </c>
      <c r="BB23" s="15" t="s">
        <v>24</v>
      </c>
      <c r="BC23" s="15" t="s">
        <v>24</v>
      </c>
      <c r="BD23" s="15" t="s">
        <v>23</v>
      </c>
      <c r="BE23" s="15" t="s">
        <v>24</v>
      </c>
      <c r="BF23" s="15" t="s">
        <v>2</v>
      </c>
      <c r="BG23" s="15" t="s">
        <v>2</v>
      </c>
      <c r="BH23" t="s">
        <v>24</v>
      </c>
      <c r="BI23" s="15" t="s">
        <v>2</v>
      </c>
      <c r="BJ23" s="15" t="s">
        <v>25</v>
      </c>
      <c r="BK23" t="s">
        <v>23</v>
      </c>
      <c r="BL23" t="s">
        <v>24</v>
      </c>
      <c r="BM23" t="s">
        <v>25</v>
      </c>
      <c r="BN23" t="s">
        <v>23</v>
      </c>
      <c r="BO23" t="s">
        <v>2</v>
      </c>
      <c r="BP23" t="s">
        <v>2</v>
      </c>
      <c r="BQ23" t="s">
        <v>24</v>
      </c>
      <c r="BR23" t="s">
        <v>23</v>
      </c>
      <c r="BS23" t="s">
        <v>23</v>
      </c>
      <c r="BT23" t="s">
        <v>25</v>
      </c>
      <c r="BU23" t="s">
        <v>23</v>
      </c>
      <c r="BV23" t="s">
        <v>2</v>
      </c>
      <c r="BW23" t="s">
        <v>24</v>
      </c>
      <c r="BX23" s="15" t="s">
        <v>25</v>
      </c>
      <c r="BY23" s="15" t="s">
        <v>24</v>
      </c>
      <c r="BZ23" s="15" t="s">
        <v>25</v>
      </c>
      <c r="CA23" s="15" t="s">
        <v>2</v>
      </c>
      <c r="CB23" s="15" t="s">
        <v>2</v>
      </c>
      <c r="CC23" s="15" t="s">
        <v>24</v>
      </c>
      <c r="CD23" s="15" t="s">
        <v>2</v>
      </c>
      <c r="CE23" s="15" t="s">
        <v>25</v>
      </c>
      <c r="CF23" t="s">
        <v>24</v>
      </c>
      <c r="CG23" t="s">
        <v>2</v>
      </c>
      <c r="CH23" t="s">
        <v>23</v>
      </c>
      <c r="CI23" t="s">
        <v>23</v>
      </c>
      <c r="CJ23" t="s">
        <v>25</v>
      </c>
      <c r="CK23" t="s">
        <v>23</v>
      </c>
      <c r="CL23" t="s">
        <v>24</v>
      </c>
      <c r="CM23" t="s">
        <v>24</v>
      </c>
      <c r="CN23" t="s">
        <v>26</v>
      </c>
      <c r="CO23" t="s">
        <v>23</v>
      </c>
      <c r="CP23" t="s">
        <v>2</v>
      </c>
      <c r="CQ23" t="s">
        <v>24</v>
      </c>
      <c r="CR23" t="s">
        <v>25</v>
      </c>
      <c r="CS23" t="s">
        <v>26</v>
      </c>
      <c r="CT23" t="s">
        <v>24</v>
      </c>
      <c r="CU23" t="s">
        <v>23</v>
      </c>
      <c r="CV23" t="s">
        <v>23</v>
      </c>
      <c r="CW23" t="s">
        <v>24</v>
      </c>
      <c r="CX23" t="s">
        <v>25</v>
      </c>
      <c r="CY23" t="s">
        <v>2</v>
      </c>
      <c r="CZ23" t="s">
        <v>25</v>
      </c>
      <c r="DA23" t="s">
        <v>25</v>
      </c>
      <c r="DB23" t="s">
        <v>23</v>
      </c>
      <c r="DC23" t="s">
        <v>25</v>
      </c>
      <c r="DD23" t="s">
        <v>2</v>
      </c>
      <c r="DE23" t="s">
        <v>24</v>
      </c>
      <c r="DF23" t="s">
        <v>26</v>
      </c>
      <c r="DG23" t="s">
        <v>26</v>
      </c>
      <c r="DH23" t="s">
        <v>2</v>
      </c>
      <c r="DI23" t="s">
        <v>26</v>
      </c>
      <c r="DJ23" t="s">
        <v>25</v>
      </c>
      <c r="DK23" t="s">
        <v>26</v>
      </c>
      <c r="DL23" t="s">
        <v>25</v>
      </c>
      <c r="DM23" t="s">
        <v>24</v>
      </c>
      <c r="DN23" t="s">
        <v>23</v>
      </c>
      <c r="DO23" t="s">
        <v>23</v>
      </c>
      <c r="DP23" t="s">
        <v>26</v>
      </c>
      <c r="DQ23" t="s">
        <v>2</v>
      </c>
      <c r="DR23" t="s">
        <v>2</v>
      </c>
      <c r="DS23" t="s">
        <v>26</v>
      </c>
      <c r="DT23" t="s">
        <v>25</v>
      </c>
      <c r="DU23" t="s">
        <v>2</v>
      </c>
      <c r="DV23" t="s">
        <v>25</v>
      </c>
      <c r="DW23" t="s">
        <v>25</v>
      </c>
      <c r="DX23" t="s">
        <v>23</v>
      </c>
      <c r="DY23" t="s">
        <v>26</v>
      </c>
      <c r="DZ23" t="s">
        <v>24</v>
      </c>
      <c r="EA23" t="s">
        <v>2</v>
      </c>
      <c r="EB23" t="s">
        <v>23</v>
      </c>
      <c r="EC23" t="s">
        <v>23</v>
      </c>
      <c r="ED23" t="s">
        <v>24</v>
      </c>
      <c r="EE23" t="s">
        <v>26</v>
      </c>
      <c r="EF23" t="s">
        <v>24</v>
      </c>
      <c r="EG23" t="s">
        <v>25</v>
      </c>
      <c r="EH23" t="s">
        <v>26</v>
      </c>
      <c r="EI23" t="s">
        <v>24</v>
      </c>
      <c r="EJ23" t="s">
        <v>2</v>
      </c>
      <c r="EK23" t="s">
        <v>25</v>
      </c>
      <c r="EL23" t="s">
        <v>2</v>
      </c>
      <c r="EM23" t="s">
        <v>24</v>
      </c>
      <c r="EN23" t="s">
        <v>23</v>
      </c>
      <c r="EO23" t="s">
        <v>25</v>
      </c>
      <c r="EP23" s="15" t="s">
        <v>24</v>
      </c>
      <c r="EQ23" s="15" t="s">
        <v>24</v>
      </c>
      <c r="ER23" s="15" t="s">
        <v>23</v>
      </c>
      <c r="ES23" s="15" t="s">
        <v>24</v>
      </c>
      <c r="ET23" s="15" t="s">
        <v>25</v>
      </c>
      <c r="EU23" s="15" t="s">
        <v>23</v>
      </c>
      <c r="EV23" s="15" t="s">
        <v>23</v>
      </c>
      <c r="EW23" t="s">
        <v>2</v>
      </c>
      <c r="EX23" s="15" t="s">
        <v>24</v>
      </c>
      <c r="EY23" s="15" t="s">
        <v>2</v>
      </c>
      <c r="EZ23" t="s">
        <v>25</v>
      </c>
      <c r="FA23" s="15" t="s">
        <v>23</v>
      </c>
      <c r="FB23" s="15" t="s">
        <v>25</v>
      </c>
      <c r="FC23" s="15" t="s">
        <v>2</v>
      </c>
      <c r="FD23" s="15" t="s">
        <v>23</v>
      </c>
      <c r="FE23" s="15" t="s">
        <v>24</v>
      </c>
      <c r="FF23" t="s">
        <v>25</v>
      </c>
      <c r="FG23" s="15" t="s">
        <v>23</v>
      </c>
      <c r="FH23" s="15" t="s">
        <v>25</v>
      </c>
      <c r="FI23" s="15" t="s">
        <v>2</v>
      </c>
      <c r="FJ23" s="15" t="s">
        <v>23</v>
      </c>
      <c r="FK23" t="s">
        <v>24</v>
      </c>
      <c r="FL23" t="s">
        <v>23</v>
      </c>
      <c r="FM23" s="15" t="s">
        <v>24</v>
      </c>
      <c r="FN23" s="15" t="s">
        <v>25</v>
      </c>
      <c r="FO23" s="15" t="s">
        <v>24</v>
      </c>
      <c r="FP23" s="15" t="s">
        <v>25</v>
      </c>
      <c r="FQ23" s="15" t="s">
        <v>23</v>
      </c>
      <c r="FR23" s="15" t="s">
        <v>2</v>
      </c>
      <c r="FS23" s="15" t="s">
        <v>24</v>
      </c>
      <c r="FT23" s="15" t="s">
        <v>23</v>
      </c>
      <c r="FU23" s="15" t="s">
        <v>2</v>
      </c>
      <c r="FV23" s="15" t="s">
        <v>24</v>
      </c>
      <c r="FW23" t="s">
        <v>24</v>
      </c>
      <c r="FX23" s="15" t="s">
        <v>25</v>
      </c>
      <c r="FY23" s="15" t="s">
        <v>23</v>
      </c>
      <c r="FZ23" s="15" t="s">
        <v>24</v>
      </c>
      <c r="GA23" s="15" t="s">
        <v>24</v>
      </c>
      <c r="GB23" s="15" t="s">
        <v>23</v>
      </c>
      <c r="GC23" s="15" t="s">
        <v>2</v>
      </c>
      <c r="GD23" t="s">
        <v>2</v>
      </c>
      <c r="GE23" s="15" t="s">
        <v>2</v>
      </c>
      <c r="GF23" s="15" t="s">
        <v>25</v>
      </c>
      <c r="GG23" s="15" t="s">
        <v>23</v>
      </c>
      <c r="GH23" s="15" t="s">
        <v>2</v>
      </c>
      <c r="GI23" s="15" t="s">
        <v>24</v>
      </c>
      <c r="GJ23" s="15" t="s">
        <v>24</v>
      </c>
      <c r="GK23" t="s">
        <v>25</v>
      </c>
      <c r="GL23" s="15" t="s">
        <v>24</v>
      </c>
      <c r="GM23" s="15" t="s">
        <v>2</v>
      </c>
      <c r="GN23" t="s">
        <v>25</v>
      </c>
      <c r="GO23" s="15" t="s">
        <v>23</v>
      </c>
      <c r="GP23" s="15" t="s">
        <v>24</v>
      </c>
      <c r="GQ23" t="s">
        <v>2</v>
      </c>
      <c r="GR23" t="s">
        <v>2</v>
      </c>
      <c r="GS23" t="s">
        <v>23</v>
      </c>
      <c r="GT23" s="15" t="s">
        <v>25</v>
      </c>
      <c r="GU23" t="s">
        <v>25</v>
      </c>
      <c r="GV23" t="s">
        <v>2</v>
      </c>
      <c r="GW23" t="s">
        <v>24</v>
      </c>
      <c r="GX23" t="s">
        <v>23</v>
      </c>
      <c r="GY23" t="s">
        <v>25</v>
      </c>
      <c r="GZ23" t="s">
        <v>25</v>
      </c>
      <c r="HA23" t="s">
        <v>24</v>
      </c>
      <c r="HB23" t="s">
        <v>23</v>
      </c>
      <c r="HC23" t="s">
        <v>24</v>
      </c>
      <c r="HD23" t="s">
        <v>2</v>
      </c>
      <c r="HE23" t="s">
        <v>25</v>
      </c>
      <c r="HF23" t="s">
        <v>2</v>
      </c>
      <c r="HG23" t="s">
        <v>24</v>
      </c>
      <c r="HH23" s="15" t="s">
        <v>23</v>
      </c>
      <c r="HI23" s="15" t="s">
        <v>25</v>
      </c>
      <c r="HJ23" s="15" t="s">
        <v>23</v>
      </c>
      <c r="HK23" s="15" t="s">
        <v>25</v>
      </c>
      <c r="HL23" s="15" t="s">
        <v>25</v>
      </c>
      <c r="HM23" s="15" t="s">
        <v>23</v>
      </c>
      <c r="HN23" s="15"/>
      <c r="HO23" s="15"/>
      <c r="HP23" s="15"/>
      <c r="HR23" s="15"/>
      <c r="HT23" s="15"/>
      <c r="HV23" s="15"/>
      <c r="HW23" s="15"/>
      <c r="IR23" s="15"/>
      <c r="IT23" s="15"/>
      <c r="IU23" s="15"/>
      <c r="IV23" s="15"/>
      <c r="IW23" s="15"/>
      <c r="IX23" s="15"/>
      <c r="IY23" s="15"/>
      <c r="IZ23" s="15"/>
      <c r="JA23" s="15"/>
      <c r="JC23" s="15"/>
      <c r="JE23" s="15"/>
      <c r="JG23" s="15"/>
      <c r="JZ23" s="15"/>
      <c r="KA23" s="15"/>
      <c r="KB23" s="15"/>
      <c r="KC23" s="15"/>
      <c r="KE23" s="15"/>
      <c r="KF23" s="15"/>
      <c r="KG23" s="15"/>
      <c r="KH23" s="15"/>
      <c r="KI23" s="15"/>
      <c r="KK23" s="15"/>
      <c r="KL23" s="15"/>
      <c r="KM23" s="15"/>
      <c r="LI23" s="15"/>
      <c r="LJ23" s="15"/>
      <c r="LK23" s="15"/>
      <c r="LL23" s="15"/>
      <c r="LM23" s="15"/>
      <c r="LN23" s="15"/>
      <c r="LO23" s="15"/>
      <c r="LQ23" s="15"/>
      <c r="LR23" s="15"/>
    </row>
    <row r="24" spans="1:330">
      <c r="A24">
        <v>43662</v>
      </c>
      <c r="B24" s="15" t="s">
        <v>46</v>
      </c>
      <c r="C24" s="15" t="s">
        <v>572</v>
      </c>
      <c r="D24" s="15" t="s">
        <v>37</v>
      </c>
      <c r="E24" s="15" t="s">
        <v>765</v>
      </c>
      <c r="F24" s="15"/>
      <c r="G24" s="15" t="s">
        <v>24</v>
      </c>
      <c r="H24" s="15" t="s">
        <v>25</v>
      </c>
      <c r="I24" s="15" t="s">
        <v>23</v>
      </c>
      <c r="J24" s="15" t="s">
        <v>23</v>
      </c>
      <c r="K24" s="15" t="s">
        <v>25</v>
      </c>
      <c r="L24" s="15" t="s">
        <v>2</v>
      </c>
      <c r="M24" s="15" t="s">
        <v>24</v>
      </c>
      <c r="N24" s="15" t="s">
        <v>23</v>
      </c>
      <c r="O24" s="15" t="s">
        <v>24</v>
      </c>
      <c r="P24" s="15" t="s">
        <v>2</v>
      </c>
      <c r="Q24" s="15" t="s">
        <v>2</v>
      </c>
      <c r="R24" s="15" t="s">
        <v>24</v>
      </c>
      <c r="S24" s="15" t="s">
        <v>2</v>
      </c>
      <c r="T24" s="15" t="s">
        <v>25</v>
      </c>
      <c r="U24" s="15" t="s">
        <v>23</v>
      </c>
      <c r="V24" s="15" t="s">
        <v>24</v>
      </c>
      <c r="W24" s="15" t="s">
        <v>2</v>
      </c>
      <c r="X24" s="15" t="s">
        <v>23</v>
      </c>
      <c r="Y24" s="15" t="s">
        <v>2</v>
      </c>
      <c r="Z24" t="s">
        <v>24</v>
      </c>
      <c r="AA24" t="s">
        <v>23</v>
      </c>
      <c r="AB24" t="s">
        <v>2</v>
      </c>
      <c r="AC24" t="s">
        <v>25</v>
      </c>
      <c r="AD24" t="s">
        <v>25</v>
      </c>
      <c r="AE24" t="s">
        <v>23</v>
      </c>
      <c r="AF24" t="s">
        <v>25</v>
      </c>
      <c r="AG24" t="s">
        <v>23</v>
      </c>
      <c r="AH24" t="s">
        <v>2</v>
      </c>
      <c r="AI24" t="s">
        <v>24</v>
      </c>
      <c r="AJ24" t="s">
        <v>23</v>
      </c>
      <c r="AK24" t="s">
        <v>2</v>
      </c>
      <c r="AL24" t="s">
        <v>2</v>
      </c>
      <c r="AM24" t="s">
        <v>23</v>
      </c>
      <c r="AN24" t="s">
        <v>23</v>
      </c>
      <c r="AO24" s="15" t="s">
        <v>25</v>
      </c>
      <c r="AP24" s="15" t="s">
        <v>2</v>
      </c>
      <c r="AQ24" s="15" t="s">
        <v>25</v>
      </c>
      <c r="AR24" s="15" t="s">
        <v>23</v>
      </c>
      <c r="AS24" s="15" t="s">
        <v>24</v>
      </c>
      <c r="AT24" s="15" t="s">
        <v>25</v>
      </c>
      <c r="AU24" s="15" t="s">
        <v>25</v>
      </c>
      <c r="AV24" s="15" t="s">
        <v>2</v>
      </c>
      <c r="AW24" s="15" t="s">
        <v>25</v>
      </c>
      <c r="AX24" s="15" t="s">
        <v>23</v>
      </c>
      <c r="AY24" s="15" t="s">
        <v>24</v>
      </c>
      <c r="AZ24" s="15" t="s">
        <v>24</v>
      </c>
      <c r="BA24" s="15" t="s">
        <v>25</v>
      </c>
      <c r="BB24" s="15" t="s">
        <v>24</v>
      </c>
      <c r="BC24" s="15" t="s">
        <v>23</v>
      </c>
      <c r="BD24" s="15" t="s">
        <v>23</v>
      </c>
      <c r="BE24" s="15" t="s">
        <v>24</v>
      </c>
      <c r="BF24" s="15" t="s">
        <v>2</v>
      </c>
      <c r="BG24" s="15" t="s">
        <v>2</v>
      </c>
      <c r="BH24" s="15" t="s">
        <v>25</v>
      </c>
      <c r="BI24" s="15" t="s">
        <v>2</v>
      </c>
      <c r="BJ24" s="15" t="s">
        <v>25</v>
      </c>
      <c r="BK24" s="15" t="s">
        <v>23</v>
      </c>
      <c r="BL24" s="15" t="s">
        <v>24</v>
      </c>
      <c r="BM24" s="15" t="s">
        <v>24</v>
      </c>
      <c r="BN24" t="s">
        <v>23</v>
      </c>
      <c r="BO24" t="s">
        <v>2</v>
      </c>
      <c r="BP24" t="s">
        <v>2</v>
      </c>
      <c r="BQ24" t="s">
        <v>24</v>
      </c>
      <c r="BR24" t="s">
        <v>23</v>
      </c>
      <c r="BS24" t="s">
        <v>24</v>
      </c>
      <c r="BT24" t="s">
        <v>25</v>
      </c>
      <c r="BU24" t="s">
        <v>23</v>
      </c>
      <c r="BV24" t="s">
        <v>2</v>
      </c>
      <c r="BW24" t="s">
        <v>24</v>
      </c>
      <c r="BX24" s="15" t="s">
        <v>25</v>
      </c>
      <c r="BY24" s="15" t="s">
        <v>25</v>
      </c>
      <c r="BZ24" s="15" t="s">
        <v>25</v>
      </c>
      <c r="CA24" s="15" t="s">
        <v>2</v>
      </c>
      <c r="CB24" s="15" t="s">
        <v>2</v>
      </c>
      <c r="CC24" s="15" t="s">
        <v>24</v>
      </c>
      <c r="CD24" s="15" t="s">
        <v>2</v>
      </c>
      <c r="CE24" s="15" t="s">
        <v>25</v>
      </c>
      <c r="CF24" t="s">
        <v>24</v>
      </c>
      <c r="CG24" t="s">
        <v>2</v>
      </c>
      <c r="CH24" t="s">
        <v>23</v>
      </c>
      <c r="CI24" t="s">
        <v>23</v>
      </c>
      <c r="CJ24" t="s">
        <v>25</v>
      </c>
      <c r="CK24" t="s">
        <v>23</v>
      </c>
      <c r="CL24" t="s">
        <v>24</v>
      </c>
      <c r="CM24" t="s">
        <v>24</v>
      </c>
      <c r="CN24" t="s">
        <v>26</v>
      </c>
      <c r="CO24" t="s">
        <v>23</v>
      </c>
      <c r="CP24" t="s">
        <v>2</v>
      </c>
      <c r="CQ24" t="s">
        <v>24</v>
      </c>
      <c r="CR24" t="s">
        <v>25</v>
      </c>
      <c r="CS24" t="s">
        <v>26</v>
      </c>
      <c r="CT24" t="s">
        <v>24</v>
      </c>
      <c r="CU24" t="s">
        <v>23</v>
      </c>
      <c r="CV24" t="s">
        <v>23</v>
      </c>
      <c r="CW24" t="s">
        <v>24</v>
      </c>
      <c r="CX24" t="s">
        <v>25</v>
      </c>
      <c r="CY24" t="s">
        <v>2</v>
      </c>
      <c r="CZ24" t="s">
        <v>25</v>
      </c>
      <c r="DA24" t="s">
        <v>25</v>
      </c>
      <c r="DB24" t="s">
        <v>23</v>
      </c>
      <c r="DC24" t="s">
        <v>25</v>
      </c>
      <c r="DD24" t="s">
        <v>2</v>
      </c>
      <c r="DE24" t="s">
        <v>24</v>
      </c>
      <c r="DF24" t="s">
        <v>26</v>
      </c>
      <c r="DG24" t="s">
        <v>26</v>
      </c>
      <c r="DH24" t="s">
        <v>2</v>
      </c>
      <c r="DI24" t="s">
        <v>26</v>
      </c>
      <c r="DJ24" t="s">
        <v>25</v>
      </c>
      <c r="DK24" t="s">
        <v>26</v>
      </c>
      <c r="DL24" t="s">
        <v>25</v>
      </c>
      <c r="DM24" t="s">
        <v>24</v>
      </c>
      <c r="DN24" t="s">
        <v>23</v>
      </c>
      <c r="DO24" t="s">
        <v>23</v>
      </c>
      <c r="DP24" t="s">
        <v>26</v>
      </c>
      <c r="DQ24" t="s">
        <v>2</v>
      </c>
      <c r="DR24" t="s">
        <v>2</v>
      </c>
      <c r="DS24" t="s">
        <v>26</v>
      </c>
      <c r="DT24" t="s">
        <v>25</v>
      </c>
      <c r="DU24" t="s">
        <v>2</v>
      </c>
      <c r="DV24" t="s">
        <v>25</v>
      </c>
      <c r="DW24" t="s">
        <v>25</v>
      </c>
      <c r="DX24" t="s">
        <v>23</v>
      </c>
      <c r="DY24" t="s">
        <v>26</v>
      </c>
      <c r="DZ24" t="s">
        <v>24</v>
      </c>
      <c r="EA24" t="s">
        <v>2</v>
      </c>
      <c r="EB24" t="s">
        <v>23</v>
      </c>
      <c r="EC24" t="s">
        <v>23</v>
      </c>
      <c r="ED24" t="s">
        <v>24</v>
      </c>
      <c r="EE24" t="s">
        <v>26</v>
      </c>
      <c r="EF24" t="s">
        <v>24</v>
      </c>
      <c r="EG24" t="s">
        <v>25</v>
      </c>
      <c r="EH24" t="s">
        <v>26</v>
      </c>
      <c r="EI24" t="s">
        <v>25</v>
      </c>
      <c r="EJ24" t="s">
        <v>2</v>
      </c>
      <c r="EK24" t="s">
        <v>23</v>
      </c>
      <c r="EL24" t="s">
        <v>2</v>
      </c>
      <c r="EM24" t="s">
        <v>24</v>
      </c>
      <c r="EN24" t="s">
        <v>23</v>
      </c>
      <c r="EO24" t="s">
        <v>25</v>
      </c>
      <c r="EP24" s="15" t="s">
        <v>24</v>
      </c>
      <c r="EQ24" s="15" t="s">
        <v>24</v>
      </c>
      <c r="ER24" s="15" t="s">
        <v>23</v>
      </c>
      <c r="ES24" s="15" t="s">
        <v>2</v>
      </c>
      <c r="ET24" s="15" t="s">
        <v>25</v>
      </c>
      <c r="EU24" s="15" t="s">
        <v>23</v>
      </c>
      <c r="EV24" s="15" t="s">
        <v>23</v>
      </c>
      <c r="EW24" s="15" t="s">
        <v>2</v>
      </c>
      <c r="EX24" s="15" t="s">
        <v>24</v>
      </c>
      <c r="EY24" s="15" t="s">
        <v>23</v>
      </c>
      <c r="EZ24" s="15" t="s">
        <v>24</v>
      </c>
      <c r="FA24" s="15" t="s">
        <v>23</v>
      </c>
      <c r="FB24" s="15" t="s">
        <v>25</v>
      </c>
      <c r="FC24" s="15" t="s">
        <v>2</v>
      </c>
      <c r="FD24" s="15" t="s">
        <v>23</v>
      </c>
      <c r="FE24" s="15" t="s">
        <v>24</v>
      </c>
      <c r="FF24" s="15" t="s">
        <v>25</v>
      </c>
      <c r="FG24" s="15" t="s">
        <v>23</v>
      </c>
      <c r="FH24" s="15" t="s">
        <v>2</v>
      </c>
      <c r="FI24" s="15" t="s">
        <v>25</v>
      </c>
      <c r="FJ24" s="15" t="s">
        <v>23</v>
      </c>
      <c r="FK24" s="15" t="s">
        <v>24</v>
      </c>
      <c r="FL24" s="15" t="s">
        <v>23</v>
      </c>
      <c r="FM24" s="15" t="s">
        <v>24</v>
      </c>
      <c r="FN24" s="15" t="s">
        <v>25</v>
      </c>
      <c r="FO24" s="15" t="s">
        <v>23</v>
      </c>
      <c r="FP24" s="15" t="s">
        <v>25</v>
      </c>
      <c r="FQ24" s="15" t="s">
        <v>24</v>
      </c>
      <c r="FR24" s="15" t="s">
        <v>2</v>
      </c>
      <c r="FS24" s="15" t="s">
        <v>24</v>
      </c>
      <c r="FT24" s="15" t="s">
        <v>25</v>
      </c>
      <c r="FU24" s="15" t="s">
        <v>2</v>
      </c>
      <c r="FV24" s="15" t="s">
        <v>24</v>
      </c>
      <c r="FW24" s="15" t="s">
        <v>25</v>
      </c>
      <c r="FX24" s="15" t="s">
        <v>25</v>
      </c>
      <c r="FY24" s="15" t="s">
        <v>23</v>
      </c>
      <c r="FZ24" s="15" t="s">
        <v>24</v>
      </c>
      <c r="GA24" s="15" t="s">
        <v>24</v>
      </c>
      <c r="GB24" s="15" t="s">
        <v>23</v>
      </c>
      <c r="GC24" s="15" t="s">
        <v>2</v>
      </c>
      <c r="GD24" s="15" t="s">
        <v>25</v>
      </c>
      <c r="GE24" s="15" t="s">
        <v>2</v>
      </c>
      <c r="GF24" s="15" t="s">
        <v>25</v>
      </c>
      <c r="GG24" s="15" t="s">
        <v>23</v>
      </c>
      <c r="GH24" s="15" t="s">
        <v>2</v>
      </c>
      <c r="GI24" s="15" t="s">
        <v>24</v>
      </c>
      <c r="GJ24" s="15" t="s">
        <v>24</v>
      </c>
      <c r="GK24" s="15" t="s">
        <v>25</v>
      </c>
      <c r="GL24" s="15" t="s">
        <v>24</v>
      </c>
      <c r="GM24" s="15" t="s">
        <v>2</v>
      </c>
      <c r="GN24" s="15" t="s">
        <v>2</v>
      </c>
      <c r="GO24" s="15" t="s">
        <v>23</v>
      </c>
      <c r="GP24" s="15" t="s">
        <v>24</v>
      </c>
      <c r="GQ24" s="15" t="s">
        <v>24</v>
      </c>
      <c r="GR24" s="15" t="s">
        <v>2</v>
      </c>
      <c r="GS24" s="15" t="s">
        <v>23</v>
      </c>
      <c r="GT24" s="15" t="s">
        <v>25</v>
      </c>
      <c r="GU24" s="15" t="s">
        <v>25</v>
      </c>
      <c r="GV24" s="15" t="s">
        <v>2</v>
      </c>
      <c r="GW24" t="s">
        <v>23</v>
      </c>
      <c r="GX24" t="s">
        <v>23</v>
      </c>
      <c r="GY24" t="s">
        <v>25</v>
      </c>
      <c r="GZ24" t="s">
        <v>25</v>
      </c>
      <c r="HA24" t="s">
        <v>24</v>
      </c>
      <c r="HB24" t="s">
        <v>23</v>
      </c>
      <c r="HC24" t="s">
        <v>2</v>
      </c>
      <c r="HD24" t="s">
        <v>2</v>
      </c>
      <c r="HE24" t="s">
        <v>25</v>
      </c>
      <c r="HF24" t="s">
        <v>2</v>
      </c>
      <c r="HG24" t="s">
        <v>24</v>
      </c>
      <c r="HH24" s="15" t="s">
        <v>23</v>
      </c>
      <c r="HI24" s="15" t="s">
        <v>25</v>
      </c>
      <c r="HJ24" s="15" t="s">
        <v>23</v>
      </c>
      <c r="HK24" s="15" t="s">
        <v>25</v>
      </c>
      <c r="HL24" s="15" t="s">
        <v>25</v>
      </c>
      <c r="HM24" s="15" t="s">
        <v>23</v>
      </c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</row>
    <row r="25" spans="1:330">
      <c r="A25">
        <v>43662</v>
      </c>
      <c r="B25" s="15" t="s">
        <v>47</v>
      </c>
      <c r="C25" s="15" t="s">
        <v>505</v>
      </c>
      <c r="D25" s="15" t="s">
        <v>37</v>
      </c>
      <c r="E25" s="15" t="s">
        <v>765</v>
      </c>
      <c r="F25" s="15"/>
      <c r="G25" s="15" t="s">
        <v>24</v>
      </c>
      <c r="H25" s="15" t="s">
        <v>25</v>
      </c>
      <c r="I25" s="15" t="s">
        <v>23</v>
      </c>
      <c r="J25" s="15" t="s">
        <v>23</v>
      </c>
      <c r="K25" s="15" t="s">
        <v>25</v>
      </c>
      <c r="L25" s="15" t="s">
        <v>2</v>
      </c>
      <c r="M25" s="15" t="s">
        <v>24</v>
      </c>
      <c r="N25" s="15" t="s">
        <v>23</v>
      </c>
      <c r="O25" s="15" t="s">
        <v>24</v>
      </c>
      <c r="P25" s="15" t="s">
        <v>2</v>
      </c>
      <c r="Q25" s="15" t="s">
        <v>2</v>
      </c>
      <c r="R25" s="15" t="s">
        <v>24</v>
      </c>
      <c r="S25" s="15" t="s">
        <v>2</v>
      </c>
      <c r="T25" s="15" t="s">
        <v>25</v>
      </c>
      <c r="U25" s="15" t="s">
        <v>23</v>
      </c>
      <c r="V25" s="15" t="s">
        <v>24</v>
      </c>
      <c r="W25" s="15" t="s">
        <v>2</v>
      </c>
      <c r="X25" s="15" t="s">
        <v>23</v>
      </c>
      <c r="Y25" s="15" t="s">
        <v>2</v>
      </c>
      <c r="Z25" t="s">
        <v>24</v>
      </c>
      <c r="AA25" t="s">
        <v>23</v>
      </c>
      <c r="AB25" t="s">
        <v>2</v>
      </c>
      <c r="AC25" t="s">
        <v>25</v>
      </c>
      <c r="AD25" t="s">
        <v>25</v>
      </c>
      <c r="AE25" t="s">
        <v>23</v>
      </c>
      <c r="AF25" t="s">
        <v>25</v>
      </c>
      <c r="AG25" t="s">
        <v>23</v>
      </c>
      <c r="AH25" t="s">
        <v>2</v>
      </c>
      <c r="AI25" t="s">
        <v>24</v>
      </c>
      <c r="AJ25" t="s">
        <v>23</v>
      </c>
      <c r="AK25" t="s">
        <v>2</v>
      </c>
      <c r="AL25" t="s">
        <v>2</v>
      </c>
      <c r="AM25" t="s">
        <v>23</v>
      </c>
      <c r="AN25" t="s">
        <v>23</v>
      </c>
      <c r="AO25" s="15" t="s">
        <v>25</v>
      </c>
      <c r="AP25" s="15" t="s">
        <v>2</v>
      </c>
      <c r="AQ25" s="15" t="s">
        <v>25</v>
      </c>
      <c r="AR25" t="s">
        <v>23</v>
      </c>
      <c r="AS25" s="15" t="s">
        <v>24</v>
      </c>
      <c r="AT25" s="15" t="s">
        <v>25</v>
      </c>
      <c r="AU25" s="15" t="s">
        <v>25</v>
      </c>
      <c r="AV25" s="15" t="s">
        <v>2</v>
      </c>
      <c r="AW25" s="15" t="s">
        <v>25</v>
      </c>
      <c r="AX25" s="15" t="s">
        <v>23</v>
      </c>
      <c r="AY25" s="15" t="s">
        <v>24</v>
      </c>
      <c r="AZ25" s="15" t="s">
        <v>24</v>
      </c>
      <c r="BA25" s="15" t="s">
        <v>25</v>
      </c>
      <c r="BB25" s="15" t="s">
        <v>23</v>
      </c>
      <c r="BC25" s="15" t="s">
        <v>23</v>
      </c>
      <c r="BD25" s="15" t="s">
        <v>23</v>
      </c>
      <c r="BE25" s="15" t="s">
        <v>24</v>
      </c>
      <c r="BF25" s="15" t="s">
        <v>2</v>
      </c>
      <c r="BG25" s="15" t="s">
        <v>2</v>
      </c>
      <c r="BH25" s="15" t="s">
        <v>25</v>
      </c>
      <c r="BI25" s="15" t="s">
        <v>2</v>
      </c>
      <c r="BJ25" t="s">
        <v>25</v>
      </c>
      <c r="BK25" t="s">
        <v>23</v>
      </c>
      <c r="BL25" t="s">
        <v>24</v>
      </c>
      <c r="BM25" t="s">
        <v>25</v>
      </c>
      <c r="BN25" t="s">
        <v>23</v>
      </c>
      <c r="BO25" t="s">
        <v>2</v>
      </c>
      <c r="BP25" t="s">
        <v>2</v>
      </c>
      <c r="BQ25" t="s">
        <v>24</v>
      </c>
      <c r="BR25" t="s">
        <v>23</v>
      </c>
      <c r="BS25" t="s">
        <v>2</v>
      </c>
      <c r="BT25" t="s">
        <v>25</v>
      </c>
      <c r="BU25" t="s">
        <v>23</v>
      </c>
      <c r="BV25" t="s">
        <v>2</v>
      </c>
      <c r="BW25" t="s">
        <v>24</v>
      </c>
      <c r="BX25" s="15" t="s">
        <v>25</v>
      </c>
      <c r="BY25" s="15" t="s">
        <v>24</v>
      </c>
      <c r="BZ25" s="15" t="s">
        <v>25</v>
      </c>
      <c r="CA25" s="15" t="s">
        <v>2</v>
      </c>
      <c r="CB25" s="15" t="s">
        <v>2</v>
      </c>
      <c r="CC25" s="15" t="s">
        <v>24</v>
      </c>
      <c r="CD25" s="15" t="s">
        <v>2</v>
      </c>
      <c r="CE25" s="15" t="s">
        <v>25</v>
      </c>
      <c r="CF25" t="s">
        <v>24</v>
      </c>
      <c r="CG25" t="s">
        <v>2</v>
      </c>
      <c r="CH25" t="s">
        <v>23</v>
      </c>
      <c r="CI25" t="s">
        <v>23</v>
      </c>
      <c r="CJ25" t="s">
        <v>25</v>
      </c>
      <c r="CK25" t="s">
        <v>23</v>
      </c>
      <c r="CL25" t="s">
        <v>24</v>
      </c>
      <c r="CM25" t="s">
        <v>24</v>
      </c>
      <c r="CN25" t="s">
        <v>26</v>
      </c>
      <c r="CO25" t="s">
        <v>23</v>
      </c>
      <c r="CP25" t="s">
        <v>2</v>
      </c>
      <c r="CQ25" t="s">
        <v>24</v>
      </c>
      <c r="CR25" t="s">
        <v>25</v>
      </c>
      <c r="CS25" t="s">
        <v>26</v>
      </c>
      <c r="CT25" t="s">
        <v>24</v>
      </c>
      <c r="CU25" t="s">
        <v>23</v>
      </c>
      <c r="CV25" t="s">
        <v>23</v>
      </c>
      <c r="CW25" t="s">
        <v>26</v>
      </c>
      <c r="CX25" t="s">
        <v>25</v>
      </c>
      <c r="CY25" t="s">
        <v>2</v>
      </c>
      <c r="CZ25" t="s">
        <v>23</v>
      </c>
      <c r="DA25" t="s">
        <v>25</v>
      </c>
      <c r="DB25" t="s">
        <v>26</v>
      </c>
      <c r="DC25" t="s">
        <v>25</v>
      </c>
      <c r="DD25" t="s">
        <v>2</v>
      </c>
      <c r="DE25" t="s">
        <v>24</v>
      </c>
      <c r="DF25" t="s">
        <v>24</v>
      </c>
      <c r="DG25" t="s">
        <v>26</v>
      </c>
      <c r="DH25" t="s">
        <v>2</v>
      </c>
      <c r="DI25" t="s">
        <v>2</v>
      </c>
      <c r="DJ25" t="s">
        <v>25</v>
      </c>
      <c r="DK25" t="s">
        <v>2</v>
      </c>
      <c r="DL25" t="s">
        <v>25</v>
      </c>
      <c r="DM25" t="s">
        <v>24</v>
      </c>
      <c r="DN25" t="s">
        <v>23</v>
      </c>
      <c r="DO25" t="s">
        <v>25</v>
      </c>
      <c r="DP25" t="s">
        <v>26</v>
      </c>
      <c r="DQ25" t="s">
        <v>2</v>
      </c>
      <c r="DR25" t="s">
        <v>2</v>
      </c>
      <c r="DS25" t="s">
        <v>26</v>
      </c>
      <c r="DT25" t="s">
        <v>25</v>
      </c>
      <c r="DU25" t="s">
        <v>2</v>
      </c>
      <c r="DV25" t="s">
        <v>25</v>
      </c>
      <c r="DW25" t="s">
        <v>25</v>
      </c>
      <c r="DX25" t="s">
        <v>23</v>
      </c>
      <c r="DY25" t="s">
        <v>26</v>
      </c>
      <c r="DZ25" t="s">
        <v>24</v>
      </c>
      <c r="EA25" t="s">
        <v>25</v>
      </c>
      <c r="EB25" t="s">
        <v>23</v>
      </c>
      <c r="EC25" t="s">
        <v>23</v>
      </c>
      <c r="ED25" t="s">
        <v>24</v>
      </c>
      <c r="EE25" t="s">
        <v>26</v>
      </c>
      <c r="EF25" t="s">
        <v>24</v>
      </c>
      <c r="EG25" t="s">
        <v>24</v>
      </c>
      <c r="EH25" t="s">
        <v>26</v>
      </c>
      <c r="EI25" t="s">
        <v>25</v>
      </c>
      <c r="EJ25" t="s">
        <v>26</v>
      </c>
      <c r="EK25" t="s">
        <v>23</v>
      </c>
      <c r="EL25" t="s">
        <v>2</v>
      </c>
      <c r="EM25" t="s">
        <v>24</v>
      </c>
      <c r="EN25" t="s">
        <v>23</v>
      </c>
      <c r="EO25" t="s">
        <v>25</v>
      </c>
      <c r="EP25" s="15" t="s">
        <v>24</v>
      </c>
      <c r="EQ25" s="15" t="s">
        <v>24</v>
      </c>
      <c r="ER25" s="15" t="s">
        <v>23</v>
      </c>
      <c r="ES25" s="15" t="s">
        <v>2</v>
      </c>
      <c r="ET25" s="15" t="s">
        <v>25</v>
      </c>
      <c r="EU25" s="15" t="s">
        <v>23</v>
      </c>
      <c r="EV25" s="15" t="s">
        <v>23</v>
      </c>
      <c r="EW25" s="15" t="s">
        <v>2</v>
      </c>
      <c r="EX25" s="15" t="s">
        <v>24</v>
      </c>
      <c r="EY25" s="15" t="s">
        <v>23</v>
      </c>
      <c r="EZ25" s="15" t="s">
        <v>25</v>
      </c>
      <c r="FA25" s="15" t="s">
        <v>23</v>
      </c>
      <c r="FB25" s="15" t="s">
        <v>25</v>
      </c>
      <c r="FC25" s="15" t="s">
        <v>2</v>
      </c>
      <c r="FD25" s="15" t="s">
        <v>23</v>
      </c>
      <c r="FE25" s="15" t="s">
        <v>24</v>
      </c>
      <c r="FF25" s="15" t="s">
        <v>25</v>
      </c>
      <c r="FG25" s="15" t="s">
        <v>23</v>
      </c>
      <c r="FH25" s="15" t="s">
        <v>2</v>
      </c>
      <c r="FI25" s="15" t="s">
        <v>25</v>
      </c>
      <c r="FJ25" s="15" t="s">
        <v>23</v>
      </c>
      <c r="FK25" s="15" t="s">
        <v>24</v>
      </c>
      <c r="FL25" s="15" t="s">
        <v>23</v>
      </c>
      <c r="FM25" s="15" t="s">
        <v>24</v>
      </c>
      <c r="FN25" s="15" t="s">
        <v>25</v>
      </c>
      <c r="FO25" s="15" t="s">
        <v>24</v>
      </c>
      <c r="FP25" s="15" t="s">
        <v>25</v>
      </c>
      <c r="FQ25" s="15" t="s">
        <v>23</v>
      </c>
      <c r="FR25" s="15" t="s">
        <v>2</v>
      </c>
      <c r="FS25" t="s">
        <v>23</v>
      </c>
      <c r="FT25" s="15" t="s">
        <v>23</v>
      </c>
      <c r="FU25" s="15" t="s">
        <v>2</v>
      </c>
      <c r="FV25" s="15" t="s">
        <v>24</v>
      </c>
      <c r="FW25" t="s">
        <v>24</v>
      </c>
      <c r="FX25" t="s">
        <v>25</v>
      </c>
      <c r="FY25" s="15" t="s">
        <v>23</v>
      </c>
      <c r="FZ25" s="15" t="s">
        <v>24</v>
      </c>
      <c r="GA25" s="15" t="s">
        <v>24</v>
      </c>
      <c r="GB25" s="15" t="s">
        <v>23</v>
      </c>
      <c r="GC25" s="15" t="s">
        <v>2</v>
      </c>
      <c r="GD25" s="15" t="s">
        <v>2</v>
      </c>
      <c r="GE25" s="15" t="s">
        <v>2</v>
      </c>
      <c r="GF25" s="15" t="s">
        <v>25</v>
      </c>
      <c r="GG25" s="15" t="s">
        <v>23</v>
      </c>
      <c r="GH25" s="15" t="s">
        <v>2</v>
      </c>
      <c r="GI25" s="15" t="s">
        <v>24</v>
      </c>
      <c r="GJ25" s="15" t="s">
        <v>24</v>
      </c>
      <c r="GK25" t="s">
        <v>2</v>
      </c>
      <c r="GL25" s="15" t="s">
        <v>24</v>
      </c>
      <c r="GM25" s="15" t="s">
        <v>2</v>
      </c>
      <c r="GN25" s="15" t="s">
        <v>25</v>
      </c>
      <c r="GO25" s="15" t="s">
        <v>23</v>
      </c>
      <c r="GP25" s="15" t="s">
        <v>25</v>
      </c>
      <c r="GQ25" s="15" t="s">
        <v>2</v>
      </c>
      <c r="GR25" s="15" t="s">
        <v>2</v>
      </c>
      <c r="GS25" t="s">
        <v>23</v>
      </c>
      <c r="GT25" s="15" t="s">
        <v>25</v>
      </c>
      <c r="GU25" s="15" t="s">
        <v>25</v>
      </c>
      <c r="GV25" t="s">
        <v>24</v>
      </c>
      <c r="GW25" t="s">
        <v>24</v>
      </c>
      <c r="GX25" t="s">
        <v>23</v>
      </c>
      <c r="GY25" t="s">
        <v>25</v>
      </c>
      <c r="GZ25" t="s">
        <v>25</v>
      </c>
      <c r="HA25" t="s">
        <v>25</v>
      </c>
      <c r="HB25" t="s">
        <v>2</v>
      </c>
      <c r="HC25" t="s">
        <v>2</v>
      </c>
      <c r="HD25" t="s">
        <v>2</v>
      </c>
      <c r="HE25" t="s">
        <v>25</v>
      </c>
      <c r="HF25" t="s">
        <v>2</v>
      </c>
      <c r="HG25" t="s">
        <v>24</v>
      </c>
      <c r="HH25" s="15" t="s">
        <v>23</v>
      </c>
      <c r="HI25" s="15" t="s">
        <v>25</v>
      </c>
      <c r="HJ25" s="15" t="s">
        <v>23</v>
      </c>
      <c r="HK25" s="15" t="s">
        <v>25</v>
      </c>
      <c r="HL25" s="15" t="s">
        <v>2</v>
      </c>
      <c r="HM25" s="15" t="s">
        <v>23</v>
      </c>
      <c r="HN25" s="15"/>
      <c r="HO25" s="15"/>
      <c r="HP25" s="15"/>
      <c r="HQ25" s="15"/>
      <c r="HR25" s="15"/>
      <c r="HS25" s="15"/>
      <c r="HT25" s="15"/>
      <c r="HU25" s="15"/>
      <c r="HV25" s="15"/>
      <c r="HW25" s="15"/>
      <c r="IQ25" s="15"/>
      <c r="IR25" s="15"/>
      <c r="IS25" s="15"/>
      <c r="IT25" s="15"/>
      <c r="IU25" s="15"/>
      <c r="IV25" s="15"/>
      <c r="IW25" s="15"/>
      <c r="IX25" s="15"/>
      <c r="IY25" s="15"/>
      <c r="IZ25" s="15"/>
      <c r="JB25" s="15"/>
      <c r="JC25" s="15"/>
      <c r="JD25" s="15"/>
      <c r="JE25" s="15"/>
      <c r="JF25" s="15"/>
      <c r="JG25" s="15"/>
      <c r="JH25" s="15"/>
      <c r="JI25" s="15"/>
      <c r="JZ25" s="15"/>
      <c r="KA25" s="15"/>
      <c r="KB25" s="15"/>
      <c r="KC25" s="15"/>
      <c r="KD25" s="15"/>
      <c r="KE25" s="15"/>
      <c r="KF25" s="15"/>
      <c r="KG25" s="15"/>
      <c r="KH25" s="15"/>
      <c r="KI25" s="15"/>
      <c r="KJ25" s="15"/>
      <c r="KK25" s="15"/>
      <c r="KL25" s="15"/>
      <c r="KM25" s="15"/>
      <c r="LI25" s="15"/>
      <c r="LJ25" s="15"/>
      <c r="LK25" s="15"/>
      <c r="LL25" s="15"/>
      <c r="LM25" s="15"/>
      <c r="LN25" s="15"/>
      <c r="LO25" s="15"/>
      <c r="LP25" s="15"/>
      <c r="LQ25" s="15"/>
      <c r="LR25" s="15"/>
    </row>
    <row r="26" spans="1:330">
      <c r="A26">
        <v>43662</v>
      </c>
      <c r="B26" s="15" t="s">
        <v>48</v>
      </c>
      <c r="C26" s="15" t="s">
        <v>666</v>
      </c>
      <c r="D26" s="15" t="s">
        <v>37</v>
      </c>
      <c r="E26" s="15" t="s">
        <v>765</v>
      </c>
      <c r="F26" s="15"/>
      <c r="G26" s="15" t="s">
        <v>24</v>
      </c>
      <c r="H26" s="15" t="s">
        <v>25</v>
      </c>
      <c r="I26" s="15" t="s">
        <v>23</v>
      </c>
      <c r="J26" s="15" t="s">
        <v>23</v>
      </c>
      <c r="K26" s="15" t="s">
        <v>25</v>
      </c>
      <c r="L26" s="15" t="s">
        <v>2</v>
      </c>
      <c r="M26" s="15" t="s">
        <v>24</v>
      </c>
      <c r="N26" s="15" t="s">
        <v>23</v>
      </c>
      <c r="O26" s="15" t="s">
        <v>24</v>
      </c>
      <c r="P26" s="15" t="s">
        <v>2</v>
      </c>
      <c r="Q26" s="15" t="s">
        <v>2</v>
      </c>
      <c r="R26" s="15" t="s">
        <v>24</v>
      </c>
      <c r="S26" s="15" t="s">
        <v>2</v>
      </c>
      <c r="T26" s="15" t="s">
        <v>25</v>
      </c>
      <c r="U26" s="15" t="s">
        <v>23</v>
      </c>
      <c r="V26" t="s">
        <v>24</v>
      </c>
      <c r="W26" t="s">
        <v>2</v>
      </c>
      <c r="X26" t="s">
        <v>23</v>
      </c>
      <c r="Y26" t="s">
        <v>2</v>
      </c>
      <c r="Z26" t="s">
        <v>24</v>
      </c>
      <c r="AA26" t="s">
        <v>23</v>
      </c>
      <c r="AB26" t="s">
        <v>2</v>
      </c>
      <c r="AC26" t="s">
        <v>25</v>
      </c>
      <c r="AD26" t="s">
        <v>25</v>
      </c>
      <c r="AE26" t="s">
        <v>23</v>
      </c>
      <c r="AF26" t="s">
        <v>25</v>
      </c>
      <c r="AG26" t="s">
        <v>23</v>
      </c>
      <c r="AH26" t="s">
        <v>2</v>
      </c>
      <c r="AI26" t="s">
        <v>24</v>
      </c>
      <c r="AJ26" t="s">
        <v>23</v>
      </c>
      <c r="AK26" t="s">
        <v>2</v>
      </c>
      <c r="AL26" t="s">
        <v>2</v>
      </c>
      <c r="AM26" t="s">
        <v>23</v>
      </c>
      <c r="AN26" t="s">
        <v>23</v>
      </c>
      <c r="AO26" s="15" t="s">
        <v>25</v>
      </c>
      <c r="AP26" s="15" t="s">
        <v>2</v>
      </c>
      <c r="AQ26" s="15" t="s">
        <v>25</v>
      </c>
      <c r="AR26" s="15" t="s">
        <v>23</v>
      </c>
      <c r="AS26" s="15" t="s">
        <v>24</v>
      </c>
      <c r="AT26" s="15" t="s">
        <v>2</v>
      </c>
      <c r="AU26" s="15" t="s">
        <v>25</v>
      </c>
      <c r="AV26" s="15" t="s">
        <v>2</v>
      </c>
      <c r="AW26" s="15" t="s">
        <v>25</v>
      </c>
      <c r="AX26" s="15" t="s">
        <v>23</v>
      </c>
      <c r="AY26" s="15" t="s">
        <v>24</v>
      </c>
      <c r="AZ26" s="15" t="s">
        <v>24</v>
      </c>
      <c r="BA26" s="15" t="s">
        <v>2</v>
      </c>
      <c r="BB26" s="15" t="s">
        <v>24</v>
      </c>
      <c r="BC26" t="s">
        <v>23</v>
      </c>
      <c r="BD26" s="15" t="s">
        <v>23</v>
      </c>
      <c r="BE26" s="15" t="s">
        <v>24</v>
      </c>
      <c r="BF26" s="15" t="s">
        <v>2</v>
      </c>
      <c r="BG26" t="s">
        <v>2</v>
      </c>
      <c r="BH26" t="s">
        <v>24</v>
      </c>
      <c r="BI26" t="s">
        <v>2</v>
      </c>
      <c r="BJ26" t="s">
        <v>25</v>
      </c>
      <c r="BK26" t="s">
        <v>23</v>
      </c>
      <c r="BL26" t="s">
        <v>24</v>
      </c>
      <c r="BM26" t="s">
        <v>25</v>
      </c>
      <c r="BN26" t="s">
        <v>23</v>
      </c>
      <c r="BO26" t="s">
        <v>2</v>
      </c>
      <c r="BP26" t="s">
        <v>2</v>
      </c>
      <c r="BQ26" t="s">
        <v>24</v>
      </c>
      <c r="BR26" t="s">
        <v>23</v>
      </c>
      <c r="BS26" t="s">
        <v>23</v>
      </c>
      <c r="BT26" t="s">
        <v>25</v>
      </c>
      <c r="BU26" t="s">
        <v>23</v>
      </c>
      <c r="BV26" t="s">
        <v>2</v>
      </c>
      <c r="BW26" t="s">
        <v>24</v>
      </c>
      <c r="BX26" s="15" t="s">
        <v>25</v>
      </c>
      <c r="BY26" s="15" t="s">
        <v>25</v>
      </c>
      <c r="BZ26" s="15" t="s">
        <v>25</v>
      </c>
      <c r="CA26" s="15" t="s">
        <v>2</v>
      </c>
      <c r="CB26" s="15" t="s">
        <v>2</v>
      </c>
      <c r="CC26" s="15" t="s">
        <v>24</v>
      </c>
      <c r="CD26" s="15" t="s">
        <v>2</v>
      </c>
      <c r="CE26" s="15" t="s">
        <v>25</v>
      </c>
      <c r="CF26" t="s">
        <v>24</v>
      </c>
      <c r="CG26" t="s">
        <v>2</v>
      </c>
      <c r="CH26" t="s">
        <v>23</v>
      </c>
      <c r="CI26" t="s">
        <v>23</v>
      </c>
      <c r="CJ26" t="s">
        <v>25</v>
      </c>
      <c r="CK26" t="s">
        <v>23</v>
      </c>
      <c r="CL26" t="s">
        <v>24</v>
      </c>
      <c r="CM26" t="s">
        <v>24</v>
      </c>
      <c r="CN26" t="s">
        <v>26</v>
      </c>
      <c r="CO26" t="s">
        <v>23</v>
      </c>
      <c r="CP26" t="s">
        <v>2</v>
      </c>
      <c r="CQ26" t="s">
        <v>24</v>
      </c>
      <c r="CR26" t="s">
        <v>25</v>
      </c>
      <c r="CS26" t="s">
        <v>26</v>
      </c>
      <c r="CT26" t="s">
        <v>24</v>
      </c>
      <c r="CU26" t="s">
        <v>23</v>
      </c>
      <c r="CV26" t="s">
        <v>23</v>
      </c>
      <c r="CW26" t="s">
        <v>24</v>
      </c>
      <c r="CX26" t="s">
        <v>25</v>
      </c>
      <c r="CY26" t="s">
        <v>2</v>
      </c>
      <c r="CZ26" t="s">
        <v>25</v>
      </c>
      <c r="DA26" t="s">
        <v>25</v>
      </c>
      <c r="DB26" t="s">
        <v>23</v>
      </c>
      <c r="DC26" t="s">
        <v>25</v>
      </c>
      <c r="DD26" t="s">
        <v>2</v>
      </c>
      <c r="DE26" t="s">
        <v>24</v>
      </c>
      <c r="DF26" t="s">
        <v>26</v>
      </c>
      <c r="DG26" t="s">
        <v>26</v>
      </c>
      <c r="DH26" t="s">
        <v>2</v>
      </c>
      <c r="DI26" t="s">
        <v>26</v>
      </c>
      <c r="DJ26" t="s">
        <v>25</v>
      </c>
      <c r="DK26" t="s">
        <v>26</v>
      </c>
      <c r="DL26" t="s">
        <v>25</v>
      </c>
      <c r="DM26" t="s">
        <v>24</v>
      </c>
      <c r="DN26" t="s">
        <v>23</v>
      </c>
      <c r="DO26" t="s">
        <v>23</v>
      </c>
      <c r="DP26" t="s">
        <v>26</v>
      </c>
      <c r="DQ26" t="s">
        <v>2</v>
      </c>
      <c r="DR26" t="s">
        <v>2</v>
      </c>
      <c r="DS26" t="s">
        <v>26</v>
      </c>
      <c r="DT26" t="s">
        <v>25</v>
      </c>
      <c r="DU26" t="s">
        <v>2</v>
      </c>
      <c r="DV26" t="s">
        <v>25</v>
      </c>
      <c r="DW26" t="s">
        <v>24</v>
      </c>
      <c r="DX26" t="s">
        <v>23</v>
      </c>
      <c r="DY26" t="s">
        <v>26</v>
      </c>
      <c r="DZ26" t="s">
        <v>25</v>
      </c>
      <c r="EA26" t="s">
        <v>2</v>
      </c>
      <c r="EB26" t="s">
        <v>23</v>
      </c>
      <c r="EC26" t="s">
        <v>23</v>
      </c>
      <c r="ED26" t="s">
        <v>24</v>
      </c>
      <c r="EE26" t="s">
        <v>26</v>
      </c>
      <c r="EF26" t="s">
        <v>25</v>
      </c>
      <c r="EG26" t="s">
        <v>25</v>
      </c>
      <c r="EH26" t="s">
        <v>24</v>
      </c>
      <c r="EI26" t="s">
        <v>25</v>
      </c>
      <c r="EJ26" t="s">
        <v>2</v>
      </c>
      <c r="EK26" t="s">
        <v>23</v>
      </c>
      <c r="EL26" t="s">
        <v>2</v>
      </c>
      <c r="EM26" t="s">
        <v>24</v>
      </c>
      <c r="EN26" t="s">
        <v>23</v>
      </c>
      <c r="EO26" t="s">
        <v>25</v>
      </c>
      <c r="EP26" s="15" t="s">
        <v>24</v>
      </c>
      <c r="EQ26" s="15" t="s">
        <v>24</v>
      </c>
      <c r="ER26" s="15" t="s">
        <v>23</v>
      </c>
      <c r="ES26" s="15" t="s">
        <v>2</v>
      </c>
      <c r="ET26" s="15" t="s">
        <v>25</v>
      </c>
      <c r="EU26" s="15" t="s">
        <v>23</v>
      </c>
      <c r="EV26" s="15" t="s">
        <v>23</v>
      </c>
      <c r="EW26" s="15" t="s">
        <v>2</v>
      </c>
      <c r="EX26" s="15" t="s">
        <v>24</v>
      </c>
      <c r="EY26" s="15" t="s">
        <v>23</v>
      </c>
      <c r="EZ26" s="15" t="s">
        <v>25</v>
      </c>
      <c r="FA26" s="15" t="s">
        <v>23</v>
      </c>
      <c r="FB26" s="15" t="s">
        <v>25</v>
      </c>
      <c r="FC26" s="15" t="s">
        <v>2</v>
      </c>
      <c r="FD26" s="15" t="s">
        <v>23</v>
      </c>
      <c r="FE26" s="15" t="s">
        <v>24</v>
      </c>
      <c r="FF26" s="15" t="s">
        <v>25</v>
      </c>
      <c r="FG26" s="15" t="s">
        <v>23</v>
      </c>
      <c r="FH26" s="15" t="s">
        <v>2</v>
      </c>
      <c r="FI26" s="15" t="s">
        <v>25</v>
      </c>
      <c r="FJ26" s="15" t="s">
        <v>23</v>
      </c>
      <c r="FK26" s="15" t="s">
        <v>24</v>
      </c>
      <c r="FL26" s="15" t="s">
        <v>2</v>
      </c>
      <c r="FM26" s="15" t="s">
        <v>24</v>
      </c>
      <c r="FN26" s="15" t="s">
        <v>25</v>
      </c>
      <c r="FO26" s="15" t="s">
        <v>23</v>
      </c>
      <c r="FP26" s="15" t="s">
        <v>25</v>
      </c>
      <c r="FQ26" s="15" t="s">
        <v>23</v>
      </c>
      <c r="FR26" s="15" t="s">
        <v>2</v>
      </c>
      <c r="FS26" t="s">
        <v>24</v>
      </c>
      <c r="FT26" t="s">
        <v>23</v>
      </c>
      <c r="FU26" t="s">
        <v>2</v>
      </c>
      <c r="FV26" t="s">
        <v>24</v>
      </c>
      <c r="FW26" t="s">
        <v>24</v>
      </c>
      <c r="FX26" t="s">
        <v>25</v>
      </c>
      <c r="FY26" s="15" t="s">
        <v>23</v>
      </c>
      <c r="FZ26" s="15" t="s">
        <v>24</v>
      </c>
      <c r="GA26" s="15" t="s">
        <v>24</v>
      </c>
      <c r="GB26" s="15" t="s">
        <v>23</v>
      </c>
      <c r="GC26" s="15" t="s">
        <v>2</v>
      </c>
      <c r="GD26" s="15" t="s">
        <v>25</v>
      </c>
      <c r="GE26" s="15" t="s">
        <v>2</v>
      </c>
      <c r="GF26" s="15" t="s">
        <v>25</v>
      </c>
      <c r="GG26" s="15" t="s">
        <v>23</v>
      </c>
      <c r="GH26" s="15" t="s">
        <v>2</v>
      </c>
      <c r="GI26" s="15" t="s">
        <v>2</v>
      </c>
      <c r="GJ26" s="15" t="s">
        <v>24</v>
      </c>
      <c r="GK26" s="15" t="s">
        <v>25</v>
      </c>
      <c r="GL26" s="15" t="s">
        <v>24</v>
      </c>
      <c r="GM26" s="15" t="s">
        <v>2</v>
      </c>
      <c r="GN26" s="15" t="s">
        <v>25</v>
      </c>
      <c r="GO26" s="15" t="s">
        <v>23</v>
      </c>
      <c r="GP26" s="15" t="s">
        <v>24</v>
      </c>
      <c r="GQ26" s="15" t="s">
        <v>23</v>
      </c>
      <c r="GR26" t="s">
        <v>2</v>
      </c>
      <c r="GS26" t="s">
        <v>23</v>
      </c>
      <c r="GT26" t="s">
        <v>25</v>
      </c>
      <c r="GU26" t="s">
        <v>25</v>
      </c>
      <c r="GV26" t="s">
        <v>24</v>
      </c>
      <c r="GW26" t="s">
        <v>23</v>
      </c>
      <c r="GX26" t="s">
        <v>23</v>
      </c>
      <c r="GY26" t="s">
        <v>25</v>
      </c>
      <c r="GZ26" t="s">
        <v>25</v>
      </c>
      <c r="HA26" t="s">
        <v>24</v>
      </c>
      <c r="HB26" t="s">
        <v>23</v>
      </c>
      <c r="HC26" t="s">
        <v>2</v>
      </c>
      <c r="HD26" t="s">
        <v>2</v>
      </c>
      <c r="HE26" t="s">
        <v>25</v>
      </c>
      <c r="HF26" t="s">
        <v>2</v>
      </c>
      <c r="HG26" t="s">
        <v>24</v>
      </c>
      <c r="HH26" s="15" t="s">
        <v>25</v>
      </c>
      <c r="HI26" s="15" t="s">
        <v>25</v>
      </c>
      <c r="HJ26" s="15" t="s">
        <v>23</v>
      </c>
      <c r="HK26" s="15" t="s">
        <v>25</v>
      </c>
      <c r="HL26" s="15" t="s">
        <v>25</v>
      </c>
      <c r="HM26" s="15" t="s">
        <v>23</v>
      </c>
      <c r="HN26" s="15"/>
      <c r="HO26" s="15"/>
      <c r="HP26" s="15"/>
      <c r="HQ26" s="15"/>
      <c r="HR26" s="15"/>
      <c r="HS26" s="15"/>
      <c r="HT26" s="15"/>
      <c r="HW26" s="15"/>
      <c r="IQ26" s="15"/>
      <c r="IR26" s="15"/>
      <c r="IS26" s="15"/>
      <c r="IT26" s="15"/>
      <c r="IU26" s="15"/>
      <c r="IV26" s="15"/>
      <c r="IW26" s="15"/>
      <c r="IX26" s="15"/>
      <c r="IY26" s="15"/>
      <c r="IZ26" s="15"/>
      <c r="JA26" s="15"/>
      <c r="JB26" s="15"/>
      <c r="JC26" s="15"/>
      <c r="JD26" s="15"/>
      <c r="JE26" s="15"/>
      <c r="JF26" s="15"/>
      <c r="JZ26" s="15"/>
      <c r="KA26" s="15"/>
      <c r="KB26" s="15"/>
      <c r="KC26" s="15"/>
      <c r="KD26" s="15"/>
      <c r="KE26" s="15"/>
      <c r="KF26" s="15"/>
      <c r="KG26" s="15"/>
      <c r="KH26" s="15"/>
      <c r="KI26" s="15"/>
      <c r="LI26" s="15"/>
      <c r="LK26" s="15"/>
      <c r="LN26" s="15"/>
      <c r="LQ26" s="15"/>
      <c r="LR26" s="15"/>
    </row>
    <row r="27" spans="1:330">
      <c r="A27">
        <v>43662</v>
      </c>
      <c r="B27" s="15" t="s">
        <v>49</v>
      </c>
      <c r="C27" s="15" t="s">
        <v>508</v>
      </c>
      <c r="D27" s="15" t="s">
        <v>37</v>
      </c>
      <c r="E27" s="15" t="s">
        <v>765</v>
      </c>
      <c r="F27" s="15"/>
      <c r="G27" s="15" t="s">
        <v>24</v>
      </c>
      <c r="H27" s="15" t="s">
        <v>25</v>
      </c>
      <c r="I27" s="15" t="s">
        <v>23</v>
      </c>
      <c r="J27" s="15" t="s">
        <v>23</v>
      </c>
      <c r="K27" s="15" t="s">
        <v>25</v>
      </c>
      <c r="L27" s="15" t="s">
        <v>2</v>
      </c>
      <c r="M27" s="15" t="s">
        <v>24</v>
      </c>
      <c r="N27" s="15" t="s">
        <v>23</v>
      </c>
      <c r="O27" s="15" t="s">
        <v>24</v>
      </c>
      <c r="P27" s="15" t="s">
        <v>2</v>
      </c>
      <c r="Q27" s="15" t="s">
        <v>2</v>
      </c>
      <c r="R27" s="15" t="s">
        <v>24</v>
      </c>
      <c r="S27" s="15" t="s">
        <v>2</v>
      </c>
      <c r="T27" s="15" t="s">
        <v>25</v>
      </c>
      <c r="U27" s="15" t="s">
        <v>23</v>
      </c>
      <c r="V27" s="15" t="s">
        <v>24</v>
      </c>
      <c r="W27" s="15" t="s">
        <v>2</v>
      </c>
      <c r="X27" s="15" t="s">
        <v>23</v>
      </c>
      <c r="Y27" s="15" t="s">
        <v>2</v>
      </c>
      <c r="Z27" t="s">
        <v>24</v>
      </c>
      <c r="AA27" t="s">
        <v>23</v>
      </c>
      <c r="AB27" t="s">
        <v>25</v>
      </c>
      <c r="AC27" t="s">
        <v>25</v>
      </c>
      <c r="AD27" t="s">
        <v>25</v>
      </c>
      <c r="AE27" t="s">
        <v>23</v>
      </c>
      <c r="AF27" t="s">
        <v>25</v>
      </c>
      <c r="AG27" t="s">
        <v>23</v>
      </c>
      <c r="AH27" t="s">
        <v>2</v>
      </c>
      <c r="AI27" t="s">
        <v>24</v>
      </c>
      <c r="AJ27" t="s">
        <v>23</v>
      </c>
      <c r="AK27" t="s">
        <v>2</v>
      </c>
      <c r="AL27" t="s">
        <v>2</v>
      </c>
      <c r="AM27" t="s">
        <v>23</v>
      </c>
      <c r="AN27" t="s">
        <v>23</v>
      </c>
      <c r="AO27" s="15" t="s">
        <v>23</v>
      </c>
      <c r="AP27" s="15" t="s">
        <v>2</v>
      </c>
      <c r="AQ27" s="15" t="s">
        <v>25</v>
      </c>
      <c r="AR27" s="15" t="s">
        <v>23</v>
      </c>
      <c r="AS27" s="15" t="s">
        <v>24</v>
      </c>
      <c r="AT27" s="15" t="s">
        <v>25</v>
      </c>
      <c r="AU27" s="15" t="s">
        <v>25</v>
      </c>
      <c r="AV27" s="15" t="s">
        <v>2</v>
      </c>
      <c r="AW27" s="15" t="s">
        <v>2</v>
      </c>
      <c r="AX27" s="15" t="s">
        <v>23</v>
      </c>
      <c r="AY27" s="15" t="s">
        <v>24</v>
      </c>
      <c r="AZ27" s="15" t="s">
        <v>24</v>
      </c>
      <c r="BA27" s="15" t="s">
        <v>25</v>
      </c>
      <c r="BB27" s="15" t="s">
        <v>24</v>
      </c>
      <c r="BC27" s="15" t="s">
        <v>23</v>
      </c>
      <c r="BD27" s="15" t="s">
        <v>23</v>
      </c>
      <c r="BE27" s="15" t="s">
        <v>24</v>
      </c>
      <c r="BF27" s="15" t="s">
        <v>2</v>
      </c>
      <c r="BG27" s="15" t="s">
        <v>2</v>
      </c>
      <c r="BH27" s="15" t="s">
        <v>24</v>
      </c>
      <c r="BI27" s="15" t="s">
        <v>2</v>
      </c>
      <c r="BJ27" s="15" t="s">
        <v>25</v>
      </c>
      <c r="BK27" t="s">
        <v>23</v>
      </c>
      <c r="BL27" t="s">
        <v>24</v>
      </c>
      <c r="BM27" t="s">
        <v>25</v>
      </c>
      <c r="BN27" t="s">
        <v>23</v>
      </c>
      <c r="BO27" t="s">
        <v>2</v>
      </c>
      <c r="BP27" t="s">
        <v>2</v>
      </c>
      <c r="BQ27" t="s">
        <v>24</v>
      </c>
      <c r="BR27" t="s">
        <v>23</v>
      </c>
      <c r="BS27" t="s">
        <v>23</v>
      </c>
      <c r="BT27" t="s">
        <v>25</v>
      </c>
      <c r="BU27" t="s">
        <v>23</v>
      </c>
      <c r="BV27" t="s">
        <v>2</v>
      </c>
      <c r="BW27" t="s">
        <v>24</v>
      </c>
      <c r="BX27" s="15" t="s">
        <v>25</v>
      </c>
      <c r="BY27" s="15" t="s">
        <v>24</v>
      </c>
      <c r="BZ27" s="15" t="s">
        <v>25</v>
      </c>
      <c r="CA27" s="15" t="s">
        <v>2</v>
      </c>
      <c r="CB27" s="15" t="s">
        <v>2</v>
      </c>
      <c r="CC27" s="15" t="s">
        <v>24</v>
      </c>
      <c r="CD27" s="15" t="s">
        <v>2</v>
      </c>
      <c r="CE27" s="15" t="s">
        <v>25</v>
      </c>
      <c r="CF27" t="s">
        <v>24</v>
      </c>
      <c r="CG27" t="s">
        <v>2</v>
      </c>
      <c r="CH27" t="s">
        <v>23</v>
      </c>
      <c r="CI27" t="s">
        <v>23</v>
      </c>
      <c r="CJ27" t="s">
        <v>25</v>
      </c>
      <c r="CK27" t="s">
        <v>23</v>
      </c>
      <c r="CL27" t="s">
        <v>24</v>
      </c>
      <c r="CM27" t="s">
        <v>24</v>
      </c>
      <c r="CN27" t="s">
        <v>26</v>
      </c>
      <c r="CO27" t="s">
        <v>24</v>
      </c>
      <c r="CP27" t="s">
        <v>24</v>
      </c>
      <c r="CQ27" t="s">
        <v>24</v>
      </c>
      <c r="CR27" t="s">
        <v>25</v>
      </c>
      <c r="CS27" t="s">
        <v>26</v>
      </c>
      <c r="CT27" t="s">
        <v>24</v>
      </c>
      <c r="CU27" t="s">
        <v>23</v>
      </c>
      <c r="CV27" t="s">
        <v>23</v>
      </c>
      <c r="CW27" t="s">
        <v>24</v>
      </c>
      <c r="CX27" t="s">
        <v>25</v>
      </c>
      <c r="CY27" t="s">
        <v>2</v>
      </c>
      <c r="CZ27" t="s">
        <v>25</v>
      </c>
      <c r="DA27" t="s">
        <v>25</v>
      </c>
      <c r="DB27" t="s">
        <v>23</v>
      </c>
      <c r="DC27" t="s">
        <v>25</v>
      </c>
      <c r="DD27" t="s">
        <v>26</v>
      </c>
      <c r="DE27" t="s">
        <v>24</v>
      </c>
      <c r="DF27" t="s">
        <v>26</v>
      </c>
      <c r="DG27" t="s">
        <v>26</v>
      </c>
      <c r="DH27" t="s">
        <v>2</v>
      </c>
      <c r="DI27" t="s">
        <v>26</v>
      </c>
      <c r="DJ27" t="s">
        <v>25</v>
      </c>
      <c r="DK27" t="s">
        <v>26</v>
      </c>
      <c r="DL27" t="s">
        <v>25</v>
      </c>
      <c r="DM27" t="s">
        <v>24</v>
      </c>
      <c r="DN27" t="s">
        <v>24</v>
      </c>
      <c r="DO27" t="s">
        <v>23</v>
      </c>
      <c r="DP27" t="s">
        <v>26</v>
      </c>
      <c r="DQ27" t="s">
        <v>2</v>
      </c>
      <c r="DR27" t="s">
        <v>2</v>
      </c>
      <c r="DS27" t="s">
        <v>26</v>
      </c>
      <c r="DT27" t="s">
        <v>25</v>
      </c>
      <c r="DU27" t="s">
        <v>24</v>
      </c>
      <c r="DV27" t="s">
        <v>25</v>
      </c>
      <c r="DW27" t="s">
        <v>25</v>
      </c>
      <c r="DX27" t="s">
        <v>23</v>
      </c>
      <c r="DY27" t="s">
        <v>26</v>
      </c>
      <c r="DZ27" t="s">
        <v>24</v>
      </c>
      <c r="EA27" t="s">
        <v>2</v>
      </c>
      <c r="EB27" t="s">
        <v>23</v>
      </c>
      <c r="EC27" t="s">
        <v>23</v>
      </c>
      <c r="ED27" t="s">
        <v>2</v>
      </c>
      <c r="EE27" t="s">
        <v>26</v>
      </c>
      <c r="EF27" t="s">
        <v>24</v>
      </c>
      <c r="EG27" t="s">
        <v>25</v>
      </c>
      <c r="EH27" t="s">
        <v>23</v>
      </c>
      <c r="EI27" t="s">
        <v>26</v>
      </c>
      <c r="EJ27" t="s">
        <v>2</v>
      </c>
      <c r="EK27" t="s">
        <v>25</v>
      </c>
      <c r="EL27" t="s">
        <v>2</v>
      </c>
      <c r="EM27" t="s">
        <v>24</v>
      </c>
      <c r="EN27" t="s">
        <v>23</v>
      </c>
      <c r="EO27" t="s">
        <v>25</v>
      </c>
      <c r="EP27" s="15" t="s">
        <v>24</v>
      </c>
      <c r="EQ27" s="15" t="s">
        <v>24</v>
      </c>
      <c r="ER27" s="15" t="s">
        <v>23</v>
      </c>
      <c r="ES27" s="15" t="s">
        <v>2</v>
      </c>
      <c r="ET27" s="15" t="s">
        <v>25</v>
      </c>
      <c r="EU27" s="15" t="s">
        <v>23</v>
      </c>
      <c r="EV27" s="15" t="s">
        <v>23</v>
      </c>
      <c r="EW27" s="15" t="s">
        <v>2</v>
      </c>
      <c r="EX27" s="15" t="s">
        <v>24</v>
      </c>
      <c r="EY27" s="15" t="s">
        <v>2</v>
      </c>
      <c r="EZ27" s="15" t="s">
        <v>25</v>
      </c>
      <c r="FA27" s="15" t="s">
        <v>23</v>
      </c>
      <c r="FB27" s="15" t="s">
        <v>25</v>
      </c>
      <c r="FC27" s="15" t="s">
        <v>2</v>
      </c>
      <c r="FD27" s="15" t="s">
        <v>23</v>
      </c>
      <c r="FE27" s="15" t="s">
        <v>24</v>
      </c>
      <c r="FF27" s="15" t="s">
        <v>25</v>
      </c>
      <c r="FG27" s="15" t="s">
        <v>23</v>
      </c>
      <c r="FH27" s="15" t="s">
        <v>2</v>
      </c>
      <c r="FI27" s="15" t="s">
        <v>25</v>
      </c>
      <c r="FJ27" s="15" t="s">
        <v>23</v>
      </c>
      <c r="FK27" s="15" t="s">
        <v>2</v>
      </c>
      <c r="FL27" s="15" t="s">
        <v>23</v>
      </c>
      <c r="FM27" s="15" t="s">
        <v>23</v>
      </c>
      <c r="FN27" s="15" t="s">
        <v>25</v>
      </c>
      <c r="FO27" s="15" t="s">
        <v>24</v>
      </c>
      <c r="FP27" s="15" t="s">
        <v>25</v>
      </c>
      <c r="FQ27" s="15" t="s">
        <v>23</v>
      </c>
      <c r="FR27" s="15" t="s">
        <v>2</v>
      </c>
      <c r="FS27" s="15" t="s">
        <v>24</v>
      </c>
      <c r="FT27" s="15" t="s">
        <v>23</v>
      </c>
      <c r="FU27" s="15" t="s">
        <v>2</v>
      </c>
      <c r="FV27" s="15" t="s">
        <v>24</v>
      </c>
      <c r="FW27" s="15" t="s">
        <v>24</v>
      </c>
      <c r="FX27" s="15" t="s">
        <v>25</v>
      </c>
      <c r="FY27" s="15" t="s">
        <v>23</v>
      </c>
      <c r="FZ27" s="15" t="s">
        <v>24</v>
      </c>
      <c r="GA27" s="15" t="s">
        <v>24</v>
      </c>
      <c r="GB27" s="15" t="s">
        <v>23</v>
      </c>
      <c r="GC27" s="15" t="s">
        <v>2</v>
      </c>
      <c r="GD27" s="15" t="s">
        <v>2</v>
      </c>
      <c r="GE27" t="s">
        <v>2</v>
      </c>
      <c r="GF27" s="15" t="s">
        <v>25</v>
      </c>
      <c r="GG27" s="15" t="s">
        <v>23</v>
      </c>
      <c r="GH27" s="15" t="s">
        <v>2</v>
      </c>
      <c r="GI27" s="15" t="s">
        <v>24</v>
      </c>
      <c r="GJ27" s="15" t="s">
        <v>24</v>
      </c>
      <c r="GK27" t="s">
        <v>25</v>
      </c>
      <c r="GL27" s="15" t="s">
        <v>24</v>
      </c>
      <c r="GM27" s="15" t="s">
        <v>2</v>
      </c>
      <c r="GN27" s="15" t="s">
        <v>25</v>
      </c>
      <c r="GO27" s="15" t="s">
        <v>23</v>
      </c>
      <c r="GP27" s="15" t="s">
        <v>24</v>
      </c>
      <c r="GQ27" s="15" t="s">
        <v>2</v>
      </c>
      <c r="GR27" s="15" t="s">
        <v>2</v>
      </c>
      <c r="GS27" t="s">
        <v>23</v>
      </c>
      <c r="GT27" t="s">
        <v>25</v>
      </c>
      <c r="GU27" t="s">
        <v>25</v>
      </c>
      <c r="GV27" t="s">
        <v>2</v>
      </c>
      <c r="GW27" t="s">
        <v>23</v>
      </c>
      <c r="GX27" t="s">
        <v>23</v>
      </c>
      <c r="GY27" t="s">
        <v>25</v>
      </c>
      <c r="GZ27" t="s">
        <v>25</v>
      </c>
      <c r="HA27" t="s">
        <v>24</v>
      </c>
      <c r="HB27" t="s">
        <v>23</v>
      </c>
      <c r="HC27" t="s">
        <v>25</v>
      </c>
      <c r="HD27" t="s">
        <v>2</v>
      </c>
      <c r="HE27" t="s">
        <v>25</v>
      </c>
      <c r="HF27" t="s">
        <v>23</v>
      </c>
      <c r="HG27" t="s">
        <v>24</v>
      </c>
      <c r="HH27" s="15" t="s">
        <v>25</v>
      </c>
      <c r="HI27" s="15" t="s">
        <v>25</v>
      </c>
      <c r="HJ27" s="15" t="s">
        <v>23</v>
      </c>
      <c r="HK27" s="15" t="s">
        <v>25</v>
      </c>
      <c r="HL27" s="15" t="s">
        <v>25</v>
      </c>
      <c r="HM27" s="15" t="s">
        <v>24</v>
      </c>
      <c r="HN27" s="15"/>
      <c r="HO27" s="15"/>
      <c r="HP27" s="15"/>
      <c r="HQ27" s="15"/>
      <c r="HR27" s="15"/>
      <c r="HS27" s="15"/>
      <c r="HT27" s="15"/>
      <c r="HU27" s="15"/>
      <c r="HV27" s="15"/>
      <c r="HW27" s="15"/>
      <c r="IQ27" s="15"/>
      <c r="IR27" s="15"/>
      <c r="IS27" s="15"/>
      <c r="IT27" s="15"/>
      <c r="IU27" s="15"/>
      <c r="IV27" s="15"/>
      <c r="IW27" s="15"/>
      <c r="IX27" s="15"/>
      <c r="IY27" s="15"/>
      <c r="IZ27" s="15"/>
      <c r="JA27" s="15"/>
      <c r="JC27" s="15"/>
      <c r="JZ27" s="15"/>
      <c r="KA27" s="15"/>
      <c r="KB27" s="15"/>
      <c r="KC27" s="15"/>
      <c r="KD27" s="15"/>
      <c r="KE27" s="15"/>
      <c r="KF27" s="15"/>
      <c r="KG27" s="15"/>
      <c r="KH27" s="15"/>
      <c r="KI27" s="15"/>
      <c r="KJ27" s="15"/>
      <c r="KK27" s="15"/>
      <c r="KL27" s="15"/>
      <c r="KM27" s="15"/>
      <c r="LI27" s="15"/>
      <c r="LJ27" s="15"/>
      <c r="LK27" s="15"/>
      <c r="LL27" s="15"/>
      <c r="LM27" s="15"/>
      <c r="LN27" s="15"/>
      <c r="LO27" s="15"/>
      <c r="LP27" s="15"/>
      <c r="LQ27" s="15"/>
      <c r="LR27" s="15"/>
    </row>
    <row r="28" spans="1:330">
      <c r="A28">
        <v>43662</v>
      </c>
      <c r="B28" s="15" t="s">
        <v>50</v>
      </c>
      <c r="C28" s="15" t="s">
        <v>781</v>
      </c>
      <c r="D28" s="15" t="s">
        <v>37</v>
      </c>
      <c r="E28" s="15" t="s">
        <v>765</v>
      </c>
      <c r="F28" s="15"/>
      <c r="G28" s="15" t="s">
        <v>25</v>
      </c>
      <c r="H28" s="15" t="s">
        <v>25</v>
      </c>
      <c r="I28" s="15" t="s">
        <v>23</v>
      </c>
      <c r="J28" s="15" t="s">
        <v>23</v>
      </c>
      <c r="K28" s="15" t="s">
        <v>25</v>
      </c>
      <c r="L28" s="15" t="s">
        <v>2</v>
      </c>
      <c r="M28" s="15" t="s">
        <v>24</v>
      </c>
      <c r="N28" t="s">
        <v>23</v>
      </c>
      <c r="O28" s="15" t="s">
        <v>24</v>
      </c>
      <c r="P28" s="15" t="s">
        <v>2</v>
      </c>
      <c r="Q28" s="15" t="s">
        <v>2</v>
      </c>
      <c r="R28" s="15" t="s">
        <v>24</v>
      </c>
      <c r="S28" s="15" t="s">
        <v>2</v>
      </c>
      <c r="T28" t="s">
        <v>25</v>
      </c>
      <c r="U28" s="15" t="s">
        <v>23</v>
      </c>
      <c r="V28" s="15" t="s">
        <v>24</v>
      </c>
      <c r="W28" s="15" t="s">
        <v>2</v>
      </c>
      <c r="X28" s="15" t="s">
        <v>23</v>
      </c>
      <c r="Y28" s="15" t="s">
        <v>23</v>
      </c>
      <c r="Z28" t="s">
        <v>24</v>
      </c>
      <c r="AA28" t="s">
        <v>23</v>
      </c>
      <c r="AB28" t="s">
        <v>2</v>
      </c>
      <c r="AC28" t="s">
        <v>25</v>
      </c>
      <c r="AD28" t="s">
        <v>25</v>
      </c>
      <c r="AE28" t="s">
        <v>23</v>
      </c>
      <c r="AF28" t="s">
        <v>25</v>
      </c>
      <c r="AG28" t="s">
        <v>23</v>
      </c>
      <c r="AH28" t="s">
        <v>2</v>
      </c>
      <c r="AI28" t="s">
        <v>24</v>
      </c>
      <c r="AJ28" t="s">
        <v>23</v>
      </c>
      <c r="AK28" t="s">
        <v>2</v>
      </c>
      <c r="AL28" t="s">
        <v>2</v>
      </c>
      <c r="AM28" t="s">
        <v>23</v>
      </c>
      <c r="AN28" t="s">
        <v>24</v>
      </c>
      <c r="AO28" s="15" t="s">
        <v>23</v>
      </c>
      <c r="AP28" s="15" t="s">
        <v>2</v>
      </c>
      <c r="AQ28" s="15" t="s">
        <v>25</v>
      </c>
      <c r="AR28" s="15" t="s">
        <v>23</v>
      </c>
      <c r="AS28" s="15" t="s">
        <v>24</v>
      </c>
      <c r="AT28" s="15" t="s">
        <v>25</v>
      </c>
      <c r="AU28" s="15" t="s">
        <v>25</v>
      </c>
      <c r="AV28" s="15" t="s">
        <v>2</v>
      </c>
      <c r="AW28" s="15" t="s">
        <v>25</v>
      </c>
      <c r="AX28" s="15" t="s">
        <v>23</v>
      </c>
      <c r="AY28" s="15" t="s">
        <v>24</v>
      </c>
      <c r="AZ28" s="15" t="s">
        <v>24</v>
      </c>
      <c r="BA28" s="15" t="s">
        <v>2</v>
      </c>
      <c r="BB28" s="15" t="s">
        <v>23</v>
      </c>
      <c r="BC28" s="15" t="s">
        <v>23</v>
      </c>
      <c r="BD28" s="15" t="s">
        <v>23</v>
      </c>
      <c r="BE28" s="15" t="s">
        <v>24</v>
      </c>
      <c r="BF28" s="15" t="s">
        <v>23</v>
      </c>
      <c r="BG28" s="15" t="s">
        <v>2</v>
      </c>
      <c r="BH28" t="s">
        <v>25</v>
      </c>
      <c r="BI28" s="15" t="s">
        <v>2</v>
      </c>
      <c r="BJ28" s="15" t="s">
        <v>25</v>
      </c>
      <c r="BK28" t="s">
        <v>23</v>
      </c>
      <c r="BL28" t="s">
        <v>24</v>
      </c>
      <c r="BM28" t="s">
        <v>23</v>
      </c>
      <c r="BN28" t="s">
        <v>25</v>
      </c>
      <c r="BO28" t="s">
        <v>2</v>
      </c>
      <c r="BP28" t="s">
        <v>25</v>
      </c>
      <c r="BQ28" t="s">
        <v>24</v>
      </c>
      <c r="BR28" t="s">
        <v>23</v>
      </c>
      <c r="BS28" t="s">
        <v>23</v>
      </c>
      <c r="BT28" t="s">
        <v>25</v>
      </c>
      <c r="BU28" t="s">
        <v>23</v>
      </c>
      <c r="BV28" t="s">
        <v>23</v>
      </c>
      <c r="BW28" t="s">
        <v>24</v>
      </c>
      <c r="BX28" s="15" t="s">
        <v>23</v>
      </c>
      <c r="BY28" s="15" t="s">
        <v>24</v>
      </c>
      <c r="BZ28" s="15" t="s">
        <v>25</v>
      </c>
      <c r="CA28" s="15" t="s">
        <v>2</v>
      </c>
      <c r="CB28" s="15" t="s">
        <v>2</v>
      </c>
      <c r="CC28" s="15" t="s">
        <v>24</v>
      </c>
      <c r="CD28" s="15" t="s">
        <v>23</v>
      </c>
      <c r="CE28" s="15" t="s">
        <v>25</v>
      </c>
      <c r="CF28" t="s">
        <v>24</v>
      </c>
      <c r="CG28" t="s">
        <v>2</v>
      </c>
      <c r="CH28" t="s">
        <v>23</v>
      </c>
      <c r="CI28" t="s">
        <v>23</v>
      </c>
      <c r="CJ28" t="s">
        <v>25</v>
      </c>
      <c r="CK28" t="s">
        <v>23</v>
      </c>
      <c r="CL28" t="s">
        <v>24</v>
      </c>
      <c r="CM28" t="s">
        <v>24</v>
      </c>
      <c r="CN28" t="s">
        <v>26</v>
      </c>
      <c r="CO28" t="s">
        <v>23</v>
      </c>
      <c r="CP28" t="s">
        <v>2</v>
      </c>
      <c r="CQ28" t="s">
        <v>24</v>
      </c>
      <c r="CR28" t="s">
        <v>25</v>
      </c>
      <c r="CS28" t="s">
        <v>26</v>
      </c>
      <c r="CT28" t="s">
        <v>24</v>
      </c>
      <c r="CU28" t="s">
        <v>23</v>
      </c>
      <c r="CV28" t="s">
        <v>23</v>
      </c>
      <c r="CW28" t="s">
        <v>24</v>
      </c>
      <c r="CX28" t="s">
        <v>24</v>
      </c>
      <c r="CY28" t="s">
        <v>2</v>
      </c>
      <c r="CZ28" t="s">
        <v>25</v>
      </c>
      <c r="DA28" t="s">
        <v>25</v>
      </c>
      <c r="DB28" t="s">
        <v>23</v>
      </c>
      <c r="DC28" t="s">
        <v>25</v>
      </c>
      <c r="DD28" t="s">
        <v>2</v>
      </c>
      <c r="DE28" t="s">
        <v>24</v>
      </c>
      <c r="DF28" t="s">
        <v>26</v>
      </c>
      <c r="DG28" t="s">
        <v>26</v>
      </c>
      <c r="DH28" t="s">
        <v>2</v>
      </c>
      <c r="DI28" t="s">
        <v>26</v>
      </c>
      <c r="DJ28" t="s">
        <v>25</v>
      </c>
      <c r="DK28" t="s">
        <v>26</v>
      </c>
      <c r="DL28" t="s">
        <v>25</v>
      </c>
      <c r="DM28" t="s">
        <v>24</v>
      </c>
      <c r="DN28" t="s">
        <v>23</v>
      </c>
      <c r="DO28" t="s">
        <v>25</v>
      </c>
      <c r="DP28" t="s">
        <v>23</v>
      </c>
      <c r="DQ28" t="s">
        <v>2</v>
      </c>
      <c r="DR28" t="s">
        <v>26</v>
      </c>
      <c r="DS28" t="s">
        <v>26</v>
      </c>
      <c r="DT28" t="s">
        <v>25</v>
      </c>
      <c r="DU28" t="s">
        <v>2</v>
      </c>
      <c r="DV28" t="s">
        <v>25</v>
      </c>
      <c r="DW28" t="s">
        <v>25</v>
      </c>
      <c r="DX28" t="s">
        <v>23</v>
      </c>
      <c r="DY28" t="s">
        <v>26</v>
      </c>
      <c r="DZ28" t="s">
        <v>24</v>
      </c>
      <c r="EA28" t="s">
        <v>2</v>
      </c>
      <c r="EB28" t="s">
        <v>23</v>
      </c>
      <c r="EC28" t="s">
        <v>23</v>
      </c>
      <c r="ED28" t="s">
        <v>24</v>
      </c>
      <c r="EE28" t="s">
        <v>26</v>
      </c>
      <c r="EF28" t="s">
        <v>24</v>
      </c>
      <c r="EG28" t="s">
        <v>25</v>
      </c>
      <c r="EH28" t="s">
        <v>26</v>
      </c>
      <c r="EI28" t="s">
        <v>24</v>
      </c>
      <c r="EJ28" t="s">
        <v>2</v>
      </c>
      <c r="EK28" t="s">
        <v>23</v>
      </c>
      <c r="EL28" t="s">
        <v>2</v>
      </c>
      <c r="EM28" t="s">
        <v>24</v>
      </c>
      <c r="EN28" t="s">
        <v>23</v>
      </c>
      <c r="EO28" t="s">
        <v>25</v>
      </c>
      <c r="EP28" s="15" t="s">
        <v>2</v>
      </c>
      <c r="EQ28" s="15" t="s">
        <v>2</v>
      </c>
      <c r="ER28" s="15" t="s">
        <v>23</v>
      </c>
      <c r="ES28" s="15" t="s">
        <v>2</v>
      </c>
      <c r="ET28" s="15" t="s">
        <v>25</v>
      </c>
      <c r="EU28" s="15" t="s">
        <v>23</v>
      </c>
      <c r="EV28" s="15" t="s">
        <v>23</v>
      </c>
      <c r="EW28" s="15" t="s">
        <v>2</v>
      </c>
      <c r="EX28" s="15" t="s">
        <v>24</v>
      </c>
      <c r="EY28" s="15" t="s">
        <v>23</v>
      </c>
      <c r="EZ28" s="15" t="s">
        <v>25</v>
      </c>
      <c r="FA28" s="15" t="s">
        <v>2</v>
      </c>
      <c r="FB28" s="15" t="s">
        <v>2</v>
      </c>
      <c r="FC28" s="15" t="s">
        <v>25</v>
      </c>
      <c r="FD28" s="15" t="s">
        <v>23</v>
      </c>
      <c r="FE28" s="15" t="s">
        <v>24</v>
      </c>
      <c r="FF28" s="15" t="s">
        <v>25</v>
      </c>
      <c r="FG28" s="15" t="s">
        <v>25</v>
      </c>
      <c r="FH28" s="15" t="s">
        <v>23</v>
      </c>
      <c r="FI28" s="15" t="s">
        <v>25</v>
      </c>
      <c r="FJ28" s="15" t="s">
        <v>23</v>
      </c>
      <c r="FK28" s="15" t="s">
        <v>24</v>
      </c>
      <c r="FL28" s="15" t="s">
        <v>23</v>
      </c>
      <c r="FM28" s="15" t="s">
        <v>24</v>
      </c>
      <c r="FN28" s="15" t="s">
        <v>25</v>
      </c>
      <c r="FO28" s="15" t="s">
        <v>2</v>
      </c>
      <c r="FP28" s="15" t="s">
        <v>25</v>
      </c>
      <c r="FQ28" s="15" t="s">
        <v>24</v>
      </c>
      <c r="FR28" s="15" t="s">
        <v>2</v>
      </c>
      <c r="FS28" s="15" t="s">
        <v>2</v>
      </c>
      <c r="FT28" t="s">
        <v>23</v>
      </c>
      <c r="FU28" t="s">
        <v>2</v>
      </c>
      <c r="FV28" t="s">
        <v>24</v>
      </c>
      <c r="FW28" t="s">
        <v>24</v>
      </c>
      <c r="FX28" t="s">
        <v>25</v>
      </c>
      <c r="FY28" s="15" t="s">
        <v>23</v>
      </c>
      <c r="FZ28" s="15" t="s">
        <v>25</v>
      </c>
      <c r="GA28" s="15" t="s">
        <v>24</v>
      </c>
      <c r="GB28" s="15" t="s">
        <v>23</v>
      </c>
      <c r="GC28" s="15" t="s">
        <v>2</v>
      </c>
      <c r="GD28" s="15" t="s">
        <v>2</v>
      </c>
      <c r="GE28" t="s">
        <v>2</v>
      </c>
      <c r="GF28" s="15" t="s">
        <v>25</v>
      </c>
      <c r="GG28" s="15" t="s">
        <v>23</v>
      </c>
      <c r="GH28" s="15" t="s">
        <v>23</v>
      </c>
      <c r="GI28" s="15" t="s">
        <v>24</v>
      </c>
      <c r="GJ28" s="15" t="s">
        <v>23</v>
      </c>
      <c r="GK28" s="15" t="s">
        <v>25</v>
      </c>
      <c r="GL28" s="15" t="s">
        <v>24</v>
      </c>
      <c r="GM28" s="15" t="s">
        <v>2</v>
      </c>
      <c r="GN28" s="15" t="s">
        <v>25</v>
      </c>
      <c r="GO28" s="15" t="s">
        <v>23</v>
      </c>
      <c r="GP28" s="15" t="s">
        <v>24</v>
      </c>
      <c r="GQ28" t="s">
        <v>2</v>
      </c>
      <c r="GR28" t="s">
        <v>2</v>
      </c>
      <c r="GS28" t="s">
        <v>2</v>
      </c>
      <c r="GT28" t="s">
        <v>25</v>
      </c>
      <c r="GU28" s="15" t="s">
        <v>25</v>
      </c>
      <c r="GV28" t="s">
        <v>2</v>
      </c>
      <c r="GW28" t="s">
        <v>23</v>
      </c>
      <c r="GX28" t="s">
        <v>23</v>
      </c>
      <c r="GY28" t="s">
        <v>25</v>
      </c>
      <c r="GZ28" t="s">
        <v>25</v>
      </c>
      <c r="HA28" t="s">
        <v>24</v>
      </c>
      <c r="HB28" t="s">
        <v>23</v>
      </c>
      <c r="HC28" t="s">
        <v>2</v>
      </c>
      <c r="HD28" t="s">
        <v>2</v>
      </c>
      <c r="HE28" t="s">
        <v>25</v>
      </c>
      <c r="HF28" t="s">
        <v>2</v>
      </c>
      <c r="HG28" t="s">
        <v>24</v>
      </c>
      <c r="HH28" s="15" t="s">
        <v>23</v>
      </c>
      <c r="HI28" s="15" t="s">
        <v>25</v>
      </c>
      <c r="HJ28" s="15" t="s">
        <v>23</v>
      </c>
      <c r="HK28" s="15" t="s">
        <v>25</v>
      </c>
      <c r="HL28" s="15" t="s">
        <v>25</v>
      </c>
      <c r="HM28" t="s">
        <v>23</v>
      </c>
      <c r="HN28" s="15"/>
      <c r="HO28" s="15"/>
      <c r="HP28" s="15"/>
      <c r="HR28" s="15"/>
      <c r="HS28" s="15"/>
      <c r="HT28" s="15"/>
      <c r="HU28" s="15"/>
      <c r="HW28" s="15"/>
      <c r="IR28" s="15"/>
      <c r="IS28" s="15"/>
      <c r="IT28" s="15"/>
      <c r="IU28" s="15"/>
      <c r="IV28" s="15"/>
      <c r="IW28" s="15"/>
      <c r="IX28" s="15"/>
      <c r="IY28" s="15"/>
      <c r="IZ28" s="15"/>
      <c r="JA28" s="15"/>
      <c r="JB28" s="15"/>
      <c r="JC28" s="15"/>
      <c r="JD28" s="15"/>
      <c r="JE28" s="15"/>
      <c r="JF28" s="15"/>
      <c r="JG28" s="15"/>
      <c r="JH28" s="15"/>
      <c r="JZ28" s="15"/>
      <c r="KA28" s="15"/>
      <c r="KB28" s="15"/>
      <c r="KC28" s="15"/>
      <c r="KD28" s="15"/>
      <c r="KE28" s="15"/>
      <c r="KF28" s="15"/>
      <c r="KG28" s="15"/>
      <c r="KH28" s="15"/>
      <c r="KI28" s="15"/>
      <c r="KJ28" s="15"/>
      <c r="KK28" s="15"/>
      <c r="KL28" s="15"/>
      <c r="KM28" s="15"/>
      <c r="LI28" s="15"/>
      <c r="LJ28" s="15"/>
      <c r="LK28" s="15"/>
      <c r="LO28" s="15"/>
    </row>
    <row r="29" spans="1:330">
      <c r="A29">
        <v>43662</v>
      </c>
      <c r="B29" s="15" t="s">
        <v>51</v>
      </c>
      <c r="C29" s="15" t="s">
        <v>515</v>
      </c>
      <c r="D29" s="15" t="s">
        <v>37</v>
      </c>
      <c r="E29" s="15" t="s">
        <v>765</v>
      </c>
      <c r="F29" s="15"/>
      <c r="G29" s="15" t="s">
        <v>24</v>
      </c>
      <c r="H29" s="15" t="s">
        <v>25</v>
      </c>
      <c r="I29" s="15" t="s">
        <v>23</v>
      </c>
      <c r="J29" s="15" t="s">
        <v>23</v>
      </c>
      <c r="K29" s="15" t="s">
        <v>25</v>
      </c>
      <c r="L29" s="15" t="s">
        <v>2</v>
      </c>
      <c r="M29" s="15" t="s">
        <v>24</v>
      </c>
      <c r="N29" s="15" t="s">
        <v>23</v>
      </c>
      <c r="O29" s="15" t="s">
        <v>24</v>
      </c>
      <c r="P29" s="15" t="s">
        <v>23</v>
      </c>
      <c r="Q29" s="15" t="s">
        <v>2</v>
      </c>
      <c r="R29" s="15" t="s">
        <v>24</v>
      </c>
      <c r="S29" s="15" t="s">
        <v>25</v>
      </c>
      <c r="T29" s="15" t="s">
        <v>25</v>
      </c>
      <c r="U29" s="15" t="s">
        <v>23</v>
      </c>
      <c r="V29" s="15" t="s">
        <v>24</v>
      </c>
      <c r="W29" s="15" t="s">
        <v>2</v>
      </c>
      <c r="X29" s="15" t="s">
        <v>23</v>
      </c>
      <c r="Y29" s="15" t="s">
        <v>2</v>
      </c>
      <c r="Z29" t="s">
        <v>24</v>
      </c>
      <c r="AA29" t="s">
        <v>23</v>
      </c>
      <c r="AB29" t="s">
        <v>2</v>
      </c>
      <c r="AC29" t="s">
        <v>24</v>
      </c>
      <c r="AD29" t="s">
        <v>25</v>
      </c>
      <c r="AE29" t="s">
        <v>24</v>
      </c>
      <c r="AF29" t="s">
        <v>25</v>
      </c>
      <c r="AG29" t="s">
        <v>2</v>
      </c>
      <c r="AH29" t="s">
        <v>2</v>
      </c>
      <c r="AI29" t="s">
        <v>24</v>
      </c>
      <c r="AJ29" t="s">
        <v>23</v>
      </c>
      <c r="AK29" t="s">
        <v>2</v>
      </c>
      <c r="AL29" t="s">
        <v>2</v>
      </c>
      <c r="AM29" t="s">
        <v>23</v>
      </c>
      <c r="AN29" t="s">
        <v>23</v>
      </c>
      <c r="AO29" s="15" t="s">
        <v>25</v>
      </c>
      <c r="AP29" s="15" t="s">
        <v>2</v>
      </c>
      <c r="AQ29" s="15" t="s">
        <v>25</v>
      </c>
      <c r="AR29" s="15" t="s">
        <v>24</v>
      </c>
      <c r="AS29" s="15" t="s">
        <v>25</v>
      </c>
      <c r="AT29" s="15" t="s">
        <v>2</v>
      </c>
      <c r="AU29" s="15" t="s">
        <v>25</v>
      </c>
      <c r="AV29" s="15" t="s">
        <v>2</v>
      </c>
      <c r="AW29" s="15" t="s">
        <v>25</v>
      </c>
      <c r="AX29" s="15" t="s">
        <v>24</v>
      </c>
      <c r="AY29" s="15" t="s">
        <v>25</v>
      </c>
      <c r="AZ29" s="15" t="s">
        <v>24</v>
      </c>
      <c r="BA29" s="15" t="s">
        <v>25</v>
      </c>
      <c r="BB29" s="15" t="s">
        <v>24</v>
      </c>
      <c r="BC29" s="15" t="s">
        <v>2</v>
      </c>
      <c r="BD29" s="15" t="s">
        <v>23</v>
      </c>
      <c r="BE29" s="15" t="s">
        <v>2</v>
      </c>
      <c r="BF29" s="15" t="s">
        <v>24</v>
      </c>
      <c r="BG29" s="15" t="s">
        <v>23</v>
      </c>
      <c r="BH29" s="15" t="s">
        <v>2</v>
      </c>
      <c r="BI29" s="15" t="s">
        <v>24</v>
      </c>
      <c r="BJ29" s="15" t="s">
        <v>25</v>
      </c>
      <c r="BK29" s="15" t="s">
        <v>23</v>
      </c>
      <c r="BL29" s="15" t="s">
        <v>24</v>
      </c>
      <c r="BM29" t="s">
        <v>24</v>
      </c>
      <c r="BN29" t="s">
        <v>23</v>
      </c>
      <c r="BO29" t="s">
        <v>2</v>
      </c>
      <c r="BP29" t="s">
        <v>2</v>
      </c>
      <c r="BQ29" t="s">
        <v>24</v>
      </c>
      <c r="BR29" t="s">
        <v>23</v>
      </c>
      <c r="BS29" t="s">
        <v>23</v>
      </c>
      <c r="BT29" t="s">
        <v>25</v>
      </c>
      <c r="BU29" t="s">
        <v>23</v>
      </c>
      <c r="BV29" t="s">
        <v>2</v>
      </c>
      <c r="BW29" t="s">
        <v>24</v>
      </c>
      <c r="BX29" s="15" t="s">
        <v>25</v>
      </c>
      <c r="BY29" s="15" t="s">
        <v>2</v>
      </c>
      <c r="BZ29" s="15" t="s">
        <v>25</v>
      </c>
      <c r="CA29" s="15" t="s">
        <v>2</v>
      </c>
      <c r="CB29" s="15" t="s">
        <v>2</v>
      </c>
      <c r="CC29" s="15" t="s">
        <v>24</v>
      </c>
      <c r="CD29" s="15" t="s">
        <v>2</v>
      </c>
      <c r="CE29" s="15" t="s">
        <v>25</v>
      </c>
      <c r="CF29" t="s">
        <v>24</v>
      </c>
      <c r="CG29" t="s">
        <v>2</v>
      </c>
      <c r="CH29" t="s">
        <v>23</v>
      </c>
      <c r="CI29" t="s">
        <v>24</v>
      </c>
      <c r="CJ29" t="s">
        <v>25</v>
      </c>
      <c r="CK29" t="s">
        <v>23</v>
      </c>
      <c r="CL29" t="s">
        <v>24</v>
      </c>
      <c r="CM29" t="s">
        <v>24</v>
      </c>
      <c r="CN29" t="s">
        <v>26</v>
      </c>
      <c r="CO29" t="s">
        <v>25</v>
      </c>
      <c r="CP29" t="s">
        <v>2</v>
      </c>
      <c r="CQ29" t="s">
        <v>24</v>
      </c>
      <c r="CR29" t="s">
        <v>25</v>
      </c>
      <c r="CS29" t="s">
        <v>26</v>
      </c>
      <c r="CT29" t="s">
        <v>24</v>
      </c>
      <c r="CU29" t="s">
        <v>23</v>
      </c>
      <c r="CV29" t="s">
        <v>23</v>
      </c>
      <c r="CW29" t="s">
        <v>24</v>
      </c>
      <c r="CX29" t="s">
        <v>25</v>
      </c>
      <c r="CY29" t="s">
        <v>2</v>
      </c>
      <c r="CZ29" t="s">
        <v>25</v>
      </c>
      <c r="DA29" t="s">
        <v>25</v>
      </c>
      <c r="DB29" t="s">
        <v>26</v>
      </c>
      <c r="DC29" t="s">
        <v>25</v>
      </c>
      <c r="DD29" t="s">
        <v>2</v>
      </c>
      <c r="DE29" t="s">
        <v>24</v>
      </c>
      <c r="DF29" t="s">
        <v>2</v>
      </c>
      <c r="DG29" t="s">
        <v>26</v>
      </c>
      <c r="DH29" t="s">
        <v>25</v>
      </c>
      <c r="DI29" t="s">
        <v>26</v>
      </c>
      <c r="DJ29" t="s">
        <v>24</v>
      </c>
      <c r="DK29" t="s">
        <v>26</v>
      </c>
      <c r="DL29" t="s">
        <v>25</v>
      </c>
      <c r="DM29" t="s">
        <v>24</v>
      </c>
      <c r="DN29" t="s">
        <v>2</v>
      </c>
      <c r="DO29" t="s">
        <v>24</v>
      </c>
      <c r="DP29" t="s">
        <v>2</v>
      </c>
      <c r="DQ29" t="s">
        <v>2</v>
      </c>
      <c r="DR29" t="s">
        <v>2</v>
      </c>
      <c r="DS29" t="s">
        <v>26</v>
      </c>
      <c r="DT29" t="s">
        <v>25</v>
      </c>
      <c r="DU29" t="s">
        <v>2</v>
      </c>
      <c r="DV29" t="s">
        <v>26</v>
      </c>
      <c r="DW29" t="s">
        <v>25</v>
      </c>
      <c r="DX29" t="s">
        <v>23</v>
      </c>
      <c r="DY29" t="s">
        <v>24</v>
      </c>
      <c r="DZ29" t="s">
        <v>24</v>
      </c>
      <c r="EA29" t="s">
        <v>25</v>
      </c>
      <c r="EB29" t="s">
        <v>23</v>
      </c>
      <c r="EC29" t="s">
        <v>23</v>
      </c>
      <c r="ED29" t="s">
        <v>26</v>
      </c>
      <c r="EE29" t="s">
        <v>26</v>
      </c>
      <c r="EF29" t="s">
        <v>25</v>
      </c>
      <c r="EG29" t="s">
        <v>2</v>
      </c>
      <c r="EH29" t="s">
        <v>25</v>
      </c>
      <c r="EI29" t="s">
        <v>24</v>
      </c>
      <c r="EJ29" t="s">
        <v>24</v>
      </c>
      <c r="EK29" t="s">
        <v>23</v>
      </c>
      <c r="EL29" t="s">
        <v>2</v>
      </c>
      <c r="EM29" t="s">
        <v>24</v>
      </c>
      <c r="EN29" t="s">
        <v>23</v>
      </c>
      <c r="EO29" t="s">
        <v>23</v>
      </c>
      <c r="EP29" s="15" t="s">
        <v>2</v>
      </c>
      <c r="EQ29" s="15" t="s">
        <v>24</v>
      </c>
      <c r="ER29" s="15" t="s">
        <v>23</v>
      </c>
      <c r="ES29" s="15" t="s">
        <v>2</v>
      </c>
      <c r="ET29" s="15" t="s">
        <v>25</v>
      </c>
      <c r="EU29" s="15" t="s">
        <v>25</v>
      </c>
      <c r="EV29" s="15" t="s">
        <v>2</v>
      </c>
      <c r="EW29" s="15" t="s">
        <v>2</v>
      </c>
      <c r="EX29" s="15" t="s">
        <v>24</v>
      </c>
      <c r="EY29" s="15" t="s">
        <v>2</v>
      </c>
      <c r="EZ29" s="15" t="s">
        <v>2</v>
      </c>
      <c r="FA29" s="15" t="s">
        <v>23</v>
      </c>
      <c r="FB29" s="15" t="s">
        <v>25</v>
      </c>
      <c r="FC29" s="15" t="s">
        <v>2</v>
      </c>
      <c r="FD29" s="15" t="s">
        <v>23</v>
      </c>
      <c r="FE29" s="15" t="s">
        <v>24</v>
      </c>
      <c r="FF29" s="15" t="s">
        <v>25</v>
      </c>
      <c r="FG29" s="15" t="s">
        <v>23</v>
      </c>
      <c r="FH29" s="15" t="s">
        <v>2</v>
      </c>
      <c r="FI29" s="15" t="s">
        <v>25</v>
      </c>
      <c r="FJ29" s="15" t="s">
        <v>23</v>
      </c>
      <c r="FK29" s="15" t="s">
        <v>24</v>
      </c>
      <c r="FL29" s="15" t="s">
        <v>23</v>
      </c>
      <c r="FM29" s="15" t="s">
        <v>24</v>
      </c>
      <c r="FN29" s="15" t="s">
        <v>25</v>
      </c>
      <c r="FO29" s="15" t="s">
        <v>24</v>
      </c>
      <c r="FP29" s="15" t="s">
        <v>25</v>
      </c>
      <c r="FQ29" s="15" t="s">
        <v>24</v>
      </c>
      <c r="FR29" s="15" t="s">
        <v>2</v>
      </c>
      <c r="FS29" s="15" t="s">
        <v>2</v>
      </c>
      <c r="FT29" s="15" t="s">
        <v>24</v>
      </c>
      <c r="FU29" s="15" t="s">
        <v>25</v>
      </c>
      <c r="FV29" s="15" t="s">
        <v>24</v>
      </c>
      <c r="FW29" s="15" t="s">
        <v>24</v>
      </c>
      <c r="FX29" s="15" t="s">
        <v>25</v>
      </c>
      <c r="FY29" s="15" t="s">
        <v>23</v>
      </c>
      <c r="FZ29" s="15" t="s">
        <v>24</v>
      </c>
      <c r="GA29" s="15" t="s">
        <v>24</v>
      </c>
      <c r="GB29" s="15" t="s">
        <v>2</v>
      </c>
      <c r="GC29" s="15" t="s">
        <v>24</v>
      </c>
      <c r="GD29" s="15" t="s">
        <v>2</v>
      </c>
      <c r="GE29" s="15" t="s">
        <v>23</v>
      </c>
      <c r="GF29" s="15" t="s">
        <v>25</v>
      </c>
      <c r="GG29" s="15" t="s">
        <v>23</v>
      </c>
      <c r="GH29" s="15" t="s">
        <v>2</v>
      </c>
      <c r="GI29" s="15" t="s">
        <v>23</v>
      </c>
      <c r="GJ29" s="15" t="s">
        <v>24</v>
      </c>
      <c r="GK29" s="15" t="s">
        <v>24</v>
      </c>
      <c r="GL29" s="15" t="s">
        <v>24</v>
      </c>
      <c r="GM29" s="15" t="s">
        <v>2</v>
      </c>
      <c r="GN29" s="15" t="s">
        <v>2</v>
      </c>
      <c r="GO29" s="15" t="s">
        <v>2</v>
      </c>
      <c r="GP29" s="15" t="s">
        <v>24</v>
      </c>
      <c r="GQ29" s="15" t="s">
        <v>24</v>
      </c>
      <c r="GR29" s="15" t="s">
        <v>24</v>
      </c>
      <c r="GS29" s="15" t="s">
        <v>2</v>
      </c>
      <c r="GT29" s="15" t="s">
        <v>2</v>
      </c>
      <c r="GU29" s="15" t="s">
        <v>24</v>
      </c>
      <c r="GV29" t="s">
        <v>2</v>
      </c>
      <c r="GW29" t="s">
        <v>24</v>
      </c>
      <c r="GX29" t="s">
        <v>23</v>
      </c>
      <c r="GY29" t="s">
        <v>25</v>
      </c>
      <c r="GZ29" t="s">
        <v>25</v>
      </c>
      <c r="HA29" t="s">
        <v>25</v>
      </c>
      <c r="HB29" t="s">
        <v>23</v>
      </c>
      <c r="HC29" t="s">
        <v>2</v>
      </c>
      <c r="HD29" t="s">
        <v>24</v>
      </c>
      <c r="HE29" t="s">
        <v>25</v>
      </c>
      <c r="HF29" t="s">
        <v>25</v>
      </c>
      <c r="HG29" t="s">
        <v>25</v>
      </c>
      <c r="HH29" s="15" t="s">
        <v>23</v>
      </c>
      <c r="HI29" s="15" t="s">
        <v>2</v>
      </c>
      <c r="HJ29" s="15" t="s">
        <v>25</v>
      </c>
      <c r="HK29" s="15" t="s">
        <v>24</v>
      </c>
      <c r="HL29" s="15" t="s">
        <v>23</v>
      </c>
      <c r="HM29" s="15" t="s">
        <v>25</v>
      </c>
      <c r="HN29" s="15"/>
      <c r="HO29" s="15"/>
      <c r="HP29" s="15"/>
      <c r="HQ29" s="15"/>
      <c r="HR29" s="15"/>
      <c r="HS29" s="15"/>
      <c r="HT29" s="15"/>
      <c r="HU29" s="15"/>
      <c r="HV29" s="15"/>
      <c r="HW29" s="15"/>
      <c r="IQ29" s="15"/>
      <c r="IR29" s="15"/>
      <c r="IS29" s="15"/>
      <c r="IT29" s="15"/>
      <c r="IV29" s="15"/>
      <c r="IW29" s="15"/>
      <c r="IX29" s="15"/>
      <c r="IY29" s="15"/>
      <c r="IZ29" s="15"/>
      <c r="JA29" s="15"/>
      <c r="JC29" s="15"/>
      <c r="JE29" s="15"/>
      <c r="JF29" s="15"/>
      <c r="JG29" s="15"/>
      <c r="JH29" s="15"/>
      <c r="JI29" s="15"/>
      <c r="JZ29" s="15"/>
      <c r="KA29" s="15"/>
      <c r="KB29" s="15"/>
      <c r="KC29" s="15"/>
      <c r="KD29" s="15"/>
      <c r="KE29" s="15"/>
      <c r="KF29" s="15"/>
      <c r="KG29" s="15"/>
      <c r="KH29" s="15"/>
      <c r="KI29" s="15"/>
      <c r="KJ29" s="15"/>
      <c r="KK29" s="15"/>
      <c r="KL29" s="15"/>
      <c r="KM29" s="15"/>
      <c r="LI29" s="15"/>
      <c r="LJ29" s="15"/>
      <c r="LK29" s="15"/>
      <c r="LL29" s="15"/>
      <c r="LM29" s="15"/>
      <c r="LN29" s="15"/>
      <c r="LO29" s="15"/>
      <c r="LP29" s="15"/>
      <c r="LQ29" s="15"/>
      <c r="LR29" s="15"/>
    </row>
    <row r="30" spans="1:330">
      <c r="A30">
        <v>43662</v>
      </c>
      <c r="B30" s="15" t="s">
        <v>52</v>
      </c>
      <c r="C30" s="15" t="s">
        <v>782</v>
      </c>
      <c r="D30" s="15" t="s">
        <v>37</v>
      </c>
      <c r="E30" s="15" t="s">
        <v>765</v>
      </c>
      <c r="F30" s="15"/>
      <c r="G30" s="15" t="s">
        <v>24</v>
      </c>
      <c r="H30" s="15" t="s">
        <v>25</v>
      </c>
      <c r="I30" s="15" t="s">
        <v>23</v>
      </c>
      <c r="J30" s="15" t="s">
        <v>25</v>
      </c>
      <c r="K30" s="15" t="s">
        <v>25</v>
      </c>
      <c r="L30" s="15" t="s">
        <v>25</v>
      </c>
      <c r="M30" s="15" t="s">
        <v>24</v>
      </c>
      <c r="N30" s="15" t="s">
        <v>23</v>
      </c>
      <c r="O30" s="15" t="s">
        <v>24</v>
      </c>
      <c r="P30" s="15" t="s">
        <v>2</v>
      </c>
      <c r="Q30" s="15" t="s">
        <v>2</v>
      </c>
      <c r="R30" s="15" t="s">
        <v>24</v>
      </c>
      <c r="S30" s="15" t="s">
        <v>2</v>
      </c>
      <c r="T30" s="15" t="s">
        <v>25</v>
      </c>
      <c r="U30" s="15" t="s">
        <v>23</v>
      </c>
      <c r="V30" s="15" t="s">
        <v>24</v>
      </c>
      <c r="W30" s="15" t="s">
        <v>2</v>
      </c>
      <c r="X30" s="15" t="s">
        <v>23</v>
      </c>
      <c r="Y30" s="15" t="s">
        <v>2</v>
      </c>
      <c r="Z30" t="s">
        <v>24</v>
      </c>
      <c r="AA30" t="s">
        <v>23</v>
      </c>
      <c r="AB30" t="s">
        <v>2</v>
      </c>
      <c r="AC30" t="s">
        <v>23</v>
      </c>
      <c r="AD30" t="s">
        <v>2</v>
      </c>
      <c r="AE30" t="s">
        <v>23</v>
      </c>
      <c r="AF30" t="s">
        <v>25</v>
      </c>
      <c r="AG30" t="s">
        <v>23</v>
      </c>
      <c r="AH30" t="s">
        <v>2</v>
      </c>
      <c r="AI30" t="s">
        <v>24</v>
      </c>
      <c r="AJ30" t="s">
        <v>23</v>
      </c>
      <c r="AK30" t="s">
        <v>2</v>
      </c>
      <c r="AL30" t="s">
        <v>2</v>
      </c>
      <c r="AM30" t="s">
        <v>24</v>
      </c>
      <c r="AN30" t="s">
        <v>24</v>
      </c>
      <c r="AO30" s="15" t="s">
        <v>24</v>
      </c>
      <c r="AP30" s="15" t="s">
        <v>2</v>
      </c>
      <c r="AQ30" s="15" t="s">
        <v>25</v>
      </c>
      <c r="AR30" s="15" t="s">
        <v>23</v>
      </c>
      <c r="AS30" s="15" t="s">
        <v>24</v>
      </c>
      <c r="AT30" s="15" t="s">
        <v>25</v>
      </c>
      <c r="AU30" s="15" t="s">
        <v>25</v>
      </c>
      <c r="AV30" s="15" t="s">
        <v>23</v>
      </c>
      <c r="AW30" s="15" t="s">
        <v>25</v>
      </c>
      <c r="AX30" s="15" t="s">
        <v>25</v>
      </c>
      <c r="AY30" s="15" t="s">
        <v>24</v>
      </c>
      <c r="AZ30" s="15" t="s">
        <v>24</v>
      </c>
      <c r="BA30" s="15" t="s">
        <v>25</v>
      </c>
      <c r="BB30" s="15" t="s">
        <v>24</v>
      </c>
      <c r="BC30" s="15" t="s">
        <v>23</v>
      </c>
      <c r="BD30" s="15" t="s">
        <v>24</v>
      </c>
      <c r="BE30" s="15" t="s">
        <v>24</v>
      </c>
      <c r="BF30" s="15" t="s">
        <v>2</v>
      </c>
      <c r="BG30" s="15" t="s">
        <v>2</v>
      </c>
      <c r="BH30" s="15" t="s">
        <v>24</v>
      </c>
      <c r="BI30" s="15" t="s">
        <v>23</v>
      </c>
      <c r="BJ30" s="15" t="s">
        <v>25</v>
      </c>
      <c r="BK30" s="15" t="s">
        <v>23</v>
      </c>
      <c r="BL30" s="15" t="s">
        <v>24</v>
      </c>
      <c r="BM30" t="s">
        <v>25</v>
      </c>
      <c r="BN30" t="s">
        <v>23</v>
      </c>
      <c r="BO30" t="s">
        <v>25</v>
      </c>
      <c r="BP30" t="s">
        <v>2</v>
      </c>
      <c r="BQ30" t="s">
        <v>24</v>
      </c>
      <c r="BR30" t="s">
        <v>23</v>
      </c>
      <c r="BS30" t="s">
        <v>23</v>
      </c>
      <c r="BT30" t="s">
        <v>25</v>
      </c>
      <c r="BU30" t="s">
        <v>25</v>
      </c>
      <c r="BV30" t="s">
        <v>25</v>
      </c>
      <c r="BW30" t="s">
        <v>24</v>
      </c>
      <c r="BX30" s="15" t="s">
        <v>25</v>
      </c>
      <c r="BY30" s="15" t="s">
        <v>24</v>
      </c>
      <c r="BZ30" s="15" t="s">
        <v>2</v>
      </c>
      <c r="CA30" s="15" t="s">
        <v>25</v>
      </c>
      <c r="CB30" s="15" t="s">
        <v>2</v>
      </c>
      <c r="CC30" s="15" t="s">
        <v>24</v>
      </c>
      <c r="CD30" s="15" t="s">
        <v>2</v>
      </c>
      <c r="CE30" s="15" t="s">
        <v>25</v>
      </c>
      <c r="CF30" t="s">
        <v>24</v>
      </c>
      <c r="CG30" t="s">
        <v>24</v>
      </c>
      <c r="CH30" t="s">
        <v>23</v>
      </c>
      <c r="CI30" t="s">
        <v>23</v>
      </c>
      <c r="CJ30" t="s">
        <v>23</v>
      </c>
      <c r="CK30" t="s">
        <v>23</v>
      </c>
      <c r="CL30" t="s">
        <v>26</v>
      </c>
      <c r="CM30" t="s">
        <v>24</v>
      </c>
      <c r="CN30" t="s">
        <v>26</v>
      </c>
      <c r="CO30" t="s">
        <v>23</v>
      </c>
      <c r="CP30" t="s">
        <v>2</v>
      </c>
      <c r="CQ30" t="s">
        <v>24</v>
      </c>
      <c r="CR30" t="s">
        <v>25</v>
      </c>
      <c r="CS30" t="s">
        <v>26</v>
      </c>
      <c r="CT30" t="s">
        <v>24</v>
      </c>
      <c r="CU30" t="s">
        <v>23</v>
      </c>
      <c r="CV30" t="s">
        <v>23</v>
      </c>
      <c r="CW30" t="s">
        <v>26</v>
      </c>
      <c r="CX30" t="s">
        <v>25</v>
      </c>
      <c r="CY30" t="s">
        <v>2</v>
      </c>
      <c r="CZ30" t="s">
        <v>25</v>
      </c>
      <c r="DA30" t="s">
        <v>25</v>
      </c>
      <c r="DB30" t="s">
        <v>23</v>
      </c>
      <c r="DC30" t="s">
        <v>25</v>
      </c>
      <c r="DD30" t="s">
        <v>2</v>
      </c>
      <c r="DE30" t="s">
        <v>24</v>
      </c>
      <c r="DF30" t="s">
        <v>26</v>
      </c>
      <c r="DG30" t="s">
        <v>2</v>
      </c>
      <c r="DH30" t="s">
        <v>25</v>
      </c>
      <c r="DI30" t="s">
        <v>26</v>
      </c>
      <c r="DJ30" t="s">
        <v>25</v>
      </c>
      <c r="DK30" t="s">
        <v>26</v>
      </c>
      <c r="DL30" t="s">
        <v>25</v>
      </c>
      <c r="DM30" t="s">
        <v>24</v>
      </c>
      <c r="DN30" t="s">
        <v>23</v>
      </c>
      <c r="DO30" t="s">
        <v>23</v>
      </c>
      <c r="DP30" t="s">
        <v>26</v>
      </c>
      <c r="DQ30" t="s">
        <v>2</v>
      </c>
      <c r="DR30" t="s">
        <v>23</v>
      </c>
      <c r="DS30" t="s">
        <v>2</v>
      </c>
      <c r="DT30" t="s">
        <v>25</v>
      </c>
      <c r="DU30" t="s">
        <v>25</v>
      </c>
      <c r="DV30" t="s">
        <v>25</v>
      </c>
      <c r="DW30" t="s">
        <v>25</v>
      </c>
      <c r="DX30" t="s">
        <v>23</v>
      </c>
      <c r="DY30" t="s">
        <v>26</v>
      </c>
      <c r="DZ30" t="s">
        <v>24</v>
      </c>
      <c r="EA30" t="s">
        <v>2</v>
      </c>
      <c r="EB30" t="s">
        <v>23</v>
      </c>
      <c r="EC30" t="s">
        <v>23</v>
      </c>
      <c r="ED30" t="s">
        <v>24</v>
      </c>
      <c r="EE30" t="s">
        <v>26</v>
      </c>
      <c r="EF30" t="s">
        <v>24</v>
      </c>
      <c r="EG30" t="s">
        <v>25</v>
      </c>
      <c r="EH30" t="s">
        <v>26</v>
      </c>
      <c r="EI30" t="s">
        <v>24</v>
      </c>
      <c r="EJ30" t="s">
        <v>2</v>
      </c>
      <c r="EK30" t="s">
        <v>23</v>
      </c>
      <c r="EL30" t="s">
        <v>24</v>
      </c>
      <c r="EM30" t="s">
        <v>24</v>
      </c>
      <c r="EN30" t="s">
        <v>23</v>
      </c>
      <c r="EO30" t="s">
        <v>25</v>
      </c>
      <c r="EP30" s="15" t="s">
        <v>24</v>
      </c>
      <c r="EQ30" s="15" t="s">
        <v>24</v>
      </c>
      <c r="ER30" s="15" t="s">
        <v>25</v>
      </c>
      <c r="ES30" s="15" t="s">
        <v>2</v>
      </c>
      <c r="ET30" s="15" t="s">
        <v>25</v>
      </c>
      <c r="EU30" s="15" t="s">
        <v>25</v>
      </c>
      <c r="EV30" s="15" t="s">
        <v>23</v>
      </c>
      <c r="EW30" s="15" t="s">
        <v>2</v>
      </c>
      <c r="EX30" s="15" t="s">
        <v>24</v>
      </c>
      <c r="EY30" s="15" t="s">
        <v>2</v>
      </c>
      <c r="EZ30" s="15" t="s">
        <v>25</v>
      </c>
      <c r="FA30" s="15" t="s">
        <v>23</v>
      </c>
      <c r="FB30" s="15" t="s">
        <v>25</v>
      </c>
      <c r="FC30" s="15" t="s">
        <v>25</v>
      </c>
      <c r="FD30" s="15" t="s">
        <v>23</v>
      </c>
      <c r="FE30" s="15" t="s">
        <v>25</v>
      </c>
      <c r="FF30" s="15" t="s">
        <v>25</v>
      </c>
      <c r="FG30" s="15" t="s">
        <v>23</v>
      </c>
      <c r="FH30" s="15" t="s">
        <v>23</v>
      </c>
      <c r="FI30" t="s">
        <v>2</v>
      </c>
      <c r="FJ30" s="15" t="s">
        <v>23</v>
      </c>
      <c r="FK30" s="15" t="s">
        <v>25</v>
      </c>
      <c r="FL30" t="s">
        <v>25</v>
      </c>
      <c r="FM30" t="s">
        <v>23</v>
      </c>
      <c r="FN30" t="s">
        <v>25</v>
      </c>
      <c r="FO30" t="s">
        <v>23</v>
      </c>
      <c r="FP30" t="s">
        <v>23</v>
      </c>
      <c r="FQ30" s="15" t="s">
        <v>24</v>
      </c>
      <c r="FR30" s="15" t="s">
        <v>2</v>
      </c>
      <c r="FS30" s="15" t="s">
        <v>24</v>
      </c>
      <c r="FT30" s="15" t="s">
        <v>2</v>
      </c>
      <c r="FU30" s="15" t="s">
        <v>2</v>
      </c>
      <c r="FV30" s="15" t="s">
        <v>25</v>
      </c>
      <c r="FW30" t="s">
        <v>24</v>
      </c>
      <c r="FX30" t="s">
        <v>25</v>
      </c>
      <c r="FY30" s="15" t="s">
        <v>23</v>
      </c>
      <c r="FZ30" s="15" t="s">
        <v>24</v>
      </c>
      <c r="GA30" s="15" t="s">
        <v>24</v>
      </c>
      <c r="GB30" s="15" t="s">
        <v>23</v>
      </c>
      <c r="GC30" s="15" t="s">
        <v>25</v>
      </c>
      <c r="GD30" t="s">
        <v>25</v>
      </c>
      <c r="GE30" t="s">
        <v>2</v>
      </c>
      <c r="GF30" s="15" t="s">
        <v>25</v>
      </c>
      <c r="GG30" s="15" t="s">
        <v>25</v>
      </c>
      <c r="GH30" s="15" t="s">
        <v>25</v>
      </c>
      <c r="GI30" s="15" t="s">
        <v>25</v>
      </c>
      <c r="GJ30" s="15" t="s">
        <v>25</v>
      </c>
      <c r="GK30" s="15" t="s">
        <v>25</v>
      </c>
      <c r="GL30" s="15" t="s">
        <v>25</v>
      </c>
      <c r="GM30" s="15" t="s">
        <v>25</v>
      </c>
      <c r="GN30" s="15" t="s">
        <v>25</v>
      </c>
      <c r="GO30" t="s">
        <v>25</v>
      </c>
      <c r="GP30" s="15" t="s">
        <v>25</v>
      </c>
      <c r="GQ30" s="15" t="s">
        <v>25</v>
      </c>
      <c r="GR30" s="15" t="s">
        <v>25</v>
      </c>
      <c r="GS30" s="15" t="s">
        <v>25</v>
      </c>
      <c r="GT30" t="s">
        <v>25</v>
      </c>
      <c r="GU30" t="s">
        <v>25</v>
      </c>
      <c r="GV30" t="s">
        <v>2</v>
      </c>
      <c r="GW30" t="s">
        <v>23</v>
      </c>
      <c r="GX30" t="s">
        <v>23</v>
      </c>
      <c r="GY30" t="s">
        <v>25</v>
      </c>
      <c r="GZ30" t="s">
        <v>25</v>
      </c>
      <c r="HA30" t="s">
        <v>24</v>
      </c>
      <c r="HB30" t="s">
        <v>23</v>
      </c>
      <c r="HC30" t="s">
        <v>2</v>
      </c>
      <c r="HD30" t="s">
        <v>2</v>
      </c>
      <c r="HE30" t="s">
        <v>25</v>
      </c>
      <c r="HF30" t="s">
        <v>2</v>
      </c>
      <c r="HG30" t="s">
        <v>25</v>
      </c>
      <c r="HH30" s="15" t="s">
        <v>2</v>
      </c>
      <c r="HI30" s="15" t="s">
        <v>25</v>
      </c>
      <c r="HJ30" s="15" t="s">
        <v>23</v>
      </c>
      <c r="HK30" s="15" t="s">
        <v>25</v>
      </c>
      <c r="HL30" s="15" t="s">
        <v>25</v>
      </c>
      <c r="HM30" s="15" t="s">
        <v>23</v>
      </c>
      <c r="HN30" s="15"/>
      <c r="HO30" s="15"/>
      <c r="HQ30" s="15"/>
      <c r="HR30" s="15"/>
      <c r="HT30" s="15"/>
      <c r="HU30" s="15"/>
      <c r="HV30" s="15"/>
      <c r="HW30" s="15"/>
      <c r="IQ30" s="15"/>
      <c r="IR30" s="15"/>
      <c r="IS30" s="15"/>
      <c r="IT30" s="15"/>
      <c r="IU30" s="15"/>
      <c r="IW30" s="15"/>
      <c r="IX30" s="15"/>
      <c r="IY30" s="15"/>
      <c r="IZ30" s="15"/>
      <c r="JC30" s="15"/>
      <c r="JZ30" s="15"/>
      <c r="KA30" s="15"/>
      <c r="KB30" s="15"/>
      <c r="KC30" s="15"/>
      <c r="KD30" s="15"/>
      <c r="KE30" s="15"/>
      <c r="KF30" s="15"/>
      <c r="KG30" s="15"/>
      <c r="KH30" s="15"/>
      <c r="KI30" s="15"/>
      <c r="KJ30" s="15"/>
      <c r="KK30" s="15"/>
      <c r="KL30" s="15"/>
      <c r="KM30" s="15"/>
      <c r="LK30" s="15"/>
      <c r="LL30" s="15"/>
      <c r="LM30" s="15"/>
      <c r="LN30" s="15"/>
      <c r="LO30" s="15"/>
      <c r="LP30" s="15"/>
      <c r="LQ30" s="15"/>
      <c r="LR30" s="15"/>
    </row>
    <row r="31" spans="1:330">
      <c r="A31">
        <v>43662</v>
      </c>
      <c r="B31" s="15" t="s">
        <v>53</v>
      </c>
      <c r="C31" s="15" t="s">
        <v>646</v>
      </c>
      <c r="D31" s="15" t="s">
        <v>37</v>
      </c>
      <c r="E31" s="15" t="s">
        <v>765</v>
      </c>
      <c r="F31" s="15"/>
      <c r="G31" s="15" t="s">
        <v>24</v>
      </c>
      <c r="H31" s="15" t="s">
        <v>25</v>
      </c>
      <c r="I31" s="15" t="s">
        <v>23</v>
      </c>
      <c r="J31" s="15" t="s">
        <v>23</v>
      </c>
      <c r="K31" s="15" t="s">
        <v>25</v>
      </c>
      <c r="L31" s="15" t="s">
        <v>2</v>
      </c>
      <c r="M31" s="15" t="s">
        <v>24</v>
      </c>
      <c r="N31" s="15" t="s">
        <v>23</v>
      </c>
      <c r="O31" s="15" t="s">
        <v>24</v>
      </c>
      <c r="P31" s="15" t="s">
        <v>2</v>
      </c>
      <c r="Q31" s="15" t="s">
        <v>2</v>
      </c>
      <c r="R31" s="15" t="s">
        <v>24</v>
      </c>
      <c r="S31" s="15" t="s">
        <v>2</v>
      </c>
      <c r="T31" s="15" t="s">
        <v>25</v>
      </c>
      <c r="U31" s="15" t="s">
        <v>23</v>
      </c>
      <c r="V31" s="15" t="s">
        <v>24</v>
      </c>
      <c r="W31" s="15" t="s">
        <v>2</v>
      </c>
      <c r="X31" s="15" t="s">
        <v>23</v>
      </c>
      <c r="Y31" s="15" t="s">
        <v>2</v>
      </c>
      <c r="Z31" t="s">
        <v>24</v>
      </c>
      <c r="AA31" t="s">
        <v>23</v>
      </c>
      <c r="AB31" t="s">
        <v>2</v>
      </c>
      <c r="AC31" t="s">
        <v>24</v>
      </c>
      <c r="AD31" t="s">
        <v>25</v>
      </c>
      <c r="AE31" t="s">
        <v>23</v>
      </c>
      <c r="AF31" t="s">
        <v>25</v>
      </c>
      <c r="AG31" t="s">
        <v>23</v>
      </c>
      <c r="AH31" t="s">
        <v>2</v>
      </c>
      <c r="AI31" t="s">
        <v>24</v>
      </c>
      <c r="AJ31" t="s">
        <v>23</v>
      </c>
      <c r="AK31" t="s">
        <v>2</v>
      </c>
      <c r="AL31" t="s">
        <v>2</v>
      </c>
      <c r="AM31" t="s">
        <v>23</v>
      </c>
      <c r="AN31" t="s">
        <v>23</v>
      </c>
      <c r="AO31" s="15" t="s">
        <v>25</v>
      </c>
      <c r="AP31" s="15" t="s">
        <v>2</v>
      </c>
      <c r="AQ31" s="15" t="s">
        <v>25</v>
      </c>
      <c r="AR31" s="15" t="s">
        <v>23</v>
      </c>
      <c r="AS31" s="15" t="s">
        <v>24</v>
      </c>
      <c r="AT31" s="15" t="s">
        <v>2</v>
      </c>
      <c r="AU31" s="15" t="s">
        <v>25</v>
      </c>
      <c r="AV31" s="15" t="s">
        <v>2</v>
      </c>
      <c r="AW31" s="15" t="s">
        <v>25</v>
      </c>
      <c r="AX31" s="15" t="s">
        <v>24</v>
      </c>
      <c r="AY31" s="15" t="s">
        <v>24</v>
      </c>
      <c r="AZ31" s="15" t="s">
        <v>24</v>
      </c>
      <c r="BA31" s="15" t="s">
        <v>25</v>
      </c>
      <c r="BB31" s="15" t="s">
        <v>24</v>
      </c>
      <c r="BC31" s="15" t="s">
        <v>23</v>
      </c>
      <c r="BD31" s="15" t="s">
        <v>23</v>
      </c>
      <c r="BE31" s="15" t="s">
        <v>24</v>
      </c>
      <c r="BF31" s="15" t="s">
        <v>2</v>
      </c>
      <c r="BG31" s="15" t="s">
        <v>2</v>
      </c>
      <c r="BH31" s="15" t="s">
        <v>25</v>
      </c>
      <c r="BI31" t="s">
        <v>2</v>
      </c>
      <c r="BJ31" t="s">
        <v>25</v>
      </c>
      <c r="BK31" t="s">
        <v>23</v>
      </c>
      <c r="BL31" t="s">
        <v>24</v>
      </c>
      <c r="BM31" t="s">
        <v>25</v>
      </c>
      <c r="BN31" t="s">
        <v>23</v>
      </c>
      <c r="BO31" t="s">
        <v>2</v>
      </c>
      <c r="BP31" t="s">
        <v>2</v>
      </c>
      <c r="BQ31" t="s">
        <v>24</v>
      </c>
      <c r="BR31" t="s">
        <v>23</v>
      </c>
      <c r="BS31" t="s">
        <v>25</v>
      </c>
      <c r="BT31" t="s">
        <v>25</v>
      </c>
      <c r="BU31" t="s">
        <v>23</v>
      </c>
      <c r="BV31" t="s">
        <v>2</v>
      </c>
      <c r="BW31" t="s">
        <v>24</v>
      </c>
      <c r="BX31" s="15" t="s">
        <v>25</v>
      </c>
      <c r="BY31" s="15" t="s">
        <v>24</v>
      </c>
      <c r="BZ31" s="15" t="s">
        <v>25</v>
      </c>
      <c r="CA31" s="15" t="s">
        <v>2</v>
      </c>
      <c r="CB31" s="15" t="s">
        <v>2</v>
      </c>
      <c r="CC31" s="15" t="s">
        <v>24</v>
      </c>
      <c r="CD31" s="15" t="s">
        <v>2</v>
      </c>
      <c r="CE31" s="15" t="s">
        <v>25</v>
      </c>
      <c r="CF31" t="s">
        <v>24</v>
      </c>
      <c r="CG31" t="s">
        <v>2</v>
      </c>
      <c r="CH31" t="s">
        <v>23</v>
      </c>
      <c r="CI31" t="s">
        <v>23</v>
      </c>
      <c r="CJ31" t="s">
        <v>25</v>
      </c>
      <c r="CK31" t="s">
        <v>23</v>
      </c>
      <c r="CL31" t="s">
        <v>25</v>
      </c>
      <c r="CM31" t="s">
        <v>24</v>
      </c>
      <c r="CN31" t="s">
        <v>26</v>
      </c>
      <c r="CO31" t="s">
        <v>23</v>
      </c>
      <c r="CP31" t="s">
        <v>2</v>
      </c>
      <c r="CQ31" t="s">
        <v>24</v>
      </c>
      <c r="CR31" t="s">
        <v>25</v>
      </c>
      <c r="CS31" t="s">
        <v>26</v>
      </c>
      <c r="CT31" t="s">
        <v>24</v>
      </c>
      <c r="CU31" t="s">
        <v>23</v>
      </c>
      <c r="CV31" t="s">
        <v>23</v>
      </c>
      <c r="CW31" t="s">
        <v>26</v>
      </c>
      <c r="CX31" t="s">
        <v>24</v>
      </c>
      <c r="CY31" t="s">
        <v>2</v>
      </c>
      <c r="CZ31" t="s">
        <v>25</v>
      </c>
      <c r="DA31" t="s">
        <v>25</v>
      </c>
      <c r="DB31" t="s">
        <v>23</v>
      </c>
      <c r="DC31" t="s">
        <v>25</v>
      </c>
      <c r="DD31" t="s">
        <v>2</v>
      </c>
      <c r="DE31" t="s">
        <v>24</v>
      </c>
      <c r="DF31" t="s">
        <v>26</v>
      </c>
      <c r="DG31" t="s">
        <v>26</v>
      </c>
      <c r="DH31" t="s">
        <v>2</v>
      </c>
      <c r="DI31" t="s">
        <v>26</v>
      </c>
      <c r="DJ31" t="s">
        <v>25</v>
      </c>
      <c r="DK31" t="s">
        <v>26</v>
      </c>
      <c r="DL31" t="s">
        <v>25</v>
      </c>
      <c r="DM31" t="s">
        <v>2</v>
      </c>
      <c r="DN31" t="s">
        <v>24</v>
      </c>
      <c r="DO31" t="s">
        <v>23</v>
      </c>
      <c r="DP31" t="s">
        <v>26</v>
      </c>
      <c r="DQ31" t="s">
        <v>2</v>
      </c>
      <c r="DR31" t="s">
        <v>2</v>
      </c>
      <c r="DS31" t="s">
        <v>26</v>
      </c>
      <c r="DT31" t="s">
        <v>25</v>
      </c>
      <c r="DU31" t="s">
        <v>2</v>
      </c>
      <c r="DV31" t="s">
        <v>2</v>
      </c>
      <c r="DW31" t="s">
        <v>2</v>
      </c>
      <c r="DX31" t="s">
        <v>24</v>
      </c>
      <c r="DY31" t="s">
        <v>26</v>
      </c>
      <c r="DZ31" t="s">
        <v>23</v>
      </c>
      <c r="EA31" t="s">
        <v>2</v>
      </c>
      <c r="EB31" t="s">
        <v>23</v>
      </c>
      <c r="EC31" t="s">
        <v>23</v>
      </c>
      <c r="ED31" t="s">
        <v>26</v>
      </c>
      <c r="EE31" t="s">
        <v>26</v>
      </c>
      <c r="EF31" t="s">
        <v>26</v>
      </c>
      <c r="EG31" t="s">
        <v>25</v>
      </c>
      <c r="EH31" t="s">
        <v>23</v>
      </c>
      <c r="EI31" t="s">
        <v>23</v>
      </c>
      <c r="EJ31" t="s">
        <v>25</v>
      </c>
      <c r="EK31" t="s">
        <v>23</v>
      </c>
      <c r="EL31" t="s">
        <v>2</v>
      </c>
      <c r="EM31" t="s">
        <v>24</v>
      </c>
      <c r="EN31" t="s">
        <v>23</v>
      </c>
      <c r="EO31" t="s">
        <v>25</v>
      </c>
      <c r="EP31" s="15" t="s">
        <v>24</v>
      </c>
      <c r="EQ31" s="15" t="s">
        <v>24</v>
      </c>
      <c r="ER31" s="15" t="s">
        <v>23</v>
      </c>
      <c r="ES31" s="15" t="s">
        <v>2</v>
      </c>
      <c r="ET31" s="15" t="s">
        <v>25</v>
      </c>
      <c r="EU31" s="15" t="s">
        <v>23</v>
      </c>
      <c r="EV31" s="15" t="s">
        <v>23</v>
      </c>
      <c r="EW31" s="15" t="s">
        <v>2</v>
      </c>
      <c r="EX31" s="15" t="s">
        <v>24</v>
      </c>
      <c r="EY31" s="15" t="s">
        <v>2</v>
      </c>
      <c r="EZ31" s="15" t="s">
        <v>25</v>
      </c>
      <c r="FA31" s="15" t="s">
        <v>23</v>
      </c>
      <c r="FB31" s="15" t="s">
        <v>25</v>
      </c>
      <c r="FC31" s="15" t="s">
        <v>2</v>
      </c>
      <c r="FD31" s="15" t="s">
        <v>23</v>
      </c>
      <c r="FE31" s="15" t="s">
        <v>24</v>
      </c>
      <c r="FF31" s="15" t="s">
        <v>25</v>
      </c>
      <c r="FG31" s="15" t="s">
        <v>23</v>
      </c>
      <c r="FH31" s="15" t="s">
        <v>2</v>
      </c>
      <c r="FI31" s="15" t="s">
        <v>25</v>
      </c>
      <c r="FJ31" s="15" t="s">
        <v>23</v>
      </c>
      <c r="FK31" s="15" t="s">
        <v>24</v>
      </c>
      <c r="FL31" s="15" t="s">
        <v>23</v>
      </c>
      <c r="FM31" s="15" t="s">
        <v>24</v>
      </c>
      <c r="FN31" s="15" t="s">
        <v>25</v>
      </c>
      <c r="FO31" s="15" t="s">
        <v>24</v>
      </c>
      <c r="FP31" s="15" t="s">
        <v>25</v>
      </c>
      <c r="FQ31" s="15" t="s">
        <v>23</v>
      </c>
      <c r="FR31" s="15" t="s">
        <v>2</v>
      </c>
      <c r="FS31" s="15" t="s">
        <v>23</v>
      </c>
      <c r="FT31" s="15" t="s">
        <v>23</v>
      </c>
      <c r="FU31" s="15" t="s">
        <v>25</v>
      </c>
      <c r="FV31" s="15" t="s">
        <v>24</v>
      </c>
      <c r="FW31" s="15" t="s">
        <v>24</v>
      </c>
      <c r="FX31" t="s">
        <v>25</v>
      </c>
      <c r="FY31" s="15" t="s">
        <v>23</v>
      </c>
      <c r="FZ31" s="15" t="s">
        <v>2</v>
      </c>
      <c r="GA31" s="15" t="s">
        <v>24</v>
      </c>
      <c r="GB31" s="15" t="s">
        <v>23</v>
      </c>
      <c r="GC31" s="15" t="s">
        <v>2</v>
      </c>
      <c r="GD31" s="15" t="s">
        <v>2</v>
      </c>
      <c r="GE31" s="15" t="s">
        <v>2</v>
      </c>
      <c r="GF31" s="15" t="s">
        <v>25</v>
      </c>
      <c r="GG31" s="15" t="s">
        <v>23</v>
      </c>
      <c r="GH31" s="15" t="s">
        <v>2</v>
      </c>
      <c r="GI31" s="15" t="s">
        <v>25</v>
      </c>
      <c r="GJ31" s="15" t="s">
        <v>24</v>
      </c>
      <c r="GK31" s="15" t="s">
        <v>25</v>
      </c>
      <c r="GL31" s="15" t="s">
        <v>24</v>
      </c>
      <c r="GM31" s="15" t="s">
        <v>2</v>
      </c>
      <c r="GN31" t="s">
        <v>25</v>
      </c>
      <c r="GO31" t="s">
        <v>24</v>
      </c>
      <c r="GP31" t="s">
        <v>25</v>
      </c>
      <c r="GQ31" t="s">
        <v>24</v>
      </c>
      <c r="GR31" t="s">
        <v>2</v>
      </c>
      <c r="GS31" t="s">
        <v>23</v>
      </c>
      <c r="GT31" t="s">
        <v>24</v>
      </c>
      <c r="GU31" s="15" t="s">
        <v>24</v>
      </c>
      <c r="GV31" t="s">
        <v>24</v>
      </c>
      <c r="GW31" t="s">
        <v>24</v>
      </c>
      <c r="GX31" t="s">
        <v>23</v>
      </c>
      <c r="GY31" t="s">
        <v>25</v>
      </c>
      <c r="GZ31" t="s">
        <v>25</v>
      </c>
      <c r="HA31" t="s">
        <v>25</v>
      </c>
      <c r="HB31" t="s">
        <v>2</v>
      </c>
      <c r="HC31" t="s">
        <v>2</v>
      </c>
      <c r="HD31" t="s">
        <v>2</v>
      </c>
      <c r="HE31" t="s">
        <v>25</v>
      </c>
      <c r="HF31" t="s">
        <v>23</v>
      </c>
      <c r="HG31" t="s">
        <v>25</v>
      </c>
      <c r="HH31" s="15" t="s">
        <v>24</v>
      </c>
      <c r="HI31" s="15" t="s">
        <v>25</v>
      </c>
      <c r="HJ31" s="15" t="s">
        <v>23</v>
      </c>
      <c r="HK31" s="15" t="s">
        <v>25</v>
      </c>
      <c r="HL31" s="15" t="s">
        <v>25</v>
      </c>
      <c r="HM31" s="15" t="s">
        <v>2</v>
      </c>
      <c r="HN31" s="15"/>
      <c r="HO31" s="15"/>
      <c r="HP31" s="15"/>
      <c r="HQ31" s="15"/>
      <c r="HR31" s="15"/>
      <c r="HS31" s="15"/>
      <c r="HT31" s="15"/>
      <c r="HU31" s="15"/>
      <c r="HV31" s="15"/>
      <c r="HW31" s="15"/>
      <c r="IQ31" s="15"/>
      <c r="IR31" s="15"/>
      <c r="IS31" s="15"/>
      <c r="IT31" s="15"/>
      <c r="IU31" s="15"/>
      <c r="IV31" s="15"/>
      <c r="IW31" s="15"/>
      <c r="IX31" s="15"/>
      <c r="IY31" s="15"/>
      <c r="IZ31" s="15"/>
      <c r="JA31" s="15"/>
      <c r="JB31" s="15"/>
      <c r="JC31" s="15"/>
      <c r="JD31" s="15"/>
      <c r="JE31" s="15"/>
      <c r="JF31" s="15"/>
      <c r="JG31" s="15"/>
      <c r="JH31" s="15"/>
      <c r="JI31" s="15"/>
      <c r="JZ31" s="15"/>
      <c r="KA31" s="15"/>
      <c r="KB31" s="15"/>
      <c r="KC31" s="15"/>
      <c r="KD31" s="15"/>
      <c r="KE31" s="15"/>
      <c r="KF31" s="15"/>
      <c r="KG31" s="15"/>
      <c r="KH31" s="15"/>
      <c r="KI31" s="15"/>
      <c r="KJ31" s="15"/>
      <c r="KK31" s="15"/>
      <c r="KL31" s="15"/>
      <c r="KM31" s="15"/>
      <c r="LI31" s="15"/>
      <c r="LJ31" s="15"/>
      <c r="LK31" s="15"/>
      <c r="LL31" s="15"/>
      <c r="LM31" s="15"/>
      <c r="LN31" s="15"/>
      <c r="LO31" s="15"/>
      <c r="LP31" s="15"/>
      <c r="LQ31" s="15"/>
      <c r="LR31" s="15"/>
    </row>
    <row r="32" spans="1:330">
      <c r="A32">
        <v>43662</v>
      </c>
      <c r="B32" s="15" t="s">
        <v>66</v>
      </c>
      <c r="C32" s="15" t="s">
        <v>573</v>
      </c>
      <c r="D32" s="15" t="s">
        <v>37</v>
      </c>
      <c r="E32" s="15" t="s">
        <v>765</v>
      </c>
      <c r="F32" s="15"/>
      <c r="G32" s="15" t="s">
        <v>24</v>
      </c>
      <c r="H32" s="15" t="s">
        <v>25</v>
      </c>
      <c r="I32" s="15" t="s">
        <v>23</v>
      </c>
      <c r="J32" s="15" t="s">
        <v>24</v>
      </c>
      <c r="K32" s="15" t="s">
        <v>25</v>
      </c>
      <c r="L32" s="15" t="s">
        <v>25</v>
      </c>
      <c r="M32" s="15" t="s">
        <v>24</v>
      </c>
      <c r="N32" s="15" t="s">
        <v>2</v>
      </c>
      <c r="O32" s="15" t="s">
        <v>24</v>
      </c>
      <c r="P32" s="15" t="s">
        <v>2</v>
      </c>
      <c r="Q32" s="15" t="s">
        <v>2</v>
      </c>
      <c r="R32" s="15" t="s">
        <v>24</v>
      </c>
      <c r="S32" s="15" t="s">
        <v>2</v>
      </c>
      <c r="T32" s="15" t="s">
        <v>25</v>
      </c>
      <c r="U32" s="15" t="s">
        <v>23</v>
      </c>
      <c r="V32" s="15" t="s">
        <v>24</v>
      </c>
      <c r="W32" s="15" t="s">
        <v>24</v>
      </c>
      <c r="X32" s="15" t="s">
        <v>23</v>
      </c>
      <c r="Y32" s="15" t="s">
        <v>2</v>
      </c>
      <c r="Z32" t="s">
        <v>24</v>
      </c>
      <c r="AA32" t="s">
        <v>2</v>
      </c>
      <c r="AB32" t="s">
        <v>2</v>
      </c>
      <c r="AC32" t="s">
        <v>24</v>
      </c>
      <c r="AD32" t="s">
        <v>2</v>
      </c>
      <c r="AE32" t="s">
        <v>23</v>
      </c>
      <c r="AF32" t="s">
        <v>24</v>
      </c>
      <c r="AG32" t="s">
        <v>23</v>
      </c>
      <c r="AH32" t="s">
        <v>25</v>
      </c>
      <c r="AI32" t="s">
        <v>24</v>
      </c>
      <c r="AJ32" t="s">
        <v>23</v>
      </c>
      <c r="AK32" t="s">
        <v>2</v>
      </c>
      <c r="AL32" t="s">
        <v>2</v>
      </c>
      <c r="AM32" t="s">
        <v>24</v>
      </c>
      <c r="AN32" t="s">
        <v>23</v>
      </c>
      <c r="AO32" s="15" t="s">
        <v>25</v>
      </c>
      <c r="AP32" s="15" t="s">
        <v>2</v>
      </c>
      <c r="AQ32" s="15" t="s">
        <v>2</v>
      </c>
      <c r="AR32" s="15" t="s">
        <v>24</v>
      </c>
      <c r="AS32" s="15" t="s">
        <v>25</v>
      </c>
      <c r="AT32" s="15" t="s">
        <v>25</v>
      </c>
      <c r="AU32" s="15" t="s">
        <v>25</v>
      </c>
      <c r="AV32" s="15" t="s">
        <v>23</v>
      </c>
      <c r="AW32" s="15" t="s">
        <v>2</v>
      </c>
      <c r="AX32" s="15" t="s">
        <v>2</v>
      </c>
      <c r="AY32" s="15" t="s">
        <v>24</v>
      </c>
      <c r="AZ32" s="15" t="s">
        <v>24</v>
      </c>
      <c r="BA32" s="15" t="s">
        <v>25</v>
      </c>
      <c r="BB32" s="15" t="s">
        <v>24</v>
      </c>
      <c r="BC32" s="15" t="s">
        <v>24</v>
      </c>
      <c r="BD32" s="15" t="s">
        <v>23</v>
      </c>
      <c r="BE32" s="15" t="s">
        <v>2</v>
      </c>
      <c r="BF32" s="15" t="s">
        <v>2</v>
      </c>
      <c r="BG32" s="15" t="s">
        <v>2</v>
      </c>
      <c r="BH32" s="15" t="s">
        <v>24</v>
      </c>
      <c r="BI32" s="15" t="s">
        <v>23</v>
      </c>
      <c r="BJ32" s="15" t="s">
        <v>23</v>
      </c>
      <c r="BK32" s="15" t="s">
        <v>23</v>
      </c>
      <c r="BL32" s="15" t="s">
        <v>24</v>
      </c>
      <c r="BM32" t="s">
        <v>25</v>
      </c>
      <c r="BN32" t="s">
        <v>23</v>
      </c>
      <c r="BO32" t="s">
        <v>25</v>
      </c>
      <c r="BP32" t="s">
        <v>2</v>
      </c>
      <c r="BQ32" t="s">
        <v>24</v>
      </c>
      <c r="BR32" t="s">
        <v>23</v>
      </c>
      <c r="BS32" t="s">
        <v>23</v>
      </c>
      <c r="BT32" t="s">
        <v>25</v>
      </c>
      <c r="BU32" t="s">
        <v>25</v>
      </c>
      <c r="BV32" t="s">
        <v>23</v>
      </c>
      <c r="BW32" t="s">
        <v>24</v>
      </c>
      <c r="BX32" s="15" t="s">
        <v>23</v>
      </c>
      <c r="BY32" s="15" t="s">
        <v>24</v>
      </c>
      <c r="BZ32" s="15" t="s">
        <v>25</v>
      </c>
      <c r="CA32" s="15" t="s">
        <v>2</v>
      </c>
      <c r="CB32" s="15" t="s">
        <v>2</v>
      </c>
      <c r="CC32" s="15" t="s">
        <v>25</v>
      </c>
      <c r="CD32" s="15" t="s">
        <v>2</v>
      </c>
      <c r="CE32" s="15" t="s">
        <v>25</v>
      </c>
      <c r="CF32" t="s">
        <v>24</v>
      </c>
      <c r="CG32" t="s">
        <v>2</v>
      </c>
      <c r="CH32" t="s">
        <v>23</v>
      </c>
      <c r="CI32" t="s">
        <v>23</v>
      </c>
      <c r="CJ32" t="s">
        <v>25</v>
      </c>
      <c r="CK32" t="s">
        <v>23</v>
      </c>
      <c r="CL32" t="s">
        <v>24</v>
      </c>
      <c r="CM32" t="s">
        <v>24</v>
      </c>
      <c r="CN32" t="s">
        <v>26</v>
      </c>
      <c r="CO32" t="s">
        <v>23</v>
      </c>
      <c r="CP32" t="s">
        <v>2</v>
      </c>
      <c r="CQ32" t="s">
        <v>24</v>
      </c>
      <c r="CR32" t="s">
        <v>25</v>
      </c>
      <c r="CS32" t="s">
        <v>26</v>
      </c>
      <c r="CT32" t="s">
        <v>24</v>
      </c>
      <c r="CU32" t="s">
        <v>23</v>
      </c>
      <c r="CV32" t="s">
        <v>23</v>
      </c>
      <c r="CW32" t="s">
        <v>26</v>
      </c>
      <c r="CX32" t="s">
        <v>25</v>
      </c>
      <c r="CY32" t="s">
        <v>2</v>
      </c>
      <c r="CZ32" t="s">
        <v>25</v>
      </c>
      <c r="DA32" t="s">
        <v>25</v>
      </c>
      <c r="DB32" t="s">
        <v>23</v>
      </c>
      <c r="DC32" t="s">
        <v>25</v>
      </c>
      <c r="DD32" t="s">
        <v>2</v>
      </c>
      <c r="DE32" t="s">
        <v>24</v>
      </c>
      <c r="DF32" t="s">
        <v>26</v>
      </c>
      <c r="DG32" t="s">
        <v>26</v>
      </c>
      <c r="DH32" t="s">
        <v>2</v>
      </c>
      <c r="DI32" t="s">
        <v>26</v>
      </c>
      <c r="DJ32" t="s">
        <v>25</v>
      </c>
      <c r="DK32" t="s">
        <v>26</v>
      </c>
      <c r="DL32" t="s">
        <v>25</v>
      </c>
      <c r="DM32" t="s">
        <v>24</v>
      </c>
      <c r="DN32" t="s">
        <v>23</v>
      </c>
      <c r="DO32" t="s">
        <v>25</v>
      </c>
      <c r="DP32" t="s">
        <v>23</v>
      </c>
      <c r="DQ32" t="s">
        <v>2</v>
      </c>
      <c r="DR32" t="s">
        <v>2</v>
      </c>
      <c r="DS32" t="s">
        <v>26</v>
      </c>
      <c r="DT32" t="s">
        <v>25</v>
      </c>
      <c r="DU32" t="s">
        <v>2</v>
      </c>
      <c r="DV32" t="s">
        <v>25</v>
      </c>
      <c r="DW32" t="s">
        <v>25</v>
      </c>
      <c r="DX32" t="s">
        <v>23</v>
      </c>
      <c r="DY32" t="s">
        <v>26</v>
      </c>
      <c r="DZ32" t="s">
        <v>24</v>
      </c>
      <c r="EA32" t="s">
        <v>2</v>
      </c>
      <c r="EB32" t="s">
        <v>23</v>
      </c>
      <c r="EC32" t="s">
        <v>23</v>
      </c>
      <c r="ED32" t="s">
        <v>24</v>
      </c>
      <c r="EE32" t="s">
        <v>26</v>
      </c>
      <c r="EF32" t="s">
        <v>2</v>
      </c>
      <c r="EG32" t="s">
        <v>25</v>
      </c>
      <c r="EH32" t="s">
        <v>26</v>
      </c>
      <c r="EI32" t="s">
        <v>24</v>
      </c>
      <c r="EJ32" t="s">
        <v>2</v>
      </c>
      <c r="EK32" t="s">
        <v>23</v>
      </c>
      <c r="EL32" t="s">
        <v>24</v>
      </c>
      <c r="EM32" t="s">
        <v>24</v>
      </c>
      <c r="EN32" t="s">
        <v>23</v>
      </c>
      <c r="EO32" t="s">
        <v>25</v>
      </c>
      <c r="EP32" s="15" t="s">
        <v>23</v>
      </c>
      <c r="EQ32" s="15" t="s">
        <v>24</v>
      </c>
      <c r="ER32" s="15" t="s">
        <v>25</v>
      </c>
      <c r="ES32" s="15" t="s">
        <v>2</v>
      </c>
      <c r="ET32" s="15" t="s">
        <v>25</v>
      </c>
      <c r="EU32" s="15" t="s">
        <v>24</v>
      </c>
      <c r="EV32" s="15" t="s">
        <v>25</v>
      </c>
      <c r="EW32" s="15" t="s">
        <v>2</v>
      </c>
      <c r="EX32" s="15" t="s">
        <v>23</v>
      </c>
      <c r="EY32" s="15" t="s">
        <v>2</v>
      </c>
      <c r="EZ32" s="15" t="s">
        <v>25</v>
      </c>
      <c r="FA32" s="15" t="s">
        <v>24</v>
      </c>
      <c r="FB32" s="15" t="s">
        <v>25</v>
      </c>
      <c r="FC32" s="15" t="s">
        <v>24</v>
      </c>
      <c r="FD32" s="15" t="s">
        <v>23</v>
      </c>
      <c r="FE32" s="15" t="s">
        <v>2</v>
      </c>
      <c r="FF32" s="15" t="s">
        <v>25</v>
      </c>
      <c r="FG32" s="15" t="s">
        <v>25</v>
      </c>
      <c r="FH32" s="15" t="s">
        <v>25</v>
      </c>
      <c r="FI32" s="15" t="s">
        <v>25</v>
      </c>
      <c r="FJ32" s="15" t="s">
        <v>25</v>
      </c>
      <c r="FK32" s="15" t="s">
        <v>24</v>
      </c>
      <c r="FL32" s="15" t="s">
        <v>24</v>
      </c>
      <c r="FM32" s="15" t="s">
        <v>24</v>
      </c>
      <c r="FN32" s="15" t="s">
        <v>24</v>
      </c>
      <c r="FO32" s="15" t="s">
        <v>24</v>
      </c>
      <c r="FP32" s="15" t="s">
        <v>23</v>
      </c>
      <c r="FQ32" s="15" t="s">
        <v>23</v>
      </c>
      <c r="FR32" s="15" t="s">
        <v>23</v>
      </c>
      <c r="FS32" s="15" t="s">
        <v>25</v>
      </c>
      <c r="FT32" s="15" t="s">
        <v>25</v>
      </c>
      <c r="FU32" s="15" t="s">
        <v>25</v>
      </c>
      <c r="FV32" s="15" t="s">
        <v>25</v>
      </c>
      <c r="FW32" s="15" t="s">
        <v>25</v>
      </c>
      <c r="FX32" s="15" t="s">
        <v>25</v>
      </c>
      <c r="FY32" s="15" t="s">
        <v>25</v>
      </c>
      <c r="FZ32" s="15" t="s">
        <v>24</v>
      </c>
      <c r="GA32" s="15" t="s">
        <v>24</v>
      </c>
      <c r="GB32" s="15" t="s">
        <v>23</v>
      </c>
      <c r="GC32" s="15" t="s">
        <v>25</v>
      </c>
      <c r="GD32" s="15" t="s">
        <v>25</v>
      </c>
      <c r="GE32" s="15" t="s">
        <v>23</v>
      </c>
      <c r="GF32" s="15" t="s">
        <v>2</v>
      </c>
      <c r="GG32" s="15" t="s">
        <v>23</v>
      </c>
      <c r="GH32" s="15" t="s">
        <v>2</v>
      </c>
      <c r="GI32" s="15" t="s">
        <v>24</v>
      </c>
      <c r="GJ32" s="15" t="s">
        <v>25</v>
      </c>
      <c r="GK32" s="15" t="s">
        <v>24</v>
      </c>
      <c r="GL32" s="15" t="s">
        <v>24</v>
      </c>
      <c r="GM32" s="15" t="s">
        <v>2</v>
      </c>
      <c r="GN32" s="15" t="s">
        <v>25</v>
      </c>
      <c r="GO32" s="15" t="s">
        <v>24</v>
      </c>
      <c r="GP32" s="15" t="s">
        <v>25</v>
      </c>
      <c r="GQ32" s="15" t="s">
        <v>2</v>
      </c>
      <c r="GR32" s="15" t="s">
        <v>25</v>
      </c>
      <c r="GS32" s="15" t="s">
        <v>23</v>
      </c>
      <c r="GT32" s="15" t="s">
        <v>24</v>
      </c>
      <c r="GU32" s="15" t="s">
        <v>2</v>
      </c>
      <c r="GV32" s="15" t="s">
        <v>2</v>
      </c>
      <c r="GW32" t="s">
        <v>24</v>
      </c>
      <c r="GX32" t="s">
        <v>25</v>
      </c>
      <c r="GY32" t="s">
        <v>25</v>
      </c>
      <c r="GZ32" t="s">
        <v>25</v>
      </c>
      <c r="HA32" t="s">
        <v>25</v>
      </c>
      <c r="HB32" t="s">
        <v>25</v>
      </c>
      <c r="HC32" t="s">
        <v>25</v>
      </c>
      <c r="HD32" t="s">
        <v>24</v>
      </c>
      <c r="HE32" t="s">
        <v>24</v>
      </c>
      <c r="HF32" t="s">
        <v>24</v>
      </c>
      <c r="HG32" t="s">
        <v>24</v>
      </c>
      <c r="HH32" s="15" t="s">
        <v>2</v>
      </c>
      <c r="HI32" s="15" t="s">
        <v>2</v>
      </c>
      <c r="HJ32" s="15" t="s">
        <v>2</v>
      </c>
      <c r="HK32" s="15" t="s">
        <v>25</v>
      </c>
      <c r="HL32" s="15" t="s">
        <v>25</v>
      </c>
      <c r="HM32" s="15" t="s">
        <v>25</v>
      </c>
      <c r="HN32" s="15"/>
      <c r="HO32" s="15"/>
      <c r="HP32" s="15"/>
      <c r="HQ32" s="15"/>
      <c r="HR32" s="15"/>
      <c r="HS32" s="15"/>
      <c r="HT32" s="15"/>
      <c r="HU32" s="15"/>
      <c r="HV32" s="15"/>
      <c r="HW32" s="15"/>
      <c r="IQ32" s="15"/>
      <c r="IR32" s="15"/>
      <c r="IS32" s="15"/>
      <c r="IU32" s="15"/>
      <c r="IV32" s="15"/>
      <c r="IW32" s="15"/>
      <c r="IX32" s="15"/>
      <c r="IY32" s="15"/>
      <c r="IZ32" s="15"/>
      <c r="JA32" s="15"/>
      <c r="JB32" s="15"/>
      <c r="JC32" s="15"/>
      <c r="JD32" s="15"/>
      <c r="JE32" s="15"/>
      <c r="JF32" s="15"/>
      <c r="JG32" s="15"/>
      <c r="JH32" s="15"/>
      <c r="JI32" s="15"/>
      <c r="JZ32" s="15"/>
      <c r="KA32" s="15"/>
      <c r="KB32" s="15"/>
      <c r="KC32" s="15"/>
      <c r="KD32" s="15"/>
      <c r="KE32" s="15"/>
      <c r="KF32" s="15"/>
      <c r="KG32" s="15"/>
      <c r="KH32" s="15"/>
      <c r="KI32" s="15"/>
      <c r="KJ32" s="15"/>
      <c r="KK32" s="15"/>
      <c r="KL32" s="15"/>
      <c r="KM32" s="15"/>
      <c r="LI32" s="15"/>
      <c r="LJ32" s="15"/>
      <c r="LK32" s="15"/>
      <c r="LL32" s="15"/>
      <c r="LM32" s="15"/>
      <c r="LN32" s="15"/>
      <c r="LO32" s="15"/>
      <c r="LP32" s="15"/>
      <c r="LQ32" s="15"/>
      <c r="LR32" s="15"/>
    </row>
    <row r="33" spans="1:330">
      <c r="A33">
        <v>43662</v>
      </c>
      <c r="B33" s="15" t="s">
        <v>767</v>
      </c>
      <c r="C33" s="15" t="s">
        <v>682</v>
      </c>
      <c r="D33" s="15" t="s">
        <v>37</v>
      </c>
      <c r="E33" s="15" t="s">
        <v>765</v>
      </c>
      <c r="F33" s="15"/>
      <c r="G33" s="15" t="s">
        <v>24</v>
      </c>
      <c r="H33" s="15" t="s">
        <v>25</v>
      </c>
      <c r="I33" s="15" t="s">
        <v>23</v>
      </c>
      <c r="J33" s="15" t="s">
        <v>23</v>
      </c>
      <c r="K33" s="15" t="s">
        <v>25</v>
      </c>
      <c r="L33" s="15" t="s">
        <v>2</v>
      </c>
      <c r="M33" s="15" t="s">
        <v>24</v>
      </c>
      <c r="N33" s="15" t="s">
        <v>23</v>
      </c>
      <c r="O33" s="15" t="s">
        <v>24</v>
      </c>
      <c r="P33" s="15" t="s">
        <v>2</v>
      </c>
      <c r="Q33" s="15" t="s">
        <v>2</v>
      </c>
      <c r="R33" s="15" t="s">
        <v>24</v>
      </c>
      <c r="S33" s="15" t="s">
        <v>2</v>
      </c>
      <c r="T33" s="15" t="s">
        <v>25</v>
      </c>
      <c r="U33" s="15" t="s">
        <v>23</v>
      </c>
      <c r="V33" s="15" t="s">
        <v>24</v>
      </c>
      <c r="W33" s="15" t="s">
        <v>2</v>
      </c>
      <c r="X33" s="15" t="s">
        <v>23</v>
      </c>
      <c r="Y33" s="15" t="s">
        <v>2</v>
      </c>
      <c r="Z33" t="s">
        <v>24</v>
      </c>
      <c r="AA33" t="s">
        <v>23</v>
      </c>
      <c r="AB33" t="s">
        <v>2</v>
      </c>
      <c r="AC33" t="s">
        <v>25</v>
      </c>
      <c r="AD33" t="s">
        <v>25</v>
      </c>
      <c r="AE33" t="s">
        <v>23</v>
      </c>
      <c r="AF33" t="s">
        <v>25</v>
      </c>
      <c r="AG33" t="s">
        <v>23</v>
      </c>
      <c r="AH33" t="s">
        <v>2</v>
      </c>
      <c r="AI33" t="s">
        <v>24</v>
      </c>
      <c r="AJ33" t="s">
        <v>23</v>
      </c>
      <c r="AK33" t="s">
        <v>2</v>
      </c>
      <c r="AL33" t="s">
        <v>2</v>
      </c>
      <c r="AM33" t="s">
        <v>24</v>
      </c>
      <c r="AN33" t="s">
        <v>23</v>
      </c>
      <c r="AO33" s="15" t="s">
        <v>25</v>
      </c>
      <c r="AP33" s="15" t="s">
        <v>2</v>
      </c>
      <c r="AQ33" s="15" t="s">
        <v>25</v>
      </c>
      <c r="AR33" s="15" t="s">
        <v>23</v>
      </c>
      <c r="AS33" s="15" t="s">
        <v>24</v>
      </c>
      <c r="AT33" s="15" t="s">
        <v>25</v>
      </c>
      <c r="AU33" s="15" t="s">
        <v>25</v>
      </c>
      <c r="AV33" s="15" t="s">
        <v>2</v>
      </c>
      <c r="AW33" s="15" t="s">
        <v>25</v>
      </c>
      <c r="AX33" s="15" t="s">
        <v>23</v>
      </c>
      <c r="AY33" s="15" t="s">
        <v>24</v>
      </c>
      <c r="AZ33" s="15" t="s">
        <v>24</v>
      </c>
      <c r="BA33" s="15" t="s">
        <v>24</v>
      </c>
      <c r="BB33" s="15" t="s">
        <v>24</v>
      </c>
      <c r="BC33" s="15" t="s">
        <v>23</v>
      </c>
      <c r="BD33" s="15" t="s">
        <v>23</v>
      </c>
      <c r="BE33" s="15" t="s">
        <v>24</v>
      </c>
      <c r="BF33" s="15" t="s">
        <v>2</v>
      </c>
      <c r="BG33" s="15" t="s">
        <v>2</v>
      </c>
      <c r="BH33" s="15" t="s">
        <v>24</v>
      </c>
      <c r="BI33" s="15" t="s">
        <v>2</v>
      </c>
      <c r="BJ33" s="15" t="s">
        <v>25</v>
      </c>
      <c r="BK33" s="15" t="s">
        <v>23</v>
      </c>
      <c r="BL33" s="15" t="s">
        <v>24</v>
      </c>
      <c r="BM33" t="s">
        <v>25</v>
      </c>
      <c r="BN33" t="s">
        <v>23</v>
      </c>
      <c r="BO33" t="s">
        <v>2</v>
      </c>
      <c r="BP33" t="s">
        <v>2</v>
      </c>
      <c r="BQ33" t="s">
        <v>24</v>
      </c>
      <c r="BR33" t="s">
        <v>23</v>
      </c>
      <c r="BS33" t="s">
        <v>24</v>
      </c>
      <c r="BT33" t="s">
        <v>25</v>
      </c>
      <c r="BU33" t="s">
        <v>23</v>
      </c>
      <c r="BV33" t="s">
        <v>2</v>
      </c>
      <c r="BW33" t="s">
        <v>24</v>
      </c>
      <c r="BX33" s="15" t="s">
        <v>25</v>
      </c>
      <c r="BY33" s="15" t="s">
        <v>24</v>
      </c>
      <c r="BZ33" s="15" t="s">
        <v>25</v>
      </c>
      <c r="CA33" s="15" t="s">
        <v>2</v>
      </c>
      <c r="CB33" s="15" t="s">
        <v>2</v>
      </c>
      <c r="CC33" s="15" t="s">
        <v>24</v>
      </c>
      <c r="CD33" s="15" t="s">
        <v>2</v>
      </c>
      <c r="CE33" s="15" t="s">
        <v>25</v>
      </c>
      <c r="CF33" t="s">
        <v>24</v>
      </c>
      <c r="CG33" t="s">
        <v>2</v>
      </c>
      <c r="CH33" t="s">
        <v>23</v>
      </c>
      <c r="CI33" t="s">
        <v>23</v>
      </c>
      <c r="CJ33" t="s">
        <v>25</v>
      </c>
      <c r="CK33" t="s">
        <v>23</v>
      </c>
      <c r="CL33" t="s">
        <v>24</v>
      </c>
      <c r="CM33" t="s">
        <v>24</v>
      </c>
      <c r="CN33" t="s">
        <v>26</v>
      </c>
      <c r="CO33" t="s">
        <v>23</v>
      </c>
      <c r="CP33" t="s">
        <v>2</v>
      </c>
      <c r="CQ33" t="s">
        <v>24</v>
      </c>
      <c r="CR33" t="s">
        <v>25</v>
      </c>
      <c r="CS33" t="s">
        <v>26</v>
      </c>
      <c r="CT33" t="s">
        <v>24</v>
      </c>
      <c r="CU33" t="s">
        <v>23</v>
      </c>
      <c r="CV33" t="s">
        <v>23</v>
      </c>
      <c r="CW33" t="s">
        <v>24</v>
      </c>
      <c r="CX33" t="s">
        <v>25</v>
      </c>
      <c r="CY33" t="s">
        <v>2</v>
      </c>
      <c r="CZ33" t="s">
        <v>25</v>
      </c>
      <c r="DA33" t="s">
        <v>25</v>
      </c>
      <c r="DB33" t="s">
        <v>23</v>
      </c>
      <c r="DC33" t="s">
        <v>25</v>
      </c>
      <c r="DD33" t="s">
        <v>2</v>
      </c>
      <c r="DE33" t="s">
        <v>24</v>
      </c>
      <c r="DF33" t="s">
        <v>26</v>
      </c>
      <c r="DG33" t="s">
        <v>26</v>
      </c>
      <c r="DH33" t="s">
        <v>2</v>
      </c>
      <c r="DI33" t="s">
        <v>26</v>
      </c>
      <c r="DJ33" t="s">
        <v>25</v>
      </c>
      <c r="DK33" t="s">
        <v>26</v>
      </c>
      <c r="DL33" t="s">
        <v>25</v>
      </c>
      <c r="DM33" t="s">
        <v>24</v>
      </c>
      <c r="DN33" t="s">
        <v>23</v>
      </c>
      <c r="DO33" t="s">
        <v>23</v>
      </c>
      <c r="DP33" t="s">
        <v>26</v>
      </c>
      <c r="DQ33" t="s">
        <v>2</v>
      </c>
      <c r="DR33" t="s">
        <v>2</v>
      </c>
      <c r="DS33" t="s">
        <v>26</v>
      </c>
      <c r="DT33" t="s">
        <v>25</v>
      </c>
      <c r="DU33" t="s">
        <v>2</v>
      </c>
      <c r="DV33" t="s">
        <v>25</v>
      </c>
      <c r="DW33" t="s">
        <v>25</v>
      </c>
      <c r="DX33" t="s">
        <v>23</v>
      </c>
      <c r="DY33" t="s">
        <v>26</v>
      </c>
      <c r="DZ33" t="s">
        <v>23</v>
      </c>
      <c r="EA33" t="s">
        <v>2</v>
      </c>
      <c r="EB33" t="s">
        <v>23</v>
      </c>
      <c r="EC33" t="s">
        <v>23</v>
      </c>
      <c r="ED33" t="s">
        <v>24</v>
      </c>
      <c r="EE33" t="s">
        <v>26</v>
      </c>
      <c r="EF33" t="s">
        <v>24</v>
      </c>
      <c r="EG33" t="s">
        <v>25</v>
      </c>
      <c r="EH33" t="s">
        <v>26</v>
      </c>
      <c r="EI33" t="s">
        <v>25</v>
      </c>
      <c r="EJ33" t="s">
        <v>2</v>
      </c>
      <c r="EK33" t="s">
        <v>24</v>
      </c>
      <c r="EL33" t="s">
        <v>2</v>
      </c>
      <c r="EM33" t="s">
        <v>24</v>
      </c>
      <c r="EN33" t="s">
        <v>23</v>
      </c>
      <c r="EO33" t="s">
        <v>23</v>
      </c>
      <c r="EP33" s="15" t="s">
        <v>24</v>
      </c>
      <c r="EQ33" s="15" t="s">
        <v>24</v>
      </c>
      <c r="ER33" s="15" t="s">
        <v>23</v>
      </c>
      <c r="ES33" s="15" t="s">
        <v>2</v>
      </c>
      <c r="ET33" s="15" t="s">
        <v>25</v>
      </c>
      <c r="EU33" s="15" t="s">
        <v>23</v>
      </c>
      <c r="EV33" s="15" t="s">
        <v>23</v>
      </c>
      <c r="EW33" s="15" t="s">
        <v>2</v>
      </c>
      <c r="EX33" s="15" t="s">
        <v>24</v>
      </c>
      <c r="EY33" s="15" t="s">
        <v>23</v>
      </c>
      <c r="EZ33" s="15" t="s">
        <v>25</v>
      </c>
      <c r="FA33" s="15" t="s">
        <v>23</v>
      </c>
      <c r="FB33" s="15" t="s">
        <v>25</v>
      </c>
      <c r="FC33" s="15" t="s">
        <v>2</v>
      </c>
      <c r="FD33" s="15" t="s">
        <v>25</v>
      </c>
      <c r="FE33" s="15" t="s">
        <v>24</v>
      </c>
      <c r="FF33" s="15" t="s">
        <v>25</v>
      </c>
      <c r="FG33" s="15" t="s">
        <v>23</v>
      </c>
      <c r="FH33" s="15" t="s">
        <v>2</v>
      </c>
      <c r="FI33" s="15" t="s">
        <v>25</v>
      </c>
      <c r="FJ33" s="15" t="s">
        <v>2</v>
      </c>
      <c r="FK33" s="15" t="s">
        <v>24</v>
      </c>
      <c r="FL33" s="15" t="s">
        <v>23</v>
      </c>
      <c r="FM33" s="15" t="s">
        <v>23</v>
      </c>
      <c r="FN33" s="15" t="s">
        <v>25</v>
      </c>
      <c r="FO33" s="15" t="s">
        <v>24</v>
      </c>
      <c r="FP33" s="15" t="s">
        <v>25</v>
      </c>
      <c r="FQ33" s="15" t="s">
        <v>23</v>
      </c>
      <c r="FR33" s="15" t="s">
        <v>2</v>
      </c>
      <c r="FS33" s="15" t="s">
        <v>24</v>
      </c>
      <c r="FT33" s="15" t="s">
        <v>2</v>
      </c>
      <c r="FU33" s="15" t="s">
        <v>25</v>
      </c>
      <c r="FV33" s="15" t="s">
        <v>24</v>
      </c>
      <c r="FW33" s="15" t="s">
        <v>24</v>
      </c>
      <c r="FX33" s="15" t="s">
        <v>25</v>
      </c>
      <c r="FY33" s="15" t="s">
        <v>23</v>
      </c>
      <c r="FZ33" s="15" t="s">
        <v>24</v>
      </c>
      <c r="GA33" s="15" t="s">
        <v>24</v>
      </c>
      <c r="GB33" s="15" t="s">
        <v>23</v>
      </c>
      <c r="GC33" s="15" t="s">
        <v>2</v>
      </c>
      <c r="GD33" s="15" t="s">
        <v>2</v>
      </c>
      <c r="GE33" s="15" t="s">
        <v>2</v>
      </c>
      <c r="GF33" s="15" t="s">
        <v>25</v>
      </c>
      <c r="GG33" s="15" t="s">
        <v>23</v>
      </c>
      <c r="GH33" s="15" t="s">
        <v>2</v>
      </c>
      <c r="GI33" s="15" t="s">
        <v>24</v>
      </c>
      <c r="GJ33" s="15" t="s">
        <v>25</v>
      </c>
      <c r="GK33" s="15" t="s">
        <v>25</v>
      </c>
      <c r="GL33" s="15" t="s">
        <v>24</v>
      </c>
      <c r="GM33" s="15" t="s">
        <v>2</v>
      </c>
      <c r="GN33" s="15" t="s">
        <v>25</v>
      </c>
      <c r="GO33" s="15" t="s">
        <v>23</v>
      </c>
      <c r="GP33" s="15" t="s">
        <v>25</v>
      </c>
      <c r="GQ33" s="15" t="s">
        <v>2</v>
      </c>
      <c r="GR33" s="15" t="s">
        <v>2</v>
      </c>
      <c r="GS33" s="15" t="s">
        <v>23</v>
      </c>
      <c r="GT33" s="15" t="s">
        <v>25</v>
      </c>
      <c r="GU33" s="15" t="s">
        <v>25</v>
      </c>
      <c r="GV33" s="15" t="s">
        <v>2</v>
      </c>
      <c r="GW33" t="s">
        <v>23</v>
      </c>
      <c r="GX33" t="s">
        <v>23</v>
      </c>
      <c r="GY33" t="s">
        <v>25</v>
      </c>
      <c r="GZ33" t="s">
        <v>25</v>
      </c>
      <c r="HA33" t="s">
        <v>25</v>
      </c>
      <c r="HB33" t="s">
        <v>23</v>
      </c>
      <c r="HC33" t="s">
        <v>23</v>
      </c>
      <c r="HD33" t="s">
        <v>2</v>
      </c>
      <c r="HE33" t="s">
        <v>25</v>
      </c>
      <c r="HF33" t="s">
        <v>2</v>
      </c>
      <c r="HG33" t="s">
        <v>24</v>
      </c>
      <c r="HH33" s="15" t="s">
        <v>23</v>
      </c>
      <c r="HI33" s="15" t="s">
        <v>25</v>
      </c>
      <c r="HJ33" s="15" t="s">
        <v>23</v>
      </c>
      <c r="HK33" s="15" t="s">
        <v>25</v>
      </c>
      <c r="HL33" s="15" t="s">
        <v>25</v>
      </c>
      <c r="HM33" s="15" t="s">
        <v>23</v>
      </c>
      <c r="HN33" s="15"/>
      <c r="HO33" s="15"/>
      <c r="HP33" s="15"/>
      <c r="HQ33" s="15"/>
      <c r="HR33" s="15"/>
      <c r="HS33" s="15"/>
      <c r="HT33" s="15"/>
      <c r="HU33" s="15"/>
      <c r="HV33" s="15"/>
      <c r="HW33" s="15"/>
      <c r="IQ33" s="15"/>
      <c r="IR33" s="15"/>
      <c r="IS33" s="15"/>
      <c r="IT33" s="15"/>
      <c r="IU33" s="15"/>
      <c r="IV33" s="15"/>
      <c r="IW33" s="15"/>
      <c r="IX33" s="15"/>
      <c r="IY33" s="15"/>
      <c r="IZ33" s="15"/>
      <c r="JA33" s="15"/>
      <c r="JB33" s="15"/>
      <c r="JC33" s="15"/>
      <c r="JD33" s="15"/>
      <c r="JE33" s="15"/>
      <c r="JF33" s="15"/>
      <c r="JG33" s="15"/>
      <c r="JH33" s="15"/>
      <c r="JI33" s="15"/>
      <c r="JZ33" s="15"/>
      <c r="KA33" s="15"/>
      <c r="KB33" s="15"/>
      <c r="KC33" s="15"/>
      <c r="KD33" s="15"/>
      <c r="KE33" s="15"/>
      <c r="KF33" s="15"/>
      <c r="KG33" s="15"/>
      <c r="KH33" s="15"/>
      <c r="KI33" s="15"/>
      <c r="KJ33" s="15"/>
      <c r="KK33" s="15"/>
      <c r="KL33" s="15"/>
      <c r="KM33" s="15"/>
      <c r="LI33" s="15"/>
      <c r="LJ33" s="15"/>
      <c r="LK33" s="15"/>
      <c r="LL33" s="15"/>
      <c r="LM33" s="15"/>
      <c r="LN33" s="15"/>
      <c r="LO33" s="15"/>
      <c r="LP33" s="15"/>
    </row>
    <row r="34" spans="1:330">
      <c r="A34">
        <v>43662</v>
      </c>
      <c r="B34" s="15" t="s">
        <v>768</v>
      </c>
      <c r="C34" s="15" t="s">
        <v>681</v>
      </c>
      <c r="D34" s="15" t="s">
        <v>37</v>
      </c>
      <c r="E34" s="15" t="s">
        <v>765</v>
      </c>
      <c r="F34" s="15"/>
      <c r="G34" s="15" t="s">
        <v>25</v>
      </c>
      <c r="H34" t="s">
        <v>25</v>
      </c>
      <c r="I34" s="15" t="s">
        <v>23</v>
      </c>
      <c r="J34" s="15" t="s">
        <v>23</v>
      </c>
      <c r="K34" s="15" t="s">
        <v>25</v>
      </c>
      <c r="L34" s="15" t="s">
        <v>2</v>
      </c>
      <c r="M34" s="15" t="s">
        <v>24</v>
      </c>
      <c r="N34" s="15" t="s">
        <v>23</v>
      </c>
      <c r="O34" s="15" t="s">
        <v>24</v>
      </c>
      <c r="P34" s="15" t="s">
        <v>2</v>
      </c>
      <c r="Q34" s="15" t="s">
        <v>2</v>
      </c>
      <c r="R34" s="15" t="s">
        <v>24</v>
      </c>
      <c r="S34" s="15" t="s">
        <v>2</v>
      </c>
      <c r="T34" s="15" t="s">
        <v>25</v>
      </c>
      <c r="U34" s="15" t="s">
        <v>23</v>
      </c>
      <c r="V34" s="15" t="s">
        <v>24</v>
      </c>
      <c r="W34" s="15" t="s">
        <v>2</v>
      </c>
      <c r="X34" s="15" t="s">
        <v>23</v>
      </c>
      <c r="Y34" s="15" t="s">
        <v>2</v>
      </c>
      <c r="Z34" t="s">
        <v>24</v>
      </c>
      <c r="AA34" t="s">
        <v>23</v>
      </c>
      <c r="AB34" t="s">
        <v>2</v>
      </c>
      <c r="AC34" t="s">
        <v>25</v>
      </c>
      <c r="AD34" t="s">
        <v>25</v>
      </c>
      <c r="AE34" t="s">
        <v>23</v>
      </c>
      <c r="AF34" t="s">
        <v>25</v>
      </c>
      <c r="AG34" t="s">
        <v>23</v>
      </c>
      <c r="AH34" t="s">
        <v>2</v>
      </c>
      <c r="AI34" t="s">
        <v>24</v>
      </c>
      <c r="AJ34" t="s">
        <v>23</v>
      </c>
      <c r="AK34" t="s">
        <v>2</v>
      </c>
      <c r="AL34" t="s">
        <v>2</v>
      </c>
      <c r="AM34" t="s">
        <v>23</v>
      </c>
      <c r="AN34" t="s">
        <v>23</v>
      </c>
      <c r="AO34" s="15" t="s">
        <v>25</v>
      </c>
      <c r="AP34" s="15" t="s">
        <v>2</v>
      </c>
      <c r="AQ34" s="15" t="s">
        <v>25</v>
      </c>
      <c r="AR34" s="15" t="s">
        <v>23</v>
      </c>
      <c r="AS34" s="15" t="s">
        <v>24</v>
      </c>
      <c r="AT34" s="15" t="s">
        <v>2</v>
      </c>
      <c r="AU34" s="15" t="s">
        <v>25</v>
      </c>
      <c r="AV34" s="15" t="s">
        <v>2</v>
      </c>
      <c r="AW34" s="15" t="s">
        <v>25</v>
      </c>
      <c r="AX34" s="15" t="s">
        <v>23</v>
      </c>
      <c r="AY34" s="15" t="s">
        <v>24</v>
      </c>
      <c r="AZ34" s="15" t="s">
        <v>24</v>
      </c>
      <c r="BA34" s="15" t="s">
        <v>25</v>
      </c>
      <c r="BB34" s="15" t="s">
        <v>24</v>
      </c>
      <c r="BC34" s="15" t="s">
        <v>23</v>
      </c>
      <c r="BD34" s="15" t="s">
        <v>23</v>
      </c>
      <c r="BE34" s="15" t="s">
        <v>24</v>
      </c>
      <c r="BF34" s="15" t="s">
        <v>2</v>
      </c>
      <c r="BG34" s="15" t="s">
        <v>2</v>
      </c>
      <c r="BH34" s="15" t="s">
        <v>25</v>
      </c>
      <c r="BI34" s="15" t="s">
        <v>2</v>
      </c>
      <c r="BJ34" s="15" t="s">
        <v>25</v>
      </c>
      <c r="BK34" s="15" t="s">
        <v>23</v>
      </c>
      <c r="BL34" s="15" t="s">
        <v>24</v>
      </c>
      <c r="BM34" t="s">
        <v>25</v>
      </c>
      <c r="BN34" t="s">
        <v>23</v>
      </c>
      <c r="BO34" t="s">
        <v>2</v>
      </c>
      <c r="BP34" t="s">
        <v>2</v>
      </c>
      <c r="BQ34" t="s">
        <v>24</v>
      </c>
      <c r="BR34" t="s">
        <v>23</v>
      </c>
      <c r="BS34" t="s">
        <v>23</v>
      </c>
      <c r="BT34" t="s">
        <v>25</v>
      </c>
      <c r="BU34" t="s">
        <v>23</v>
      </c>
      <c r="BV34" t="s">
        <v>2</v>
      </c>
      <c r="BW34" t="s">
        <v>24</v>
      </c>
      <c r="BX34" s="15" t="s">
        <v>25</v>
      </c>
      <c r="BY34" s="15" t="s">
        <v>24</v>
      </c>
      <c r="BZ34" s="15" t="s">
        <v>25</v>
      </c>
      <c r="CA34" s="15" t="s">
        <v>2</v>
      </c>
      <c r="CB34" s="15" t="s">
        <v>2</v>
      </c>
      <c r="CC34" s="15" t="s">
        <v>24</v>
      </c>
      <c r="CD34" s="15" t="s">
        <v>2</v>
      </c>
      <c r="CE34" s="15" t="s">
        <v>25</v>
      </c>
      <c r="CF34" t="s">
        <v>24</v>
      </c>
      <c r="CG34" t="s">
        <v>2</v>
      </c>
      <c r="CH34" t="s">
        <v>23</v>
      </c>
      <c r="CI34" t="s">
        <v>23</v>
      </c>
      <c r="CJ34" t="s">
        <v>25</v>
      </c>
      <c r="CK34" t="s">
        <v>23</v>
      </c>
      <c r="CL34" t="s">
        <v>24</v>
      </c>
      <c r="CM34" t="s">
        <v>24</v>
      </c>
      <c r="CN34" t="s">
        <v>26</v>
      </c>
      <c r="CO34" t="s">
        <v>23</v>
      </c>
      <c r="CP34" t="s">
        <v>24</v>
      </c>
      <c r="CQ34" t="s">
        <v>24</v>
      </c>
      <c r="CR34" t="s">
        <v>25</v>
      </c>
      <c r="CS34" t="s">
        <v>26</v>
      </c>
      <c r="CT34" t="s">
        <v>24</v>
      </c>
      <c r="CU34" t="s">
        <v>23</v>
      </c>
      <c r="CV34" t="s">
        <v>23</v>
      </c>
      <c r="CW34" t="s">
        <v>24</v>
      </c>
      <c r="CX34" t="s">
        <v>25</v>
      </c>
      <c r="CY34" t="s">
        <v>2</v>
      </c>
      <c r="CZ34" t="s">
        <v>23</v>
      </c>
      <c r="DA34" t="s">
        <v>25</v>
      </c>
      <c r="DB34" t="s">
        <v>23</v>
      </c>
      <c r="DC34" t="s">
        <v>25</v>
      </c>
      <c r="DD34" t="s">
        <v>2</v>
      </c>
      <c r="DE34" t="s">
        <v>24</v>
      </c>
      <c r="DF34" t="s">
        <v>26</v>
      </c>
      <c r="DG34" t="s">
        <v>26</v>
      </c>
      <c r="DH34" t="s">
        <v>25</v>
      </c>
      <c r="DI34" t="s">
        <v>26</v>
      </c>
      <c r="DJ34" t="s">
        <v>25</v>
      </c>
      <c r="DK34" t="s">
        <v>26</v>
      </c>
      <c r="DL34" t="s">
        <v>25</v>
      </c>
      <c r="DM34" t="s">
        <v>24</v>
      </c>
      <c r="DN34" t="s">
        <v>2</v>
      </c>
      <c r="DO34" t="s">
        <v>23</v>
      </c>
      <c r="DP34" t="s">
        <v>26</v>
      </c>
      <c r="DQ34" t="s">
        <v>2</v>
      </c>
      <c r="DR34" t="s">
        <v>2</v>
      </c>
      <c r="DS34" t="s">
        <v>26</v>
      </c>
      <c r="DT34" t="s">
        <v>25</v>
      </c>
      <c r="DU34" t="s">
        <v>25</v>
      </c>
      <c r="DV34" t="s">
        <v>25</v>
      </c>
      <c r="DW34" t="s">
        <v>25</v>
      </c>
      <c r="DX34" t="s">
        <v>23</v>
      </c>
      <c r="DY34" t="s">
        <v>26</v>
      </c>
      <c r="DZ34" t="s">
        <v>24</v>
      </c>
      <c r="EA34" t="s">
        <v>2</v>
      </c>
      <c r="EB34" t="s">
        <v>23</v>
      </c>
      <c r="EC34" t="s">
        <v>23</v>
      </c>
      <c r="ED34" t="s">
        <v>26</v>
      </c>
      <c r="EE34" t="s">
        <v>24</v>
      </c>
      <c r="EF34" t="s">
        <v>24</v>
      </c>
      <c r="EG34" t="s">
        <v>25</v>
      </c>
      <c r="EH34" t="s">
        <v>26</v>
      </c>
      <c r="EI34" t="s">
        <v>23</v>
      </c>
      <c r="EJ34" t="s">
        <v>2</v>
      </c>
      <c r="EK34" t="s">
        <v>23</v>
      </c>
      <c r="EL34" t="s">
        <v>2</v>
      </c>
      <c r="EM34" t="s">
        <v>24</v>
      </c>
      <c r="EN34" t="s">
        <v>23</v>
      </c>
      <c r="EO34" t="s">
        <v>2</v>
      </c>
      <c r="EP34" s="15" t="s">
        <v>24</v>
      </c>
      <c r="EQ34" s="15" t="s">
        <v>24</v>
      </c>
      <c r="ER34" s="15" t="s">
        <v>23</v>
      </c>
      <c r="ES34" s="15" t="s">
        <v>2</v>
      </c>
      <c r="ET34" s="15" t="s">
        <v>25</v>
      </c>
      <c r="EU34" s="15" t="s">
        <v>23</v>
      </c>
      <c r="EV34" s="15" t="s">
        <v>23</v>
      </c>
      <c r="EW34" s="15" t="s">
        <v>2</v>
      </c>
      <c r="EX34" s="15" t="s">
        <v>24</v>
      </c>
      <c r="EY34" s="15" t="s">
        <v>23</v>
      </c>
      <c r="EZ34" s="15" t="s">
        <v>25</v>
      </c>
      <c r="FA34" s="15" t="s">
        <v>23</v>
      </c>
      <c r="FB34" s="15" t="s">
        <v>25</v>
      </c>
      <c r="FC34" s="15" t="s">
        <v>2</v>
      </c>
      <c r="FD34" s="15" t="s">
        <v>23</v>
      </c>
      <c r="FE34" s="15" t="s">
        <v>24</v>
      </c>
      <c r="FF34" s="15" t="s">
        <v>25</v>
      </c>
      <c r="FG34" s="15" t="s">
        <v>23</v>
      </c>
      <c r="FH34" s="15" t="s">
        <v>2</v>
      </c>
      <c r="FI34" s="15" t="s">
        <v>25</v>
      </c>
      <c r="FJ34" s="15" t="s">
        <v>23</v>
      </c>
      <c r="FK34" s="15" t="s">
        <v>24</v>
      </c>
      <c r="FL34" s="15" t="s">
        <v>23</v>
      </c>
      <c r="FM34" s="15" t="s">
        <v>24</v>
      </c>
      <c r="FN34" s="15" t="s">
        <v>25</v>
      </c>
      <c r="FO34" s="15" t="s">
        <v>24</v>
      </c>
      <c r="FP34" s="15" t="s">
        <v>25</v>
      </c>
      <c r="FQ34" s="15" t="s">
        <v>23</v>
      </c>
      <c r="FR34" s="15" t="s">
        <v>2</v>
      </c>
      <c r="FS34" s="15" t="s">
        <v>24</v>
      </c>
      <c r="FT34" s="15" t="s">
        <v>23</v>
      </c>
      <c r="FU34" s="15" t="s">
        <v>2</v>
      </c>
      <c r="FV34" s="15" t="s">
        <v>24</v>
      </c>
      <c r="FW34" s="15" t="s">
        <v>24</v>
      </c>
      <c r="FX34" s="15" t="s">
        <v>25</v>
      </c>
      <c r="FY34" s="15" t="s">
        <v>23</v>
      </c>
      <c r="FZ34" s="15" t="s">
        <v>24</v>
      </c>
      <c r="GA34" s="15" t="s">
        <v>24</v>
      </c>
      <c r="GB34" s="15" t="s">
        <v>23</v>
      </c>
      <c r="GC34" s="15" t="s">
        <v>2</v>
      </c>
      <c r="GD34" s="15" t="s">
        <v>2</v>
      </c>
      <c r="GE34" s="15" t="s">
        <v>2</v>
      </c>
      <c r="GF34" s="15" t="s">
        <v>25</v>
      </c>
      <c r="GG34" s="15" t="s">
        <v>23</v>
      </c>
      <c r="GH34" s="15" t="s">
        <v>2</v>
      </c>
      <c r="GI34" s="15" t="s">
        <v>24</v>
      </c>
      <c r="GJ34" s="15" t="s">
        <v>24</v>
      </c>
      <c r="GK34" t="s">
        <v>25</v>
      </c>
      <c r="GL34" s="15" t="s">
        <v>24</v>
      </c>
      <c r="GM34" s="15" t="s">
        <v>2</v>
      </c>
      <c r="GN34" s="15" t="s">
        <v>25</v>
      </c>
      <c r="GO34" s="15" t="s">
        <v>23</v>
      </c>
      <c r="GP34" s="15" t="s">
        <v>25</v>
      </c>
      <c r="GQ34" s="15" t="s">
        <v>2</v>
      </c>
      <c r="GR34" s="15" t="s">
        <v>2</v>
      </c>
      <c r="GS34" s="15" t="s">
        <v>23</v>
      </c>
      <c r="GT34" s="15" t="s">
        <v>25</v>
      </c>
      <c r="GU34" s="15" t="s">
        <v>25</v>
      </c>
      <c r="GV34" s="15" t="s">
        <v>24</v>
      </c>
      <c r="GW34" t="s">
        <v>23</v>
      </c>
      <c r="GX34" t="s">
        <v>23</v>
      </c>
      <c r="GY34" t="s">
        <v>25</v>
      </c>
      <c r="GZ34" t="s">
        <v>25</v>
      </c>
      <c r="HA34" t="s">
        <v>24</v>
      </c>
      <c r="HB34" t="s">
        <v>23</v>
      </c>
      <c r="HC34" t="s">
        <v>2</v>
      </c>
      <c r="HD34" t="s">
        <v>2</v>
      </c>
      <c r="HE34" t="s">
        <v>25</v>
      </c>
      <c r="HF34" t="s">
        <v>25</v>
      </c>
      <c r="HG34" t="s">
        <v>25</v>
      </c>
      <c r="HH34" s="15" t="s">
        <v>24</v>
      </c>
      <c r="HI34" s="15" t="s">
        <v>25</v>
      </c>
      <c r="HJ34" s="15" t="s">
        <v>23</v>
      </c>
      <c r="HK34" s="15" t="s">
        <v>25</v>
      </c>
      <c r="HL34" s="15" t="s">
        <v>2</v>
      </c>
      <c r="HM34" s="15" t="s">
        <v>23</v>
      </c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LI34" s="15"/>
      <c r="LK34" s="15"/>
      <c r="LL34" s="15"/>
      <c r="LM34" s="15"/>
      <c r="LO34" s="15"/>
    </row>
    <row r="35" spans="1:330">
      <c r="A35">
        <v>43662</v>
      </c>
      <c r="B35" s="15" t="s">
        <v>769</v>
      </c>
      <c r="C35" s="15" t="s">
        <v>683</v>
      </c>
      <c r="D35" s="15" t="s">
        <v>37</v>
      </c>
      <c r="E35" s="15" t="s">
        <v>765</v>
      </c>
      <c r="F35" s="15"/>
      <c r="G35" s="15" t="s">
        <v>24</v>
      </c>
      <c r="H35" s="15" t="s">
        <v>25</v>
      </c>
      <c r="I35" s="15" t="s">
        <v>23</v>
      </c>
      <c r="J35" s="15" t="s">
        <v>23</v>
      </c>
      <c r="K35" s="15" t="s">
        <v>25</v>
      </c>
      <c r="L35" s="15" t="s">
        <v>2</v>
      </c>
      <c r="M35" s="15" t="s">
        <v>24</v>
      </c>
      <c r="N35" s="15" t="s">
        <v>23</v>
      </c>
      <c r="O35" s="15" t="s">
        <v>24</v>
      </c>
      <c r="P35" s="15" t="s">
        <v>2</v>
      </c>
      <c r="Q35" s="15" t="s">
        <v>2</v>
      </c>
      <c r="R35" s="15" t="s">
        <v>24</v>
      </c>
      <c r="S35" t="s">
        <v>2</v>
      </c>
      <c r="T35" t="s">
        <v>25</v>
      </c>
      <c r="U35" s="15" t="s">
        <v>23</v>
      </c>
      <c r="V35" s="15" t="s">
        <v>24</v>
      </c>
      <c r="W35" s="15" t="s">
        <v>2</v>
      </c>
      <c r="X35" s="15" t="s">
        <v>23</v>
      </c>
      <c r="Y35" t="s">
        <v>2</v>
      </c>
      <c r="Z35" t="s">
        <v>24</v>
      </c>
      <c r="AA35" t="s">
        <v>23</v>
      </c>
      <c r="AB35" t="s">
        <v>2</v>
      </c>
      <c r="AC35" t="s">
        <v>23</v>
      </c>
      <c r="AD35" t="s">
        <v>25</v>
      </c>
      <c r="AE35" t="s">
        <v>23</v>
      </c>
      <c r="AF35" t="s">
        <v>25</v>
      </c>
      <c r="AG35" t="s">
        <v>2</v>
      </c>
      <c r="AH35" t="s">
        <v>2</v>
      </c>
      <c r="AI35" t="s">
        <v>24</v>
      </c>
      <c r="AJ35" t="s">
        <v>23</v>
      </c>
      <c r="AK35" t="s">
        <v>2</v>
      </c>
      <c r="AL35" t="s">
        <v>2</v>
      </c>
      <c r="AM35" t="s">
        <v>23</v>
      </c>
      <c r="AN35" t="s">
        <v>23</v>
      </c>
      <c r="AO35" s="15" t="s">
        <v>25</v>
      </c>
      <c r="AP35" t="s">
        <v>23</v>
      </c>
      <c r="AQ35" t="s">
        <v>25</v>
      </c>
      <c r="AR35" t="s">
        <v>23</v>
      </c>
      <c r="AS35" t="s">
        <v>24</v>
      </c>
      <c r="AT35" s="15" t="s">
        <v>2</v>
      </c>
      <c r="AU35" s="15" t="s">
        <v>25</v>
      </c>
      <c r="AV35" t="s">
        <v>2</v>
      </c>
      <c r="AW35" s="15" t="s">
        <v>25</v>
      </c>
      <c r="AX35" s="15" t="s">
        <v>23</v>
      </c>
      <c r="AY35" s="15" t="s">
        <v>24</v>
      </c>
      <c r="AZ35" s="15" t="s">
        <v>24</v>
      </c>
      <c r="BA35" s="15" t="s">
        <v>2</v>
      </c>
      <c r="BB35" s="15" t="s">
        <v>24</v>
      </c>
      <c r="BC35" s="15" t="s">
        <v>23</v>
      </c>
      <c r="BD35" s="15" t="s">
        <v>23</v>
      </c>
      <c r="BE35" s="15" t="s">
        <v>24</v>
      </c>
      <c r="BF35" t="s">
        <v>2</v>
      </c>
      <c r="BG35" s="15" t="s">
        <v>2</v>
      </c>
      <c r="BH35" s="15" t="s">
        <v>25</v>
      </c>
      <c r="BI35" t="s">
        <v>2</v>
      </c>
      <c r="BJ35" t="s">
        <v>25</v>
      </c>
      <c r="BK35" s="15" t="s">
        <v>23</v>
      </c>
      <c r="BL35" t="s">
        <v>24</v>
      </c>
      <c r="BM35" t="s">
        <v>25</v>
      </c>
      <c r="BN35" t="s">
        <v>23</v>
      </c>
      <c r="BO35" t="s">
        <v>2</v>
      </c>
      <c r="BP35" t="s">
        <v>2</v>
      </c>
      <c r="BQ35" t="s">
        <v>24</v>
      </c>
      <c r="BR35" t="s">
        <v>23</v>
      </c>
      <c r="BS35" t="s">
        <v>23</v>
      </c>
      <c r="BT35" t="s">
        <v>25</v>
      </c>
      <c r="BU35" t="s">
        <v>23</v>
      </c>
      <c r="BV35" t="s">
        <v>2</v>
      </c>
      <c r="BW35" t="s">
        <v>24</v>
      </c>
      <c r="BX35" s="15" t="s">
        <v>25</v>
      </c>
      <c r="BY35" s="15" t="s">
        <v>24</v>
      </c>
      <c r="BZ35" s="15" t="s">
        <v>25</v>
      </c>
      <c r="CA35" s="15" t="s">
        <v>25</v>
      </c>
      <c r="CB35" s="15" t="s">
        <v>2</v>
      </c>
      <c r="CC35" t="s">
        <v>24</v>
      </c>
      <c r="CD35" s="15" t="s">
        <v>2</v>
      </c>
      <c r="CE35" s="15" t="s">
        <v>25</v>
      </c>
      <c r="CF35" t="s">
        <v>24</v>
      </c>
      <c r="CG35" t="s">
        <v>2</v>
      </c>
      <c r="CH35" t="s">
        <v>23</v>
      </c>
      <c r="CI35" t="s">
        <v>23</v>
      </c>
      <c r="CJ35" t="s">
        <v>25</v>
      </c>
      <c r="CK35" t="s">
        <v>23</v>
      </c>
      <c r="CL35" t="s">
        <v>24</v>
      </c>
      <c r="CM35" t="s">
        <v>24</v>
      </c>
      <c r="CN35" t="s">
        <v>26</v>
      </c>
      <c r="CO35" t="s">
        <v>23</v>
      </c>
      <c r="CP35" t="s">
        <v>2</v>
      </c>
      <c r="CQ35" t="s">
        <v>24</v>
      </c>
      <c r="CR35" t="s">
        <v>25</v>
      </c>
      <c r="CS35" t="s">
        <v>26</v>
      </c>
      <c r="CT35" t="s">
        <v>24</v>
      </c>
      <c r="CU35" t="s">
        <v>23</v>
      </c>
      <c r="CV35" t="s">
        <v>23</v>
      </c>
      <c r="CW35" t="s">
        <v>24</v>
      </c>
      <c r="CX35" t="s">
        <v>25</v>
      </c>
      <c r="CY35" t="s">
        <v>2</v>
      </c>
      <c r="CZ35" t="s">
        <v>25</v>
      </c>
      <c r="DA35" t="s">
        <v>25</v>
      </c>
      <c r="DB35" t="s">
        <v>23</v>
      </c>
      <c r="DC35" t="s">
        <v>25</v>
      </c>
      <c r="DD35" t="s">
        <v>2</v>
      </c>
      <c r="DE35" t="s">
        <v>24</v>
      </c>
      <c r="DF35" t="s">
        <v>26</v>
      </c>
      <c r="DG35" t="s">
        <v>26</v>
      </c>
      <c r="DH35" t="s">
        <v>2</v>
      </c>
      <c r="DI35" t="s">
        <v>26</v>
      </c>
      <c r="DJ35" t="s">
        <v>25</v>
      </c>
      <c r="DK35" t="s">
        <v>26</v>
      </c>
      <c r="DL35" t="s">
        <v>25</v>
      </c>
      <c r="DM35" t="s">
        <v>24</v>
      </c>
      <c r="DN35" t="s">
        <v>23</v>
      </c>
      <c r="DO35" t="s">
        <v>23</v>
      </c>
      <c r="DP35" t="s">
        <v>26</v>
      </c>
      <c r="DQ35" t="s">
        <v>2</v>
      </c>
      <c r="DR35" t="s">
        <v>2</v>
      </c>
      <c r="DS35" t="s">
        <v>26</v>
      </c>
      <c r="DT35" t="s">
        <v>25</v>
      </c>
      <c r="DU35" t="s">
        <v>2</v>
      </c>
      <c r="DV35" t="s">
        <v>25</v>
      </c>
      <c r="DW35" t="s">
        <v>25</v>
      </c>
      <c r="DX35" t="s">
        <v>23</v>
      </c>
      <c r="DY35" t="s">
        <v>26</v>
      </c>
      <c r="DZ35" t="s">
        <v>23</v>
      </c>
      <c r="EA35" t="s">
        <v>2</v>
      </c>
      <c r="EB35" t="s">
        <v>23</v>
      </c>
      <c r="EC35" t="s">
        <v>23</v>
      </c>
      <c r="ED35" t="s">
        <v>24</v>
      </c>
      <c r="EE35" t="s">
        <v>24</v>
      </c>
      <c r="EF35" t="s">
        <v>26</v>
      </c>
      <c r="EG35" t="s">
        <v>25</v>
      </c>
      <c r="EH35" t="s">
        <v>26</v>
      </c>
      <c r="EI35" t="s">
        <v>25</v>
      </c>
      <c r="EJ35" t="s">
        <v>25</v>
      </c>
      <c r="EK35" t="s">
        <v>23</v>
      </c>
      <c r="EL35" t="s">
        <v>2</v>
      </c>
      <c r="EM35" t="s">
        <v>24</v>
      </c>
      <c r="EN35" t="s">
        <v>23</v>
      </c>
      <c r="EO35" t="s">
        <v>25</v>
      </c>
      <c r="EP35" s="15" t="s">
        <v>24</v>
      </c>
      <c r="EQ35" s="15" t="s">
        <v>24</v>
      </c>
      <c r="ER35" s="15" t="s">
        <v>23</v>
      </c>
      <c r="ES35" s="15" t="s">
        <v>2</v>
      </c>
      <c r="ET35" s="15"/>
      <c r="EU35" t="s">
        <v>23</v>
      </c>
      <c r="EV35" s="15" t="s">
        <v>23</v>
      </c>
      <c r="EW35" s="15" t="s">
        <v>2</v>
      </c>
      <c r="EX35" s="15" t="s">
        <v>24</v>
      </c>
      <c r="EY35" s="15" t="s">
        <v>2</v>
      </c>
      <c r="EZ35" s="15" t="s">
        <v>25</v>
      </c>
      <c r="FA35" s="15" t="s">
        <v>23</v>
      </c>
      <c r="FB35" s="15" t="s">
        <v>25</v>
      </c>
      <c r="FC35" s="15" t="s">
        <v>2</v>
      </c>
      <c r="FD35" s="15" t="s">
        <v>2</v>
      </c>
      <c r="FE35" s="15" t="s">
        <v>24</v>
      </c>
      <c r="FF35" s="15" t="s">
        <v>25</v>
      </c>
      <c r="FG35" s="15" t="s">
        <v>23</v>
      </c>
      <c r="FH35" s="15" t="s">
        <v>25</v>
      </c>
      <c r="FI35" s="15" t="s">
        <v>2</v>
      </c>
      <c r="FJ35" s="15" t="s">
        <v>23</v>
      </c>
      <c r="FK35" s="15" t="s">
        <v>24</v>
      </c>
      <c r="FL35" s="15" t="s">
        <v>2</v>
      </c>
      <c r="FM35" s="15" t="s">
        <v>24</v>
      </c>
      <c r="FN35" s="15" t="s">
        <v>25</v>
      </c>
      <c r="FO35" s="15" t="s">
        <v>23</v>
      </c>
      <c r="FP35" s="15" t="s">
        <v>25</v>
      </c>
      <c r="FQ35" s="15" t="s">
        <v>24</v>
      </c>
      <c r="FR35" s="15" t="s">
        <v>2</v>
      </c>
      <c r="FS35" s="15" t="s">
        <v>24</v>
      </c>
      <c r="FT35" s="15" t="s">
        <v>23</v>
      </c>
      <c r="FU35" t="s">
        <v>2</v>
      </c>
      <c r="FV35" t="s">
        <v>24</v>
      </c>
      <c r="FW35" t="s">
        <v>24</v>
      </c>
      <c r="FX35" t="s">
        <v>25</v>
      </c>
      <c r="FY35" s="15" t="s">
        <v>23</v>
      </c>
      <c r="FZ35" t="s">
        <v>24</v>
      </c>
      <c r="GA35" s="15" t="s">
        <v>24</v>
      </c>
      <c r="GB35" s="15" t="s">
        <v>23</v>
      </c>
      <c r="GC35" s="15" t="s">
        <v>2</v>
      </c>
      <c r="GD35" t="s">
        <v>25</v>
      </c>
      <c r="GE35" t="s">
        <v>2</v>
      </c>
      <c r="GF35" t="s">
        <v>25</v>
      </c>
      <c r="GG35" s="15" t="s">
        <v>23</v>
      </c>
      <c r="GH35" s="15" t="s">
        <v>2</v>
      </c>
      <c r="GI35" s="15" t="s">
        <v>24</v>
      </c>
      <c r="GJ35" s="15" t="s">
        <v>24</v>
      </c>
      <c r="GK35" s="15" t="s">
        <v>25</v>
      </c>
      <c r="GL35" s="15" t="s">
        <v>24</v>
      </c>
      <c r="GM35" s="15" t="s">
        <v>2</v>
      </c>
      <c r="GN35" s="15" t="s">
        <v>25</v>
      </c>
      <c r="GO35" t="s">
        <v>23</v>
      </c>
      <c r="GP35" t="s">
        <v>25</v>
      </c>
      <c r="GQ35" t="s">
        <v>2</v>
      </c>
      <c r="GR35" t="s">
        <v>2</v>
      </c>
      <c r="GS35" t="s">
        <v>23</v>
      </c>
      <c r="GT35" t="s">
        <v>2</v>
      </c>
      <c r="GU35" t="s">
        <v>25</v>
      </c>
      <c r="GV35" t="s">
        <v>24</v>
      </c>
      <c r="GW35" t="s">
        <v>23</v>
      </c>
      <c r="GX35" t="s">
        <v>23</v>
      </c>
      <c r="GY35" t="s">
        <v>25</v>
      </c>
      <c r="GZ35" t="s">
        <v>25</v>
      </c>
      <c r="HA35" t="s">
        <v>24</v>
      </c>
      <c r="HB35" t="s">
        <v>23</v>
      </c>
      <c r="HC35" t="s">
        <v>2</v>
      </c>
      <c r="HD35" t="s">
        <v>2</v>
      </c>
      <c r="HE35" t="s">
        <v>25</v>
      </c>
      <c r="HF35" t="s">
        <v>2</v>
      </c>
      <c r="HG35" t="s">
        <v>24</v>
      </c>
      <c r="HH35" s="15" t="s">
        <v>23</v>
      </c>
      <c r="HI35" s="15" t="s">
        <v>25</v>
      </c>
      <c r="HJ35" s="15" t="s">
        <v>23</v>
      </c>
      <c r="HK35" s="15" t="s">
        <v>25</v>
      </c>
      <c r="HL35" s="15" t="s">
        <v>2</v>
      </c>
      <c r="HM35" s="15" t="s">
        <v>24</v>
      </c>
      <c r="HN35" s="15"/>
      <c r="HO35" s="15"/>
      <c r="HP35" s="15"/>
      <c r="HQ35" s="15"/>
      <c r="HR35" s="15"/>
      <c r="HT35" s="15"/>
      <c r="HV35" s="15"/>
      <c r="HW35" s="15"/>
      <c r="IQ35" s="15"/>
      <c r="IW35" s="15"/>
      <c r="IX35" s="15"/>
      <c r="IZ35" s="15"/>
      <c r="JA35" s="15"/>
      <c r="JD35" s="15"/>
      <c r="JE35" s="15"/>
      <c r="JZ35" s="15"/>
      <c r="KA35" s="15"/>
      <c r="KB35" s="15"/>
      <c r="KC35" s="15"/>
      <c r="KE35" s="15"/>
      <c r="KF35" s="15"/>
      <c r="KH35" s="15"/>
      <c r="KI35" s="15"/>
      <c r="KJ35" s="15"/>
      <c r="KM35" s="15"/>
      <c r="LI35" s="15"/>
      <c r="LJ35" s="15"/>
      <c r="LK35" s="15"/>
      <c r="LM35" s="15"/>
      <c r="LP35" s="15"/>
    </row>
    <row r="36" spans="1:330">
      <c r="A36">
        <v>43662</v>
      </c>
      <c r="B36" s="15" t="s">
        <v>770</v>
      </c>
      <c r="C36" s="15" t="s">
        <v>703</v>
      </c>
      <c r="D36" s="15" t="s">
        <v>37</v>
      </c>
      <c r="E36" s="15" t="s">
        <v>765</v>
      </c>
      <c r="F36" s="15"/>
      <c r="G36" s="15" t="s">
        <v>24</v>
      </c>
      <c r="H36" s="15" t="s">
        <v>25</v>
      </c>
      <c r="I36" s="15" t="s">
        <v>23</v>
      </c>
      <c r="J36" s="15" t="s">
        <v>23</v>
      </c>
      <c r="K36" s="15" t="s">
        <v>25</v>
      </c>
      <c r="L36" s="15" t="s">
        <v>2</v>
      </c>
      <c r="M36" s="15" t="s">
        <v>24</v>
      </c>
      <c r="N36" s="15" t="s">
        <v>23</v>
      </c>
      <c r="O36" s="15" t="s">
        <v>24</v>
      </c>
      <c r="P36" s="15" t="s">
        <v>24</v>
      </c>
      <c r="Q36" s="15" t="s">
        <v>2</v>
      </c>
      <c r="R36" s="15" t="s">
        <v>24</v>
      </c>
      <c r="S36" s="15" t="s">
        <v>2</v>
      </c>
      <c r="T36" s="15" t="s">
        <v>25</v>
      </c>
      <c r="U36" s="15" t="s">
        <v>23</v>
      </c>
      <c r="V36" s="15" t="s">
        <v>24</v>
      </c>
      <c r="W36" s="15" t="s">
        <v>2</v>
      </c>
      <c r="X36" s="15" t="s">
        <v>23</v>
      </c>
      <c r="Y36" s="15" t="s">
        <v>25</v>
      </c>
      <c r="Z36" t="s">
        <v>24</v>
      </c>
      <c r="AA36" t="s">
        <v>23</v>
      </c>
      <c r="AB36" t="s">
        <v>2</v>
      </c>
      <c r="AC36" t="s">
        <v>23</v>
      </c>
      <c r="AD36" t="s">
        <v>25</v>
      </c>
      <c r="AE36" t="s">
        <v>23</v>
      </c>
      <c r="AF36" t="s">
        <v>25</v>
      </c>
      <c r="AG36" t="s">
        <v>23</v>
      </c>
      <c r="AH36" t="s">
        <v>2</v>
      </c>
      <c r="AI36" t="s">
        <v>24</v>
      </c>
      <c r="AJ36" t="s">
        <v>23</v>
      </c>
      <c r="AK36" t="s">
        <v>2</v>
      </c>
      <c r="AL36" t="s">
        <v>2</v>
      </c>
      <c r="AM36" t="s">
        <v>2</v>
      </c>
      <c r="AN36" t="s">
        <v>24</v>
      </c>
      <c r="AO36" s="15" t="s">
        <v>25</v>
      </c>
      <c r="AP36" s="15" t="s">
        <v>2</v>
      </c>
      <c r="AQ36" s="15" t="s">
        <v>25</v>
      </c>
      <c r="AR36" s="15" t="s">
        <v>25</v>
      </c>
      <c r="AS36" s="15" t="s">
        <v>24</v>
      </c>
      <c r="AT36" s="15" t="s">
        <v>2</v>
      </c>
      <c r="AU36" s="15" t="s">
        <v>25</v>
      </c>
      <c r="AV36" s="15" t="s">
        <v>23</v>
      </c>
      <c r="AW36" s="15" t="s">
        <v>25</v>
      </c>
      <c r="AX36" s="15" t="s">
        <v>24</v>
      </c>
      <c r="AY36" s="15" t="s">
        <v>24</v>
      </c>
      <c r="AZ36" s="15" t="s">
        <v>24</v>
      </c>
      <c r="BA36" s="15" t="s">
        <v>25</v>
      </c>
      <c r="BB36" s="15" t="s">
        <v>24</v>
      </c>
      <c r="BC36" s="15" t="s">
        <v>23</v>
      </c>
      <c r="BD36" s="15" t="s">
        <v>23</v>
      </c>
      <c r="BE36" s="15" t="s">
        <v>24</v>
      </c>
      <c r="BF36" s="15" t="s">
        <v>24</v>
      </c>
      <c r="BG36" s="15" t="s">
        <v>2</v>
      </c>
      <c r="BH36" s="15" t="s">
        <v>2</v>
      </c>
      <c r="BI36" s="15" t="s">
        <v>23</v>
      </c>
      <c r="BJ36" s="15" t="s">
        <v>24</v>
      </c>
      <c r="BK36" s="15" t="s">
        <v>23</v>
      </c>
      <c r="BL36" s="15" t="s">
        <v>23</v>
      </c>
      <c r="BM36" t="s">
        <v>25</v>
      </c>
      <c r="BN36" t="s">
        <v>23</v>
      </c>
      <c r="BO36" t="s">
        <v>2</v>
      </c>
      <c r="BP36" t="s">
        <v>23</v>
      </c>
      <c r="BQ36" t="s">
        <v>2</v>
      </c>
      <c r="BR36" t="s">
        <v>23</v>
      </c>
      <c r="BS36" t="s">
        <v>23</v>
      </c>
      <c r="BT36" t="s">
        <v>24</v>
      </c>
      <c r="BU36" t="s">
        <v>23</v>
      </c>
      <c r="BV36" t="s">
        <v>2</v>
      </c>
      <c r="BW36" t="s">
        <v>24</v>
      </c>
      <c r="BX36" s="15" t="s">
        <v>25</v>
      </c>
      <c r="BY36" s="15" t="s">
        <v>24</v>
      </c>
      <c r="BZ36" s="15" t="s">
        <v>25</v>
      </c>
      <c r="CA36" s="15" t="s">
        <v>2</v>
      </c>
      <c r="CB36" s="15" t="s">
        <v>2</v>
      </c>
      <c r="CC36" s="15" t="s">
        <v>24</v>
      </c>
      <c r="CD36" s="15" t="s">
        <v>2</v>
      </c>
      <c r="CE36" s="15" t="s">
        <v>25</v>
      </c>
      <c r="CF36" t="s">
        <v>24</v>
      </c>
      <c r="CG36" t="s">
        <v>2</v>
      </c>
      <c r="CH36" t="s">
        <v>23</v>
      </c>
      <c r="CI36" t="s">
        <v>23</v>
      </c>
      <c r="CJ36" t="s">
        <v>25</v>
      </c>
      <c r="CK36" t="s">
        <v>23</v>
      </c>
      <c r="CL36" t="s">
        <v>24</v>
      </c>
      <c r="CM36" t="s">
        <v>24</v>
      </c>
      <c r="CN36" t="s">
        <v>26</v>
      </c>
      <c r="CO36" t="s">
        <v>23</v>
      </c>
      <c r="CP36" t="s">
        <v>2</v>
      </c>
      <c r="CQ36" t="s">
        <v>24</v>
      </c>
      <c r="CR36" t="s">
        <v>25</v>
      </c>
      <c r="CS36" t="s">
        <v>26</v>
      </c>
      <c r="CT36" t="s">
        <v>24</v>
      </c>
      <c r="CU36" t="s">
        <v>23</v>
      </c>
      <c r="CV36" t="s">
        <v>23</v>
      </c>
      <c r="CW36" t="s">
        <v>24</v>
      </c>
      <c r="CX36" t="s">
        <v>25</v>
      </c>
      <c r="CY36" t="s">
        <v>2</v>
      </c>
      <c r="CZ36" t="s">
        <v>25</v>
      </c>
      <c r="DA36" t="s">
        <v>25</v>
      </c>
      <c r="DB36" t="s">
        <v>23</v>
      </c>
      <c r="DC36" t="s">
        <v>25</v>
      </c>
      <c r="DD36" t="s">
        <v>2</v>
      </c>
      <c r="DE36" t="s">
        <v>24</v>
      </c>
      <c r="DF36" t="s">
        <v>26</v>
      </c>
      <c r="DG36" t="s">
        <v>26</v>
      </c>
      <c r="DH36" t="s">
        <v>2</v>
      </c>
      <c r="DI36" t="s">
        <v>26</v>
      </c>
      <c r="DJ36" t="s">
        <v>25</v>
      </c>
      <c r="DK36" t="s">
        <v>26</v>
      </c>
      <c r="DL36" t="s">
        <v>25</v>
      </c>
      <c r="DM36" t="s">
        <v>24</v>
      </c>
      <c r="DN36" t="s">
        <v>23</v>
      </c>
      <c r="DO36" t="s">
        <v>23</v>
      </c>
      <c r="DP36" t="s">
        <v>26</v>
      </c>
      <c r="DQ36" t="s">
        <v>2</v>
      </c>
      <c r="DR36" t="s">
        <v>2</v>
      </c>
      <c r="DS36" t="s">
        <v>26</v>
      </c>
      <c r="DT36" t="s">
        <v>25</v>
      </c>
      <c r="DU36" t="s">
        <v>2</v>
      </c>
      <c r="DV36" t="s">
        <v>2</v>
      </c>
      <c r="DW36" t="s">
        <v>25</v>
      </c>
      <c r="DX36" t="s">
        <v>23</v>
      </c>
      <c r="DY36" t="s">
        <v>26</v>
      </c>
      <c r="DZ36" t="s">
        <v>24</v>
      </c>
      <c r="EA36" t="s">
        <v>2</v>
      </c>
      <c r="EB36" t="s">
        <v>23</v>
      </c>
      <c r="EC36" t="s">
        <v>23</v>
      </c>
      <c r="ED36" t="s">
        <v>24</v>
      </c>
      <c r="EE36" t="s">
        <v>26</v>
      </c>
      <c r="EF36" t="s">
        <v>24</v>
      </c>
      <c r="EG36" t="s">
        <v>25</v>
      </c>
      <c r="EH36" t="s">
        <v>26</v>
      </c>
      <c r="EI36" t="s">
        <v>26</v>
      </c>
      <c r="EJ36" t="s">
        <v>2</v>
      </c>
      <c r="EK36" t="s">
        <v>24</v>
      </c>
      <c r="EL36" t="s">
        <v>2</v>
      </c>
      <c r="EM36" t="s">
        <v>24</v>
      </c>
      <c r="EN36" t="s">
        <v>24</v>
      </c>
      <c r="EP36" s="15" t="s">
        <v>24</v>
      </c>
      <c r="EQ36" s="15" t="s">
        <v>24</v>
      </c>
      <c r="ER36" s="15" t="s">
        <v>24</v>
      </c>
      <c r="ES36" s="15" t="s">
        <v>2</v>
      </c>
      <c r="ET36" s="15" t="s">
        <v>23</v>
      </c>
      <c r="EU36" s="15" t="s">
        <v>23</v>
      </c>
      <c r="EV36" s="15" t="s">
        <v>23</v>
      </c>
      <c r="EW36" s="15" t="s">
        <v>2</v>
      </c>
      <c r="EX36" s="15" t="s">
        <v>24</v>
      </c>
      <c r="EY36" s="15" t="s">
        <v>2</v>
      </c>
      <c r="EZ36" s="15" t="s">
        <v>25</v>
      </c>
      <c r="FA36" s="15" t="s">
        <v>23</v>
      </c>
      <c r="FB36" s="15" t="s">
        <v>25</v>
      </c>
      <c r="FC36" s="15" t="s">
        <v>25</v>
      </c>
      <c r="FD36" s="15" t="s">
        <v>23</v>
      </c>
      <c r="FE36" s="15" t="s">
        <v>24</v>
      </c>
      <c r="FF36" s="15" t="s">
        <v>25</v>
      </c>
      <c r="FG36" s="15" t="s">
        <v>2</v>
      </c>
      <c r="FH36" s="15" t="s">
        <v>23</v>
      </c>
      <c r="FI36" s="15" t="s">
        <v>25</v>
      </c>
      <c r="FJ36" s="15" t="s">
        <v>23</v>
      </c>
      <c r="FK36" s="15" t="s">
        <v>24</v>
      </c>
      <c r="FL36" s="15" t="s">
        <v>23</v>
      </c>
      <c r="FM36" s="15" t="s">
        <v>2</v>
      </c>
      <c r="FN36" s="15" t="s">
        <v>25</v>
      </c>
      <c r="FO36" s="15" t="s">
        <v>24</v>
      </c>
      <c r="FP36" s="15" t="s">
        <v>25</v>
      </c>
      <c r="FQ36" s="15" t="s">
        <v>24</v>
      </c>
      <c r="FR36" s="15" t="s">
        <v>2</v>
      </c>
      <c r="FS36" s="15" t="s">
        <v>24</v>
      </c>
      <c r="FT36" s="15" t="s">
        <v>23</v>
      </c>
      <c r="FU36" s="15" t="s">
        <v>25</v>
      </c>
      <c r="FV36" s="15" t="s">
        <v>24</v>
      </c>
      <c r="FW36" s="15" t="s">
        <v>24</v>
      </c>
      <c r="FX36" s="15" t="s">
        <v>25</v>
      </c>
      <c r="FY36" s="15" t="s">
        <v>23</v>
      </c>
      <c r="FZ36" s="15" t="s">
        <v>24</v>
      </c>
      <c r="GA36" s="15" t="s">
        <v>24</v>
      </c>
      <c r="GB36" s="15" t="s">
        <v>23</v>
      </c>
      <c r="GC36" s="15" t="s">
        <v>25</v>
      </c>
      <c r="GD36" s="15" t="s">
        <v>25</v>
      </c>
      <c r="GE36" s="15" t="s">
        <v>2</v>
      </c>
      <c r="GF36" s="15" t="s">
        <v>25</v>
      </c>
      <c r="GG36" s="15" t="s">
        <v>23</v>
      </c>
      <c r="GH36" s="15" t="s">
        <v>2</v>
      </c>
      <c r="GI36" s="15" t="s">
        <v>24</v>
      </c>
      <c r="GJ36" s="15" t="s">
        <v>24</v>
      </c>
      <c r="GK36" s="15" t="s">
        <v>2</v>
      </c>
      <c r="GL36" s="15" t="s">
        <v>24</v>
      </c>
      <c r="GM36" s="15" t="s">
        <v>2</v>
      </c>
      <c r="GN36" s="15" t="s">
        <v>25</v>
      </c>
      <c r="GO36" s="15" t="s">
        <v>23</v>
      </c>
      <c r="GP36" s="15" t="s">
        <v>23</v>
      </c>
      <c r="GQ36" s="15" t="s">
        <v>2</v>
      </c>
      <c r="GR36" s="15" t="s">
        <v>2</v>
      </c>
      <c r="GS36" s="15" t="s">
        <v>2</v>
      </c>
      <c r="GT36" s="15" t="s">
        <v>25</v>
      </c>
      <c r="GU36" s="15" t="s">
        <v>25</v>
      </c>
      <c r="GV36" s="15" t="s">
        <v>2</v>
      </c>
      <c r="GW36" t="s">
        <v>23</v>
      </c>
      <c r="GX36" t="s">
        <v>23</v>
      </c>
      <c r="GY36" t="s">
        <v>25</v>
      </c>
      <c r="GZ36" t="s">
        <v>25</v>
      </c>
      <c r="HA36" t="s">
        <v>24</v>
      </c>
      <c r="HB36" t="s">
        <v>23</v>
      </c>
      <c r="HC36" t="s">
        <v>2</v>
      </c>
      <c r="HD36" t="s">
        <v>2</v>
      </c>
      <c r="HE36" t="s">
        <v>25</v>
      </c>
      <c r="HF36" t="s">
        <v>2</v>
      </c>
      <c r="HG36" t="s">
        <v>24</v>
      </c>
      <c r="HH36" s="15" t="s">
        <v>24</v>
      </c>
      <c r="HI36" s="15" t="s">
        <v>25</v>
      </c>
      <c r="HJ36" s="15" t="s">
        <v>23</v>
      </c>
      <c r="HK36" s="15" t="s">
        <v>25</v>
      </c>
      <c r="HL36" s="15" t="s">
        <v>25</v>
      </c>
      <c r="HM36" s="15" t="s">
        <v>23</v>
      </c>
      <c r="HN36" s="15"/>
      <c r="HO36" s="15"/>
      <c r="HP36" s="15"/>
      <c r="HQ36" s="15"/>
      <c r="HR36" s="15"/>
      <c r="HS36" s="15"/>
      <c r="HT36" s="15"/>
      <c r="HU36" s="15"/>
      <c r="HV36" s="15"/>
      <c r="HW36" s="15"/>
      <c r="IQ36" s="15"/>
      <c r="IR36" s="15"/>
      <c r="IS36" s="15"/>
      <c r="IT36" s="15"/>
      <c r="IU36" s="15"/>
      <c r="IV36" s="15"/>
      <c r="IW36" s="15"/>
      <c r="IX36" s="15"/>
      <c r="IY36" s="15"/>
      <c r="IZ36" s="15"/>
      <c r="JA36" s="15"/>
      <c r="JB36" s="15"/>
      <c r="JC36" s="15"/>
      <c r="JD36" s="15"/>
      <c r="JE36" s="15"/>
      <c r="JF36" s="15"/>
      <c r="JG36" s="15"/>
      <c r="JH36" s="15"/>
      <c r="JI36" s="15"/>
      <c r="JZ36" s="15"/>
      <c r="KA36" s="15"/>
      <c r="KB36" s="15"/>
      <c r="KC36" s="15"/>
      <c r="KD36" s="15"/>
      <c r="KE36" s="15"/>
      <c r="KF36" s="15"/>
      <c r="KG36" s="15"/>
      <c r="KH36" s="15"/>
      <c r="KI36" s="15"/>
      <c r="KJ36" s="15"/>
      <c r="KK36" s="15"/>
      <c r="KL36" s="15"/>
      <c r="KM36" s="15"/>
      <c r="LI36" s="15"/>
      <c r="LJ36" s="15"/>
      <c r="LK36" s="15"/>
      <c r="LL36" s="15"/>
      <c r="LM36" s="15"/>
      <c r="LN36" s="15"/>
      <c r="LO36" s="15"/>
      <c r="LP36" s="15"/>
      <c r="LQ36" s="15"/>
      <c r="LR36" s="15"/>
    </row>
    <row r="37" spans="1:330">
      <c r="A37">
        <v>43662</v>
      </c>
      <c r="B37" s="15" t="s">
        <v>771</v>
      </c>
      <c r="C37" s="15" t="s">
        <v>689</v>
      </c>
      <c r="D37" s="15" t="s">
        <v>37</v>
      </c>
      <c r="E37" s="15" t="s">
        <v>765</v>
      </c>
      <c r="F37" s="15"/>
      <c r="G37" s="15" t="s">
        <v>24</v>
      </c>
      <c r="H37" s="15" t="s">
        <v>24</v>
      </c>
      <c r="I37" s="15" t="s">
        <v>23</v>
      </c>
      <c r="J37" s="15" t="s">
        <v>23</v>
      </c>
      <c r="K37" s="15" t="s">
        <v>25</v>
      </c>
      <c r="L37" s="15" t="s">
        <v>2</v>
      </c>
      <c r="M37" s="15" t="s">
        <v>24</v>
      </c>
      <c r="N37" s="15" t="s">
        <v>23</v>
      </c>
      <c r="O37" s="15" t="s">
        <v>24</v>
      </c>
      <c r="P37" s="15" t="s">
        <v>2</v>
      </c>
      <c r="Q37" s="15" t="s">
        <v>2</v>
      </c>
      <c r="R37" s="15" t="s">
        <v>24</v>
      </c>
      <c r="S37" s="15" t="s">
        <v>2</v>
      </c>
      <c r="T37" s="15" t="s">
        <v>25</v>
      </c>
      <c r="U37" s="15" t="s">
        <v>23</v>
      </c>
      <c r="V37" s="15" t="s">
        <v>24</v>
      </c>
      <c r="W37" s="15" t="s">
        <v>2</v>
      </c>
      <c r="X37" s="15" t="s">
        <v>23</v>
      </c>
      <c r="Y37" s="15" t="s">
        <v>2</v>
      </c>
      <c r="Z37" t="s">
        <v>24</v>
      </c>
      <c r="AA37" t="s">
        <v>23</v>
      </c>
      <c r="AB37" t="s">
        <v>2</v>
      </c>
      <c r="AC37" t="s">
        <v>25</v>
      </c>
      <c r="AD37" t="s">
        <v>25</v>
      </c>
      <c r="AE37" t="s">
        <v>23</v>
      </c>
      <c r="AF37" t="s">
        <v>25</v>
      </c>
      <c r="AG37" t="s">
        <v>23</v>
      </c>
      <c r="AH37" t="s">
        <v>2</v>
      </c>
      <c r="AI37" t="s">
        <v>24</v>
      </c>
      <c r="AJ37" t="s">
        <v>23</v>
      </c>
      <c r="AK37" t="s">
        <v>2</v>
      </c>
      <c r="AL37" t="s">
        <v>2</v>
      </c>
      <c r="AM37" t="s">
        <v>23</v>
      </c>
      <c r="AN37" t="s">
        <v>23</v>
      </c>
      <c r="AO37" s="15" t="s">
        <v>25</v>
      </c>
      <c r="AP37" s="15" t="s">
        <v>2</v>
      </c>
      <c r="AQ37" s="15" t="s">
        <v>25</v>
      </c>
      <c r="AR37" s="15" t="s">
        <v>23</v>
      </c>
      <c r="AS37" s="15" t="s">
        <v>24</v>
      </c>
      <c r="AT37" s="15" t="s">
        <v>25</v>
      </c>
      <c r="AU37" s="15" t="s">
        <v>25</v>
      </c>
      <c r="AV37" s="15" t="s">
        <v>2</v>
      </c>
      <c r="AW37" s="15" t="s">
        <v>25</v>
      </c>
      <c r="AX37" s="15" t="s">
        <v>24</v>
      </c>
      <c r="AY37" s="15" t="s">
        <v>24</v>
      </c>
      <c r="AZ37" s="15" t="s">
        <v>24</v>
      </c>
      <c r="BA37" s="15" t="s">
        <v>25</v>
      </c>
      <c r="BB37" s="15" t="s">
        <v>24</v>
      </c>
      <c r="BC37" s="15" t="s">
        <v>23</v>
      </c>
      <c r="BD37" s="15" t="s">
        <v>23</v>
      </c>
      <c r="BE37" s="15" t="s">
        <v>24</v>
      </c>
      <c r="BF37" s="15" t="s">
        <v>2</v>
      </c>
      <c r="BG37" s="15" t="s">
        <v>24</v>
      </c>
      <c r="BH37" s="15" t="s">
        <v>25</v>
      </c>
      <c r="BI37" s="15" t="s">
        <v>2</v>
      </c>
      <c r="BJ37" s="15" t="s">
        <v>25</v>
      </c>
      <c r="BK37" s="15" t="s">
        <v>23</v>
      </c>
      <c r="BL37" s="15" t="s">
        <v>24</v>
      </c>
      <c r="BM37" t="s">
        <v>25</v>
      </c>
      <c r="BN37" t="s">
        <v>23</v>
      </c>
      <c r="BO37" t="s">
        <v>2</v>
      </c>
      <c r="BP37" t="s">
        <v>2</v>
      </c>
      <c r="BQ37" t="s">
        <v>24</v>
      </c>
      <c r="BR37" t="s">
        <v>23</v>
      </c>
      <c r="BS37" t="s">
        <v>23</v>
      </c>
      <c r="BT37" t="s">
        <v>25</v>
      </c>
      <c r="BU37" t="s">
        <v>23</v>
      </c>
      <c r="BV37" t="s">
        <v>2</v>
      </c>
      <c r="BW37" t="s">
        <v>24</v>
      </c>
      <c r="BX37" s="15" t="s">
        <v>25</v>
      </c>
      <c r="BY37" s="15" t="s">
        <v>24</v>
      </c>
      <c r="BZ37" s="15" t="s">
        <v>25</v>
      </c>
      <c r="CA37" s="15" t="s">
        <v>2</v>
      </c>
      <c r="CB37" s="15" t="s">
        <v>2</v>
      </c>
      <c r="CC37" s="15" t="s">
        <v>24</v>
      </c>
      <c r="CD37" s="15" t="s">
        <v>2</v>
      </c>
      <c r="CE37" s="15" t="s">
        <v>25</v>
      </c>
      <c r="CF37" t="s">
        <v>24</v>
      </c>
      <c r="CG37" t="s">
        <v>2</v>
      </c>
      <c r="CH37" t="s">
        <v>23</v>
      </c>
      <c r="CI37" t="s">
        <v>23</v>
      </c>
      <c r="CJ37" t="s">
        <v>25</v>
      </c>
      <c r="CK37" t="s">
        <v>23</v>
      </c>
      <c r="CL37" t="s">
        <v>24</v>
      </c>
      <c r="CM37" t="s">
        <v>24</v>
      </c>
      <c r="CN37" t="s">
        <v>26</v>
      </c>
      <c r="CO37" t="s">
        <v>23</v>
      </c>
      <c r="CP37" t="s">
        <v>2</v>
      </c>
      <c r="CQ37" t="s">
        <v>24</v>
      </c>
      <c r="CR37" t="s">
        <v>25</v>
      </c>
      <c r="CS37" t="s">
        <v>26</v>
      </c>
      <c r="CT37" t="s">
        <v>24</v>
      </c>
      <c r="CU37" t="s">
        <v>23</v>
      </c>
      <c r="CV37" t="s">
        <v>23</v>
      </c>
      <c r="CW37" t="s">
        <v>24</v>
      </c>
      <c r="CX37" t="s">
        <v>25</v>
      </c>
      <c r="CY37" t="s">
        <v>2</v>
      </c>
      <c r="CZ37" t="s">
        <v>25</v>
      </c>
      <c r="DA37" t="s">
        <v>25</v>
      </c>
      <c r="DB37" t="s">
        <v>23</v>
      </c>
      <c r="DC37" t="s">
        <v>25</v>
      </c>
      <c r="DD37" t="s">
        <v>2</v>
      </c>
      <c r="DE37" t="s">
        <v>24</v>
      </c>
      <c r="DF37" t="s">
        <v>26</v>
      </c>
      <c r="DG37" t="s">
        <v>26</v>
      </c>
      <c r="DH37" t="s">
        <v>2</v>
      </c>
      <c r="DI37" t="s">
        <v>26</v>
      </c>
      <c r="DJ37" t="s">
        <v>25</v>
      </c>
      <c r="DK37" t="s">
        <v>26</v>
      </c>
      <c r="DL37" t="s">
        <v>25</v>
      </c>
      <c r="DM37" t="s">
        <v>24</v>
      </c>
      <c r="DN37" t="s">
        <v>23</v>
      </c>
      <c r="DO37" t="s">
        <v>24</v>
      </c>
      <c r="DP37" t="s">
        <v>26</v>
      </c>
      <c r="DQ37" t="s">
        <v>2</v>
      </c>
      <c r="DR37" t="s">
        <v>2</v>
      </c>
      <c r="DS37" t="s">
        <v>26</v>
      </c>
      <c r="DT37" t="s">
        <v>25</v>
      </c>
      <c r="DU37" t="s">
        <v>24</v>
      </c>
      <c r="DV37" t="s">
        <v>25</v>
      </c>
      <c r="DW37" t="s">
        <v>25</v>
      </c>
      <c r="DX37" t="s">
        <v>23</v>
      </c>
      <c r="DY37" t="s">
        <v>26</v>
      </c>
      <c r="DZ37" t="s">
        <v>23</v>
      </c>
      <c r="EA37" t="s">
        <v>2</v>
      </c>
      <c r="EB37" t="s">
        <v>23</v>
      </c>
      <c r="EC37" t="s">
        <v>23</v>
      </c>
      <c r="ED37" t="s">
        <v>24</v>
      </c>
      <c r="EE37" t="s">
        <v>26</v>
      </c>
      <c r="EF37" t="s">
        <v>24</v>
      </c>
      <c r="EG37" t="s">
        <v>25</v>
      </c>
      <c r="EH37" t="s">
        <v>26</v>
      </c>
      <c r="EI37" t="s">
        <v>2</v>
      </c>
      <c r="EJ37" t="s">
        <v>23</v>
      </c>
      <c r="EK37" t="s">
        <v>23</v>
      </c>
      <c r="EL37" t="s">
        <v>2</v>
      </c>
      <c r="EM37" t="s">
        <v>24</v>
      </c>
      <c r="EN37" t="s">
        <v>23</v>
      </c>
      <c r="EO37" t="s">
        <v>25</v>
      </c>
      <c r="EP37" s="15" t="s">
        <v>24</v>
      </c>
      <c r="EQ37" s="15" t="s">
        <v>24</v>
      </c>
      <c r="ER37" s="15" t="s">
        <v>24</v>
      </c>
      <c r="ES37" s="15" t="s">
        <v>2</v>
      </c>
      <c r="ET37" s="15" t="s">
        <v>25</v>
      </c>
      <c r="EU37" s="15" t="s">
        <v>23</v>
      </c>
      <c r="EV37" s="15" t="s">
        <v>24</v>
      </c>
      <c r="EW37" s="15" t="s">
        <v>2</v>
      </c>
      <c r="EX37" s="15" t="s">
        <v>24</v>
      </c>
      <c r="EY37" s="15" t="s">
        <v>23</v>
      </c>
      <c r="EZ37" s="15" t="s">
        <v>25</v>
      </c>
      <c r="FA37" s="15" t="s">
        <v>23</v>
      </c>
      <c r="FB37" s="15" t="s">
        <v>25</v>
      </c>
      <c r="FC37" s="15" t="s">
        <v>2</v>
      </c>
      <c r="FD37" s="15" t="s">
        <v>2</v>
      </c>
      <c r="FE37" s="15" t="s">
        <v>24</v>
      </c>
      <c r="FF37" s="15" t="s">
        <v>25</v>
      </c>
      <c r="FG37" s="15" t="s">
        <v>23</v>
      </c>
      <c r="FH37" s="15" t="s">
        <v>2</v>
      </c>
      <c r="FI37" s="15" t="s">
        <v>25</v>
      </c>
      <c r="FJ37" s="15" t="s">
        <v>24</v>
      </c>
      <c r="FK37" s="15" t="s">
        <v>24</v>
      </c>
      <c r="FL37" s="15" t="s">
        <v>23</v>
      </c>
      <c r="FM37" s="15" t="s">
        <v>24</v>
      </c>
      <c r="FN37" s="15" t="s">
        <v>25</v>
      </c>
      <c r="FO37" s="15" t="s">
        <v>23</v>
      </c>
      <c r="FP37" s="15" t="s">
        <v>24</v>
      </c>
      <c r="FQ37" s="15" t="s">
        <v>23</v>
      </c>
      <c r="FR37" s="15" t="s">
        <v>2</v>
      </c>
      <c r="FS37" s="15" t="s">
        <v>25</v>
      </c>
      <c r="FT37" s="15" t="s">
        <v>23</v>
      </c>
      <c r="FU37" s="15" t="s">
        <v>2</v>
      </c>
      <c r="FV37" s="15" t="s">
        <v>24</v>
      </c>
      <c r="FW37" s="15" t="s">
        <v>24</v>
      </c>
      <c r="FX37" s="15" t="s">
        <v>25</v>
      </c>
      <c r="FY37" s="15" t="s">
        <v>23</v>
      </c>
      <c r="FZ37" s="15" t="s">
        <v>24</v>
      </c>
      <c r="GA37" s="15" t="s">
        <v>24</v>
      </c>
      <c r="GB37" s="15" t="s">
        <v>23</v>
      </c>
      <c r="GC37" s="15" t="s">
        <v>2</v>
      </c>
      <c r="GD37" s="15" t="s">
        <v>25</v>
      </c>
      <c r="GE37" s="15" t="s">
        <v>2</v>
      </c>
      <c r="GF37" s="15" t="s">
        <v>25</v>
      </c>
      <c r="GG37" s="15" t="s">
        <v>23</v>
      </c>
      <c r="GH37" s="15" t="s">
        <v>2</v>
      </c>
      <c r="GI37" s="15" t="s">
        <v>24</v>
      </c>
      <c r="GJ37" s="15" t="s">
        <v>24</v>
      </c>
      <c r="GK37" s="15" t="s">
        <v>25</v>
      </c>
      <c r="GL37" s="15" t="s">
        <v>24</v>
      </c>
      <c r="GM37" s="15" t="s">
        <v>2</v>
      </c>
      <c r="GN37" s="15" t="s">
        <v>25</v>
      </c>
      <c r="GO37" s="15" t="s">
        <v>23</v>
      </c>
      <c r="GP37" s="15" t="s">
        <v>24</v>
      </c>
      <c r="GQ37" s="15" t="s">
        <v>2</v>
      </c>
      <c r="GR37" s="15" t="s">
        <v>2</v>
      </c>
      <c r="GS37" s="15" t="s">
        <v>23</v>
      </c>
      <c r="GT37" s="15" t="s">
        <v>25</v>
      </c>
      <c r="GU37" s="15" t="s">
        <v>25</v>
      </c>
      <c r="GV37" s="15" t="s">
        <v>2</v>
      </c>
      <c r="GW37" t="s">
        <v>23</v>
      </c>
      <c r="GX37" t="s">
        <v>23</v>
      </c>
      <c r="GY37" t="s">
        <v>25</v>
      </c>
      <c r="GZ37" t="s">
        <v>25</v>
      </c>
      <c r="HA37" t="s">
        <v>24</v>
      </c>
      <c r="HB37" t="s">
        <v>23</v>
      </c>
      <c r="HC37" t="s">
        <v>2</v>
      </c>
      <c r="HD37" t="s">
        <v>2</v>
      </c>
      <c r="HE37" t="s">
        <v>25</v>
      </c>
      <c r="HF37" t="s">
        <v>23</v>
      </c>
      <c r="HG37" t="s">
        <v>23</v>
      </c>
      <c r="HH37" s="15" t="s">
        <v>25</v>
      </c>
      <c r="HI37" s="15" t="s">
        <v>25</v>
      </c>
      <c r="HJ37" s="15" t="s">
        <v>23</v>
      </c>
      <c r="HK37" s="15" t="s">
        <v>25</v>
      </c>
      <c r="HL37" s="15" t="s">
        <v>25</v>
      </c>
      <c r="HM37" s="15" t="s">
        <v>23</v>
      </c>
      <c r="HN37" s="15"/>
      <c r="HO37" s="15"/>
      <c r="HP37" s="15"/>
      <c r="HQ37" s="15"/>
      <c r="HR37" s="15"/>
      <c r="HS37" s="15"/>
      <c r="HT37" s="15"/>
      <c r="HV37" s="15"/>
      <c r="HW37" s="15"/>
      <c r="IQ37" s="15"/>
      <c r="IR37" s="15"/>
      <c r="IS37" s="15"/>
      <c r="IT37" s="15"/>
      <c r="IU37" s="15"/>
      <c r="IV37" s="15"/>
      <c r="IW37" s="15"/>
      <c r="IX37" s="15"/>
      <c r="IY37" s="15"/>
      <c r="IZ37" s="15"/>
      <c r="JA37" s="15"/>
      <c r="JB37" s="15"/>
      <c r="JC37" s="15"/>
      <c r="JD37" s="15"/>
      <c r="JE37" s="15"/>
      <c r="JF37" s="15"/>
      <c r="JG37" s="15"/>
      <c r="JH37" s="15"/>
      <c r="JI37" s="15"/>
      <c r="JZ37" s="15"/>
      <c r="KA37" s="15"/>
      <c r="KB37" s="15"/>
      <c r="KC37" s="15"/>
      <c r="KD37" s="15"/>
      <c r="KE37" s="15"/>
      <c r="KF37" s="15"/>
      <c r="KG37" s="15"/>
      <c r="KH37" s="15"/>
      <c r="KI37" s="15"/>
      <c r="KJ37" s="15"/>
      <c r="KK37" s="15"/>
      <c r="KL37" s="15"/>
      <c r="KM37" s="15"/>
      <c r="LI37" s="15"/>
      <c r="LJ37" s="15"/>
      <c r="LK37" s="15"/>
      <c r="LL37" s="15"/>
      <c r="LM37" s="15"/>
      <c r="LN37" s="15"/>
      <c r="LO37" s="15"/>
      <c r="LP37" s="15"/>
      <c r="LQ37" s="15"/>
      <c r="LR37" s="15"/>
    </row>
    <row r="38" spans="1:330">
      <c r="A38">
        <v>43662</v>
      </c>
      <c r="B38" s="15" t="s">
        <v>772</v>
      </c>
      <c r="C38" t="s">
        <v>679</v>
      </c>
      <c r="D38" s="15" t="s">
        <v>37</v>
      </c>
      <c r="E38" s="15" t="s">
        <v>765</v>
      </c>
      <c r="F38" s="15"/>
      <c r="G38" s="15" t="s">
        <v>24</v>
      </c>
      <c r="H38" s="15" t="s">
        <v>25</v>
      </c>
      <c r="I38" s="15" t="s">
        <v>23</v>
      </c>
      <c r="J38" s="15" t="s">
        <v>23</v>
      </c>
      <c r="K38" s="15" t="s">
        <v>25</v>
      </c>
      <c r="L38" s="15" t="s">
        <v>2</v>
      </c>
      <c r="M38" s="15" t="s">
        <v>24</v>
      </c>
      <c r="N38" s="15" t="s">
        <v>23</v>
      </c>
      <c r="O38" s="15" t="s">
        <v>24</v>
      </c>
      <c r="P38" s="15" t="s">
        <v>2</v>
      </c>
      <c r="Q38" s="15" t="s">
        <v>2</v>
      </c>
      <c r="R38" s="15" t="s">
        <v>24</v>
      </c>
      <c r="S38" s="15" t="s">
        <v>2</v>
      </c>
      <c r="T38" s="15" t="s">
        <v>25</v>
      </c>
      <c r="U38" s="15" t="s">
        <v>23</v>
      </c>
      <c r="V38" s="15" t="s">
        <v>24</v>
      </c>
      <c r="W38" s="15" t="s">
        <v>2</v>
      </c>
      <c r="X38" s="15" t="s">
        <v>23</v>
      </c>
      <c r="Y38" s="15" t="s">
        <v>2</v>
      </c>
      <c r="Z38" t="s">
        <v>24</v>
      </c>
      <c r="AA38" t="s">
        <v>23</v>
      </c>
      <c r="AB38" t="s">
        <v>2</v>
      </c>
      <c r="AC38" t="s">
        <v>25</v>
      </c>
      <c r="AD38" t="s">
        <v>25</v>
      </c>
      <c r="AE38" t="s">
        <v>23</v>
      </c>
      <c r="AF38" t="s">
        <v>25</v>
      </c>
      <c r="AG38" t="s">
        <v>23</v>
      </c>
      <c r="AH38" t="s">
        <v>2</v>
      </c>
      <c r="AI38" t="s">
        <v>24</v>
      </c>
      <c r="AJ38" t="s">
        <v>23</v>
      </c>
      <c r="AK38" t="s">
        <v>2</v>
      </c>
      <c r="AL38" t="s">
        <v>2</v>
      </c>
      <c r="AM38" t="s">
        <v>24</v>
      </c>
      <c r="AN38" t="s">
        <v>23</v>
      </c>
      <c r="AO38" s="15" t="s">
        <v>25</v>
      </c>
      <c r="AP38" s="15" t="s">
        <v>2</v>
      </c>
      <c r="AQ38" s="15" t="s">
        <v>25</v>
      </c>
      <c r="AR38" s="15" t="s">
        <v>23</v>
      </c>
      <c r="AS38" s="15" t="s">
        <v>24</v>
      </c>
      <c r="AT38" s="15" t="s">
        <v>25</v>
      </c>
      <c r="AU38" s="15" t="s">
        <v>25</v>
      </c>
      <c r="AV38" s="15" t="s">
        <v>2</v>
      </c>
      <c r="AW38" s="15" t="s">
        <v>25</v>
      </c>
      <c r="AX38" s="15" t="s">
        <v>23</v>
      </c>
      <c r="AY38" s="15" t="s">
        <v>24</v>
      </c>
      <c r="AZ38" s="15" t="s">
        <v>24</v>
      </c>
      <c r="BA38" s="15" t="s">
        <v>25</v>
      </c>
      <c r="BB38" s="15" t="s">
        <v>24</v>
      </c>
      <c r="BC38" s="15" t="s">
        <v>23</v>
      </c>
      <c r="BD38" s="15" t="s">
        <v>23</v>
      </c>
      <c r="BE38" s="15" t="s">
        <v>24</v>
      </c>
      <c r="BF38" s="15" t="s">
        <v>2</v>
      </c>
      <c r="BG38" s="15" t="s">
        <v>2</v>
      </c>
      <c r="BH38" s="15" t="s">
        <v>25</v>
      </c>
      <c r="BI38" s="15" t="s">
        <v>2</v>
      </c>
      <c r="BJ38" s="15" t="s">
        <v>25</v>
      </c>
      <c r="BK38" s="15" t="s">
        <v>23</v>
      </c>
      <c r="BL38" s="15" t="s">
        <v>24</v>
      </c>
      <c r="BM38" t="s">
        <v>25</v>
      </c>
      <c r="BN38" t="s">
        <v>25</v>
      </c>
      <c r="BO38" t="s">
        <v>2</v>
      </c>
      <c r="BP38" t="s">
        <v>2</v>
      </c>
      <c r="BQ38" t="s">
        <v>24</v>
      </c>
      <c r="BR38" t="s">
        <v>23</v>
      </c>
      <c r="BS38" t="s">
        <v>23</v>
      </c>
      <c r="BT38" t="s">
        <v>25</v>
      </c>
      <c r="BU38" t="s">
        <v>23</v>
      </c>
      <c r="BV38" t="s">
        <v>2</v>
      </c>
      <c r="BW38" t="s">
        <v>24</v>
      </c>
      <c r="BX38" s="15" t="s">
        <v>25</v>
      </c>
      <c r="BY38" s="15" t="s">
        <v>24</v>
      </c>
      <c r="BZ38" s="15" t="s">
        <v>25</v>
      </c>
      <c r="CA38" s="15" t="s">
        <v>2</v>
      </c>
      <c r="CB38" s="15" t="s">
        <v>2</v>
      </c>
      <c r="CC38" s="15" t="s">
        <v>24</v>
      </c>
      <c r="CD38" s="15" t="s">
        <v>2</v>
      </c>
      <c r="CE38" s="15" t="s">
        <v>25</v>
      </c>
      <c r="CF38" t="s">
        <v>24</v>
      </c>
      <c r="CG38" t="s">
        <v>2</v>
      </c>
      <c r="CH38" t="s">
        <v>23</v>
      </c>
      <c r="CI38" t="s">
        <v>23</v>
      </c>
      <c r="CJ38" t="s">
        <v>25</v>
      </c>
      <c r="CK38" t="s">
        <v>23</v>
      </c>
      <c r="CL38" t="s">
        <v>24</v>
      </c>
      <c r="CM38" t="s">
        <v>24</v>
      </c>
      <c r="CN38" t="s">
        <v>26</v>
      </c>
      <c r="CO38" t="s">
        <v>23</v>
      </c>
      <c r="CP38" t="s">
        <v>2</v>
      </c>
      <c r="CQ38" t="s">
        <v>24</v>
      </c>
      <c r="CR38" t="s">
        <v>25</v>
      </c>
      <c r="CS38" t="s">
        <v>26</v>
      </c>
      <c r="CT38" t="s">
        <v>24</v>
      </c>
      <c r="CU38" t="s">
        <v>23</v>
      </c>
      <c r="CV38" t="s">
        <v>23</v>
      </c>
      <c r="CW38" t="s">
        <v>24</v>
      </c>
      <c r="CX38" t="s">
        <v>25</v>
      </c>
      <c r="CY38" t="s">
        <v>2</v>
      </c>
      <c r="CZ38" t="s">
        <v>25</v>
      </c>
      <c r="DA38" t="s">
        <v>25</v>
      </c>
      <c r="DB38" t="s">
        <v>23</v>
      </c>
      <c r="DC38" t="s">
        <v>25</v>
      </c>
      <c r="DD38" t="s">
        <v>2</v>
      </c>
      <c r="DE38" t="s">
        <v>24</v>
      </c>
      <c r="DF38" t="s">
        <v>26</v>
      </c>
      <c r="DG38" t="s">
        <v>26</v>
      </c>
      <c r="DH38" t="s">
        <v>2</v>
      </c>
      <c r="DI38" t="s">
        <v>2</v>
      </c>
      <c r="DJ38" t="s">
        <v>25</v>
      </c>
      <c r="DK38" t="s">
        <v>26</v>
      </c>
      <c r="DL38" t="s">
        <v>25</v>
      </c>
      <c r="DM38" t="s">
        <v>24</v>
      </c>
      <c r="DN38" t="s">
        <v>23</v>
      </c>
      <c r="DO38" t="s">
        <v>26</v>
      </c>
      <c r="DP38" t="s">
        <v>26</v>
      </c>
      <c r="DQ38" t="s">
        <v>2</v>
      </c>
      <c r="DR38" t="s">
        <v>2</v>
      </c>
      <c r="DS38" t="s">
        <v>24</v>
      </c>
      <c r="DT38" t="s">
        <v>25</v>
      </c>
      <c r="DU38" t="s">
        <v>2</v>
      </c>
      <c r="DV38" t="s">
        <v>25</v>
      </c>
      <c r="DW38" t="s">
        <v>25</v>
      </c>
      <c r="DX38" t="s">
        <v>23</v>
      </c>
      <c r="DY38" t="s">
        <v>26</v>
      </c>
      <c r="DZ38" t="s">
        <v>24</v>
      </c>
      <c r="EA38" t="s">
        <v>2</v>
      </c>
      <c r="EB38" t="s">
        <v>23</v>
      </c>
      <c r="EC38" t="s">
        <v>23</v>
      </c>
      <c r="ED38" t="s">
        <v>26</v>
      </c>
      <c r="EE38" t="s">
        <v>26</v>
      </c>
      <c r="EF38" t="s">
        <v>24</v>
      </c>
      <c r="EG38" t="s">
        <v>25</v>
      </c>
      <c r="EH38" t="s">
        <v>26</v>
      </c>
      <c r="EI38" t="s">
        <v>25</v>
      </c>
      <c r="EJ38" t="s">
        <v>2</v>
      </c>
      <c r="EK38" t="s">
        <v>2</v>
      </c>
      <c r="EL38" t="s">
        <v>2</v>
      </c>
      <c r="EM38" t="s">
        <v>24</v>
      </c>
      <c r="EN38" t="s">
        <v>25</v>
      </c>
      <c r="EO38" t="s">
        <v>2</v>
      </c>
      <c r="EP38" s="15" t="s">
        <v>24</v>
      </c>
      <c r="EQ38" s="15" t="s">
        <v>24</v>
      </c>
      <c r="ER38" s="15" t="s">
        <v>23</v>
      </c>
      <c r="ES38" s="15" t="s">
        <v>2</v>
      </c>
      <c r="ET38" s="15" t="s">
        <v>25</v>
      </c>
      <c r="EU38" s="15" t="s">
        <v>23</v>
      </c>
      <c r="EV38" s="15" t="s">
        <v>2</v>
      </c>
      <c r="EW38" s="15" t="s">
        <v>2</v>
      </c>
      <c r="EX38" s="15" t="s">
        <v>24</v>
      </c>
      <c r="EY38" s="15" t="s">
        <v>23</v>
      </c>
      <c r="EZ38" s="15" t="s">
        <v>25</v>
      </c>
      <c r="FA38" s="15" t="s">
        <v>23</v>
      </c>
      <c r="FB38" s="15" t="s">
        <v>24</v>
      </c>
      <c r="FC38" s="15" t="s">
        <v>25</v>
      </c>
      <c r="FD38" s="15" t="s">
        <v>23</v>
      </c>
      <c r="FE38" s="15" t="s">
        <v>24</v>
      </c>
      <c r="FF38" s="15" t="s">
        <v>25</v>
      </c>
      <c r="FG38" s="15" t="s">
        <v>25</v>
      </c>
      <c r="FH38" s="15" t="s">
        <v>23</v>
      </c>
      <c r="FI38" s="15" t="s">
        <v>25</v>
      </c>
      <c r="FJ38" s="15" t="s">
        <v>24</v>
      </c>
      <c r="FK38" s="15" t="s">
        <v>23</v>
      </c>
      <c r="FL38" s="15" t="s">
        <v>23</v>
      </c>
      <c r="FM38" s="15" t="s">
        <v>25</v>
      </c>
      <c r="FN38" s="15" t="s">
        <v>25</v>
      </c>
      <c r="FO38" s="15" t="s">
        <v>23</v>
      </c>
      <c r="FP38" s="15" t="s">
        <v>25</v>
      </c>
      <c r="FQ38" s="15" t="s">
        <v>24</v>
      </c>
      <c r="FR38" s="15" t="s">
        <v>2</v>
      </c>
      <c r="FS38" s="15" t="s">
        <v>23</v>
      </c>
      <c r="FT38" s="15" t="s">
        <v>23</v>
      </c>
      <c r="FU38" s="15" t="s">
        <v>2</v>
      </c>
      <c r="FV38" s="15" t="s">
        <v>24</v>
      </c>
      <c r="FW38" s="15" t="s">
        <v>24</v>
      </c>
      <c r="FX38" t="s">
        <v>25</v>
      </c>
      <c r="FY38" s="15" t="s">
        <v>23</v>
      </c>
      <c r="FZ38" s="15" t="s">
        <v>24</v>
      </c>
      <c r="GA38" s="15" t="s">
        <v>24</v>
      </c>
      <c r="GB38" s="15" t="s">
        <v>23</v>
      </c>
      <c r="GC38" s="15" t="s">
        <v>23</v>
      </c>
      <c r="GD38" s="15" t="s">
        <v>2</v>
      </c>
      <c r="GE38" s="15" t="s">
        <v>2</v>
      </c>
      <c r="GF38" s="15" t="s">
        <v>25</v>
      </c>
      <c r="GG38" s="15" t="s">
        <v>23</v>
      </c>
      <c r="GH38" s="15" t="s">
        <v>2</v>
      </c>
      <c r="GI38" s="15" t="s">
        <v>24</v>
      </c>
      <c r="GJ38" s="15" t="s">
        <v>23</v>
      </c>
      <c r="GK38" s="15" t="s">
        <v>25</v>
      </c>
      <c r="GL38" s="15" t="s">
        <v>24</v>
      </c>
      <c r="GM38" s="15" t="s">
        <v>2</v>
      </c>
      <c r="GN38" s="15" t="s">
        <v>25</v>
      </c>
      <c r="GO38" s="15" t="s">
        <v>23</v>
      </c>
      <c r="GP38" s="15" t="s">
        <v>25</v>
      </c>
      <c r="GQ38" s="15" t="s">
        <v>24</v>
      </c>
      <c r="GR38" s="15" t="s">
        <v>2</v>
      </c>
      <c r="GS38" s="15" t="s">
        <v>23</v>
      </c>
      <c r="GT38" s="15" t="s">
        <v>2</v>
      </c>
      <c r="GU38" s="15" t="s">
        <v>2</v>
      </c>
      <c r="GV38" s="15" t="s">
        <v>2</v>
      </c>
      <c r="GW38" t="s">
        <v>23</v>
      </c>
      <c r="GX38" t="s">
        <v>23</v>
      </c>
      <c r="GY38" t="s">
        <v>25</v>
      </c>
      <c r="GZ38" t="s">
        <v>25</v>
      </c>
      <c r="HA38" t="s">
        <v>24</v>
      </c>
      <c r="HB38" t="s">
        <v>23</v>
      </c>
      <c r="HC38" t="s">
        <v>2</v>
      </c>
      <c r="HD38" t="s">
        <v>2</v>
      </c>
      <c r="HE38" t="s">
        <v>23</v>
      </c>
      <c r="HF38" t="s">
        <v>23</v>
      </c>
      <c r="HG38" t="s">
        <v>24</v>
      </c>
      <c r="HH38" s="15" t="s">
        <v>25</v>
      </c>
      <c r="HI38" s="15" t="s">
        <v>25</v>
      </c>
      <c r="HJ38" s="15" t="s">
        <v>23</v>
      </c>
      <c r="HK38" s="15" t="s">
        <v>25</v>
      </c>
      <c r="HL38" s="15" t="s">
        <v>25</v>
      </c>
      <c r="HM38" s="15" t="s">
        <v>23</v>
      </c>
      <c r="HN38" s="15"/>
      <c r="HO38" s="15"/>
      <c r="HP38" s="15"/>
      <c r="HQ38" s="15"/>
      <c r="HR38" s="15"/>
      <c r="HS38" s="15"/>
      <c r="HT38" s="15"/>
      <c r="HU38" s="15"/>
      <c r="HV38" s="15"/>
      <c r="HW38" s="15"/>
      <c r="IQ38" s="15"/>
      <c r="IR38" s="15"/>
      <c r="IS38" s="15"/>
      <c r="IT38" s="15"/>
      <c r="IU38" s="15"/>
      <c r="IV38" s="15"/>
      <c r="IW38" s="15"/>
      <c r="IX38" s="15"/>
      <c r="IY38" s="15"/>
      <c r="IZ38" s="15"/>
      <c r="JA38" s="15"/>
      <c r="JB38" s="15"/>
      <c r="JC38" s="15"/>
      <c r="JD38" s="15"/>
      <c r="JE38" s="15"/>
      <c r="JF38" s="15"/>
      <c r="JG38" s="15"/>
      <c r="JH38" s="15"/>
      <c r="JI38" s="15"/>
      <c r="JZ38" s="15"/>
      <c r="KA38" s="15"/>
      <c r="KB38" s="15"/>
      <c r="KC38" s="15"/>
      <c r="KD38" s="15"/>
      <c r="KE38" s="15"/>
      <c r="KF38" s="15"/>
      <c r="KG38" s="15"/>
      <c r="KH38" s="15"/>
      <c r="KI38" s="15"/>
      <c r="KJ38" s="15"/>
      <c r="KK38" s="15"/>
      <c r="KL38" s="15"/>
      <c r="KM38" s="15"/>
      <c r="LI38" s="15"/>
      <c r="LJ38" s="15"/>
      <c r="LK38" s="15"/>
      <c r="LL38" s="15"/>
      <c r="LM38" s="15"/>
      <c r="LN38" s="15"/>
      <c r="LO38" s="15"/>
      <c r="LP38" s="15"/>
      <c r="LQ38" s="15"/>
      <c r="LR38" s="15"/>
    </row>
    <row r="39" spans="1:330">
      <c r="A39">
        <v>43662</v>
      </c>
      <c r="B39" s="15" t="s">
        <v>773</v>
      </c>
      <c r="C39" s="15" t="s">
        <v>684</v>
      </c>
      <c r="D39" s="15" t="s">
        <v>37</v>
      </c>
      <c r="E39" s="15" t="s">
        <v>765</v>
      </c>
      <c r="F39" s="15"/>
      <c r="G39" s="15" t="s">
        <v>24</v>
      </c>
      <c r="H39" s="15" t="s">
        <v>25</v>
      </c>
      <c r="I39" s="15" t="s">
        <v>24</v>
      </c>
      <c r="J39" s="15" t="s">
        <v>23</v>
      </c>
      <c r="K39" s="15" t="s">
        <v>25</v>
      </c>
      <c r="L39" s="15" t="s">
        <v>2</v>
      </c>
      <c r="M39" s="15" t="s">
        <v>24</v>
      </c>
      <c r="N39" s="15" t="s">
        <v>23</v>
      </c>
      <c r="O39" s="15" t="s">
        <v>24</v>
      </c>
      <c r="P39" s="15" t="s">
        <v>2</v>
      </c>
      <c r="Q39" s="15" t="s">
        <v>2</v>
      </c>
      <c r="R39" s="15" t="s">
        <v>24</v>
      </c>
      <c r="S39" s="15" t="s">
        <v>2</v>
      </c>
      <c r="T39" s="15" t="s">
        <v>25</v>
      </c>
      <c r="U39" s="15" t="s">
        <v>23</v>
      </c>
      <c r="V39" s="15" t="s">
        <v>24</v>
      </c>
      <c r="W39" s="15" t="s">
        <v>2</v>
      </c>
      <c r="X39" s="15" t="s">
        <v>23</v>
      </c>
      <c r="Y39" s="15" t="s">
        <v>2</v>
      </c>
      <c r="Z39" t="s">
        <v>24</v>
      </c>
      <c r="AA39" t="s">
        <v>23</v>
      </c>
      <c r="AB39" t="s">
        <v>2</v>
      </c>
      <c r="AC39" t="s">
        <v>25</v>
      </c>
      <c r="AD39" t="s">
        <v>25</v>
      </c>
      <c r="AE39" t="s">
        <v>23</v>
      </c>
      <c r="AF39" t="s">
        <v>25</v>
      </c>
      <c r="AG39" t="s">
        <v>23</v>
      </c>
      <c r="AH39" t="s">
        <v>2</v>
      </c>
      <c r="AI39" t="s">
        <v>24</v>
      </c>
      <c r="AJ39" t="s">
        <v>23</v>
      </c>
      <c r="AK39" t="s">
        <v>2</v>
      </c>
      <c r="AL39" t="s">
        <v>2</v>
      </c>
      <c r="AM39" t="s">
        <v>23</v>
      </c>
      <c r="AN39" t="s">
        <v>24</v>
      </c>
      <c r="AO39" s="15" t="s">
        <v>25</v>
      </c>
      <c r="AP39" s="15" t="s">
        <v>2</v>
      </c>
      <c r="AQ39" s="15" t="s">
        <v>25</v>
      </c>
      <c r="AR39" s="15" t="s">
        <v>23</v>
      </c>
      <c r="AS39" s="15" t="s">
        <v>24</v>
      </c>
      <c r="AT39" s="15" t="s">
        <v>2</v>
      </c>
      <c r="AU39" s="15" t="s">
        <v>25</v>
      </c>
      <c r="AV39" s="15" t="s">
        <v>23</v>
      </c>
      <c r="AW39" s="15" t="s">
        <v>25</v>
      </c>
      <c r="AX39" s="15" t="s">
        <v>2</v>
      </c>
      <c r="AY39" s="15" t="s">
        <v>24</v>
      </c>
      <c r="AZ39" s="15" t="s">
        <v>24</v>
      </c>
      <c r="BA39" s="15" t="s">
        <v>25</v>
      </c>
      <c r="BB39" s="15" t="s">
        <v>24</v>
      </c>
      <c r="BC39" s="15" t="s">
        <v>23</v>
      </c>
      <c r="BD39" s="15" t="s">
        <v>23</v>
      </c>
      <c r="BE39" s="15" t="s">
        <v>24</v>
      </c>
      <c r="BF39" s="15" t="s">
        <v>2</v>
      </c>
      <c r="BG39" s="15" t="s">
        <v>2</v>
      </c>
      <c r="BH39" s="15" t="s">
        <v>25</v>
      </c>
      <c r="BI39" s="15" t="s">
        <v>2</v>
      </c>
      <c r="BJ39" s="15" t="s">
        <v>25</v>
      </c>
      <c r="BK39" s="15" t="s">
        <v>23</v>
      </c>
      <c r="BL39" s="15" t="s">
        <v>24</v>
      </c>
      <c r="BM39" t="s">
        <v>25</v>
      </c>
      <c r="BN39" t="s">
        <v>23</v>
      </c>
      <c r="BO39" t="s">
        <v>2</v>
      </c>
      <c r="BP39" t="s">
        <v>2</v>
      </c>
      <c r="BQ39" t="s">
        <v>24</v>
      </c>
      <c r="BR39" t="s">
        <v>23</v>
      </c>
      <c r="BS39" t="s">
        <v>23</v>
      </c>
      <c r="BT39" t="s">
        <v>25</v>
      </c>
      <c r="BU39" t="s">
        <v>23</v>
      </c>
      <c r="BV39" t="s">
        <v>2</v>
      </c>
      <c r="BW39" t="s">
        <v>24</v>
      </c>
      <c r="BX39" s="15" t="s">
        <v>25</v>
      </c>
      <c r="BY39" s="15" t="s">
        <v>25</v>
      </c>
      <c r="BZ39" s="15" t="s">
        <v>2</v>
      </c>
      <c r="CA39" s="15" t="s">
        <v>2</v>
      </c>
      <c r="CB39" s="15" t="s">
        <v>2</v>
      </c>
      <c r="CC39" s="15" t="s">
        <v>24</v>
      </c>
      <c r="CD39" s="15" t="s">
        <v>2</v>
      </c>
      <c r="CE39" s="15" t="s">
        <v>25</v>
      </c>
      <c r="CF39" t="s">
        <v>24</v>
      </c>
      <c r="CG39" t="s">
        <v>2</v>
      </c>
      <c r="CH39" t="s">
        <v>23</v>
      </c>
      <c r="CI39" t="s">
        <v>23</v>
      </c>
      <c r="CJ39" t="s">
        <v>25</v>
      </c>
      <c r="CK39" t="s">
        <v>23</v>
      </c>
      <c r="CL39" t="s">
        <v>24</v>
      </c>
      <c r="CM39" t="s">
        <v>24</v>
      </c>
      <c r="CN39" t="s">
        <v>26</v>
      </c>
      <c r="CO39" t="s">
        <v>23</v>
      </c>
      <c r="CP39" t="s">
        <v>2</v>
      </c>
      <c r="CQ39" t="s">
        <v>24</v>
      </c>
      <c r="CR39" t="s">
        <v>25</v>
      </c>
      <c r="CS39" t="s">
        <v>26</v>
      </c>
      <c r="CT39" t="s">
        <v>24</v>
      </c>
      <c r="CU39" t="s">
        <v>23</v>
      </c>
      <c r="CV39" t="s">
        <v>23</v>
      </c>
      <c r="CW39" t="s">
        <v>26</v>
      </c>
      <c r="CX39" t="s">
        <v>25</v>
      </c>
      <c r="CY39" t="s">
        <v>2</v>
      </c>
      <c r="CZ39" t="s">
        <v>23</v>
      </c>
      <c r="DA39" t="s">
        <v>25</v>
      </c>
      <c r="DB39" t="s">
        <v>23</v>
      </c>
      <c r="DC39" t="s">
        <v>25</v>
      </c>
      <c r="DD39" t="s">
        <v>2</v>
      </c>
      <c r="DE39" t="s">
        <v>24</v>
      </c>
      <c r="DF39" t="s">
        <v>26</v>
      </c>
      <c r="DG39" t="s">
        <v>26</v>
      </c>
      <c r="DH39" t="s">
        <v>2</v>
      </c>
      <c r="DI39" t="s">
        <v>26</v>
      </c>
      <c r="DJ39" t="s">
        <v>25</v>
      </c>
      <c r="DK39" t="s">
        <v>26</v>
      </c>
      <c r="DL39" t="s">
        <v>25</v>
      </c>
      <c r="DM39" t="s">
        <v>24</v>
      </c>
      <c r="DN39" t="s">
        <v>23</v>
      </c>
      <c r="DO39" t="s">
        <v>23</v>
      </c>
      <c r="DP39" t="s">
        <v>26</v>
      </c>
      <c r="DQ39" t="s">
        <v>2</v>
      </c>
      <c r="DR39" t="s">
        <v>2</v>
      </c>
      <c r="DS39" t="s">
        <v>26</v>
      </c>
      <c r="DT39" t="s">
        <v>25</v>
      </c>
      <c r="DU39" t="s">
        <v>25</v>
      </c>
      <c r="DV39" t="s">
        <v>25</v>
      </c>
      <c r="DW39" t="s">
        <v>25</v>
      </c>
      <c r="DX39" t="s">
        <v>23</v>
      </c>
      <c r="DY39" t="s">
        <v>26</v>
      </c>
      <c r="DZ39" t="s">
        <v>25</v>
      </c>
      <c r="EA39" t="s">
        <v>2</v>
      </c>
      <c r="EB39" t="s">
        <v>23</v>
      </c>
      <c r="EC39" t="s">
        <v>23</v>
      </c>
      <c r="ED39" t="s">
        <v>24</v>
      </c>
      <c r="EE39" t="s">
        <v>26</v>
      </c>
      <c r="EF39" t="s">
        <v>24</v>
      </c>
      <c r="EG39" t="s">
        <v>25</v>
      </c>
      <c r="EH39" t="s">
        <v>26</v>
      </c>
      <c r="EI39" t="s">
        <v>24</v>
      </c>
      <c r="EJ39" t="s">
        <v>2</v>
      </c>
      <c r="EK39" t="s">
        <v>23</v>
      </c>
      <c r="EL39" t="s">
        <v>2</v>
      </c>
      <c r="EM39" t="s">
        <v>24</v>
      </c>
      <c r="EN39" t="s">
        <v>23</v>
      </c>
      <c r="EO39" t="s">
        <v>23</v>
      </c>
      <c r="EP39" s="15" t="s">
        <v>24</v>
      </c>
      <c r="EQ39" s="15" t="s">
        <v>24</v>
      </c>
      <c r="ER39" s="15" t="s">
        <v>23</v>
      </c>
      <c r="ES39" s="15" t="s">
        <v>2</v>
      </c>
      <c r="ET39" s="15" t="s">
        <v>23</v>
      </c>
      <c r="EU39" s="15" t="s">
        <v>23</v>
      </c>
      <c r="EV39" s="15" t="s">
        <v>24</v>
      </c>
      <c r="EW39" s="15" t="s">
        <v>2</v>
      </c>
      <c r="EX39" s="15" t="s">
        <v>24</v>
      </c>
      <c r="EY39" s="15" t="s">
        <v>2</v>
      </c>
      <c r="EZ39" s="15" t="s">
        <v>25</v>
      </c>
      <c r="FA39" s="15" t="s">
        <v>23</v>
      </c>
      <c r="FB39" s="15" t="s">
        <v>25</v>
      </c>
      <c r="FC39" s="15" t="s">
        <v>23</v>
      </c>
      <c r="FD39" s="15" t="s">
        <v>23</v>
      </c>
      <c r="FE39" s="15" t="s">
        <v>24</v>
      </c>
      <c r="FF39" s="15" t="s">
        <v>25</v>
      </c>
      <c r="FG39" s="15" t="s">
        <v>23</v>
      </c>
      <c r="FH39" s="15" t="s">
        <v>2</v>
      </c>
      <c r="FI39" s="15" t="s">
        <v>25</v>
      </c>
      <c r="FJ39" s="15" t="s">
        <v>23</v>
      </c>
      <c r="FK39" s="15" t="s">
        <v>24</v>
      </c>
      <c r="FL39" s="15" t="s">
        <v>24</v>
      </c>
      <c r="FM39" s="15" t="s">
        <v>24</v>
      </c>
      <c r="FN39" s="15" t="s">
        <v>25</v>
      </c>
      <c r="FO39" s="15" t="s">
        <v>2</v>
      </c>
      <c r="FP39" s="15" t="s">
        <v>25</v>
      </c>
      <c r="FQ39" s="15" t="s">
        <v>25</v>
      </c>
      <c r="FR39" s="15" t="s">
        <v>2</v>
      </c>
      <c r="FS39" s="15" t="s">
        <v>24</v>
      </c>
      <c r="FT39" s="15" t="s">
        <v>23</v>
      </c>
      <c r="FU39" s="15" t="s">
        <v>2</v>
      </c>
      <c r="FV39" s="15" t="s">
        <v>24</v>
      </c>
      <c r="FW39" s="15" t="s">
        <v>24</v>
      </c>
      <c r="FX39" s="15" t="s">
        <v>25</v>
      </c>
      <c r="FY39" s="15" t="s">
        <v>23</v>
      </c>
      <c r="FZ39" s="15" t="s">
        <v>24</v>
      </c>
      <c r="GA39" s="15" t="s">
        <v>24</v>
      </c>
      <c r="GB39" s="15" t="s">
        <v>23</v>
      </c>
      <c r="GC39" s="15" t="s">
        <v>2</v>
      </c>
      <c r="GD39" s="15" t="s">
        <v>25</v>
      </c>
      <c r="GE39" s="15" t="s">
        <v>2</v>
      </c>
      <c r="GF39" s="15" t="s">
        <v>25</v>
      </c>
      <c r="GG39" s="15" t="s">
        <v>23</v>
      </c>
      <c r="GH39" s="15" t="s">
        <v>2</v>
      </c>
      <c r="GI39" s="15" t="s">
        <v>24</v>
      </c>
      <c r="GJ39" s="15" t="s">
        <v>24</v>
      </c>
      <c r="GK39" s="15" t="s">
        <v>25</v>
      </c>
      <c r="GL39" s="15" t="s">
        <v>24</v>
      </c>
      <c r="GM39" s="15" t="s">
        <v>2</v>
      </c>
      <c r="GN39" s="15" t="s">
        <v>25</v>
      </c>
      <c r="GO39" s="15" t="s">
        <v>23</v>
      </c>
      <c r="GP39" s="15" t="s">
        <v>24</v>
      </c>
      <c r="GQ39" s="15" t="s">
        <v>2</v>
      </c>
      <c r="GR39" s="15" t="s">
        <v>2</v>
      </c>
      <c r="GS39" s="15" t="s">
        <v>23</v>
      </c>
      <c r="GT39" t="s">
        <v>25</v>
      </c>
      <c r="GU39" s="15" t="s">
        <v>25</v>
      </c>
      <c r="GV39" s="15" t="s">
        <v>24</v>
      </c>
      <c r="GW39" t="s">
        <v>23</v>
      </c>
      <c r="GX39" t="s">
        <v>23</v>
      </c>
      <c r="GY39" t="s">
        <v>25</v>
      </c>
      <c r="GZ39" t="s">
        <v>25</v>
      </c>
      <c r="HA39" t="s">
        <v>24</v>
      </c>
      <c r="HB39" t="s">
        <v>23</v>
      </c>
      <c r="HC39" t="s">
        <v>2</v>
      </c>
      <c r="HD39" t="s">
        <v>2</v>
      </c>
      <c r="HE39" t="s">
        <v>23</v>
      </c>
      <c r="HF39" t="s">
        <v>24</v>
      </c>
      <c r="HG39" t="s">
        <v>23</v>
      </c>
      <c r="HH39" s="15" t="s">
        <v>24</v>
      </c>
      <c r="HI39" s="15" t="s">
        <v>25</v>
      </c>
      <c r="HJ39" s="15" t="s">
        <v>23</v>
      </c>
      <c r="HK39" s="15" t="s">
        <v>25</v>
      </c>
      <c r="HL39" s="15" t="s">
        <v>2</v>
      </c>
      <c r="HM39" s="15" t="s">
        <v>23</v>
      </c>
      <c r="HN39" s="15"/>
      <c r="HO39" s="15"/>
      <c r="HP39" s="15"/>
      <c r="HQ39" s="15"/>
      <c r="HR39" s="15"/>
      <c r="HS39" s="15"/>
      <c r="HT39" s="15"/>
      <c r="HU39" s="15"/>
      <c r="HV39" s="15"/>
      <c r="HW39" s="15"/>
      <c r="IQ39" s="15"/>
      <c r="IR39" s="15"/>
      <c r="IS39" s="15"/>
      <c r="IT39" s="15"/>
      <c r="IU39" s="15"/>
      <c r="IV39" s="15"/>
      <c r="IW39" s="15"/>
      <c r="IX39" s="15"/>
      <c r="IY39" s="15"/>
      <c r="IZ39" s="15"/>
      <c r="JA39" s="15"/>
      <c r="JB39" s="15"/>
      <c r="JC39" s="15"/>
      <c r="JD39" s="15"/>
      <c r="JE39" s="15"/>
      <c r="JF39" s="15"/>
      <c r="JG39" s="15"/>
      <c r="JH39" s="15"/>
      <c r="JZ39" s="15"/>
      <c r="KA39" s="15"/>
      <c r="KB39" s="15"/>
      <c r="KC39" s="15"/>
      <c r="KD39" s="15"/>
      <c r="KE39" s="15"/>
      <c r="KF39" s="15"/>
      <c r="KG39" s="15"/>
      <c r="KH39" s="15"/>
      <c r="KI39" s="15"/>
      <c r="KJ39" s="15"/>
      <c r="KK39" s="15"/>
      <c r="KL39" s="15"/>
      <c r="KM39" s="15"/>
      <c r="LI39" s="15"/>
      <c r="LJ39" s="15"/>
      <c r="LK39" s="15"/>
      <c r="LL39" s="15"/>
      <c r="LM39" s="15"/>
      <c r="LN39" s="15"/>
      <c r="LO39" s="15"/>
      <c r="LP39" s="15"/>
      <c r="LQ39" s="15"/>
      <c r="LR39" s="15"/>
    </row>
    <row r="40" spans="1:330">
      <c r="A40">
        <v>43662</v>
      </c>
      <c r="B40" s="15" t="s">
        <v>774</v>
      </c>
      <c r="C40" s="15" t="s">
        <v>700</v>
      </c>
      <c r="D40" s="15" t="s">
        <v>37</v>
      </c>
      <c r="E40" s="15" t="s">
        <v>765</v>
      </c>
      <c r="F40" s="15"/>
      <c r="G40" s="15" t="s">
        <v>24</v>
      </c>
      <c r="H40" s="15" t="s">
        <v>25</v>
      </c>
      <c r="I40" s="15" t="s">
        <v>23</v>
      </c>
      <c r="J40" s="15" t="s">
        <v>23</v>
      </c>
      <c r="K40" s="15" t="s">
        <v>25</v>
      </c>
      <c r="L40" s="15" t="s">
        <v>2</v>
      </c>
      <c r="M40" s="15" t="s">
        <v>24</v>
      </c>
      <c r="N40" s="15" t="s">
        <v>23</v>
      </c>
      <c r="O40" s="15" t="s">
        <v>24</v>
      </c>
      <c r="P40" s="15" t="s">
        <v>2</v>
      </c>
      <c r="Q40" s="15" t="s">
        <v>2</v>
      </c>
      <c r="R40" s="15" t="s">
        <v>24</v>
      </c>
      <c r="S40" s="15" t="s">
        <v>2</v>
      </c>
      <c r="T40" s="15" t="s">
        <v>24</v>
      </c>
      <c r="U40" s="15" t="s">
        <v>23</v>
      </c>
      <c r="V40" s="15" t="s">
        <v>24</v>
      </c>
      <c r="W40" s="15" t="s">
        <v>2</v>
      </c>
      <c r="X40" s="15" t="s">
        <v>23</v>
      </c>
      <c r="Y40" s="15" t="s">
        <v>2</v>
      </c>
      <c r="Z40" t="s">
        <v>24</v>
      </c>
      <c r="AA40" t="s">
        <v>23</v>
      </c>
      <c r="AB40" t="s">
        <v>2</v>
      </c>
      <c r="AC40" t="s">
        <v>2</v>
      </c>
      <c r="AD40" t="s">
        <v>25</v>
      </c>
      <c r="AE40" t="s">
        <v>23</v>
      </c>
      <c r="AF40" t="s">
        <v>25</v>
      </c>
      <c r="AG40" t="s">
        <v>23</v>
      </c>
      <c r="AH40" t="s">
        <v>2</v>
      </c>
      <c r="AI40" t="s">
        <v>24</v>
      </c>
      <c r="AJ40" t="s">
        <v>23</v>
      </c>
      <c r="AK40" t="s">
        <v>2</v>
      </c>
      <c r="AL40" t="s">
        <v>2</v>
      </c>
      <c r="AM40" t="s">
        <v>23</v>
      </c>
      <c r="AN40" t="s">
        <v>23</v>
      </c>
      <c r="AO40" s="15" t="s">
        <v>25</v>
      </c>
      <c r="AP40" s="15" t="s">
        <v>2</v>
      </c>
      <c r="AQ40" s="15" t="s">
        <v>25</v>
      </c>
      <c r="AR40" s="15" t="s">
        <v>25</v>
      </c>
      <c r="AS40" s="15" t="s">
        <v>24</v>
      </c>
      <c r="AT40" s="15" t="s">
        <v>25</v>
      </c>
      <c r="AU40" s="15" t="s">
        <v>25</v>
      </c>
      <c r="AV40" s="15" t="s">
        <v>2</v>
      </c>
      <c r="AW40" s="15" t="s">
        <v>25</v>
      </c>
      <c r="AX40" s="15" t="s">
        <v>2</v>
      </c>
      <c r="AY40" s="15" t="s">
        <v>24</v>
      </c>
      <c r="AZ40" s="15" t="s">
        <v>24</v>
      </c>
      <c r="BA40" s="15" t="s">
        <v>25</v>
      </c>
      <c r="BB40" s="15" t="s">
        <v>24</v>
      </c>
      <c r="BC40" s="15" t="s">
        <v>23</v>
      </c>
      <c r="BD40" s="15" t="s">
        <v>23</v>
      </c>
      <c r="BE40" s="15" t="s">
        <v>24</v>
      </c>
      <c r="BF40" s="15" t="s">
        <v>2</v>
      </c>
      <c r="BG40" s="15" t="s">
        <v>2</v>
      </c>
      <c r="BH40" s="15" t="s">
        <v>25</v>
      </c>
      <c r="BI40" s="15" t="s">
        <v>2</v>
      </c>
      <c r="BJ40" t="s">
        <v>25</v>
      </c>
      <c r="BK40" s="15" t="s">
        <v>23</v>
      </c>
      <c r="BL40" s="15" t="s">
        <v>24</v>
      </c>
      <c r="BM40" t="s">
        <v>25</v>
      </c>
      <c r="BN40" t="s">
        <v>23</v>
      </c>
      <c r="BO40" t="s">
        <v>2</v>
      </c>
      <c r="BP40" t="s">
        <v>2</v>
      </c>
      <c r="BQ40" t="s">
        <v>24</v>
      </c>
      <c r="BR40" t="s">
        <v>23</v>
      </c>
      <c r="BS40" t="s">
        <v>23</v>
      </c>
      <c r="BT40" t="s">
        <v>25</v>
      </c>
      <c r="BU40" t="s">
        <v>23</v>
      </c>
      <c r="BV40" t="s">
        <v>2</v>
      </c>
      <c r="BW40" t="s">
        <v>24</v>
      </c>
      <c r="BX40" s="15" t="s">
        <v>25</v>
      </c>
      <c r="BY40" s="15" t="s">
        <v>24</v>
      </c>
      <c r="BZ40" s="15" t="s">
        <v>25</v>
      </c>
      <c r="CA40" s="15" t="s">
        <v>2</v>
      </c>
      <c r="CB40" s="15" t="s">
        <v>2</v>
      </c>
      <c r="CC40" s="15" t="s">
        <v>24</v>
      </c>
      <c r="CD40" s="15" t="s">
        <v>2</v>
      </c>
      <c r="CE40" s="15" t="s">
        <v>25</v>
      </c>
      <c r="CF40" t="s">
        <v>24</v>
      </c>
      <c r="CG40" t="s">
        <v>2</v>
      </c>
      <c r="CH40" t="s">
        <v>23</v>
      </c>
      <c r="CI40" t="s">
        <v>23</v>
      </c>
      <c r="CJ40" t="s">
        <v>25</v>
      </c>
      <c r="CK40" t="s">
        <v>23</v>
      </c>
      <c r="CL40" t="s">
        <v>24</v>
      </c>
      <c r="CM40" t="s">
        <v>24</v>
      </c>
      <c r="CN40" t="s">
        <v>26</v>
      </c>
      <c r="CO40" t="s">
        <v>23</v>
      </c>
      <c r="CP40" t="s">
        <v>2</v>
      </c>
      <c r="CQ40" t="s">
        <v>24</v>
      </c>
      <c r="CR40" t="s">
        <v>25</v>
      </c>
      <c r="CS40" t="s">
        <v>26</v>
      </c>
      <c r="CT40" t="s">
        <v>24</v>
      </c>
      <c r="CU40" t="s">
        <v>23</v>
      </c>
      <c r="CV40" t="s">
        <v>23</v>
      </c>
      <c r="CW40" t="s">
        <v>26</v>
      </c>
      <c r="CX40" t="s">
        <v>25</v>
      </c>
      <c r="CY40" t="s">
        <v>2</v>
      </c>
      <c r="CZ40" t="s">
        <v>25</v>
      </c>
      <c r="DA40" t="s">
        <v>23</v>
      </c>
      <c r="DB40" t="s">
        <v>26</v>
      </c>
      <c r="DC40" t="s">
        <v>25</v>
      </c>
      <c r="DD40" t="s">
        <v>2</v>
      </c>
      <c r="DE40" t="s">
        <v>24</v>
      </c>
      <c r="DF40" t="s">
        <v>26</v>
      </c>
      <c r="DG40" t="s">
        <v>24</v>
      </c>
      <c r="DH40" t="s">
        <v>2</v>
      </c>
      <c r="DI40" t="s">
        <v>26</v>
      </c>
      <c r="DJ40" t="s">
        <v>25</v>
      </c>
      <c r="DK40" t="s">
        <v>26</v>
      </c>
      <c r="DL40" t="s">
        <v>25</v>
      </c>
      <c r="DM40" t="s">
        <v>2</v>
      </c>
      <c r="DN40" t="s">
        <v>23</v>
      </c>
      <c r="DO40" t="s">
        <v>23</v>
      </c>
      <c r="DP40" t="s">
        <v>26</v>
      </c>
      <c r="DQ40" t="s">
        <v>2</v>
      </c>
      <c r="DR40" t="s">
        <v>2</v>
      </c>
      <c r="DS40" t="s">
        <v>26</v>
      </c>
      <c r="DT40" t="s">
        <v>25</v>
      </c>
      <c r="DU40" t="s">
        <v>25</v>
      </c>
      <c r="DV40" t="s">
        <v>25</v>
      </c>
      <c r="DW40" t="s">
        <v>25</v>
      </c>
      <c r="DX40" t="s">
        <v>23</v>
      </c>
      <c r="DY40" t="s">
        <v>26</v>
      </c>
      <c r="DZ40" t="s">
        <v>23</v>
      </c>
      <c r="EA40" t="s">
        <v>2</v>
      </c>
      <c r="EB40" t="s">
        <v>26</v>
      </c>
      <c r="EC40" t="s">
        <v>23</v>
      </c>
      <c r="ED40" t="s">
        <v>2</v>
      </c>
      <c r="EE40" t="s">
        <v>24</v>
      </c>
      <c r="EF40" t="s">
        <v>24</v>
      </c>
      <c r="EG40" t="s">
        <v>25</v>
      </c>
      <c r="EH40" t="s">
        <v>26</v>
      </c>
      <c r="EI40" t="s">
        <v>2</v>
      </c>
      <c r="EJ40" t="s">
        <v>24</v>
      </c>
      <c r="EK40" t="s">
        <v>25</v>
      </c>
      <c r="EL40" t="s">
        <v>2</v>
      </c>
      <c r="EM40" t="s">
        <v>24</v>
      </c>
      <c r="EN40" t="s">
        <v>23</v>
      </c>
      <c r="EO40" t="s">
        <v>25</v>
      </c>
      <c r="EP40" s="15" t="s">
        <v>24</v>
      </c>
      <c r="EQ40" s="15" t="s">
        <v>24</v>
      </c>
      <c r="ER40" s="15" t="s">
        <v>23</v>
      </c>
      <c r="ES40" s="15" t="s">
        <v>2</v>
      </c>
      <c r="ET40" s="15" t="s">
        <v>25</v>
      </c>
      <c r="EU40" s="15" t="s">
        <v>23</v>
      </c>
      <c r="EV40" s="15" t="s">
        <v>23</v>
      </c>
      <c r="EW40" s="15" t="s">
        <v>2</v>
      </c>
      <c r="EX40" s="15" t="s">
        <v>24</v>
      </c>
      <c r="EY40" s="15" t="s">
        <v>23</v>
      </c>
      <c r="EZ40" s="15" t="s">
        <v>24</v>
      </c>
      <c r="FA40" s="15" t="s">
        <v>23</v>
      </c>
      <c r="FB40" s="15" t="s">
        <v>25</v>
      </c>
      <c r="FC40" s="15" t="s">
        <v>2</v>
      </c>
      <c r="FD40" s="15" t="s">
        <v>23</v>
      </c>
      <c r="FE40" s="15" t="s">
        <v>24</v>
      </c>
      <c r="FF40" s="15" t="s">
        <v>24</v>
      </c>
      <c r="FG40" s="15" t="s">
        <v>23</v>
      </c>
      <c r="FH40" s="15" t="s">
        <v>2</v>
      </c>
      <c r="FI40" s="15" t="s">
        <v>2</v>
      </c>
      <c r="FJ40" s="15" t="s">
        <v>23</v>
      </c>
      <c r="FK40" s="15" t="s">
        <v>24</v>
      </c>
      <c r="FL40" s="15" t="s">
        <v>23</v>
      </c>
      <c r="FM40" s="15" t="s">
        <v>24</v>
      </c>
      <c r="FN40" s="15" t="s">
        <v>25</v>
      </c>
      <c r="FO40" s="15" t="s">
        <v>23</v>
      </c>
      <c r="FP40" s="15" t="s">
        <v>25</v>
      </c>
      <c r="FQ40" s="15" t="s">
        <v>23</v>
      </c>
      <c r="FR40" s="15" t="s">
        <v>2</v>
      </c>
      <c r="FS40" s="15" t="s">
        <v>24</v>
      </c>
      <c r="FT40" s="15" t="s">
        <v>23</v>
      </c>
      <c r="FU40" s="15" t="s">
        <v>2</v>
      </c>
      <c r="FV40" s="15" t="s">
        <v>24</v>
      </c>
      <c r="FW40" s="15" t="s">
        <v>24</v>
      </c>
      <c r="FX40" s="15" t="s">
        <v>25</v>
      </c>
      <c r="FY40" s="15" t="s">
        <v>23</v>
      </c>
      <c r="FZ40" s="15" t="s">
        <v>24</v>
      </c>
      <c r="GA40" s="15" t="s">
        <v>24</v>
      </c>
      <c r="GB40" s="15" t="s">
        <v>23</v>
      </c>
      <c r="GC40" s="15" t="s">
        <v>2</v>
      </c>
      <c r="GD40" s="15" t="s">
        <v>2</v>
      </c>
      <c r="GE40" s="15" t="s">
        <v>2</v>
      </c>
      <c r="GF40" s="15" t="s">
        <v>25</v>
      </c>
      <c r="GG40" s="15" t="s">
        <v>23</v>
      </c>
      <c r="GH40" s="15" t="s">
        <v>2</v>
      </c>
      <c r="GI40" s="15" t="s">
        <v>24</v>
      </c>
      <c r="GJ40" s="15" t="s">
        <v>24</v>
      </c>
      <c r="GK40" s="15" t="s">
        <v>25</v>
      </c>
      <c r="GL40" s="15" t="s">
        <v>24</v>
      </c>
      <c r="GM40" s="15" t="s">
        <v>2</v>
      </c>
      <c r="GN40" s="15" t="s">
        <v>25</v>
      </c>
      <c r="GO40" s="15" t="s">
        <v>23</v>
      </c>
      <c r="GP40" s="15" t="s">
        <v>25</v>
      </c>
      <c r="GQ40" s="15" t="s">
        <v>2</v>
      </c>
      <c r="GR40" s="15" t="s">
        <v>23</v>
      </c>
      <c r="GS40" s="15" t="s">
        <v>23</v>
      </c>
      <c r="GT40" s="15" t="s">
        <v>25</v>
      </c>
      <c r="GU40" s="15" t="s">
        <v>25</v>
      </c>
      <c r="GV40" s="15" t="s">
        <v>2</v>
      </c>
      <c r="GW40" t="s">
        <v>23</v>
      </c>
      <c r="GX40" t="s">
        <v>23</v>
      </c>
      <c r="GY40" t="s">
        <v>25</v>
      </c>
      <c r="GZ40" t="s">
        <v>25</v>
      </c>
      <c r="HA40" t="s">
        <v>24</v>
      </c>
      <c r="HB40" t="s">
        <v>23</v>
      </c>
      <c r="HC40" t="s">
        <v>24</v>
      </c>
      <c r="HD40" t="s">
        <v>2</v>
      </c>
      <c r="HE40" t="s">
        <v>25</v>
      </c>
      <c r="HF40" t="s">
        <v>2</v>
      </c>
      <c r="HG40" t="s">
        <v>24</v>
      </c>
      <c r="HH40" s="15" t="s">
        <v>23</v>
      </c>
      <c r="HI40" s="15" t="s">
        <v>25</v>
      </c>
      <c r="HJ40" s="15" t="s">
        <v>24</v>
      </c>
      <c r="HK40" s="15" t="s">
        <v>25</v>
      </c>
      <c r="HL40" s="15" t="s">
        <v>25</v>
      </c>
      <c r="HM40" s="15" t="s">
        <v>24</v>
      </c>
      <c r="HN40" s="15"/>
      <c r="HO40" s="15"/>
      <c r="HP40" s="15"/>
      <c r="HQ40" s="15"/>
      <c r="HR40" s="15"/>
      <c r="HS40" s="15"/>
      <c r="HT40" s="15"/>
      <c r="HU40" s="15"/>
      <c r="HV40" s="15"/>
      <c r="HW40" s="15"/>
      <c r="IQ40" s="15"/>
      <c r="IR40" s="15"/>
      <c r="IS40" s="15"/>
      <c r="IT40" s="15"/>
      <c r="IU40" s="15"/>
      <c r="IV40" s="15"/>
      <c r="IW40" s="15"/>
      <c r="IX40" s="15"/>
      <c r="IY40" s="15"/>
      <c r="IZ40" s="15"/>
      <c r="JA40" s="15"/>
      <c r="JB40" s="15"/>
      <c r="JC40" s="15"/>
      <c r="JD40" s="15"/>
      <c r="JE40" s="15"/>
      <c r="JF40" s="15"/>
      <c r="JG40" s="15"/>
      <c r="JH40" s="15"/>
      <c r="JI40" s="15"/>
      <c r="JZ40" s="15"/>
      <c r="KA40" s="15"/>
      <c r="KB40" s="15"/>
      <c r="KC40" s="15"/>
      <c r="KD40" s="15"/>
      <c r="KE40" s="15"/>
      <c r="KF40" s="15"/>
      <c r="KG40" s="15"/>
      <c r="KH40" s="15"/>
      <c r="KI40" s="15"/>
      <c r="KJ40" s="15"/>
      <c r="KK40" s="15"/>
      <c r="KL40" s="15"/>
      <c r="KM40" s="15"/>
      <c r="LI40" s="15"/>
      <c r="LJ40" s="15"/>
      <c r="LK40" s="15"/>
      <c r="LL40" s="15"/>
      <c r="LM40" s="15"/>
      <c r="LN40" s="15"/>
      <c r="LO40" s="15"/>
      <c r="LP40" s="15"/>
      <c r="LQ40" s="15"/>
      <c r="LR40" s="15"/>
    </row>
    <row r="41" spans="1:330">
      <c r="A41">
        <v>43662</v>
      </c>
      <c r="B41" s="15" t="s">
        <v>783</v>
      </c>
      <c r="C41" s="15" t="s">
        <v>680</v>
      </c>
      <c r="D41" s="15" t="s">
        <v>37</v>
      </c>
      <c r="E41" s="15" t="s">
        <v>765</v>
      </c>
      <c r="F41" s="15"/>
      <c r="G41" s="15" t="s">
        <v>24</v>
      </c>
      <c r="H41" s="15" t="s">
        <v>25</v>
      </c>
      <c r="I41" s="15" t="s">
        <v>23</v>
      </c>
      <c r="J41" s="15" t="s">
        <v>23</v>
      </c>
      <c r="K41" s="15" t="s">
        <v>25</v>
      </c>
      <c r="L41" s="15" t="s">
        <v>2</v>
      </c>
      <c r="M41" s="15" t="s">
        <v>24</v>
      </c>
      <c r="N41" s="15" t="s">
        <v>23</v>
      </c>
      <c r="O41" s="15" t="s">
        <v>24</v>
      </c>
      <c r="P41" s="15" t="s">
        <v>2</v>
      </c>
      <c r="Q41" s="15" t="s">
        <v>2</v>
      </c>
      <c r="R41" t="s">
        <v>24</v>
      </c>
      <c r="S41" s="15" t="s">
        <v>2</v>
      </c>
      <c r="T41" s="15" t="s">
        <v>25</v>
      </c>
      <c r="U41" s="15" t="s">
        <v>23</v>
      </c>
      <c r="V41" s="15" t="s">
        <v>24</v>
      </c>
      <c r="W41" t="s">
        <v>2</v>
      </c>
      <c r="X41" t="s">
        <v>23</v>
      </c>
      <c r="Y41" s="15" t="s">
        <v>2</v>
      </c>
      <c r="Z41" t="s">
        <v>24</v>
      </c>
      <c r="AA41" t="s">
        <v>23</v>
      </c>
      <c r="AB41" t="s">
        <v>2</v>
      </c>
      <c r="AC41" t="s">
        <v>24</v>
      </c>
      <c r="AD41" t="s">
        <v>25</v>
      </c>
      <c r="AE41" t="s">
        <v>23</v>
      </c>
      <c r="AF41" t="s">
        <v>25</v>
      </c>
      <c r="AG41" t="s">
        <v>23</v>
      </c>
      <c r="AH41" t="s">
        <v>2</v>
      </c>
      <c r="AI41" t="s">
        <v>24</v>
      </c>
      <c r="AJ41" t="s">
        <v>23</v>
      </c>
      <c r="AK41" t="s">
        <v>2</v>
      </c>
      <c r="AL41" t="s">
        <v>2</v>
      </c>
      <c r="AM41" t="s">
        <v>23</v>
      </c>
      <c r="AN41" t="s">
        <v>23</v>
      </c>
      <c r="AO41" s="15" t="s">
        <v>25</v>
      </c>
      <c r="AP41" s="15" t="s">
        <v>2</v>
      </c>
      <c r="AQ41" s="15" t="s">
        <v>25</v>
      </c>
      <c r="AR41" s="15" t="s">
        <v>23</v>
      </c>
      <c r="AS41" t="s">
        <v>24</v>
      </c>
      <c r="AT41" s="15" t="s">
        <v>25</v>
      </c>
      <c r="AU41" s="15" t="s">
        <v>25</v>
      </c>
      <c r="AV41" s="15" t="s">
        <v>2</v>
      </c>
      <c r="AW41" s="15" t="s">
        <v>25</v>
      </c>
      <c r="AX41" s="15" t="s">
        <v>23</v>
      </c>
      <c r="AY41" s="15" t="s">
        <v>24</v>
      </c>
      <c r="AZ41" s="15" t="s">
        <v>24</v>
      </c>
      <c r="BA41" s="15" t="s">
        <v>25</v>
      </c>
      <c r="BB41" s="15" t="s">
        <v>24</v>
      </c>
      <c r="BC41" s="15" t="s">
        <v>23</v>
      </c>
      <c r="BD41" s="15" t="s">
        <v>23</v>
      </c>
      <c r="BE41" s="15" t="s">
        <v>24</v>
      </c>
      <c r="BF41" s="15" t="s">
        <v>2</v>
      </c>
      <c r="BG41" s="15" t="s">
        <v>2</v>
      </c>
      <c r="BH41" t="s">
        <v>25</v>
      </c>
      <c r="BI41" t="s">
        <v>2</v>
      </c>
      <c r="BJ41" t="s">
        <v>25</v>
      </c>
      <c r="BK41" t="s">
        <v>23</v>
      </c>
      <c r="BL41" t="s">
        <v>24</v>
      </c>
      <c r="BM41" t="s">
        <v>25</v>
      </c>
      <c r="BN41" t="s">
        <v>23</v>
      </c>
      <c r="BO41" t="s">
        <v>2</v>
      </c>
      <c r="BP41" t="s">
        <v>2</v>
      </c>
      <c r="BQ41" t="s">
        <v>24</v>
      </c>
      <c r="BR41" t="s">
        <v>23</v>
      </c>
      <c r="BS41" t="s">
        <v>23</v>
      </c>
      <c r="BT41" t="s">
        <v>25</v>
      </c>
      <c r="BU41" t="s">
        <v>23</v>
      </c>
      <c r="BV41" t="s">
        <v>23</v>
      </c>
      <c r="BW41" t="s">
        <v>24</v>
      </c>
      <c r="BX41" s="15" t="s">
        <v>25</v>
      </c>
      <c r="BY41" s="15" t="s">
        <v>24</v>
      </c>
      <c r="BZ41" s="15" t="s">
        <v>25</v>
      </c>
      <c r="CA41" s="15" t="s">
        <v>2</v>
      </c>
      <c r="CB41" s="15" t="s">
        <v>2</v>
      </c>
      <c r="CC41" s="15" t="s">
        <v>24</v>
      </c>
      <c r="CD41" s="15" t="s">
        <v>2</v>
      </c>
      <c r="CE41" s="15" t="s">
        <v>25</v>
      </c>
      <c r="CF41" t="s">
        <v>24</v>
      </c>
      <c r="CG41" t="s">
        <v>2</v>
      </c>
      <c r="CH41" t="s">
        <v>23</v>
      </c>
      <c r="CI41" t="s">
        <v>23</v>
      </c>
      <c r="CJ41" t="s">
        <v>25</v>
      </c>
      <c r="CK41" t="s">
        <v>23</v>
      </c>
      <c r="CL41" t="s">
        <v>24</v>
      </c>
      <c r="CM41" t="s">
        <v>24</v>
      </c>
      <c r="CN41" t="s">
        <v>26</v>
      </c>
      <c r="CO41" t="s">
        <v>23</v>
      </c>
      <c r="CP41" t="s">
        <v>2</v>
      </c>
      <c r="CQ41" t="s">
        <v>24</v>
      </c>
      <c r="CR41" t="s">
        <v>25</v>
      </c>
      <c r="CS41" t="s">
        <v>26</v>
      </c>
      <c r="CT41" t="s">
        <v>24</v>
      </c>
      <c r="CU41" t="s">
        <v>23</v>
      </c>
      <c r="CV41" t="s">
        <v>23</v>
      </c>
      <c r="CW41" t="s">
        <v>24</v>
      </c>
      <c r="CX41" t="s">
        <v>25</v>
      </c>
      <c r="CY41" t="s">
        <v>2</v>
      </c>
      <c r="CZ41" t="s">
        <v>25</v>
      </c>
      <c r="DA41" t="s">
        <v>23</v>
      </c>
      <c r="DB41" t="s">
        <v>26</v>
      </c>
      <c r="DC41" t="s">
        <v>25</v>
      </c>
      <c r="DD41" t="s">
        <v>2</v>
      </c>
      <c r="DE41" t="s">
        <v>24</v>
      </c>
      <c r="DF41" t="s">
        <v>26</v>
      </c>
      <c r="DG41" t="s">
        <v>26</v>
      </c>
      <c r="DH41" t="s">
        <v>2</v>
      </c>
      <c r="DI41" t="s">
        <v>26</v>
      </c>
      <c r="DJ41" t="s">
        <v>25</v>
      </c>
      <c r="DK41" t="s">
        <v>26</v>
      </c>
      <c r="DL41" t="s">
        <v>25</v>
      </c>
      <c r="DM41" t="s">
        <v>24</v>
      </c>
      <c r="DN41" t="s">
        <v>23</v>
      </c>
      <c r="DO41" t="s">
        <v>23</v>
      </c>
      <c r="DP41" t="s">
        <v>26</v>
      </c>
      <c r="DQ41" t="s">
        <v>2</v>
      </c>
      <c r="DR41" t="s">
        <v>2</v>
      </c>
      <c r="DS41" t="s">
        <v>26</v>
      </c>
      <c r="DT41" t="s">
        <v>25</v>
      </c>
      <c r="DU41" t="s">
        <v>24</v>
      </c>
      <c r="DV41" t="s">
        <v>25</v>
      </c>
      <c r="DW41" t="s">
        <v>25</v>
      </c>
      <c r="DX41" t="s">
        <v>23</v>
      </c>
      <c r="DY41" t="s">
        <v>26</v>
      </c>
      <c r="DZ41" t="s">
        <v>24</v>
      </c>
      <c r="EA41" t="s">
        <v>2</v>
      </c>
      <c r="EB41" t="s">
        <v>23</v>
      </c>
      <c r="EC41" t="s">
        <v>23</v>
      </c>
      <c r="ED41" t="s">
        <v>26</v>
      </c>
      <c r="EE41" t="s">
        <v>26</v>
      </c>
      <c r="EF41" t="s">
        <v>26</v>
      </c>
      <c r="EG41" t="s">
        <v>25</v>
      </c>
      <c r="EH41" t="s">
        <v>26</v>
      </c>
      <c r="EI41" t="s">
        <v>23</v>
      </c>
      <c r="EJ41" t="s">
        <v>2</v>
      </c>
      <c r="EK41" t="s">
        <v>23</v>
      </c>
      <c r="EL41" t="s">
        <v>2</v>
      </c>
      <c r="EM41" t="s">
        <v>24</v>
      </c>
      <c r="EN41" t="s">
        <v>23</v>
      </c>
      <c r="EO41" t="s">
        <v>25</v>
      </c>
      <c r="EP41" s="15" t="s">
        <v>24</v>
      </c>
      <c r="EQ41" s="15" t="s">
        <v>24</v>
      </c>
      <c r="ER41" s="15" t="s">
        <v>23</v>
      </c>
      <c r="ES41" s="15" t="s">
        <v>2</v>
      </c>
      <c r="ET41" s="15" t="s">
        <v>25</v>
      </c>
      <c r="EU41" s="15" t="s">
        <v>23</v>
      </c>
      <c r="EV41" s="15" t="s">
        <v>23</v>
      </c>
      <c r="EW41" s="15" t="s">
        <v>2</v>
      </c>
      <c r="EX41" s="15" t="s">
        <v>24</v>
      </c>
      <c r="EY41" s="15" t="s">
        <v>2</v>
      </c>
      <c r="EZ41" s="15" t="s">
        <v>25</v>
      </c>
      <c r="FA41" s="15" t="s">
        <v>23</v>
      </c>
      <c r="FB41" s="15" t="s">
        <v>25</v>
      </c>
      <c r="FC41" s="15" t="s">
        <v>2</v>
      </c>
      <c r="FD41" s="15" t="s">
        <v>23</v>
      </c>
      <c r="FE41" s="15" t="s">
        <v>24</v>
      </c>
      <c r="FF41" s="15" t="s">
        <v>2</v>
      </c>
      <c r="FG41" s="15" t="s">
        <v>23</v>
      </c>
      <c r="FH41" s="15" t="s">
        <v>2</v>
      </c>
      <c r="FI41" s="15" t="s">
        <v>25</v>
      </c>
      <c r="FJ41" s="15" t="s">
        <v>23</v>
      </c>
      <c r="FK41" s="15" t="s">
        <v>24</v>
      </c>
      <c r="FL41" s="15" t="s">
        <v>23</v>
      </c>
      <c r="FM41" s="15" t="s">
        <v>24</v>
      </c>
      <c r="FN41" t="s">
        <v>25</v>
      </c>
      <c r="FO41" s="15" t="s">
        <v>24</v>
      </c>
      <c r="FP41" s="15" t="s">
        <v>25</v>
      </c>
      <c r="FQ41" t="s">
        <v>23</v>
      </c>
      <c r="FR41" s="15" t="s">
        <v>2</v>
      </c>
      <c r="FS41" t="s">
        <v>24</v>
      </c>
      <c r="FT41" t="s">
        <v>23</v>
      </c>
      <c r="FU41" t="s">
        <v>2</v>
      </c>
      <c r="FV41" t="s">
        <v>25</v>
      </c>
      <c r="FW41" t="s">
        <v>24</v>
      </c>
      <c r="FX41" t="s">
        <v>25</v>
      </c>
      <c r="FY41" s="15" t="s">
        <v>23</v>
      </c>
      <c r="FZ41" t="s">
        <v>24</v>
      </c>
      <c r="GA41" s="15" t="s">
        <v>24</v>
      </c>
      <c r="GB41" s="15" t="s">
        <v>23</v>
      </c>
      <c r="GC41" s="15" t="s">
        <v>2</v>
      </c>
      <c r="GD41" s="15" t="s">
        <v>23</v>
      </c>
      <c r="GE41" s="15" t="s">
        <v>2</v>
      </c>
      <c r="GF41" s="15" t="s">
        <v>25</v>
      </c>
      <c r="GG41" s="15" t="s">
        <v>23</v>
      </c>
      <c r="GH41" s="15" t="s">
        <v>2</v>
      </c>
      <c r="GI41" t="s">
        <v>24</v>
      </c>
      <c r="GJ41" t="s">
        <v>24</v>
      </c>
      <c r="GK41" s="15" t="s">
        <v>25</v>
      </c>
      <c r="GL41" s="15" t="s">
        <v>24</v>
      </c>
      <c r="GM41" s="15" t="s">
        <v>2</v>
      </c>
      <c r="GN41" s="15" t="s">
        <v>25</v>
      </c>
      <c r="GO41" s="15" t="s">
        <v>23</v>
      </c>
      <c r="GP41" t="s">
        <v>24</v>
      </c>
      <c r="GQ41" t="s">
        <v>2</v>
      </c>
      <c r="GR41" t="s">
        <v>2</v>
      </c>
      <c r="GS41" t="s">
        <v>23</v>
      </c>
      <c r="GT41" t="s">
        <v>25</v>
      </c>
      <c r="GU41" s="15" t="s">
        <v>25</v>
      </c>
      <c r="GV41" t="s">
        <v>2</v>
      </c>
      <c r="GW41" t="s">
        <v>23</v>
      </c>
      <c r="GX41" t="s">
        <v>23</v>
      </c>
      <c r="GY41" t="s">
        <v>25</v>
      </c>
      <c r="GZ41" t="s">
        <v>25</v>
      </c>
      <c r="HA41" t="s">
        <v>24</v>
      </c>
      <c r="HB41" t="s">
        <v>23</v>
      </c>
      <c r="HC41" t="s">
        <v>2</v>
      </c>
      <c r="HD41" t="s">
        <v>2</v>
      </c>
      <c r="HE41" t="s">
        <v>25</v>
      </c>
      <c r="HF41" t="s">
        <v>23</v>
      </c>
      <c r="HG41" t="s">
        <v>24</v>
      </c>
      <c r="HH41" s="15" t="s">
        <v>24</v>
      </c>
      <c r="HI41" s="15" t="s">
        <v>25</v>
      </c>
      <c r="HJ41" s="15" t="s">
        <v>23</v>
      </c>
      <c r="HK41" s="15" t="s">
        <v>25</v>
      </c>
      <c r="HL41" s="15" t="s">
        <v>25</v>
      </c>
      <c r="HM41" s="15" t="s">
        <v>23</v>
      </c>
      <c r="HN41" s="15"/>
      <c r="HO41" s="15"/>
      <c r="HP41" s="15"/>
      <c r="HQ41" s="15"/>
      <c r="HR41" s="15"/>
      <c r="HS41" s="15"/>
      <c r="HT41" s="15"/>
      <c r="HV41" s="15"/>
      <c r="HW41" s="15"/>
      <c r="IQ41" s="15"/>
      <c r="IR41" s="15"/>
      <c r="IS41" s="15"/>
      <c r="IT41" s="15"/>
      <c r="IU41" s="15"/>
      <c r="IV41" s="15"/>
      <c r="IW41" s="15"/>
      <c r="IX41" s="15"/>
      <c r="IY41" s="15"/>
      <c r="JA41" s="15"/>
      <c r="JB41" s="15"/>
      <c r="JC41" s="15"/>
      <c r="JE41" s="15"/>
      <c r="JF41" s="15"/>
      <c r="JG41" s="15"/>
      <c r="JH41" s="15"/>
      <c r="JZ41" s="15"/>
      <c r="KA41" s="15"/>
      <c r="KB41" s="15"/>
      <c r="KC41" s="15"/>
      <c r="KD41" s="15"/>
      <c r="KE41" s="15"/>
      <c r="KF41" s="15"/>
      <c r="KG41" s="15"/>
      <c r="KH41" s="15"/>
      <c r="KK41" s="15"/>
      <c r="KL41" s="15"/>
      <c r="LI41" s="15"/>
      <c r="LJ41" s="15"/>
      <c r="LK41" s="15"/>
      <c r="LL41" s="15"/>
      <c r="LM41" s="15"/>
      <c r="LN41" s="15"/>
      <c r="LO41" s="15"/>
      <c r="LP41" s="15"/>
    </row>
    <row r="42" spans="1:330">
      <c r="A42">
        <v>43662</v>
      </c>
      <c r="B42" s="15" t="s">
        <v>784</v>
      </c>
      <c r="C42" s="15" t="s">
        <v>706</v>
      </c>
      <c r="D42" s="15" t="s">
        <v>37</v>
      </c>
      <c r="E42" s="15" t="s">
        <v>765</v>
      </c>
      <c r="F42" s="15"/>
      <c r="G42" s="15" t="s">
        <v>24</v>
      </c>
      <c r="H42" s="15" t="s">
        <v>25</v>
      </c>
      <c r="I42" s="15" t="s">
        <v>24</v>
      </c>
      <c r="J42" s="15" t="s">
        <v>23</v>
      </c>
      <c r="K42" s="15" t="s">
        <v>25</v>
      </c>
      <c r="L42" s="15" t="s">
        <v>2</v>
      </c>
      <c r="M42" s="15" t="s">
        <v>24</v>
      </c>
      <c r="N42" s="15" t="s">
        <v>23</v>
      </c>
      <c r="O42" s="15" t="s">
        <v>24</v>
      </c>
      <c r="P42" s="15" t="s">
        <v>2</v>
      </c>
      <c r="Q42" s="15" t="s">
        <v>2</v>
      </c>
      <c r="R42" s="15" t="s">
        <v>24</v>
      </c>
      <c r="S42" s="15" t="s">
        <v>2</v>
      </c>
      <c r="T42" s="15" t="s">
        <v>25</v>
      </c>
      <c r="U42" s="15" t="s">
        <v>23</v>
      </c>
      <c r="V42" s="15" t="s">
        <v>24</v>
      </c>
      <c r="W42" s="15" t="s">
        <v>2</v>
      </c>
      <c r="X42" s="15" t="s">
        <v>23</v>
      </c>
      <c r="Y42" s="15" t="s">
        <v>2</v>
      </c>
      <c r="Z42" t="s">
        <v>24</v>
      </c>
      <c r="AA42" t="s">
        <v>23</v>
      </c>
      <c r="AB42" t="s">
        <v>2</v>
      </c>
      <c r="AC42" t="s">
        <v>25</v>
      </c>
      <c r="AD42" t="s">
        <v>25</v>
      </c>
      <c r="AE42" t="s">
        <v>23</v>
      </c>
      <c r="AF42" t="s">
        <v>25</v>
      </c>
      <c r="AG42" t="s">
        <v>23</v>
      </c>
      <c r="AH42" t="s">
        <v>2</v>
      </c>
      <c r="AI42" t="s">
        <v>24</v>
      </c>
      <c r="AJ42" t="s">
        <v>23</v>
      </c>
      <c r="AK42" t="s">
        <v>2</v>
      </c>
      <c r="AL42" t="s">
        <v>2</v>
      </c>
      <c r="AM42" t="s">
        <v>23</v>
      </c>
      <c r="AN42" t="s">
        <v>23</v>
      </c>
      <c r="AO42" s="15" t="s">
        <v>25</v>
      </c>
      <c r="AP42" s="15" t="s">
        <v>2</v>
      </c>
      <c r="AQ42" s="15" t="s">
        <v>25</v>
      </c>
      <c r="AR42" s="15" t="s">
        <v>23</v>
      </c>
      <c r="AS42" s="15" t="s">
        <v>24</v>
      </c>
      <c r="AT42" s="15" t="s">
        <v>25</v>
      </c>
      <c r="AU42" s="15" t="s">
        <v>25</v>
      </c>
      <c r="AV42" s="15" t="s">
        <v>2</v>
      </c>
      <c r="AW42" s="15" t="s">
        <v>25</v>
      </c>
      <c r="AX42" s="15" t="s">
        <v>23</v>
      </c>
      <c r="AY42" s="15" t="s">
        <v>24</v>
      </c>
      <c r="AZ42" s="15" t="s">
        <v>24</v>
      </c>
      <c r="BA42" s="15" t="s">
        <v>2</v>
      </c>
      <c r="BB42" s="15" t="s">
        <v>24</v>
      </c>
      <c r="BC42" s="15" t="s">
        <v>23</v>
      </c>
      <c r="BD42" s="15" t="s">
        <v>23</v>
      </c>
      <c r="BE42" s="15" t="s">
        <v>24</v>
      </c>
      <c r="BF42" s="15" t="s">
        <v>2</v>
      </c>
      <c r="BG42" s="15" t="s">
        <v>2</v>
      </c>
      <c r="BH42" s="15" t="s">
        <v>25</v>
      </c>
      <c r="BI42" s="15" t="s">
        <v>2</v>
      </c>
      <c r="BJ42" s="15" t="s">
        <v>25</v>
      </c>
      <c r="BK42" s="15" t="s">
        <v>23</v>
      </c>
      <c r="BL42" s="15" t="s">
        <v>24</v>
      </c>
      <c r="BM42" t="s">
        <v>24</v>
      </c>
      <c r="BN42" t="s">
        <v>23</v>
      </c>
      <c r="BO42" t="s">
        <v>2</v>
      </c>
      <c r="BP42" t="s">
        <v>2</v>
      </c>
      <c r="BQ42" t="s">
        <v>24</v>
      </c>
      <c r="BR42" t="s">
        <v>23</v>
      </c>
      <c r="BS42" t="s">
        <v>24</v>
      </c>
      <c r="BT42" t="s">
        <v>24</v>
      </c>
      <c r="BU42" t="s">
        <v>23</v>
      </c>
      <c r="BV42" t="s">
        <v>2</v>
      </c>
      <c r="BW42" t="s">
        <v>24</v>
      </c>
      <c r="BX42" s="15" t="s">
        <v>25</v>
      </c>
      <c r="BY42" s="15" t="s">
        <v>24</v>
      </c>
      <c r="BZ42" s="15" t="s">
        <v>25</v>
      </c>
      <c r="CA42" s="15" t="s">
        <v>2</v>
      </c>
      <c r="CB42" s="15" t="s">
        <v>2</v>
      </c>
      <c r="CC42" s="15" t="s">
        <v>24</v>
      </c>
      <c r="CD42" s="15" t="s">
        <v>2</v>
      </c>
      <c r="CE42" s="15" t="s">
        <v>25</v>
      </c>
      <c r="CF42" t="s">
        <v>24</v>
      </c>
      <c r="CG42" t="s">
        <v>2</v>
      </c>
      <c r="CH42" t="s">
        <v>23</v>
      </c>
      <c r="CI42" t="s">
        <v>23</v>
      </c>
      <c r="CJ42" t="s">
        <v>25</v>
      </c>
      <c r="CK42" t="s">
        <v>23</v>
      </c>
      <c r="CL42" t="s">
        <v>26</v>
      </c>
      <c r="CM42" t="s">
        <v>24</v>
      </c>
      <c r="CN42" t="s">
        <v>26</v>
      </c>
      <c r="CO42" t="s">
        <v>2</v>
      </c>
      <c r="CP42" t="s">
        <v>2</v>
      </c>
      <c r="CQ42" t="s">
        <v>24</v>
      </c>
      <c r="CR42" t="s">
        <v>25</v>
      </c>
      <c r="CS42" t="s">
        <v>26</v>
      </c>
      <c r="CT42" t="s">
        <v>24</v>
      </c>
      <c r="CU42" t="s">
        <v>23</v>
      </c>
      <c r="CV42" t="s">
        <v>23</v>
      </c>
      <c r="CW42" t="s">
        <v>24</v>
      </c>
      <c r="CX42" t="s">
        <v>25</v>
      </c>
      <c r="CY42" t="s">
        <v>2</v>
      </c>
      <c r="CZ42" t="s">
        <v>25</v>
      </c>
      <c r="DA42" t="s">
        <v>25</v>
      </c>
      <c r="DB42" t="s">
        <v>23</v>
      </c>
      <c r="DC42" t="s">
        <v>25</v>
      </c>
      <c r="DD42" t="s">
        <v>2</v>
      </c>
      <c r="DE42" t="s">
        <v>24</v>
      </c>
      <c r="DF42" t="s">
        <v>26</v>
      </c>
      <c r="DG42" t="s">
        <v>26</v>
      </c>
      <c r="DH42" t="s">
        <v>2</v>
      </c>
      <c r="DI42" t="s">
        <v>26</v>
      </c>
      <c r="DJ42" t="s">
        <v>25</v>
      </c>
      <c r="DK42" t="s">
        <v>26</v>
      </c>
      <c r="DL42" t="s">
        <v>25</v>
      </c>
      <c r="DM42" t="s">
        <v>24</v>
      </c>
      <c r="DN42" t="s">
        <v>25</v>
      </c>
      <c r="DO42" t="s">
        <v>23</v>
      </c>
      <c r="DP42" t="s">
        <v>26</v>
      </c>
      <c r="DQ42" t="s">
        <v>2</v>
      </c>
      <c r="DR42" t="s">
        <v>2</v>
      </c>
      <c r="DS42" t="s">
        <v>26</v>
      </c>
      <c r="DT42" t="s">
        <v>25</v>
      </c>
      <c r="DU42" t="s">
        <v>24</v>
      </c>
      <c r="DV42" t="s">
        <v>25</v>
      </c>
      <c r="DW42" t="s">
        <v>25</v>
      </c>
      <c r="DX42" t="s">
        <v>23</v>
      </c>
      <c r="DY42" t="s">
        <v>26</v>
      </c>
      <c r="DZ42" t="s">
        <v>24</v>
      </c>
      <c r="EA42" t="s">
        <v>2</v>
      </c>
      <c r="EB42" t="s">
        <v>23</v>
      </c>
      <c r="EC42" t="s">
        <v>23</v>
      </c>
      <c r="ED42" t="s">
        <v>24</v>
      </c>
      <c r="EE42" t="s">
        <v>26</v>
      </c>
      <c r="EF42" t="s">
        <v>26</v>
      </c>
      <c r="EG42" t="s">
        <v>25</v>
      </c>
      <c r="EH42" t="s">
        <v>26</v>
      </c>
      <c r="EI42" t="s">
        <v>26</v>
      </c>
      <c r="EJ42" t="s">
        <v>2</v>
      </c>
      <c r="EK42" t="s">
        <v>26</v>
      </c>
      <c r="EL42" t="s">
        <v>2</v>
      </c>
      <c r="EM42" t="s">
        <v>24</v>
      </c>
      <c r="EN42" t="s">
        <v>23</v>
      </c>
      <c r="EO42" t="s">
        <v>25</v>
      </c>
      <c r="EP42" s="15" t="s">
        <v>24</v>
      </c>
      <c r="EQ42" s="15" t="s">
        <v>24</v>
      </c>
      <c r="ER42" s="15" t="s">
        <v>23</v>
      </c>
      <c r="ES42" s="15" t="s">
        <v>24</v>
      </c>
      <c r="ET42" s="15" t="s">
        <v>25</v>
      </c>
      <c r="EU42" s="15" t="s">
        <v>23</v>
      </c>
      <c r="EV42" s="15" t="s">
        <v>23</v>
      </c>
      <c r="EW42" s="15" t="s">
        <v>2</v>
      </c>
      <c r="EX42" s="15" t="s">
        <v>24</v>
      </c>
      <c r="EY42" s="15" t="s">
        <v>2</v>
      </c>
      <c r="EZ42" s="15" t="s">
        <v>25</v>
      </c>
      <c r="FA42" s="15" t="s">
        <v>23</v>
      </c>
      <c r="FB42" s="15" t="s">
        <v>25</v>
      </c>
      <c r="FC42" s="15" t="s">
        <v>2</v>
      </c>
      <c r="FD42" s="15" t="s">
        <v>23</v>
      </c>
      <c r="FE42" s="15" t="s">
        <v>24</v>
      </c>
      <c r="FF42" s="15" t="s">
        <v>25</v>
      </c>
      <c r="FG42" s="15" t="s">
        <v>23</v>
      </c>
      <c r="FH42" s="15" t="s">
        <v>2</v>
      </c>
      <c r="FI42" s="15" t="s">
        <v>25</v>
      </c>
      <c r="FJ42" s="15" t="s">
        <v>23</v>
      </c>
      <c r="FK42" s="15" t="s">
        <v>24</v>
      </c>
      <c r="FL42" s="15" t="s">
        <v>23</v>
      </c>
      <c r="FM42" s="15" t="s">
        <v>24</v>
      </c>
      <c r="FN42" s="15" t="s">
        <v>25</v>
      </c>
      <c r="FO42" s="15" t="s">
        <v>24</v>
      </c>
      <c r="FP42" s="15" t="s">
        <v>25</v>
      </c>
      <c r="FQ42" s="15" t="s">
        <v>24</v>
      </c>
      <c r="FR42" s="15" t="s">
        <v>2</v>
      </c>
      <c r="FS42" s="15" t="s">
        <v>24</v>
      </c>
      <c r="FT42" s="15" t="s">
        <v>23</v>
      </c>
      <c r="FU42" s="15" t="s">
        <v>2</v>
      </c>
      <c r="FV42" s="15" t="s">
        <v>24</v>
      </c>
      <c r="FW42" s="15" t="s">
        <v>24</v>
      </c>
      <c r="FX42" s="15" t="s">
        <v>25</v>
      </c>
      <c r="FY42" s="15" t="s">
        <v>23</v>
      </c>
      <c r="FZ42" s="15" t="s">
        <v>24</v>
      </c>
      <c r="GA42" s="15" t="s">
        <v>24</v>
      </c>
      <c r="GB42" s="15" t="s">
        <v>23</v>
      </c>
      <c r="GC42" s="15" t="s">
        <v>2</v>
      </c>
      <c r="GD42" s="15" t="s">
        <v>2</v>
      </c>
      <c r="GE42" s="15" t="s">
        <v>2</v>
      </c>
      <c r="GF42" s="15" t="s">
        <v>25</v>
      </c>
      <c r="GG42" s="15" t="s">
        <v>23</v>
      </c>
      <c r="GH42" s="15" t="s">
        <v>2</v>
      </c>
      <c r="GI42" s="15" t="s">
        <v>24</v>
      </c>
      <c r="GJ42" s="15" t="s">
        <v>24</v>
      </c>
      <c r="GK42" s="15" t="s">
        <v>25</v>
      </c>
      <c r="GL42" s="15" t="s">
        <v>24</v>
      </c>
      <c r="GM42" s="15" t="s">
        <v>2</v>
      </c>
      <c r="GN42" s="15" t="s">
        <v>25</v>
      </c>
      <c r="GO42" s="15" t="s">
        <v>23</v>
      </c>
      <c r="GP42" s="15" t="s">
        <v>24</v>
      </c>
      <c r="GQ42" s="15" t="s">
        <v>2</v>
      </c>
      <c r="GR42" s="15" t="s">
        <v>2</v>
      </c>
      <c r="GS42" s="15" t="s">
        <v>25</v>
      </c>
      <c r="GT42" s="15" t="s">
        <v>25</v>
      </c>
      <c r="GU42" s="15" t="s">
        <v>25</v>
      </c>
      <c r="GV42" s="15" t="s">
        <v>2</v>
      </c>
      <c r="GW42" t="s">
        <v>23</v>
      </c>
      <c r="GX42" t="s">
        <v>23</v>
      </c>
      <c r="GY42" t="s">
        <v>25</v>
      </c>
      <c r="GZ42" t="s">
        <v>25</v>
      </c>
      <c r="HA42" t="s">
        <v>24</v>
      </c>
      <c r="HB42" t="s">
        <v>23</v>
      </c>
      <c r="HC42" t="s">
        <v>24</v>
      </c>
      <c r="HD42" t="s">
        <v>2</v>
      </c>
      <c r="HE42" t="s">
        <v>25</v>
      </c>
      <c r="HF42" t="s">
        <v>23</v>
      </c>
      <c r="HG42" t="s">
        <v>24</v>
      </c>
      <c r="HH42" s="15" t="s">
        <v>24</v>
      </c>
      <c r="HI42" s="15" t="s">
        <v>25</v>
      </c>
      <c r="HJ42" s="15" t="s">
        <v>23</v>
      </c>
      <c r="HK42" s="15" t="s">
        <v>2</v>
      </c>
      <c r="HL42" s="15" t="s">
        <v>2</v>
      </c>
      <c r="HM42" s="15" t="s">
        <v>23</v>
      </c>
      <c r="HN42" s="15"/>
      <c r="HO42" s="15"/>
      <c r="HP42" s="15"/>
      <c r="HQ42" s="15"/>
      <c r="HR42" s="15"/>
      <c r="HS42" s="15"/>
      <c r="HT42" s="15"/>
      <c r="HU42" s="15"/>
      <c r="HV42" s="15"/>
      <c r="HW42" s="15"/>
      <c r="IQ42" s="15"/>
      <c r="IR42" s="15"/>
      <c r="IS42" s="15"/>
      <c r="IT42" s="15"/>
      <c r="IU42" s="15"/>
      <c r="IV42" s="15"/>
      <c r="IW42" s="15"/>
      <c r="IX42" s="15"/>
      <c r="IY42" s="15"/>
      <c r="IZ42" s="15"/>
      <c r="JA42" s="15"/>
      <c r="JB42" s="15"/>
      <c r="JC42" s="15"/>
      <c r="JD42" s="15"/>
      <c r="JE42" s="15"/>
      <c r="JF42" s="15"/>
      <c r="JG42" s="15"/>
      <c r="JH42" s="15"/>
      <c r="JI42" s="15"/>
      <c r="JZ42" s="15"/>
      <c r="KA42" s="15"/>
      <c r="KB42" s="15"/>
      <c r="KC42" s="15"/>
      <c r="KD42" s="15"/>
      <c r="KE42" s="15"/>
      <c r="KF42" s="15"/>
      <c r="KG42" s="15"/>
      <c r="KH42" s="15"/>
      <c r="KI42" s="15"/>
      <c r="KJ42" s="15"/>
      <c r="KK42" s="15"/>
      <c r="KL42" s="15"/>
      <c r="KM42" s="15"/>
      <c r="LI42" s="15"/>
      <c r="LJ42" s="15"/>
      <c r="LK42" s="15"/>
      <c r="LL42" s="15"/>
      <c r="LM42" s="15"/>
      <c r="LN42" s="15"/>
      <c r="LO42" s="15"/>
      <c r="LP42" s="15"/>
      <c r="LQ42" s="15"/>
      <c r="LR42" s="15"/>
    </row>
    <row r="43" spans="1:330">
      <c r="A43">
        <v>43662</v>
      </c>
      <c r="B43" s="15" t="s">
        <v>785</v>
      </c>
      <c r="C43" s="15" t="s">
        <v>688</v>
      </c>
      <c r="D43" s="15" t="s">
        <v>37</v>
      </c>
      <c r="E43" s="15" t="s">
        <v>765</v>
      </c>
      <c r="F43" s="15"/>
      <c r="G43" s="15" t="s">
        <v>25</v>
      </c>
      <c r="H43" s="15" t="s">
        <v>25</v>
      </c>
      <c r="I43" s="15" t="s">
        <v>2</v>
      </c>
      <c r="J43" s="15" t="s">
        <v>24</v>
      </c>
      <c r="K43" s="15" t="s">
        <v>2</v>
      </c>
      <c r="L43" s="15" t="s">
        <v>2</v>
      </c>
      <c r="M43" s="15" t="s">
        <v>23</v>
      </c>
      <c r="N43" s="15" t="s">
        <v>23</v>
      </c>
      <c r="O43" s="15" t="s">
        <v>24</v>
      </c>
      <c r="P43" s="15" t="s">
        <v>2</v>
      </c>
      <c r="Q43" s="15" t="s">
        <v>2</v>
      </c>
      <c r="R43" s="15" t="s">
        <v>24</v>
      </c>
      <c r="S43" s="15" t="s">
        <v>23</v>
      </c>
      <c r="T43" s="15" t="s">
        <v>25</v>
      </c>
      <c r="U43" s="15" t="s">
        <v>23</v>
      </c>
      <c r="V43" s="15" t="s">
        <v>24</v>
      </c>
      <c r="W43" s="15" t="s">
        <v>2</v>
      </c>
      <c r="X43" s="15" t="s">
        <v>23</v>
      </c>
      <c r="Y43" s="15" t="s">
        <v>2</v>
      </c>
      <c r="Z43" t="s">
        <v>24</v>
      </c>
      <c r="AA43" t="s">
        <v>25</v>
      </c>
      <c r="AB43" t="s">
        <v>2</v>
      </c>
      <c r="AC43" t="s">
        <v>23</v>
      </c>
      <c r="AD43" t="s">
        <v>25</v>
      </c>
      <c r="AE43" t="s">
        <v>2</v>
      </c>
      <c r="AF43" t="s">
        <v>25</v>
      </c>
      <c r="AG43" t="s">
        <v>23</v>
      </c>
      <c r="AH43" t="s">
        <v>25</v>
      </c>
      <c r="AI43" t="s">
        <v>24</v>
      </c>
      <c r="AJ43" t="s">
        <v>23</v>
      </c>
      <c r="AK43" t="s">
        <v>2</v>
      </c>
      <c r="AL43" t="s">
        <v>2</v>
      </c>
      <c r="AM43" t="s">
        <v>2</v>
      </c>
      <c r="AN43" t="s">
        <v>25</v>
      </c>
      <c r="AO43" s="15" t="s">
        <v>25</v>
      </c>
      <c r="AP43" s="15" t="s">
        <v>23</v>
      </c>
      <c r="AQ43" s="15" t="s">
        <v>25</v>
      </c>
      <c r="AR43" s="15" t="s">
        <v>23</v>
      </c>
      <c r="AS43" s="15" t="s">
        <v>24</v>
      </c>
      <c r="AT43" s="15" t="s">
        <v>2</v>
      </c>
      <c r="AU43" s="15" t="s">
        <v>25</v>
      </c>
      <c r="AV43" s="15" t="s">
        <v>2</v>
      </c>
      <c r="AW43" s="15" t="s">
        <v>25</v>
      </c>
      <c r="AX43" s="15" t="s">
        <v>2</v>
      </c>
      <c r="AY43" s="15" t="s">
        <v>25</v>
      </c>
      <c r="AZ43" s="15" t="s">
        <v>24</v>
      </c>
      <c r="BA43" s="15" t="s">
        <v>25</v>
      </c>
      <c r="BB43" s="15" t="s">
        <v>23</v>
      </c>
      <c r="BC43" s="15" t="s">
        <v>23</v>
      </c>
      <c r="BD43" s="15" t="s">
        <v>23</v>
      </c>
      <c r="BE43" s="15" t="s">
        <v>24</v>
      </c>
      <c r="BF43" s="15" t="s">
        <v>2</v>
      </c>
      <c r="BG43" s="15" t="s">
        <v>24</v>
      </c>
      <c r="BH43" s="15" t="s">
        <v>2</v>
      </c>
      <c r="BI43" s="15" t="s">
        <v>2</v>
      </c>
      <c r="BJ43" s="15" t="s">
        <v>25</v>
      </c>
      <c r="BK43" s="15" t="s">
        <v>23</v>
      </c>
      <c r="BL43" s="15" t="s">
        <v>24</v>
      </c>
      <c r="BM43" t="s">
        <v>2</v>
      </c>
      <c r="BN43" t="s">
        <v>24</v>
      </c>
      <c r="BO43" t="s">
        <v>2</v>
      </c>
      <c r="BP43" t="s">
        <v>2</v>
      </c>
      <c r="BQ43" t="s">
        <v>25</v>
      </c>
      <c r="BR43" t="s">
        <v>23</v>
      </c>
      <c r="BS43" t="s">
        <v>23</v>
      </c>
      <c r="BT43" t="s">
        <v>25</v>
      </c>
      <c r="BU43" t="s">
        <v>23</v>
      </c>
      <c r="BV43" t="s">
        <v>23</v>
      </c>
      <c r="BW43" t="s">
        <v>25</v>
      </c>
      <c r="BX43" s="15" t="s">
        <v>23</v>
      </c>
      <c r="BY43" s="15" t="s">
        <v>24</v>
      </c>
      <c r="BZ43" s="15" t="s">
        <v>2</v>
      </c>
      <c r="CA43" s="15" t="s">
        <v>25</v>
      </c>
      <c r="CB43" s="15" t="s">
        <v>24</v>
      </c>
      <c r="CC43" s="15" t="s">
        <v>24</v>
      </c>
      <c r="CD43" s="15" t="s">
        <v>2</v>
      </c>
      <c r="CE43" s="15" t="s">
        <v>25</v>
      </c>
      <c r="CF43" t="s">
        <v>24</v>
      </c>
      <c r="CG43" t="s">
        <v>2</v>
      </c>
      <c r="CH43" t="s">
        <v>23</v>
      </c>
      <c r="CI43" t="s">
        <v>23</v>
      </c>
      <c r="CJ43" t="s">
        <v>25</v>
      </c>
      <c r="CK43" t="s">
        <v>23</v>
      </c>
      <c r="CL43" t="s">
        <v>24</v>
      </c>
      <c r="CM43" t="s">
        <v>24</v>
      </c>
      <c r="CN43" t="s">
        <v>26</v>
      </c>
      <c r="CO43" t="s">
        <v>23</v>
      </c>
      <c r="CP43" t="s">
        <v>2</v>
      </c>
      <c r="CQ43" t="s">
        <v>24</v>
      </c>
      <c r="CR43" t="s">
        <v>25</v>
      </c>
      <c r="CS43" t="s">
        <v>26</v>
      </c>
      <c r="CT43" t="s">
        <v>24</v>
      </c>
      <c r="CU43" t="s">
        <v>23</v>
      </c>
      <c r="CV43" t="s">
        <v>23</v>
      </c>
      <c r="CW43" t="s">
        <v>25</v>
      </c>
      <c r="CX43" t="s">
        <v>25</v>
      </c>
      <c r="CY43" t="s">
        <v>2</v>
      </c>
      <c r="CZ43" t="s">
        <v>25</v>
      </c>
      <c r="DA43" t="s">
        <v>25</v>
      </c>
      <c r="DB43" t="s">
        <v>23</v>
      </c>
      <c r="DC43" t="s">
        <v>25</v>
      </c>
      <c r="DD43" t="s">
        <v>2</v>
      </c>
      <c r="DE43" t="s">
        <v>24</v>
      </c>
      <c r="DF43" t="s">
        <v>26</v>
      </c>
      <c r="DG43" t="s">
        <v>26</v>
      </c>
      <c r="DH43" t="s">
        <v>2</v>
      </c>
      <c r="DI43" t="s">
        <v>26</v>
      </c>
      <c r="DJ43" t="s">
        <v>25</v>
      </c>
      <c r="DK43" t="s">
        <v>26</v>
      </c>
      <c r="DL43" t="s">
        <v>25</v>
      </c>
      <c r="DM43" t="s">
        <v>24</v>
      </c>
      <c r="DN43" t="s">
        <v>24</v>
      </c>
      <c r="DO43" t="s">
        <v>23</v>
      </c>
      <c r="DP43" t="s">
        <v>26</v>
      </c>
      <c r="DQ43" t="s">
        <v>2</v>
      </c>
      <c r="DR43" t="s">
        <v>2</v>
      </c>
      <c r="DS43" t="s">
        <v>26</v>
      </c>
      <c r="DT43" t="s">
        <v>25</v>
      </c>
      <c r="DU43" t="s">
        <v>25</v>
      </c>
      <c r="DV43" t="s">
        <v>25</v>
      </c>
      <c r="DW43" t="s">
        <v>2</v>
      </c>
      <c r="DX43" t="s">
        <v>23</v>
      </c>
      <c r="DY43" t="s">
        <v>26</v>
      </c>
      <c r="DZ43" t="s">
        <v>24</v>
      </c>
      <c r="EA43" t="s">
        <v>2</v>
      </c>
      <c r="EB43" t="s">
        <v>2</v>
      </c>
      <c r="EC43" t="s">
        <v>23</v>
      </c>
      <c r="ED43" t="s">
        <v>24</v>
      </c>
      <c r="EE43" t="s">
        <v>26</v>
      </c>
      <c r="EF43" t="s">
        <v>26</v>
      </c>
      <c r="EG43" t="s">
        <v>25</v>
      </c>
      <c r="EH43" t="s">
        <v>23</v>
      </c>
      <c r="EI43" t="s">
        <v>23</v>
      </c>
      <c r="EJ43" t="s">
        <v>25</v>
      </c>
      <c r="EK43" t="s">
        <v>23</v>
      </c>
      <c r="EL43" t="s">
        <v>2</v>
      </c>
      <c r="EM43" t="s">
        <v>24</v>
      </c>
      <c r="EN43" t="s">
        <v>23</v>
      </c>
      <c r="EO43" t="s">
        <v>25</v>
      </c>
      <c r="EP43" s="15" t="s">
        <v>23</v>
      </c>
      <c r="EQ43" s="15" t="s">
        <v>24</v>
      </c>
      <c r="ER43" s="15" t="s">
        <v>23</v>
      </c>
      <c r="ES43" s="15" t="s">
        <v>2</v>
      </c>
      <c r="ET43" s="15" t="s">
        <v>24</v>
      </c>
      <c r="EU43" s="15" t="s">
        <v>25</v>
      </c>
      <c r="EV43" s="15" t="s">
        <v>2</v>
      </c>
      <c r="EW43" s="15" t="s">
        <v>2</v>
      </c>
      <c r="EX43" s="15" t="s">
        <v>2</v>
      </c>
      <c r="EY43" s="15" t="s">
        <v>23</v>
      </c>
      <c r="EZ43" s="15" t="s">
        <v>24</v>
      </c>
      <c r="FA43" s="15" t="s">
        <v>23</v>
      </c>
      <c r="FB43" s="15" t="s">
        <v>2</v>
      </c>
      <c r="FC43" s="15" t="s">
        <v>25</v>
      </c>
      <c r="FD43" s="15" t="s">
        <v>23</v>
      </c>
      <c r="FE43" s="15" t="s">
        <v>24</v>
      </c>
      <c r="FF43" s="15" t="s">
        <v>25</v>
      </c>
      <c r="FG43" s="15" t="s">
        <v>23</v>
      </c>
      <c r="FH43" s="15" t="s">
        <v>23</v>
      </c>
      <c r="FI43" s="15" t="s">
        <v>25</v>
      </c>
      <c r="FJ43" s="15" t="s">
        <v>24</v>
      </c>
      <c r="FK43" s="15" t="s">
        <v>25</v>
      </c>
      <c r="FL43" s="15" t="s">
        <v>23</v>
      </c>
      <c r="FM43" s="15" t="s">
        <v>24</v>
      </c>
      <c r="FN43" s="15" t="s">
        <v>24</v>
      </c>
      <c r="FO43" s="15" t="s">
        <v>2</v>
      </c>
      <c r="FP43" s="15" t="s">
        <v>23</v>
      </c>
      <c r="FQ43" s="15" t="s">
        <v>25</v>
      </c>
      <c r="FR43" s="15" t="s">
        <v>2</v>
      </c>
      <c r="FS43" s="15" t="s">
        <v>2</v>
      </c>
      <c r="FT43" s="15" t="s">
        <v>23</v>
      </c>
      <c r="FU43" s="15" t="s">
        <v>24</v>
      </c>
      <c r="FV43" s="15" t="s">
        <v>23</v>
      </c>
      <c r="FW43" s="15" t="s">
        <v>25</v>
      </c>
      <c r="FX43" s="15" t="s">
        <v>25</v>
      </c>
      <c r="FY43" s="15" t="s">
        <v>2</v>
      </c>
      <c r="FZ43" s="15" t="s">
        <v>24</v>
      </c>
      <c r="GA43" s="15" t="s">
        <v>24</v>
      </c>
      <c r="GB43" s="15" t="s">
        <v>23</v>
      </c>
      <c r="GC43" s="15" t="s">
        <v>2</v>
      </c>
      <c r="GD43" s="15" t="s">
        <v>2</v>
      </c>
      <c r="GE43" s="15" t="s">
        <v>2</v>
      </c>
      <c r="GF43" s="15" t="s">
        <v>25</v>
      </c>
      <c r="GG43" s="15" t="s">
        <v>23</v>
      </c>
      <c r="GH43" s="15" t="s">
        <v>2</v>
      </c>
      <c r="GI43" s="15" t="s">
        <v>24</v>
      </c>
      <c r="GJ43" s="15" t="s">
        <v>24</v>
      </c>
      <c r="GK43" s="15" t="s">
        <v>2</v>
      </c>
      <c r="GL43" s="15" t="s">
        <v>23</v>
      </c>
      <c r="GM43" s="15" t="s">
        <v>2</v>
      </c>
      <c r="GN43" s="15" t="s">
        <v>25</v>
      </c>
      <c r="GO43" s="15" t="s">
        <v>23</v>
      </c>
      <c r="GP43" s="15" t="s">
        <v>25</v>
      </c>
      <c r="GQ43" s="15" t="s">
        <v>2</v>
      </c>
      <c r="GR43" s="15" t="s">
        <v>24</v>
      </c>
      <c r="GS43" s="15" t="s">
        <v>2</v>
      </c>
      <c r="GT43" s="15" t="s">
        <v>25</v>
      </c>
      <c r="GU43" s="15" t="s">
        <v>25</v>
      </c>
      <c r="GV43" s="15" t="s">
        <v>24</v>
      </c>
      <c r="GW43" t="s">
        <v>24</v>
      </c>
      <c r="GX43" t="s">
        <v>23</v>
      </c>
      <c r="GY43" t="s">
        <v>25</v>
      </c>
      <c r="GZ43" t="s">
        <v>25</v>
      </c>
      <c r="HA43" t="s">
        <v>24</v>
      </c>
      <c r="HB43" t="s">
        <v>2</v>
      </c>
      <c r="HC43" t="s">
        <v>25</v>
      </c>
      <c r="HD43" t="s">
        <v>2</v>
      </c>
      <c r="HE43" t="s">
        <v>25</v>
      </c>
      <c r="HF43" t="s">
        <v>24</v>
      </c>
      <c r="HG43" t="s">
        <v>24</v>
      </c>
      <c r="HH43" s="15" t="s">
        <v>2</v>
      </c>
      <c r="HI43" s="15" t="s">
        <v>25</v>
      </c>
      <c r="HJ43" s="15" t="s">
        <v>23</v>
      </c>
      <c r="HK43" s="15" t="s">
        <v>25</v>
      </c>
      <c r="HL43" s="15" t="s">
        <v>2</v>
      </c>
      <c r="HM43" s="15" t="s">
        <v>24</v>
      </c>
      <c r="HN43" s="15"/>
      <c r="HO43" s="15"/>
      <c r="HP43" s="15"/>
      <c r="HQ43" s="15"/>
      <c r="HR43" s="15"/>
      <c r="HS43" s="15"/>
      <c r="HT43" s="15"/>
      <c r="HU43" s="15"/>
      <c r="HV43" s="15"/>
      <c r="HW43" s="15"/>
      <c r="IQ43" s="15"/>
      <c r="IR43" s="15"/>
      <c r="IS43" s="15"/>
      <c r="IT43" s="15"/>
      <c r="IU43" s="15"/>
      <c r="IV43" s="15"/>
      <c r="IW43" s="15"/>
      <c r="IX43" s="15"/>
      <c r="IY43" s="15"/>
      <c r="IZ43" s="15"/>
      <c r="JA43" s="15"/>
      <c r="JB43" s="15"/>
      <c r="JC43" s="15"/>
      <c r="JD43" s="15"/>
      <c r="JE43" s="15"/>
      <c r="JF43" s="15"/>
      <c r="JG43" s="15"/>
      <c r="JH43" s="15"/>
      <c r="JI43" s="15"/>
      <c r="JZ43" s="15"/>
      <c r="KA43" s="15"/>
      <c r="KB43" s="15"/>
      <c r="KC43" s="15"/>
      <c r="KD43" s="15"/>
      <c r="KE43" s="15"/>
      <c r="KF43" s="15"/>
      <c r="KG43" s="15"/>
      <c r="KH43" s="15"/>
      <c r="KI43" s="15"/>
      <c r="KJ43" s="15"/>
      <c r="KK43" s="15"/>
      <c r="KL43" s="15"/>
      <c r="KM43" s="15"/>
      <c r="LI43" s="15"/>
      <c r="LJ43" s="15"/>
      <c r="LK43" s="15"/>
      <c r="LL43" s="15"/>
      <c r="LM43" s="15"/>
      <c r="LN43" s="15"/>
      <c r="LO43" s="15"/>
      <c r="LP43" s="15"/>
      <c r="LQ43" s="15"/>
      <c r="LR43" s="15"/>
    </row>
    <row r="44" spans="1:330">
      <c r="A44">
        <v>43662</v>
      </c>
      <c r="B44" s="15" t="s">
        <v>786</v>
      </c>
      <c r="C44" t="s">
        <v>687</v>
      </c>
      <c r="D44" s="15" t="s">
        <v>37</v>
      </c>
      <c r="E44" s="15" t="s">
        <v>765</v>
      </c>
      <c r="F44" s="15"/>
      <c r="G44" s="15" t="s">
        <v>24</v>
      </c>
      <c r="H44" s="15" t="s">
        <v>25</v>
      </c>
      <c r="I44" s="15" t="s">
        <v>23</v>
      </c>
      <c r="J44" s="15" t="s">
        <v>23</v>
      </c>
      <c r="K44" s="15" t="s">
        <v>25</v>
      </c>
      <c r="L44" s="15" t="s">
        <v>2</v>
      </c>
      <c r="M44" s="15" t="s">
        <v>24</v>
      </c>
      <c r="N44" s="15" t="s">
        <v>2</v>
      </c>
      <c r="O44" s="15" t="s">
        <v>2</v>
      </c>
      <c r="P44" s="15" t="s">
        <v>2</v>
      </c>
      <c r="Q44" s="15" t="s">
        <v>2</v>
      </c>
      <c r="R44" s="15" t="s">
        <v>24</v>
      </c>
      <c r="S44" s="15" t="s">
        <v>25</v>
      </c>
      <c r="T44" s="15" t="s">
        <v>25</v>
      </c>
      <c r="U44" s="15" t="s">
        <v>2</v>
      </c>
      <c r="V44" s="15" t="s">
        <v>24</v>
      </c>
      <c r="W44" s="15" t="s">
        <v>25</v>
      </c>
      <c r="X44" s="15" t="s">
        <v>23</v>
      </c>
      <c r="Y44" s="15" t="s">
        <v>2</v>
      </c>
      <c r="Z44" t="s">
        <v>24</v>
      </c>
      <c r="AA44" t="s">
        <v>23</v>
      </c>
      <c r="AB44" t="s">
        <v>2</v>
      </c>
      <c r="AC44" t="s">
        <v>25</v>
      </c>
      <c r="AD44" t="s">
        <v>25</v>
      </c>
      <c r="AE44" t="s">
        <v>23</v>
      </c>
      <c r="AF44" t="s">
        <v>25</v>
      </c>
      <c r="AG44" t="s">
        <v>2</v>
      </c>
      <c r="AH44" t="s">
        <v>2</v>
      </c>
      <c r="AI44" t="s">
        <v>24</v>
      </c>
      <c r="AJ44" t="s">
        <v>23</v>
      </c>
      <c r="AK44" t="s">
        <v>2</v>
      </c>
      <c r="AL44" t="s">
        <v>2</v>
      </c>
      <c r="AM44" t="s">
        <v>23</v>
      </c>
      <c r="AN44" t="s">
        <v>23</v>
      </c>
      <c r="AO44" s="15" t="s">
        <v>25</v>
      </c>
      <c r="AP44" s="15" t="s">
        <v>2</v>
      </c>
      <c r="AQ44" s="15" t="s">
        <v>25</v>
      </c>
      <c r="AR44" s="15" t="s">
        <v>23</v>
      </c>
      <c r="AS44" s="15" t="s">
        <v>24</v>
      </c>
      <c r="AT44" s="15" t="s">
        <v>25</v>
      </c>
      <c r="AU44" s="15" t="s">
        <v>25</v>
      </c>
      <c r="AV44" s="15" t="s">
        <v>2</v>
      </c>
      <c r="AW44" s="15" t="s">
        <v>25</v>
      </c>
      <c r="AX44" s="15" t="s">
        <v>23</v>
      </c>
      <c r="AY44" s="15" t="s">
        <v>24</v>
      </c>
      <c r="AZ44" s="15" t="s">
        <v>24</v>
      </c>
      <c r="BA44" s="15" t="s">
        <v>25</v>
      </c>
      <c r="BB44" s="15" t="s">
        <v>24</v>
      </c>
      <c r="BC44" s="15" t="s">
        <v>23</v>
      </c>
      <c r="BD44" s="15" t="s">
        <v>24</v>
      </c>
      <c r="BE44" s="15" t="s">
        <v>24</v>
      </c>
      <c r="BF44" s="15" t="s">
        <v>2</v>
      </c>
      <c r="BG44" s="15" t="s">
        <v>2</v>
      </c>
      <c r="BH44" s="15" t="s">
        <v>24</v>
      </c>
      <c r="BI44" s="15" t="s">
        <v>2</v>
      </c>
      <c r="BJ44" s="15" t="s">
        <v>25</v>
      </c>
      <c r="BK44" s="15" t="s">
        <v>23</v>
      </c>
      <c r="BL44" s="15" t="s">
        <v>24</v>
      </c>
      <c r="BM44" t="s">
        <v>25</v>
      </c>
      <c r="BN44" t="s">
        <v>23</v>
      </c>
      <c r="BO44" t="s">
        <v>2</v>
      </c>
      <c r="BP44" t="s">
        <v>2</v>
      </c>
      <c r="BQ44" t="s">
        <v>24</v>
      </c>
      <c r="BR44" t="s">
        <v>23</v>
      </c>
      <c r="BS44" t="s">
        <v>23</v>
      </c>
      <c r="BT44" t="s">
        <v>25</v>
      </c>
      <c r="BU44" t="s">
        <v>23</v>
      </c>
      <c r="BV44" t="s">
        <v>2</v>
      </c>
      <c r="BW44" t="s">
        <v>24</v>
      </c>
      <c r="BX44" s="15" t="s">
        <v>25</v>
      </c>
      <c r="BY44" s="15" t="s">
        <v>24</v>
      </c>
      <c r="BZ44" s="15" t="s">
        <v>25</v>
      </c>
      <c r="CA44" s="15" t="s">
        <v>25</v>
      </c>
      <c r="CB44" s="15" t="s">
        <v>2</v>
      </c>
      <c r="CC44" s="15" t="s">
        <v>23</v>
      </c>
      <c r="CD44" s="15" t="s">
        <v>2</v>
      </c>
      <c r="CE44" s="15" t="s">
        <v>25</v>
      </c>
      <c r="CF44" t="s">
        <v>24</v>
      </c>
      <c r="CG44" t="s">
        <v>2</v>
      </c>
      <c r="CH44" t="s">
        <v>23</v>
      </c>
      <c r="CI44" t="s">
        <v>25</v>
      </c>
      <c r="CJ44" t="s">
        <v>23</v>
      </c>
      <c r="CK44" t="s">
        <v>25</v>
      </c>
      <c r="CL44" t="s">
        <v>24</v>
      </c>
      <c r="CM44" t="s">
        <v>24</v>
      </c>
      <c r="CN44" t="s">
        <v>26</v>
      </c>
      <c r="CO44" t="s">
        <v>23</v>
      </c>
      <c r="CP44" t="s">
        <v>25</v>
      </c>
      <c r="CQ44" t="s">
        <v>24</v>
      </c>
      <c r="CR44" t="s">
        <v>24</v>
      </c>
      <c r="CS44" t="s">
        <v>26</v>
      </c>
      <c r="CT44" t="s">
        <v>24</v>
      </c>
      <c r="CU44" t="s">
        <v>23</v>
      </c>
      <c r="CV44" t="s">
        <v>23</v>
      </c>
      <c r="CW44" t="s">
        <v>24</v>
      </c>
      <c r="CX44" t="s">
        <v>25</v>
      </c>
      <c r="CY44" t="s">
        <v>2</v>
      </c>
      <c r="CZ44" t="s">
        <v>25</v>
      </c>
      <c r="DA44" t="s">
        <v>25</v>
      </c>
      <c r="DB44" t="s">
        <v>26</v>
      </c>
      <c r="DC44" t="s">
        <v>26</v>
      </c>
      <c r="DD44" t="s">
        <v>2</v>
      </c>
      <c r="DE44" t="s">
        <v>24</v>
      </c>
      <c r="DF44" t="s">
        <v>26</v>
      </c>
      <c r="DG44" t="s">
        <v>23</v>
      </c>
      <c r="DH44" t="s">
        <v>24</v>
      </c>
      <c r="DI44" t="s">
        <v>26</v>
      </c>
      <c r="DJ44" t="s">
        <v>2</v>
      </c>
      <c r="DK44" t="s">
        <v>2</v>
      </c>
      <c r="DL44" t="s">
        <v>25</v>
      </c>
      <c r="DM44" t="s">
        <v>2</v>
      </c>
      <c r="DN44" t="s">
        <v>23</v>
      </c>
      <c r="DO44" t="s">
        <v>24</v>
      </c>
      <c r="DP44" t="s">
        <v>26</v>
      </c>
      <c r="DQ44" t="s">
        <v>2</v>
      </c>
      <c r="DR44" t="s">
        <v>2</v>
      </c>
      <c r="DS44" t="s">
        <v>26</v>
      </c>
      <c r="DT44" t="s">
        <v>25</v>
      </c>
      <c r="DU44" t="s">
        <v>25</v>
      </c>
      <c r="DV44" t="s">
        <v>24</v>
      </c>
      <c r="DW44" t="s">
        <v>26</v>
      </c>
      <c r="DX44" t="s">
        <v>24</v>
      </c>
      <c r="DY44" t="s">
        <v>26</v>
      </c>
      <c r="DZ44" t="s">
        <v>24</v>
      </c>
      <c r="EA44" t="s">
        <v>2</v>
      </c>
      <c r="EB44" t="s">
        <v>23</v>
      </c>
      <c r="EC44" t="s">
        <v>26</v>
      </c>
      <c r="ED44" t="s">
        <v>26</v>
      </c>
      <c r="EE44" t="s">
        <v>25</v>
      </c>
      <c r="EF44" t="s">
        <v>24</v>
      </c>
      <c r="EG44" t="s">
        <v>24</v>
      </c>
      <c r="EH44" t="s">
        <v>26</v>
      </c>
      <c r="EI44" t="s">
        <v>2</v>
      </c>
      <c r="EJ44" t="s">
        <v>26</v>
      </c>
      <c r="EK44" t="s">
        <v>23</v>
      </c>
      <c r="EL44" t="s">
        <v>2</v>
      </c>
      <c r="EM44" t="s">
        <v>24</v>
      </c>
      <c r="EN44" t="s">
        <v>23</v>
      </c>
      <c r="EO44" t="s">
        <v>25</v>
      </c>
      <c r="EP44" s="15" t="s">
        <v>24</v>
      </c>
      <c r="EQ44" s="15" t="s">
        <v>24</v>
      </c>
      <c r="ER44" s="15" t="s">
        <v>23</v>
      </c>
      <c r="ES44" s="15" t="s">
        <v>2</v>
      </c>
      <c r="ET44" s="15" t="s">
        <v>24</v>
      </c>
      <c r="EU44" s="15" t="s">
        <v>25</v>
      </c>
      <c r="EV44" s="15" t="s">
        <v>25</v>
      </c>
      <c r="EW44" s="15" t="s">
        <v>2</v>
      </c>
      <c r="EX44" s="15" t="s">
        <v>24</v>
      </c>
      <c r="EY44" s="15" t="s">
        <v>2</v>
      </c>
      <c r="EZ44" s="15" t="s">
        <v>25</v>
      </c>
      <c r="FA44" s="15" t="s">
        <v>23</v>
      </c>
      <c r="FB44" s="15" t="s">
        <v>24</v>
      </c>
      <c r="FC44" s="15" t="s">
        <v>2</v>
      </c>
      <c r="FD44" s="15" t="s">
        <v>23</v>
      </c>
      <c r="FE44" s="15" t="s">
        <v>24</v>
      </c>
      <c r="FF44" s="15" t="s">
        <v>25</v>
      </c>
      <c r="FG44" s="15" t="s">
        <v>23</v>
      </c>
      <c r="FH44" s="15" t="s">
        <v>2</v>
      </c>
      <c r="FI44" s="15" t="s">
        <v>25</v>
      </c>
      <c r="FJ44" s="15" t="s">
        <v>23</v>
      </c>
      <c r="FK44" s="15" t="s">
        <v>24</v>
      </c>
      <c r="FL44" s="15" t="s">
        <v>2</v>
      </c>
      <c r="FM44" s="15" t="s">
        <v>25</v>
      </c>
      <c r="FN44" s="15" t="s">
        <v>25</v>
      </c>
      <c r="FO44" s="15" t="s">
        <v>24</v>
      </c>
      <c r="FP44" s="15" t="s">
        <v>25</v>
      </c>
      <c r="FQ44" s="15" t="s">
        <v>25</v>
      </c>
      <c r="FR44" s="15" t="s">
        <v>2</v>
      </c>
      <c r="FS44" s="15" t="s">
        <v>2</v>
      </c>
      <c r="FT44" s="15" t="s">
        <v>23</v>
      </c>
      <c r="FU44" s="15" t="s">
        <v>23</v>
      </c>
      <c r="FV44" s="15" t="s">
        <v>24</v>
      </c>
      <c r="FW44" s="15" t="s">
        <v>24</v>
      </c>
      <c r="FX44" s="15" t="s">
        <v>25</v>
      </c>
      <c r="FY44" s="15" t="s">
        <v>23</v>
      </c>
      <c r="FZ44" s="15" t="s">
        <v>24</v>
      </c>
      <c r="GA44" s="15" t="s">
        <v>24</v>
      </c>
      <c r="GB44" s="15" t="s">
        <v>23</v>
      </c>
      <c r="GC44" s="15" t="s">
        <v>2</v>
      </c>
      <c r="GD44" s="15" t="s">
        <v>23</v>
      </c>
      <c r="GE44" s="15" t="s">
        <v>2</v>
      </c>
      <c r="GF44" s="15" t="s">
        <v>25</v>
      </c>
      <c r="GG44" s="15" t="s">
        <v>23</v>
      </c>
      <c r="GH44" s="15" t="s">
        <v>2</v>
      </c>
      <c r="GI44" s="15" t="s">
        <v>24</v>
      </c>
      <c r="GJ44" s="15" t="s">
        <v>24</v>
      </c>
      <c r="GK44" s="15" t="s">
        <v>25</v>
      </c>
      <c r="GL44" s="15" t="s">
        <v>24</v>
      </c>
      <c r="GM44" s="15" t="s">
        <v>2</v>
      </c>
      <c r="GN44" s="15" t="s">
        <v>25</v>
      </c>
      <c r="GO44" s="15" t="s">
        <v>24</v>
      </c>
      <c r="GP44" s="15" t="s">
        <v>24</v>
      </c>
      <c r="GQ44" s="15" t="s">
        <v>2</v>
      </c>
      <c r="GR44" s="15" t="s">
        <v>2</v>
      </c>
      <c r="GS44" t="s">
        <v>23</v>
      </c>
      <c r="GT44" t="s">
        <v>2</v>
      </c>
      <c r="GU44" s="15" t="s">
        <v>25</v>
      </c>
      <c r="GV44" s="15" t="s">
        <v>24</v>
      </c>
      <c r="GW44" t="s">
        <v>24</v>
      </c>
      <c r="GX44" t="s">
        <v>23</v>
      </c>
      <c r="GY44" t="s">
        <v>25</v>
      </c>
      <c r="GZ44" t="s">
        <v>24</v>
      </c>
      <c r="HA44" t="s">
        <v>24</v>
      </c>
      <c r="HB44" t="s">
        <v>2</v>
      </c>
      <c r="HC44" t="s">
        <v>24</v>
      </c>
      <c r="HD44" t="s">
        <v>2</v>
      </c>
      <c r="HE44" t="s">
        <v>23</v>
      </c>
      <c r="HF44" t="s">
        <v>24</v>
      </c>
      <c r="HG44" t="s">
        <v>25</v>
      </c>
      <c r="HH44" s="15" t="s">
        <v>25</v>
      </c>
      <c r="HI44" s="15" t="s">
        <v>25</v>
      </c>
      <c r="HJ44" s="15" t="s">
        <v>23</v>
      </c>
      <c r="HK44" s="15" t="s">
        <v>2</v>
      </c>
      <c r="HL44" s="15" t="s">
        <v>24</v>
      </c>
      <c r="HM44" s="15" t="s">
        <v>23</v>
      </c>
      <c r="HN44" s="15"/>
      <c r="HO44" s="15"/>
      <c r="HP44" s="15"/>
      <c r="HQ44" s="15"/>
      <c r="HR44" s="15"/>
      <c r="HS44" s="15"/>
      <c r="HT44" s="15"/>
      <c r="HU44" s="15"/>
      <c r="HV44" s="15"/>
      <c r="HW44" s="15"/>
      <c r="IQ44" s="15"/>
      <c r="IR44" s="15"/>
      <c r="IS44" s="15"/>
      <c r="IT44" s="15"/>
      <c r="IU44" s="15"/>
      <c r="IV44" s="15"/>
      <c r="IW44" s="15"/>
      <c r="IX44" s="15"/>
      <c r="IY44" s="15"/>
      <c r="IZ44" s="15"/>
      <c r="JA44" s="15"/>
      <c r="JB44" s="15"/>
      <c r="JC44" s="15"/>
      <c r="JD44" s="15"/>
      <c r="JE44" s="15"/>
      <c r="JF44" s="15"/>
      <c r="JG44" s="15"/>
      <c r="JH44" s="15"/>
      <c r="JI44" s="15"/>
      <c r="JZ44" s="15"/>
      <c r="KA44" s="15"/>
      <c r="KB44" s="15"/>
      <c r="KC44" s="15"/>
      <c r="KD44" s="15"/>
      <c r="KE44" s="15"/>
      <c r="KF44" s="15"/>
      <c r="KG44" s="15"/>
      <c r="KH44" s="15"/>
      <c r="KI44" s="15"/>
      <c r="KJ44" s="15"/>
      <c r="KK44" s="15"/>
      <c r="KL44" s="15"/>
      <c r="KM44" s="15"/>
      <c r="LI44" s="15"/>
      <c r="LJ44" s="15"/>
      <c r="LK44" s="15"/>
      <c r="LL44" s="15"/>
      <c r="LM44" s="15"/>
      <c r="LN44" s="15"/>
      <c r="LO44" s="15"/>
      <c r="LP44" s="15"/>
      <c r="LQ44" s="15"/>
      <c r="LR44" s="15"/>
    </row>
    <row r="45" spans="1:330">
      <c r="A45">
        <v>43662</v>
      </c>
      <c r="B45" s="15" t="s">
        <v>787</v>
      </c>
      <c r="C45" s="15" t="s">
        <v>686</v>
      </c>
      <c r="D45" s="15" t="s">
        <v>37</v>
      </c>
      <c r="E45" s="15" t="s">
        <v>765</v>
      </c>
      <c r="F45" s="15"/>
      <c r="G45" s="15" t="s">
        <v>24</v>
      </c>
      <c r="H45" s="15" t="s">
        <v>25</v>
      </c>
      <c r="I45" s="15" t="s">
        <v>24</v>
      </c>
      <c r="J45" s="15" t="s">
        <v>23</v>
      </c>
      <c r="K45" s="15" t="s">
        <v>25</v>
      </c>
      <c r="L45" s="15" t="s">
        <v>2</v>
      </c>
      <c r="M45" s="15" t="s">
        <v>24</v>
      </c>
      <c r="N45" s="15" t="s">
        <v>23</v>
      </c>
      <c r="O45" s="15" t="s">
        <v>24</v>
      </c>
      <c r="P45" s="15" t="s">
        <v>24</v>
      </c>
      <c r="Q45" s="15" t="s">
        <v>2</v>
      </c>
      <c r="R45" s="15" t="s">
        <v>24</v>
      </c>
      <c r="S45" s="15" t="s">
        <v>2</v>
      </c>
      <c r="T45" s="15" t="s">
        <v>25</v>
      </c>
      <c r="U45" s="15" t="s">
        <v>23</v>
      </c>
      <c r="V45" s="15" t="s">
        <v>24</v>
      </c>
      <c r="W45" s="15" t="s">
        <v>2</v>
      </c>
      <c r="X45" s="15" t="s">
        <v>23</v>
      </c>
      <c r="Y45" s="15" t="s">
        <v>25</v>
      </c>
      <c r="Z45" t="s">
        <v>24</v>
      </c>
      <c r="AA45" t="s">
        <v>23</v>
      </c>
      <c r="AB45" t="s">
        <v>2</v>
      </c>
      <c r="AC45" t="s">
        <v>25</v>
      </c>
      <c r="AD45" t="s">
        <v>25</v>
      </c>
      <c r="AE45" t="s">
        <v>25</v>
      </c>
      <c r="AF45" t="s">
        <v>25</v>
      </c>
      <c r="AG45" t="s">
        <v>2</v>
      </c>
      <c r="AH45" t="s">
        <v>2</v>
      </c>
      <c r="AI45" t="s">
        <v>24</v>
      </c>
      <c r="AJ45" t="s">
        <v>23</v>
      </c>
      <c r="AK45" t="s">
        <v>2</v>
      </c>
      <c r="AL45" t="s">
        <v>2</v>
      </c>
      <c r="AM45" t="s">
        <v>23</v>
      </c>
      <c r="AN45" t="s">
        <v>23</v>
      </c>
      <c r="AO45" s="15" t="s">
        <v>25</v>
      </c>
      <c r="AP45" s="15" t="s">
        <v>2</v>
      </c>
      <c r="AQ45" s="15" t="s">
        <v>25</v>
      </c>
      <c r="AR45" s="15" t="s">
        <v>23</v>
      </c>
      <c r="AS45" s="15" t="s">
        <v>24</v>
      </c>
      <c r="AT45" s="15" t="s">
        <v>25</v>
      </c>
      <c r="AU45" s="15" t="s">
        <v>25</v>
      </c>
      <c r="AV45" s="15" t="s">
        <v>23</v>
      </c>
      <c r="AW45" s="15" t="s">
        <v>25</v>
      </c>
      <c r="AX45" s="15" t="s">
        <v>2</v>
      </c>
      <c r="AY45" s="15" t="s">
        <v>24</v>
      </c>
      <c r="AZ45" s="15" t="s">
        <v>2</v>
      </c>
      <c r="BA45" s="15" t="s">
        <v>25</v>
      </c>
      <c r="BB45" s="15" t="s">
        <v>23</v>
      </c>
      <c r="BC45" s="15" t="s">
        <v>23</v>
      </c>
      <c r="BD45" s="15" t="s">
        <v>23</v>
      </c>
      <c r="BE45" s="15" t="s">
        <v>24</v>
      </c>
      <c r="BF45" s="15" t="s">
        <v>24</v>
      </c>
      <c r="BG45" s="15" t="s">
        <v>24</v>
      </c>
      <c r="BH45" s="15" t="s">
        <v>25</v>
      </c>
      <c r="BI45" s="15" t="s">
        <v>2</v>
      </c>
      <c r="BJ45" t="s">
        <v>25</v>
      </c>
      <c r="BK45" t="s">
        <v>23</v>
      </c>
      <c r="BL45" t="s">
        <v>24</v>
      </c>
      <c r="BM45" t="s">
        <v>2</v>
      </c>
      <c r="BN45" t="s">
        <v>25</v>
      </c>
      <c r="BO45" t="s">
        <v>23</v>
      </c>
      <c r="BP45" t="s">
        <v>2</v>
      </c>
      <c r="BQ45" t="s">
        <v>24</v>
      </c>
      <c r="BR45" t="s">
        <v>23</v>
      </c>
      <c r="BS45" t="s">
        <v>23</v>
      </c>
      <c r="BT45" t="s">
        <v>25</v>
      </c>
      <c r="BU45" t="s">
        <v>23</v>
      </c>
      <c r="BV45" t="s">
        <v>2</v>
      </c>
      <c r="BW45" t="s">
        <v>24</v>
      </c>
      <c r="BX45" s="15" t="s">
        <v>25</v>
      </c>
      <c r="BY45" s="15" t="s">
        <v>25</v>
      </c>
      <c r="BZ45" s="15" t="s">
        <v>25</v>
      </c>
      <c r="CA45" s="15" t="s">
        <v>2</v>
      </c>
      <c r="CB45" s="15" t="s">
        <v>2</v>
      </c>
      <c r="CC45" s="15" t="s">
        <v>24</v>
      </c>
      <c r="CD45" s="15" t="s">
        <v>2</v>
      </c>
      <c r="CE45" s="15" t="s">
        <v>25</v>
      </c>
      <c r="CF45" t="s">
        <v>24</v>
      </c>
      <c r="CG45" t="s">
        <v>2</v>
      </c>
      <c r="CH45" t="s">
        <v>23</v>
      </c>
      <c r="CI45" t="s">
        <v>23</v>
      </c>
      <c r="CJ45" t="s">
        <v>25</v>
      </c>
      <c r="CK45" t="s">
        <v>23</v>
      </c>
      <c r="CL45" t="s">
        <v>24</v>
      </c>
      <c r="CM45" t="s">
        <v>24</v>
      </c>
      <c r="CN45" t="s">
        <v>26</v>
      </c>
      <c r="CO45" t="s">
        <v>23</v>
      </c>
      <c r="CP45" t="s">
        <v>23</v>
      </c>
      <c r="CQ45" t="s">
        <v>24</v>
      </c>
      <c r="CR45" t="s">
        <v>25</v>
      </c>
      <c r="CS45" t="s">
        <v>26</v>
      </c>
      <c r="CT45" t="s">
        <v>24</v>
      </c>
      <c r="CU45" t="s">
        <v>23</v>
      </c>
      <c r="CV45" t="s">
        <v>23</v>
      </c>
      <c r="CW45" t="s">
        <v>26</v>
      </c>
      <c r="CX45" t="s">
        <v>25</v>
      </c>
      <c r="CY45" t="s">
        <v>2</v>
      </c>
      <c r="CZ45" t="s">
        <v>25</v>
      </c>
      <c r="DA45" t="s">
        <v>25</v>
      </c>
      <c r="DB45" t="s">
        <v>23</v>
      </c>
      <c r="DC45" t="s">
        <v>25</v>
      </c>
      <c r="DD45" t="s">
        <v>2</v>
      </c>
      <c r="DE45" t="s">
        <v>24</v>
      </c>
      <c r="DF45" t="s">
        <v>26</v>
      </c>
      <c r="DG45" t="s">
        <v>26</v>
      </c>
      <c r="DH45" t="s">
        <v>2</v>
      </c>
      <c r="DI45" t="s">
        <v>26</v>
      </c>
      <c r="DJ45" t="s">
        <v>25</v>
      </c>
      <c r="DK45" t="s">
        <v>26</v>
      </c>
      <c r="DL45" t="s">
        <v>25</v>
      </c>
      <c r="DM45" t="s">
        <v>24</v>
      </c>
      <c r="DN45" t="s">
        <v>23</v>
      </c>
      <c r="DO45" t="s">
        <v>23</v>
      </c>
      <c r="DP45" t="s">
        <v>26</v>
      </c>
      <c r="DQ45" t="s">
        <v>2</v>
      </c>
      <c r="DR45" t="s">
        <v>2</v>
      </c>
      <c r="DS45" t="s">
        <v>26</v>
      </c>
      <c r="DT45" t="s">
        <v>25</v>
      </c>
      <c r="DU45" t="s">
        <v>25</v>
      </c>
      <c r="DV45" t="s">
        <v>2</v>
      </c>
      <c r="DW45" t="s">
        <v>24</v>
      </c>
      <c r="DX45" t="s">
        <v>24</v>
      </c>
      <c r="DY45" t="s">
        <v>26</v>
      </c>
      <c r="DZ45" t="s">
        <v>23</v>
      </c>
      <c r="EA45" t="s">
        <v>2</v>
      </c>
      <c r="EB45" t="s">
        <v>23</v>
      </c>
      <c r="EC45" t="s">
        <v>23</v>
      </c>
      <c r="ED45" t="s">
        <v>26</v>
      </c>
      <c r="EE45" t="s">
        <v>2</v>
      </c>
      <c r="EF45" t="s">
        <v>26</v>
      </c>
      <c r="EG45" t="s">
        <v>24</v>
      </c>
      <c r="EH45" t="s">
        <v>23</v>
      </c>
      <c r="EI45" t="s">
        <v>25</v>
      </c>
      <c r="EJ45" t="s">
        <v>2</v>
      </c>
      <c r="EK45" t="s">
        <v>24</v>
      </c>
      <c r="EL45" t="s">
        <v>25</v>
      </c>
      <c r="EM45" t="s">
        <v>24</v>
      </c>
      <c r="EN45" t="s">
        <v>23</v>
      </c>
      <c r="EO45" t="s">
        <v>25</v>
      </c>
      <c r="EP45" s="15" t="s">
        <v>2</v>
      </c>
      <c r="EQ45" s="15" t="s">
        <v>23</v>
      </c>
      <c r="ER45" s="15" t="s">
        <v>23</v>
      </c>
      <c r="ES45" s="15" t="s">
        <v>2</v>
      </c>
      <c r="ET45" s="15" t="s">
        <v>25</v>
      </c>
      <c r="EU45" s="15" t="s">
        <v>2</v>
      </c>
      <c r="EV45" s="15" t="s">
        <v>23</v>
      </c>
      <c r="EW45" s="15" t="s">
        <v>2</v>
      </c>
      <c r="EX45" s="15" t="s">
        <v>24</v>
      </c>
      <c r="EY45" s="15" t="s">
        <v>23</v>
      </c>
      <c r="EZ45" s="15" t="s">
        <v>25</v>
      </c>
      <c r="FA45" s="15" t="s">
        <v>23</v>
      </c>
      <c r="FB45" t="s">
        <v>24</v>
      </c>
      <c r="FC45" s="15" t="s">
        <v>23</v>
      </c>
      <c r="FD45" s="15" t="s">
        <v>2</v>
      </c>
      <c r="FE45" s="15" t="s">
        <v>24</v>
      </c>
      <c r="FF45" s="15" t="s">
        <v>25</v>
      </c>
      <c r="FG45" s="15" t="s">
        <v>23</v>
      </c>
      <c r="FH45" s="15" t="s">
        <v>23</v>
      </c>
      <c r="FI45" s="15" t="s">
        <v>2</v>
      </c>
      <c r="FJ45" s="15" t="s">
        <v>23</v>
      </c>
      <c r="FK45" s="15" t="s">
        <v>23</v>
      </c>
      <c r="FL45" s="15" t="s">
        <v>23</v>
      </c>
      <c r="FM45" s="15" t="s">
        <v>25</v>
      </c>
      <c r="FN45" s="15" t="s">
        <v>25</v>
      </c>
      <c r="FO45" t="s">
        <v>23</v>
      </c>
      <c r="FP45" t="s">
        <v>23</v>
      </c>
      <c r="FQ45" t="s">
        <v>24</v>
      </c>
      <c r="FR45" t="s">
        <v>2</v>
      </c>
      <c r="FS45" t="s">
        <v>24</v>
      </c>
      <c r="FT45" t="s">
        <v>25</v>
      </c>
      <c r="FU45" t="s">
        <v>23</v>
      </c>
      <c r="FV45" t="s">
        <v>24</v>
      </c>
      <c r="FW45" t="s">
        <v>24</v>
      </c>
      <c r="FX45" t="s">
        <v>25</v>
      </c>
      <c r="FY45" s="15" t="s">
        <v>23</v>
      </c>
      <c r="FZ45" s="15" t="s">
        <v>24</v>
      </c>
      <c r="GA45" s="15" t="s">
        <v>23</v>
      </c>
      <c r="GB45" s="15" t="s">
        <v>23</v>
      </c>
      <c r="GC45" s="15" t="s">
        <v>2</v>
      </c>
      <c r="GD45" s="15" t="s">
        <v>24</v>
      </c>
      <c r="GE45" s="15" t="s">
        <v>2</v>
      </c>
      <c r="GF45" s="15" t="s">
        <v>25</v>
      </c>
      <c r="GG45" s="15" t="s">
        <v>2</v>
      </c>
      <c r="GH45" s="15" t="s">
        <v>2</v>
      </c>
      <c r="GI45" s="15" t="s">
        <v>24</v>
      </c>
      <c r="GJ45" s="15" t="s">
        <v>25</v>
      </c>
      <c r="GK45" s="15" t="s">
        <v>23</v>
      </c>
      <c r="GL45" s="15" t="s">
        <v>24</v>
      </c>
      <c r="GM45" s="15" t="s">
        <v>2</v>
      </c>
      <c r="GN45" s="15" t="s">
        <v>25</v>
      </c>
      <c r="GO45" s="15" t="s">
        <v>23</v>
      </c>
      <c r="GP45" t="s">
        <v>24</v>
      </c>
      <c r="GQ45" s="15" t="s">
        <v>24</v>
      </c>
      <c r="GR45" s="15" t="s">
        <v>2</v>
      </c>
      <c r="GS45" s="15"/>
      <c r="GT45" t="s">
        <v>25</v>
      </c>
      <c r="GU45" t="s">
        <v>25</v>
      </c>
      <c r="GV45" t="s">
        <v>2</v>
      </c>
      <c r="GW45" t="s">
        <v>24</v>
      </c>
      <c r="GX45" t="s">
        <v>23</v>
      </c>
      <c r="GY45" t="s">
        <v>25</v>
      </c>
      <c r="GZ45" t="s">
        <v>25</v>
      </c>
      <c r="HA45" t="s">
        <v>25</v>
      </c>
      <c r="HB45" t="s">
        <v>25</v>
      </c>
      <c r="HC45" t="s">
        <v>24</v>
      </c>
      <c r="HD45" t="s">
        <v>24</v>
      </c>
      <c r="HE45" t="s">
        <v>25</v>
      </c>
      <c r="HF45" t="s">
        <v>24</v>
      </c>
      <c r="HG45" t="s">
        <v>24</v>
      </c>
      <c r="HH45" s="15" t="s">
        <v>25</v>
      </c>
      <c r="HI45" s="15" t="s">
        <v>25</v>
      </c>
      <c r="HJ45" s="15" t="s">
        <v>23</v>
      </c>
      <c r="HK45" s="15" t="s">
        <v>24</v>
      </c>
      <c r="HL45" s="15" t="s">
        <v>25</v>
      </c>
      <c r="HM45" s="15" t="s">
        <v>2</v>
      </c>
      <c r="HN45" s="15"/>
      <c r="HO45" s="15"/>
      <c r="HP45" s="15"/>
      <c r="HQ45" s="15"/>
      <c r="HR45" s="15"/>
      <c r="HS45" s="15"/>
      <c r="HT45" s="15"/>
      <c r="HU45" s="15"/>
      <c r="HV45" s="15"/>
      <c r="HW45" s="15"/>
      <c r="IQ45" s="15"/>
      <c r="IR45" s="15"/>
      <c r="IS45" s="15"/>
      <c r="IT45" s="15"/>
      <c r="IU45" s="15"/>
      <c r="IV45" s="15"/>
      <c r="IW45" s="15"/>
      <c r="IX45" s="15"/>
      <c r="IY45" s="15"/>
      <c r="IZ45" s="15"/>
      <c r="JA45" s="15"/>
      <c r="JB45" s="15"/>
      <c r="JC45" s="15"/>
      <c r="JD45" s="15"/>
      <c r="JE45" s="15"/>
      <c r="JF45" s="15"/>
      <c r="JG45" s="15"/>
      <c r="JH45" s="15"/>
      <c r="JI45" s="15"/>
      <c r="JZ45" s="15"/>
      <c r="KA45" s="15"/>
      <c r="KB45" s="15"/>
      <c r="KC45" s="15"/>
      <c r="KD45" s="15"/>
      <c r="KE45" s="15"/>
      <c r="KF45" s="15"/>
      <c r="KG45" s="15"/>
      <c r="KH45" s="15"/>
      <c r="KI45" s="15"/>
      <c r="KJ45" s="15"/>
      <c r="KK45" s="15"/>
      <c r="KL45" s="15"/>
      <c r="KM45" s="15"/>
      <c r="LI45" s="15"/>
      <c r="LJ45" s="15"/>
      <c r="LK45" s="15"/>
      <c r="LL45" s="15"/>
      <c r="LM45" s="15"/>
      <c r="LN45" s="15"/>
      <c r="LO45" s="15"/>
      <c r="LQ45" s="15"/>
      <c r="LR45" s="15"/>
    </row>
    <row r="46" spans="1:330">
      <c r="A46">
        <v>43662</v>
      </c>
      <c r="B46" s="15" t="s">
        <v>788</v>
      </c>
      <c r="C46" s="15" t="s">
        <v>671</v>
      </c>
      <c r="D46" s="15" t="s">
        <v>37</v>
      </c>
      <c r="E46" s="15" t="s">
        <v>765</v>
      </c>
      <c r="F46" s="15"/>
      <c r="G46" s="15" t="s">
        <v>23</v>
      </c>
      <c r="H46" s="15" t="s">
        <v>24</v>
      </c>
      <c r="I46" s="15" t="s">
        <v>23</v>
      </c>
      <c r="J46" s="15" t="s">
        <v>25</v>
      </c>
      <c r="K46" s="15" t="s">
        <v>2</v>
      </c>
      <c r="L46" s="15" t="s">
        <v>2</v>
      </c>
      <c r="M46" s="15" t="s">
        <v>24</v>
      </c>
      <c r="N46" s="15" t="s">
        <v>23</v>
      </c>
      <c r="O46" s="15" t="s">
        <v>24</v>
      </c>
      <c r="P46" s="15" t="s">
        <v>25</v>
      </c>
      <c r="Q46" s="15" t="s">
        <v>25</v>
      </c>
      <c r="R46" s="15" t="s">
        <v>24</v>
      </c>
      <c r="S46" s="15" t="s">
        <v>25</v>
      </c>
      <c r="T46" s="15" t="s">
        <v>25</v>
      </c>
      <c r="U46" s="15" t="s">
        <v>24</v>
      </c>
      <c r="V46" s="15" t="s">
        <v>24</v>
      </c>
      <c r="W46" s="15" t="s">
        <v>2</v>
      </c>
      <c r="X46" s="15" t="s">
        <v>23</v>
      </c>
      <c r="Y46" s="15" t="s">
        <v>2</v>
      </c>
      <c r="Z46" t="s">
        <v>25</v>
      </c>
      <c r="AA46" t="s">
        <v>25</v>
      </c>
      <c r="AB46" t="s">
        <v>2</v>
      </c>
      <c r="AC46" t="s">
        <v>25</v>
      </c>
      <c r="AD46" t="s">
        <v>25</v>
      </c>
      <c r="AE46" t="s">
        <v>23</v>
      </c>
      <c r="AF46" t="s">
        <v>23</v>
      </c>
      <c r="AG46" t="s">
        <v>2</v>
      </c>
      <c r="AH46" t="s">
        <v>2</v>
      </c>
      <c r="AI46" t="s">
        <v>24</v>
      </c>
      <c r="AJ46" t="s">
        <v>23</v>
      </c>
      <c r="AK46" t="s">
        <v>2</v>
      </c>
      <c r="AL46" t="s">
        <v>23</v>
      </c>
      <c r="AM46" t="s">
        <v>23</v>
      </c>
      <c r="AN46" t="s">
        <v>24</v>
      </c>
      <c r="AO46" s="15" t="s">
        <v>23</v>
      </c>
      <c r="AP46" s="15" t="s">
        <v>2</v>
      </c>
      <c r="AQ46" s="15" t="s">
        <v>23</v>
      </c>
      <c r="AR46" s="15" t="s">
        <v>24</v>
      </c>
      <c r="AS46" t="s">
        <v>23</v>
      </c>
      <c r="AT46" s="15" t="s">
        <v>2</v>
      </c>
      <c r="AU46" s="15" t="s">
        <v>25</v>
      </c>
      <c r="AV46" s="15" t="s">
        <v>2</v>
      </c>
      <c r="AW46" s="15" t="s">
        <v>2</v>
      </c>
      <c r="AX46" s="15" t="s">
        <v>23</v>
      </c>
      <c r="AY46" s="15" t="s">
        <v>24</v>
      </c>
      <c r="AZ46" s="15" t="s">
        <v>25</v>
      </c>
      <c r="BA46" s="15" t="s">
        <v>24</v>
      </c>
      <c r="BB46" s="15" t="s">
        <v>24</v>
      </c>
      <c r="BC46" s="15" t="s">
        <v>23</v>
      </c>
      <c r="BD46" s="15" t="s">
        <v>2</v>
      </c>
      <c r="BE46" s="15" t="s">
        <v>24</v>
      </c>
      <c r="BF46" s="15" t="s">
        <v>2</v>
      </c>
      <c r="BG46" s="15" t="s">
        <v>2</v>
      </c>
      <c r="BH46" s="15" t="s">
        <v>2</v>
      </c>
      <c r="BI46" s="15" t="s">
        <v>23</v>
      </c>
      <c r="BJ46" s="15" t="s">
        <v>24</v>
      </c>
      <c r="BK46" s="15" t="s">
        <v>23</v>
      </c>
      <c r="BL46" s="15" t="s">
        <v>23</v>
      </c>
      <c r="BM46" t="s">
        <v>24</v>
      </c>
      <c r="BN46" t="s">
        <v>23</v>
      </c>
      <c r="BO46" t="s">
        <v>23</v>
      </c>
      <c r="BP46" t="s">
        <v>25</v>
      </c>
      <c r="BQ46" t="s">
        <v>2</v>
      </c>
      <c r="BR46" t="s">
        <v>23</v>
      </c>
      <c r="BS46" t="s">
        <v>24</v>
      </c>
      <c r="BT46" t="s">
        <v>23</v>
      </c>
      <c r="BU46" t="s">
        <v>25</v>
      </c>
      <c r="BV46" t="s">
        <v>23</v>
      </c>
      <c r="BW46" t="s">
        <v>24</v>
      </c>
      <c r="BX46" s="15" t="s">
        <v>24</v>
      </c>
      <c r="BY46" s="15" t="s">
        <v>23</v>
      </c>
      <c r="BZ46" s="15" t="s">
        <v>2</v>
      </c>
      <c r="CA46" s="15" t="s">
        <v>25</v>
      </c>
      <c r="CB46" s="15" t="s">
        <v>2</v>
      </c>
      <c r="CC46" s="15" t="s">
        <v>24</v>
      </c>
      <c r="CD46" s="15" t="s">
        <v>2</v>
      </c>
      <c r="CE46" s="15" t="s">
        <v>25</v>
      </c>
      <c r="CF46" t="s">
        <v>24</v>
      </c>
      <c r="CG46" t="s">
        <v>2</v>
      </c>
      <c r="CH46" t="s">
        <v>23</v>
      </c>
      <c r="CI46" t="s">
        <v>23</v>
      </c>
      <c r="CJ46" t="s">
        <v>25</v>
      </c>
      <c r="CK46" t="s">
        <v>23</v>
      </c>
      <c r="CL46" t="s">
        <v>24</v>
      </c>
      <c r="CM46" t="s">
        <v>24</v>
      </c>
      <c r="CN46" t="s">
        <v>26</v>
      </c>
      <c r="CO46" t="s">
        <v>23</v>
      </c>
      <c r="CP46" t="s">
        <v>2</v>
      </c>
      <c r="CQ46" t="s">
        <v>24</v>
      </c>
      <c r="CR46" t="s">
        <v>25</v>
      </c>
      <c r="CS46" t="s">
        <v>26</v>
      </c>
      <c r="CT46" t="s">
        <v>24</v>
      </c>
      <c r="CU46" t="s">
        <v>23</v>
      </c>
      <c r="CV46" t="s">
        <v>23</v>
      </c>
      <c r="CW46" t="s">
        <v>25</v>
      </c>
      <c r="CX46" t="s">
        <v>25</v>
      </c>
      <c r="CY46" t="s">
        <v>2</v>
      </c>
      <c r="CZ46" t="s">
        <v>25</v>
      </c>
      <c r="DA46" t="s">
        <v>24</v>
      </c>
      <c r="DB46" t="s">
        <v>23</v>
      </c>
      <c r="DC46" t="s">
        <v>25</v>
      </c>
      <c r="DD46" t="s">
        <v>2</v>
      </c>
      <c r="DE46" t="s">
        <v>24</v>
      </c>
      <c r="DF46" t="s">
        <v>2</v>
      </c>
      <c r="DG46" t="s">
        <v>26</v>
      </c>
      <c r="DH46" t="s">
        <v>2</v>
      </c>
      <c r="DI46" t="s">
        <v>26</v>
      </c>
      <c r="DJ46" t="s">
        <v>25</v>
      </c>
      <c r="DK46" t="s">
        <v>26</v>
      </c>
      <c r="DL46" t="s">
        <v>2</v>
      </c>
      <c r="DM46" t="s">
        <v>24</v>
      </c>
      <c r="DN46" t="s">
        <v>25</v>
      </c>
      <c r="DO46" t="s">
        <v>24</v>
      </c>
      <c r="DP46" t="s">
        <v>23</v>
      </c>
      <c r="DQ46" t="s">
        <v>2</v>
      </c>
      <c r="DR46" t="s">
        <v>2</v>
      </c>
      <c r="DS46" t="s">
        <v>26</v>
      </c>
      <c r="DT46" t="s">
        <v>25</v>
      </c>
      <c r="DU46" t="s">
        <v>25</v>
      </c>
      <c r="DV46" t="s">
        <v>24</v>
      </c>
      <c r="DW46" t="s">
        <v>25</v>
      </c>
      <c r="DX46" t="s">
        <v>24</v>
      </c>
      <c r="DY46" t="s">
        <v>26</v>
      </c>
      <c r="DZ46" t="s">
        <v>24</v>
      </c>
      <c r="EA46" t="s">
        <v>2</v>
      </c>
      <c r="EB46" t="s">
        <v>23</v>
      </c>
      <c r="EC46" t="s">
        <v>23</v>
      </c>
      <c r="ED46" t="s">
        <v>24</v>
      </c>
      <c r="EE46" t="s">
        <v>26</v>
      </c>
      <c r="EF46" t="s">
        <v>24</v>
      </c>
      <c r="EG46" t="s">
        <v>24</v>
      </c>
      <c r="EH46" t="s">
        <v>26</v>
      </c>
      <c r="EI46" t="s">
        <v>24</v>
      </c>
      <c r="EJ46" t="s">
        <v>25</v>
      </c>
      <c r="EK46" t="s">
        <v>23</v>
      </c>
      <c r="EL46" t="s">
        <v>25</v>
      </c>
      <c r="EM46" t="s">
        <v>24</v>
      </c>
      <c r="EN46" t="s">
        <v>23</v>
      </c>
      <c r="EO46" t="s">
        <v>25</v>
      </c>
      <c r="EP46" s="15" t="s">
        <v>24</v>
      </c>
      <c r="EQ46" s="15" t="s">
        <v>25</v>
      </c>
      <c r="ER46" s="15" t="s">
        <v>23</v>
      </c>
      <c r="ES46" s="15" t="s">
        <v>24</v>
      </c>
      <c r="ET46" s="15" t="s">
        <v>23</v>
      </c>
      <c r="EU46" s="15" t="s">
        <v>23</v>
      </c>
      <c r="EV46" s="15" t="s">
        <v>23</v>
      </c>
      <c r="EW46" s="15" t="s">
        <v>2</v>
      </c>
      <c r="EX46" s="15" t="s">
        <v>23</v>
      </c>
      <c r="EY46" s="15" t="s">
        <v>23</v>
      </c>
      <c r="EZ46" s="15" t="s">
        <v>24</v>
      </c>
      <c r="FA46" t="s">
        <v>23</v>
      </c>
      <c r="FB46" s="15" t="s">
        <v>24</v>
      </c>
      <c r="FC46" s="15" t="s">
        <v>2</v>
      </c>
      <c r="FD46" s="15"/>
      <c r="FE46" s="15"/>
      <c r="FF46" s="15" t="s">
        <v>25</v>
      </c>
      <c r="FG46" s="15" t="s">
        <v>23</v>
      </c>
      <c r="FH46" s="15" t="s">
        <v>23</v>
      </c>
      <c r="FI46" s="15" t="s">
        <v>25</v>
      </c>
      <c r="FJ46" s="15" t="s">
        <v>24</v>
      </c>
      <c r="FK46" s="15" t="s">
        <v>24</v>
      </c>
      <c r="FL46" s="15" t="s">
        <v>2</v>
      </c>
      <c r="FM46" t="s">
        <v>24</v>
      </c>
      <c r="FN46" t="s">
        <v>23</v>
      </c>
      <c r="FO46" t="s">
        <v>23</v>
      </c>
      <c r="FP46" s="15" t="s">
        <v>25</v>
      </c>
      <c r="FQ46" s="15" t="s">
        <v>24</v>
      </c>
      <c r="FR46" s="15" t="s">
        <v>2</v>
      </c>
      <c r="FS46" t="s">
        <v>24</v>
      </c>
      <c r="FT46" s="15" t="s">
        <v>23</v>
      </c>
      <c r="FU46" t="s">
        <v>2</v>
      </c>
      <c r="FV46" t="s">
        <v>23</v>
      </c>
      <c r="FW46" t="s">
        <v>24</v>
      </c>
      <c r="FX46" t="s">
        <v>25</v>
      </c>
      <c r="FY46" s="15" t="s">
        <v>2</v>
      </c>
      <c r="FZ46" t="s">
        <v>24</v>
      </c>
      <c r="GA46" t="s">
        <v>24</v>
      </c>
      <c r="GB46" t="s">
        <v>23</v>
      </c>
      <c r="GC46" t="s">
        <v>23</v>
      </c>
      <c r="GD46" t="s">
        <v>24</v>
      </c>
      <c r="GE46" t="s">
        <v>23</v>
      </c>
      <c r="GF46" s="15" t="s">
        <v>25</v>
      </c>
      <c r="GG46" s="15" t="s">
        <v>23</v>
      </c>
      <c r="GH46" s="15" t="s">
        <v>2</v>
      </c>
      <c r="GI46" s="15" t="s">
        <v>24</v>
      </c>
      <c r="GJ46" s="15" t="s">
        <v>24</v>
      </c>
      <c r="GK46" s="15" t="s">
        <v>25</v>
      </c>
      <c r="GL46" s="15" t="s">
        <v>24</v>
      </c>
      <c r="GM46" s="15" t="s">
        <v>2</v>
      </c>
      <c r="GN46" t="s">
        <v>25</v>
      </c>
      <c r="GO46" s="15" t="s">
        <v>23</v>
      </c>
      <c r="GP46" s="15" t="s">
        <v>25</v>
      </c>
      <c r="GQ46" s="15" t="s">
        <v>2</v>
      </c>
      <c r="GR46" s="15" t="s">
        <v>2</v>
      </c>
      <c r="GS46" t="s">
        <v>23</v>
      </c>
      <c r="GT46" t="s">
        <v>24</v>
      </c>
      <c r="GU46" s="15" t="s">
        <v>25</v>
      </c>
      <c r="GV46" t="s">
        <v>23</v>
      </c>
      <c r="GW46" t="s">
        <v>24</v>
      </c>
      <c r="GX46" t="s">
        <v>25</v>
      </c>
      <c r="GY46" t="s">
        <v>25</v>
      </c>
      <c r="GZ46" t="s">
        <v>25</v>
      </c>
      <c r="HA46" t="s">
        <v>24</v>
      </c>
      <c r="HB46" t="s">
        <v>23</v>
      </c>
      <c r="HC46" t="s">
        <v>25</v>
      </c>
      <c r="HD46" t="s">
        <v>24</v>
      </c>
      <c r="HE46" t="s">
        <v>25</v>
      </c>
      <c r="HF46" t="s">
        <v>25</v>
      </c>
      <c r="HG46" t="s">
        <v>24</v>
      </c>
      <c r="HH46" s="15" t="s">
        <v>23</v>
      </c>
      <c r="HI46" s="15" t="s">
        <v>25</v>
      </c>
      <c r="HJ46" s="15" t="s">
        <v>23</v>
      </c>
      <c r="HK46" s="15" t="s">
        <v>25</v>
      </c>
      <c r="HL46" s="15" t="s">
        <v>2</v>
      </c>
      <c r="HM46" s="15" t="s">
        <v>23</v>
      </c>
      <c r="HN46" s="15"/>
      <c r="HO46" s="15"/>
      <c r="HP46" s="15"/>
      <c r="HQ46" s="15"/>
      <c r="HR46" s="15"/>
      <c r="HS46" s="15"/>
      <c r="HT46" s="15"/>
      <c r="HW46" s="15"/>
      <c r="IV46" s="15"/>
      <c r="IW46" s="15"/>
      <c r="IX46" s="15"/>
      <c r="IY46" s="15"/>
      <c r="IZ46" s="15"/>
      <c r="JA46" s="15"/>
      <c r="JZ46" s="15"/>
      <c r="KA46" s="15"/>
      <c r="KB46" s="15"/>
      <c r="KC46" s="15"/>
      <c r="KD46" s="15"/>
      <c r="KE46" s="15"/>
      <c r="KG46" s="15"/>
      <c r="KH46" s="15"/>
      <c r="KK46" s="15"/>
      <c r="KL46" s="15"/>
      <c r="LI46" s="15"/>
      <c r="LJ46" s="15"/>
      <c r="LK46" s="15"/>
      <c r="LL46" s="15"/>
      <c r="LM46" s="15"/>
      <c r="LN46" s="15"/>
      <c r="LO46" s="15"/>
      <c r="LP46" s="15"/>
      <c r="LQ46" s="15"/>
      <c r="LR46" s="15"/>
    </row>
    <row r="47" spans="1:330">
      <c r="A47">
        <v>43662</v>
      </c>
      <c r="B47" s="15" t="s">
        <v>789</v>
      </c>
      <c r="C47" s="15" t="s">
        <v>674</v>
      </c>
      <c r="D47" s="15" t="s">
        <v>37</v>
      </c>
      <c r="E47" s="15" t="s">
        <v>765</v>
      </c>
      <c r="F47" s="15"/>
      <c r="G47" s="15" t="s">
        <v>25</v>
      </c>
      <c r="H47" s="15" t="s">
        <v>25</v>
      </c>
      <c r="I47" s="15" t="s">
        <v>23</v>
      </c>
      <c r="J47" s="15" t="s">
        <v>24</v>
      </c>
      <c r="K47" s="15" t="s">
        <v>25</v>
      </c>
      <c r="L47" s="15" t="s">
        <v>2</v>
      </c>
      <c r="M47" s="15" t="s">
        <v>24</v>
      </c>
      <c r="N47" t="s">
        <v>23</v>
      </c>
      <c r="O47" s="15" t="s">
        <v>24</v>
      </c>
      <c r="P47" s="15" t="s">
        <v>2</v>
      </c>
      <c r="Q47" s="15" t="s">
        <v>2</v>
      </c>
      <c r="R47" s="15" t="s">
        <v>24</v>
      </c>
      <c r="S47" s="15" t="s">
        <v>2</v>
      </c>
      <c r="T47" s="15" t="s">
        <v>25</v>
      </c>
      <c r="U47" s="15" t="s">
        <v>23</v>
      </c>
      <c r="V47" s="15" t="s">
        <v>24</v>
      </c>
      <c r="W47" s="15" t="s">
        <v>2</v>
      </c>
      <c r="X47" s="15" t="s">
        <v>23</v>
      </c>
      <c r="Y47" s="15" t="s">
        <v>23</v>
      </c>
      <c r="Z47" t="s">
        <v>24</v>
      </c>
      <c r="AA47" t="s">
        <v>2</v>
      </c>
      <c r="AB47" t="s">
        <v>2</v>
      </c>
      <c r="AC47" t="s">
        <v>25</v>
      </c>
      <c r="AD47" t="s">
        <v>25</v>
      </c>
      <c r="AE47" t="s">
        <v>23</v>
      </c>
      <c r="AF47" t="s">
        <v>25</v>
      </c>
      <c r="AG47" t="s">
        <v>23</v>
      </c>
      <c r="AH47" t="s">
        <v>2</v>
      </c>
      <c r="AI47" t="s">
        <v>24</v>
      </c>
      <c r="AJ47" t="s">
        <v>23</v>
      </c>
      <c r="AK47" t="s">
        <v>2</v>
      </c>
      <c r="AL47" t="s">
        <v>2</v>
      </c>
      <c r="AM47" t="s">
        <v>24</v>
      </c>
      <c r="AN47" t="s">
        <v>23</v>
      </c>
      <c r="AO47" s="15" t="s">
        <v>23</v>
      </c>
      <c r="AP47" s="15" t="s">
        <v>2</v>
      </c>
      <c r="AQ47" s="15" t="s">
        <v>25</v>
      </c>
      <c r="AR47" s="15" t="s">
        <v>23</v>
      </c>
      <c r="AS47" t="s">
        <v>24</v>
      </c>
      <c r="AT47" s="15" t="s">
        <v>25</v>
      </c>
      <c r="AU47" s="15" t="s">
        <v>25</v>
      </c>
      <c r="AV47" s="15" t="s">
        <v>2</v>
      </c>
      <c r="AW47" s="15" t="s">
        <v>25</v>
      </c>
      <c r="AX47" s="15" t="s">
        <v>23</v>
      </c>
      <c r="AY47" s="15" t="s">
        <v>25</v>
      </c>
      <c r="AZ47" s="15" t="s">
        <v>25</v>
      </c>
      <c r="BA47" s="15" t="s">
        <v>24</v>
      </c>
      <c r="BB47" s="15" t="s">
        <v>24</v>
      </c>
      <c r="BC47" s="15" t="s">
        <v>23</v>
      </c>
      <c r="BD47" s="15" t="s">
        <v>24</v>
      </c>
      <c r="BE47" s="15" t="s">
        <v>24</v>
      </c>
      <c r="BF47" s="15" t="s">
        <v>2</v>
      </c>
      <c r="BG47" s="15" t="s">
        <v>2</v>
      </c>
      <c r="BH47" s="15" t="s">
        <v>25</v>
      </c>
      <c r="BI47" s="15" t="s">
        <v>23</v>
      </c>
      <c r="BJ47" s="15" t="s">
        <v>24</v>
      </c>
      <c r="BK47" s="15" t="s">
        <v>23</v>
      </c>
      <c r="BL47" s="15" t="s">
        <v>24</v>
      </c>
      <c r="BM47" t="s">
        <v>23</v>
      </c>
      <c r="BN47" t="s">
        <v>2</v>
      </c>
      <c r="BO47" t="s">
        <v>2</v>
      </c>
      <c r="BP47" t="s">
        <v>2</v>
      </c>
      <c r="BQ47" t="s">
        <v>24</v>
      </c>
      <c r="BR47" t="s">
        <v>23</v>
      </c>
      <c r="BS47" t="s">
        <v>24</v>
      </c>
      <c r="BT47" t="s">
        <v>25</v>
      </c>
      <c r="BU47" t="s">
        <v>23</v>
      </c>
      <c r="BV47" t="s">
        <v>2</v>
      </c>
      <c r="BW47" t="s">
        <v>24</v>
      </c>
      <c r="BX47" t="s">
        <v>25</v>
      </c>
      <c r="BY47" s="15" t="s">
        <v>23</v>
      </c>
      <c r="BZ47" s="15" t="s">
        <v>2</v>
      </c>
      <c r="CA47" s="15" t="s">
        <v>2</v>
      </c>
      <c r="CB47" s="15" t="s">
        <v>2</v>
      </c>
      <c r="CC47" s="15" t="s">
        <v>24</v>
      </c>
      <c r="CD47" s="15" t="s">
        <v>2</v>
      </c>
      <c r="CE47" s="15" t="s">
        <v>25</v>
      </c>
      <c r="CF47" t="s">
        <v>23</v>
      </c>
      <c r="CG47" t="s">
        <v>2</v>
      </c>
      <c r="CH47" t="s">
        <v>23</v>
      </c>
      <c r="CI47" t="s">
        <v>23</v>
      </c>
      <c r="CJ47" t="s">
        <v>25</v>
      </c>
      <c r="CK47" t="s">
        <v>23</v>
      </c>
      <c r="CL47" t="s">
        <v>24</v>
      </c>
      <c r="CM47" t="s">
        <v>24</v>
      </c>
      <c r="CN47" t="s">
        <v>26</v>
      </c>
      <c r="CO47" t="s">
        <v>23</v>
      </c>
      <c r="CP47" t="s">
        <v>2</v>
      </c>
      <c r="CQ47" t="s">
        <v>24</v>
      </c>
      <c r="CR47" t="s">
        <v>2</v>
      </c>
      <c r="CS47" t="s">
        <v>26</v>
      </c>
      <c r="CT47" t="s">
        <v>24</v>
      </c>
      <c r="CU47" t="s">
        <v>23</v>
      </c>
      <c r="CV47" t="s">
        <v>23</v>
      </c>
      <c r="CW47" t="s">
        <v>24</v>
      </c>
      <c r="CX47" t="s">
        <v>25</v>
      </c>
      <c r="CY47" t="s">
        <v>2</v>
      </c>
      <c r="CZ47" t="s">
        <v>25</v>
      </c>
      <c r="DA47" t="s">
        <v>24</v>
      </c>
      <c r="DB47" t="s">
        <v>23</v>
      </c>
      <c r="DC47" t="s">
        <v>25</v>
      </c>
      <c r="DD47" t="s">
        <v>2</v>
      </c>
      <c r="DE47" t="s">
        <v>24</v>
      </c>
      <c r="DF47" t="s">
        <v>26</v>
      </c>
      <c r="DG47" t="s">
        <v>26</v>
      </c>
      <c r="DH47" t="s">
        <v>2</v>
      </c>
      <c r="DI47" t="s">
        <v>26</v>
      </c>
      <c r="DJ47" t="s">
        <v>25</v>
      </c>
      <c r="DK47" t="s">
        <v>23</v>
      </c>
      <c r="DL47" t="s">
        <v>25</v>
      </c>
      <c r="DM47" t="s">
        <v>2</v>
      </c>
      <c r="DN47" t="s">
        <v>23</v>
      </c>
      <c r="DO47" t="s">
        <v>24</v>
      </c>
      <c r="DP47" t="s">
        <v>2</v>
      </c>
      <c r="DQ47" t="s">
        <v>2</v>
      </c>
      <c r="DR47" t="s">
        <v>2</v>
      </c>
      <c r="DS47" t="s">
        <v>2</v>
      </c>
      <c r="DT47" t="s">
        <v>25</v>
      </c>
      <c r="DU47" t="s">
        <v>25</v>
      </c>
      <c r="DV47" t="s">
        <v>24</v>
      </c>
      <c r="DW47" t="s">
        <v>25</v>
      </c>
      <c r="DX47" t="s">
        <v>24</v>
      </c>
      <c r="DY47" t="s">
        <v>26</v>
      </c>
      <c r="DZ47" t="s">
        <v>24</v>
      </c>
      <c r="EA47" t="s">
        <v>2</v>
      </c>
      <c r="EB47" t="s">
        <v>23</v>
      </c>
      <c r="EC47" t="s">
        <v>23</v>
      </c>
      <c r="ED47" t="s">
        <v>23</v>
      </c>
      <c r="EE47" t="s">
        <v>26</v>
      </c>
      <c r="EF47" t="s">
        <v>24</v>
      </c>
      <c r="EG47" t="s">
        <v>25</v>
      </c>
      <c r="EH47" t="s">
        <v>23</v>
      </c>
      <c r="EI47" t="s">
        <v>24</v>
      </c>
      <c r="EJ47" t="s">
        <v>2</v>
      </c>
      <c r="EK47" t="s">
        <v>23</v>
      </c>
      <c r="EL47" t="s">
        <v>25</v>
      </c>
      <c r="EM47" t="s">
        <v>24</v>
      </c>
      <c r="EN47" t="s">
        <v>25</v>
      </c>
      <c r="EO47" t="s">
        <v>23</v>
      </c>
      <c r="EP47" s="15" t="s">
        <v>24</v>
      </c>
      <c r="EQ47" s="15" t="s">
        <v>24</v>
      </c>
      <c r="ER47" s="15" t="s">
        <v>23</v>
      </c>
      <c r="ES47" s="15" t="s">
        <v>2</v>
      </c>
      <c r="ET47" s="15" t="s">
        <v>23</v>
      </c>
      <c r="EU47" s="15" t="s">
        <v>23</v>
      </c>
      <c r="EV47" s="15" t="s">
        <v>23</v>
      </c>
      <c r="EW47" s="15" t="s">
        <v>2</v>
      </c>
      <c r="EX47" s="15" t="s">
        <v>24</v>
      </c>
      <c r="EY47" s="15" t="s">
        <v>23</v>
      </c>
      <c r="EZ47" s="15" t="s">
        <v>24</v>
      </c>
      <c r="FA47" s="15" t="s">
        <v>23</v>
      </c>
      <c r="FB47" s="15" t="s">
        <v>24</v>
      </c>
      <c r="FC47" s="15" t="s">
        <v>2</v>
      </c>
      <c r="FD47" s="15" t="s">
        <v>23</v>
      </c>
      <c r="FE47" s="15" t="s">
        <v>23</v>
      </c>
      <c r="FF47" s="15" t="s">
        <v>25</v>
      </c>
      <c r="FG47" s="15" t="s">
        <v>25</v>
      </c>
      <c r="FH47" s="15" t="s">
        <v>23</v>
      </c>
      <c r="FI47" s="15" t="s">
        <v>25</v>
      </c>
      <c r="FJ47" s="15" t="s">
        <v>2</v>
      </c>
      <c r="FK47" s="15" t="s">
        <v>24</v>
      </c>
      <c r="FL47" s="15" t="s">
        <v>23</v>
      </c>
      <c r="FM47" s="15" t="s">
        <v>23</v>
      </c>
      <c r="FN47" s="15" t="s">
        <v>23</v>
      </c>
      <c r="FO47" s="15" t="s">
        <v>23</v>
      </c>
      <c r="FP47" s="15" t="s">
        <v>23</v>
      </c>
      <c r="FQ47" s="15" t="s">
        <v>24</v>
      </c>
      <c r="FR47" s="15" t="s">
        <v>2</v>
      </c>
      <c r="FS47" s="15" t="s">
        <v>24</v>
      </c>
      <c r="FT47" s="15" t="s">
        <v>23</v>
      </c>
      <c r="FU47" s="15" t="s">
        <v>24</v>
      </c>
      <c r="FV47" s="15" t="s">
        <v>23</v>
      </c>
      <c r="FW47" s="15" t="s">
        <v>24</v>
      </c>
      <c r="FX47" s="15" t="s">
        <v>24</v>
      </c>
      <c r="FY47" s="15" t="s">
        <v>2</v>
      </c>
      <c r="FZ47" s="15" t="s">
        <v>24</v>
      </c>
      <c r="GA47" t="s">
        <v>24</v>
      </c>
      <c r="GB47" s="15" t="s">
        <v>23</v>
      </c>
      <c r="GC47" s="15" t="s">
        <v>23</v>
      </c>
      <c r="GD47" s="15" t="s">
        <v>25</v>
      </c>
      <c r="GE47" s="15" t="s">
        <v>2</v>
      </c>
      <c r="GF47" s="15" t="s">
        <v>25</v>
      </c>
      <c r="GG47" s="15" t="s">
        <v>23</v>
      </c>
      <c r="GH47" s="15" t="s">
        <v>2</v>
      </c>
      <c r="GI47" s="15" t="s">
        <v>24</v>
      </c>
      <c r="GJ47" s="15" t="s">
        <v>24</v>
      </c>
      <c r="GK47" s="15" t="s">
        <v>25</v>
      </c>
      <c r="GL47" s="15" t="s">
        <v>24</v>
      </c>
      <c r="GM47" s="15" t="s">
        <v>2</v>
      </c>
      <c r="GN47" s="15" t="s">
        <v>25</v>
      </c>
      <c r="GO47" s="15" t="s">
        <v>23</v>
      </c>
      <c r="GP47" s="15" t="s">
        <v>25</v>
      </c>
      <c r="GQ47" s="15" t="s">
        <v>2</v>
      </c>
      <c r="GR47" t="s">
        <v>25</v>
      </c>
      <c r="GS47" s="15" t="s">
        <v>24</v>
      </c>
      <c r="GT47" s="15" t="s">
        <v>2</v>
      </c>
      <c r="GU47" s="15" t="s">
        <v>25</v>
      </c>
      <c r="GV47" s="15" t="s">
        <v>23</v>
      </c>
      <c r="GW47" t="s">
        <v>24</v>
      </c>
      <c r="GX47" t="s">
        <v>25</v>
      </c>
      <c r="GY47" t="s">
        <v>25</v>
      </c>
      <c r="GZ47" t="s">
        <v>25</v>
      </c>
      <c r="HA47" t="s">
        <v>24</v>
      </c>
      <c r="HB47" t="s">
        <v>2</v>
      </c>
      <c r="HC47" t="s">
        <v>25</v>
      </c>
      <c r="HD47" t="s">
        <v>24</v>
      </c>
      <c r="HE47" t="s">
        <v>23</v>
      </c>
      <c r="HF47" t="s">
        <v>25</v>
      </c>
      <c r="HG47" t="s">
        <v>24</v>
      </c>
      <c r="HH47" s="15" t="s">
        <v>24</v>
      </c>
      <c r="HI47" s="15" t="s">
        <v>25</v>
      </c>
      <c r="HJ47" s="15" t="s">
        <v>23</v>
      </c>
      <c r="HK47" s="15" t="s">
        <v>25</v>
      </c>
      <c r="HL47" s="15" t="s">
        <v>2</v>
      </c>
      <c r="HM47" s="15" t="s">
        <v>23</v>
      </c>
      <c r="HN47" s="15"/>
      <c r="HO47" s="15"/>
      <c r="HP47" s="15"/>
      <c r="HQ47" s="15"/>
      <c r="HR47" s="15"/>
      <c r="HS47" s="15"/>
      <c r="HT47" s="15"/>
      <c r="HU47" s="15"/>
      <c r="HV47" s="15"/>
      <c r="HW47" s="15"/>
      <c r="IQ47" s="15"/>
      <c r="IR47" s="15"/>
      <c r="IS47" s="15"/>
      <c r="IT47" s="15"/>
      <c r="IU47" s="15"/>
      <c r="IV47" s="15"/>
      <c r="IW47" s="15"/>
      <c r="IX47" s="15"/>
      <c r="IY47" s="15"/>
      <c r="IZ47" s="15"/>
      <c r="JA47" s="15"/>
      <c r="JB47" s="15"/>
      <c r="JC47" s="15"/>
      <c r="JD47" s="15"/>
      <c r="JE47" s="15"/>
      <c r="JF47" s="15"/>
      <c r="JG47" s="15"/>
      <c r="JH47" s="15"/>
      <c r="JI47" s="15"/>
      <c r="JZ47" s="15"/>
      <c r="KA47" s="15"/>
      <c r="KB47" s="15"/>
      <c r="KC47" s="15"/>
      <c r="KD47" s="15"/>
      <c r="KE47" s="15"/>
      <c r="KF47" s="15"/>
      <c r="KG47" s="15"/>
      <c r="KH47" s="15"/>
      <c r="KI47" s="15"/>
      <c r="KJ47" s="15"/>
      <c r="KK47" s="15"/>
      <c r="KL47" s="15"/>
      <c r="KM47" s="15"/>
      <c r="LI47" s="15"/>
      <c r="LJ47" s="15"/>
      <c r="LK47" s="15"/>
      <c r="LL47" s="15"/>
      <c r="LN47" s="15"/>
      <c r="LO47" s="15"/>
      <c r="LP47" s="15"/>
      <c r="LQ47" s="15"/>
      <c r="LR47" s="15"/>
    </row>
    <row r="48" spans="1:330">
      <c r="A48">
        <v>43662</v>
      </c>
      <c r="B48" s="15" t="s">
        <v>790</v>
      </c>
      <c r="C48" t="s">
        <v>727</v>
      </c>
      <c r="D48" s="15" t="s">
        <v>37</v>
      </c>
      <c r="E48" s="15" t="s">
        <v>765</v>
      </c>
      <c r="F48" s="15"/>
      <c r="G48" s="15" t="s">
        <v>24</v>
      </c>
      <c r="H48" s="15" t="s">
        <v>24</v>
      </c>
      <c r="I48" s="15" t="s">
        <v>23</v>
      </c>
      <c r="J48" s="15" t="s">
        <v>25</v>
      </c>
      <c r="K48" s="15" t="s">
        <v>2</v>
      </c>
      <c r="L48" s="15" t="s">
        <v>2</v>
      </c>
      <c r="M48" s="15" t="s">
        <v>24</v>
      </c>
      <c r="N48" s="15" t="s">
        <v>23</v>
      </c>
      <c r="O48" s="15" t="s">
        <v>24</v>
      </c>
      <c r="P48" s="15" t="s">
        <v>2</v>
      </c>
      <c r="Q48" s="15" t="s">
        <v>2</v>
      </c>
      <c r="R48" s="15" t="s">
        <v>24</v>
      </c>
      <c r="S48" s="15" t="s">
        <v>2</v>
      </c>
      <c r="T48" s="15" t="s">
        <v>25</v>
      </c>
      <c r="U48" s="15" t="s">
        <v>2</v>
      </c>
      <c r="V48" s="15" t="s">
        <v>24</v>
      </c>
      <c r="W48" s="15" t="s">
        <v>2</v>
      </c>
      <c r="X48" s="15" t="s">
        <v>23</v>
      </c>
      <c r="Y48" s="15" t="s">
        <v>2</v>
      </c>
      <c r="Z48" t="s">
        <v>24</v>
      </c>
      <c r="AA48" t="s">
        <v>23</v>
      </c>
      <c r="AB48" t="s">
        <v>2</v>
      </c>
      <c r="AC48" t="s">
        <v>24</v>
      </c>
      <c r="AD48" t="s">
        <v>25</v>
      </c>
      <c r="AE48" t="s">
        <v>24</v>
      </c>
      <c r="AF48" t="s">
        <v>25</v>
      </c>
      <c r="AG48" t="s">
        <v>23</v>
      </c>
      <c r="AH48" t="s">
        <v>2</v>
      </c>
      <c r="AI48" t="s">
        <v>24</v>
      </c>
      <c r="AJ48" t="s">
        <v>23</v>
      </c>
      <c r="AK48" t="s">
        <v>2</v>
      </c>
      <c r="AL48" t="s">
        <v>25</v>
      </c>
      <c r="AM48" t="s">
        <v>2</v>
      </c>
      <c r="AN48" t="s">
        <v>23</v>
      </c>
      <c r="AO48" s="15" t="s">
        <v>25</v>
      </c>
      <c r="AP48" s="15" t="s">
        <v>2</v>
      </c>
      <c r="AQ48" s="15" t="s">
        <v>25</v>
      </c>
      <c r="AR48" s="15" t="s">
        <v>23</v>
      </c>
      <c r="AS48" s="15" t="s">
        <v>24</v>
      </c>
      <c r="AT48" s="15" t="s">
        <v>25</v>
      </c>
      <c r="AU48" s="15" t="s">
        <v>25</v>
      </c>
      <c r="AV48" s="15" t="s">
        <v>23</v>
      </c>
      <c r="AW48" s="15" t="s">
        <v>25</v>
      </c>
      <c r="AX48" s="15" t="s">
        <v>23</v>
      </c>
      <c r="AY48" s="15" t="s">
        <v>24</v>
      </c>
      <c r="AZ48" s="15" t="s">
        <v>24</v>
      </c>
      <c r="BA48" s="15" t="s">
        <v>2</v>
      </c>
      <c r="BB48" s="15" t="s">
        <v>24</v>
      </c>
      <c r="BC48" s="15" t="s">
        <v>2</v>
      </c>
      <c r="BD48" s="15" t="s">
        <v>23</v>
      </c>
      <c r="BE48" s="15" t="s">
        <v>24</v>
      </c>
      <c r="BF48" s="15" t="s">
        <v>24</v>
      </c>
      <c r="BG48" s="15" t="s">
        <v>25</v>
      </c>
      <c r="BH48" s="15" t="s">
        <v>24</v>
      </c>
      <c r="BI48" s="15" t="s">
        <v>2</v>
      </c>
      <c r="BJ48" s="15" t="s">
        <v>25</v>
      </c>
      <c r="BK48" s="15" t="s">
        <v>23</v>
      </c>
      <c r="BL48" s="15" t="s">
        <v>24</v>
      </c>
      <c r="BM48" t="s">
        <v>24</v>
      </c>
      <c r="BN48" t="s">
        <v>2</v>
      </c>
      <c r="BO48" t="s">
        <v>2</v>
      </c>
      <c r="BP48" t="s">
        <v>2</v>
      </c>
      <c r="BQ48" t="s">
        <v>25</v>
      </c>
      <c r="BR48" t="s">
        <v>23</v>
      </c>
      <c r="BS48" t="s">
        <v>24</v>
      </c>
      <c r="BT48" t="s">
        <v>25</v>
      </c>
      <c r="BU48" t="s">
        <v>23</v>
      </c>
      <c r="BV48" t="s">
        <v>25</v>
      </c>
      <c r="BW48" t="s">
        <v>23</v>
      </c>
      <c r="BX48" s="15" t="s">
        <v>25</v>
      </c>
      <c r="BY48" s="15" t="s">
        <v>24</v>
      </c>
      <c r="BZ48" s="15" t="s">
        <v>2</v>
      </c>
      <c r="CA48" s="15" t="s">
        <v>25</v>
      </c>
      <c r="CB48" s="15" t="s">
        <v>25</v>
      </c>
      <c r="CC48" s="15" t="s">
        <v>24</v>
      </c>
      <c r="CD48" s="15" t="s">
        <v>2</v>
      </c>
      <c r="CE48" s="15" t="s">
        <v>25</v>
      </c>
      <c r="CF48" t="s">
        <v>24</v>
      </c>
      <c r="CG48" t="s">
        <v>2</v>
      </c>
      <c r="CH48" t="s">
        <v>23</v>
      </c>
      <c r="CI48" t="s">
        <v>23</v>
      </c>
      <c r="CJ48" t="s">
        <v>25</v>
      </c>
      <c r="CK48" t="s">
        <v>23</v>
      </c>
      <c r="CL48" t="s">
        <v>24</v>
      </c>
      <c r="CM48" t="s">
        <v>24</v>
      </c>
      <c r="CN48" t="s">
        <v>26</v>
      </c>
      <c r="CO48" t="s">
        <v>23</v>
      </c>
      <c r="CP48" t="s">
        <v>2</v>
      </c>
      <c r="CQ48" t="s">
        <v>24</v>
      </c>
      <c r="CR48" t="s">
        <v>25</v>
      </c>
      <c r="CS48" t="s">
        <v>26</v>
      </c>
      <c r="CT48" t="s">
        <v>24</v>
      </c>
      <c r="CU48" t="s">
        <v>23</v>
      </c>
      <c r="CV48" t="s">
        <v>23</v>
      </c>
      <c r="CW48" t="s">
        <v>24</v>
      </c>
      <c r="CX48" t="s">
        <v>25</v>
      </c>
      <c r="CY48" t="s">
        <v>2</v>
      </c>
      <c r="CZ48" t="s">
        <v>25</v>
      </c>
      <c r="DA48" t="s">
        <v>25</v>
      </c>
      <c r="DB48" t="s">
        <v>23</v>
      </c>
      <c r="DC48" t="s">
        <v>25</v>
      </c>
      <c r="DD48" t="s">
        <v>2</v>
      </c>
      <c r="DE48" t="s">
        <v>24</v>
      </c>
      <c r="DF48" t="s">
        <v>26</v>
      </c>
      <c r="DG48" t="s">
        <v>26</v>
      </c>
      <c r="DH48" t="s">
        <v>2</v>
      </c>
      <c r="DI48" t="s">
        <v>26</v>
      </c>
      <c r="DJ48" t="s">
        <v>25</v>
      </c>
      <c r="DK48" t="s">
        <v>26</v>
      </c>
      <c r="DL48" t="s">
        <v>25</v>
      </c>
      <c r="DM48" t="s">
        <v>24</v>
      </c>
      <c r="DN48" t="s">
        <v>23</v>
      </c>
      <c r="DO48" t="s">
        <v>23</v>
      </c>
      <c r="DP48" t="s">
        <v>26</v>
      </c>
      <c r="DQ48" t="s">
        <v>2</v>
      </c>
      <c r="DR48" t="s">
        <v>2</v>
      </c>
      <c r="DS48" t="s">
        <v>26</v>
      </c>
      <c r="DT48" t="s">
        <v>25</v>
      </c>
      <c r="DU48" t="s">
        <v>25</v>
      </c>
      <c r="DW48" t="s">
        <v>25</v>
      </c>
      <c r="DX48" t="s">
        <v>25</v>
      </c>
      <c r="DY48" t="s">
        <v>26</v>
      </c>
      <c r="DZ48" t="s">
        <v>24</v>
      </c>
      <c r="EA48" t="s">
        <v>2</v>
      </c>
      <c r="EB48" t="s">
        <v>23</v>
      </c>
      <c r="EC48" t="s">
        <v>23</v>
      </c>
      <c r="ED48" t="s">
        <v>24</v>
      </c>
      <c r="EE48" t="s">
        <v>26</v>
      </c>
      <c r="EF48" t="s">
        <v>24</v>
      </c>
      <c r="EG48" t="s">
        <v>24</v>
      </c>
      <c r="EH48" t="s">
        <v>26</v>
      </c>
      <c r="EI48" t="s">
        <v>24</v>
      </c>
      <c r="EJ48" t="s">
        <v>26</v>
      </c>
      <c r="EK48" t="s">
        <v>23</v>
      </c>
      <c r="EL48" t="s">
        <v>2</v>
      </c>
      <c r="EM48" t="s">
        <v>24</v>
      </c>
      <c r="EN48" t="s">
        <v>25</v>
      </c>
      <c r="EO48" t="s">
        <v>25</v>
      </c>
      <c r="EP48" s="15" t="s">
        <v>24</v>
      </c>
      <c r="EQ48" s="15" t="s">
        <v>24</v>
      </c>
      <c r="ER48" s="15" t="s">
        <v>23</v>
      </c>
      <c r="ES48" s="15" t="s">
        <v>2</v>
      </c>
      <c r="ET48" s="15" t="s">
        <v>25</v>
      </c>
      <c r="EU48" s="15" t="s">
        <v>23</v>
      </c>
      <c r="EV48" s="15" t="s">
        <v>2</v>
      </c>
      <c r="EW48" s="15" t="s">
        <v>2</v>
      </c>
      <c r="EX48" s="15" t="s">
        <v>24</v>
      </c>
      <c r="EY48" s="15" t="s">
        <v>2</v>
      </c>
      <c r="EZ48" s="15" t="s">
        <v>25</v>
      </c>
      <c r="FA48" s="15" t="s">
        <v>23</v>
      </c>
      <c r="FB48" s="15" t="s">
        <v>25</v>
      </c>
      <c r="FC48" s="15" t="s">
        <v>2</v>
      </c>
      <c r="FD48" s="15" t="s">
        <v>23</v>
      </c>
      <c r="FE48" s="15" t="s">
        <v>24</v>
      </c>
      <c r="FF48" s="15" t="s">
        <v>25</v>
      </c>
      <c r="FG48" s="15" t="s">
        <v>23</v>
      </c>
      <c r="FH48" s="15" t="s">
        <v>2</v>
      </c>
      <c r="FI48" s="15" t="s">
        <v>2</v>
      </c>
      <c r="FJ48" s="15" t="s">
        <v>23</v>
      </c>
      <c r="FK48" s="15" t="s">
        <v>24</v>
      </c>
      <c r="FL48" s="15" t="s">
        <v>23</v>
      </c>
      <c r="FM48" s="15" t="s">
        <v>24</v>
      </c>
      <c r="FN48" s="15" t="s">
        <v>25</v>
      </c>
      <c r="FO48" s="15" t="s">
        <v>24</v>
      </c>
      <c r="FP48" s="15" t="s">
        <v>25</v>
      </c>
      <c r="FQ48" t="s">
        <v>23</v>
      </c>
      <c r="FR48" s="15" t="s">
        <v>2</v>
      </c>
      <c r="FS48" s="15" t="s">
        <v>24</v>
      </c>
      <c r="FT48" s="15" t="s">
        <v>23</v>
      </c>
      <c r="FU48" s="15" t="s">
        <v>2</v>
      </c>
      <c r="FV48" s="15" t="s">
        <v>24</v>
      </c>
      <c r="FW48" s="15" t="s">
        <v>24</v>
      </c>
      <c r="FX48" s="15" t="s">
        <v>25</v>
      </c>
      <c r="FY48" s="15" t="s">
        <v>24</v>
      </c>
      <c r="FZ48" t="s">
        <v>24</v>
      </c>
      <c r="GA48" s="15" t="s">
        <v>24</v>
      </c>
      <c r="GB48" s="15" t="s">
        <v>23</v>
      </c>
      <c r="GC48" s="15" t="s">
        <v>2</v>
      </c>
      <c r="GD48" s="15" t="s">
        <v>2</v>
      </c>
      <c r="GE48" s="15" t="s">
        <v>2</v>
      </c>
      <c r="GF48" t="s">
        <v>25</v>
      </c>
      <c r="GG48" s="15" t="s">
        <v>23</v>
      </c>
      <c r="GH48" s="15" t="s">
        <v>2</v>
      </c>
      <c r="GI48" s="15" t="s">
        <v>24</v>
      </c>
      <c r="GJ48" s="15" t="s">
        <v>24</v>
      </c>
      <c r="GK48" t="s">
        <v>25</v>
      </c>
      <c r="GL48" s="15" t="s">
        <v>24</v>
      </c>
      <c r="GM48" s="15" t="s">
        <v>2</v>
      </c>
      <c r="GN48" s="15" t="s">
        <v>25</v>
      </c>
      <c r="GO48" s="15" t="s">
        <v>23</v>
      </c>
      <c r="GP48" s="15" t="s">
        <v>25</v>
      </c>
      <c r="GQ48" s="15" t="s">
        <v>2</v>
      </c>
      <c r="GR48" s="15" t="s">
        <v>2</v>
      </c>
      <c r="GS48" t="s">
        <v>23</v>
      </c>
      <c r="GT48" t="s">
        <v>25</v>
      </c>
      <c r="GU48" t="s">
        <v>25</v>
      </c>
      <c r="GV48" t="s">
        <v>2</v>
      </c>
      <c r="GW48" t="s">
        <v>23</v>
      </c>
      <c r="GX48" t="s">
        <v>23</v>
      </c>
      <c r="GY48" t="s">
        <v>25</v>
      </c>
      <c r="GZ48" t="s">
        <v>25</v>
      </c>
      <c r="HA48" t="s">
        <v>24</v>
      </c>
      <c r="HB48" t="s">
        <v>2</v>
      </c>
      <c r="HC48" t="s">
        <v>2</v>
      </c>
      <c r="HD48" t="s">
        <v>2</v>
      </c>
      <c r="HE48" t="s">
        <v>25</v>
      </c>
      <c r="HF48" t="s">
        <v>2</v>
      </c>
      <c r="HG48" t="s">
        <v>24</v>
      </c>
      <c r="HH48" s="15" t="s">
        <v>23</v>
      </c>
      <c r="HI48" s="15" t="s">
        <v>25</v>
      </c>
      <c r="HJ48" s="15" t="s">
        <v>23</v>
      </c>
      <c r="HK48" s="15" t="s">
        <v>25</v>
      </c>
      <c r="HL48" s="15" t="s">
        <v>2</v>
      </c>
      <c r="HM48" s="15" t="s">
        <v>24</v>
      </c>
      <c r="HN48" s="15"/>
      <c r="HO48" s="15"/>
      <c r="HP48" s="15"/>
      <c r="HQ48" s="15"/>
      <c r="HR48" s="15"/>
      <c r="HS48" s="15"/>
      <c r="HT48" s="15"/>
      <c r="HV48" s="15"/>
      <c r="HW48" s="15"/>
      <c r="IQ48" s="15"/>
      <c r="IR48" s="15"/>
      <c r="IS48" s="15"/>
      <c r="IT48" s="15"/>
      <c r="IU48" s="15"/>
      <c r="IV48" s="15"/>
      <c r="IW48" s="15"/>
      <c r="IX48" s="15"/>
      <c r="IY48" s="15"/>
      <c r="IZ48" s="15"/>
      <c r="JA48" s="15"/>
      <c r="JB48" s="15"/>
      <c r="JC48" s="15"/>
      <c r="JE48" s="15"/>
      <c r="JF48" s="15"/>
      <c r="JG48" s="15"/>
      <c r="JH48" s="15"/>
      <c r="JI48" s="15"/>
      <c r="JZ48" s="15"/>
      <c r="KA48" s="15"/>
      <c r="KB48" s="15"/>
      <c r="KC48" s="15"/>
      <c r="KD48" s="15"/>
      <c r="KE48" s="15"/>
      <c r="KF48" s="15"/>
      <c r="KG48" s="15"/>
      <c r="KH48" s="15"/>
      <c r="KI48" s="15"/>
      <c r="KJ48" s="15"/>
      <c r="KK48" s="15"/>
      <c r="KL48" s="15"/>
      <c r="KM48" s="15"/>
      <c r="LI48" s="15"/>
      <c r="LJ48" s="15"/>
      <c r="LK48" s="15"/>
      <c r="LL48" s="15"/>
      <c r="LM48" s="15"/>
      <c r="LN48" s="15"/>
      <c r="LO48" s="15"/>
      <c r="LP48" s="15"/>
      <c r="LQ48" s="15"/>
      <c r="LR48" s="15"/>
    </row>
    <row r="49" spans="1:330">
      <c r="A49">
        <v>43662</v>
      </c>
      <c r="B49" s="15" t="s">
        <v>791</v>
      </c>
      <c r="C49" s="15" t="s">
        <v>672</v>
      </c>
      <c r="D49" s="15" t="s">
        <v>37</v>
      </c>
      <c r="E49" s="15" t="s">
        <v>765</v>
      </c>
      <c r="F49" s="15"/>
      <c r="G49" s="15" t="s">
        <v>24</v>
      </c>
      <c r="H49" s="15" t="s">
        <v>25</v>
      </c>
      <c r="I49" s="15" t="s">
        <v>23</v>
      </c>
      <c r="J49" s="15" t="s">
        <v>23</v>
      </c>
      <c r="K49" s="15" t="s">
        <v>25</v>
      </c>
      <c r="L49" s="15" t="s">
        <v>2</v>
      </c>
      <c r="M49" s="15" t="s">
        <v>24</v>
      </c>
      <c r="N49" s="15" t="s">
        <v>23</v>
      </c>
      <c r="O49" s="15" t="s">
        <v>24</v>
      </c>
      <c r="P49" s="15" t="s">
        <v>2</v>
      </c>
      <c r="Q49" s="15" t="s">
        <v>2</v>
      </c>
      <c r="R49" s="15" t="s">
        <v>24</v>
      </c>
      <c r="S49" s="15" t="s">
        <v>2</v>
      </c>
      <c r="T49" s="15" t="s">
        <v>25</v>
      </c>
      <c r="U49" s="15" t="s">
        <v>23</v>
      </c>
      <c r="V49" s="15" t="s">
        <v>24</v>
      </c>
      <c r="W49" s="15" t="s">
        <v>2</v>
      </c>
      <c r="X49" s="15" t="s">
        <v>23</v>
      </c>
      <c r="Y49" s="15" t="s">
        <v>2</v>
      </c>
      <c r="Z49" t="s">
        <v>24</v>
      </c>
      <c r="AA49" t="s">
        <v>23</v>
      </c>
      <c r="AB49" t="s">
        <v>2</v>
      </c>
      <c r="AC49" t="s">
        <v>23</v>
      </c>
      <c r="AD49" t="s">
        <v>25</v>
      </c>
      <c r="AE49" t="s">
        <v>23</v>
      </c>
      <c r="AF49" t="s">
        <v>25</v>
      </c>
      <c r="AG49" t="s">
        <v>23</v>
      </c>
      <c r="AH49" t="s">
        <v>2</v>
      </c>
      <c r="AI49" t="s">
        <v>24</v>
      </c>
      <c r="AJ49" t="s">
        <v>23</v>
      </c>
      <c r="AK49" t="s">
        <v>2</v>
      </c>
      <c r="AL49" t="s">
        <v>2</v>
      </c>
      <c r="AM49" t="s">
        <v>23</v>
      </c>
      <c r="AN49" t="s">
        <v>23</v>
      </c>
      <c r="AO49" s="15" t="s">
        <v>25</v>
      </c>
      <c r="AP49" s="15" t="s">
        <v>2</v>
      </c>
      <c r="AQ49" s="15" t="s">
        <v>25</v>
      </c>
      <c r="AR49" s="15" t="s">
        <v>23</v>
      </c>
      <c r="AS49" s="15" t="s">
        <v>24</v>
      </c>
      <c r="AT49" s="15" t="s">
        <v>25</v>
      </c>
      <c r="AU49" s="15" t="s">
        <v>25</v>
      </c>
      <c r="AV49" s="15" t="s">
        <v>2</v>
      </c>
      <c r="AW49" s="15" t="s">
        <v>25</v>
      </c>
      <c r="AX49" s="15" t="s">
        <v>23</v>
      </c>
      <c r="AY49" s="15" t="s">
        <v>25</v>
      </c>
      <c r="AZ49" s="15" t="s">
        <v>24</v>
      </c>
      <c r="BA49" s="15" t="s">
        <v>25</v>
      </c>
      <c r="BB49" s="15" t="s">
        <v>24</v>
      </c>
      <c r="BC49" s="15" t="s">
        <v>24</v>
      </c>
      <c r="BD49" s="15" t="s">
        <v>23</v>
      </c>
      <c r="BE49" s="15" t="s">
        <v>23</v>
      </c>
      <c r="BF49" s="15" t="s">
        <v>2</v>
      </c>
      <c r="BG49" s="15" t="s">
        <v>2</v>
      </c>
      <c r="BH49" s="15" t="s">
        <v>25</v>
      </c>
      <c r="BI49" s="15" t="s">
        <v>2</v>
      </c>
      <c r="BJ49" s="15" t="s">
        <v>25</v>
      </c>
      <c r="BK49" s="15" t="s">
        <v>23</v>
      </c>
      <c r="BL49" s="15" t="s">
        <v>24</v>
      </c>
      <c r="BM49" t="s">
        <v>25</v>
      </c>
      <c r="BN49" t="s">
        <v>2</v>
      </c>
      <c r="BO49" t="s">
        <v>2</v>
      </c>
      <c r="BP49" t="s">
        <v>2</v>
      </c>
      <c r="BQ49" t="s">
        <v>24</v>
      </c>
      <c r="BR49" t="s">
        <v>23</v>
      </c>
      <c r="BS49" t="s">
        <v>23</v>
      </c>
      <c r="BT49" t="s">
        <v>25</v>
      </c>
      <c r="BU49" t="s">
        <v>23</v>
      </c>
      <c r="BV49" t="s">
        <v>25</v>
      </c>
      <c r="BW49" t="s">
        <v>24</v>
      </c>
      <c r="BX49" s="15" t="s">
        <v>25</v>
      </c>
      <c r="BY49" s="15" t="s">
        <v>23</v>
      </c>
      <c r="BZ49" s="15" t="s">
        <v>25</v>
      </c>
      <c r="CA49" s="15" t="s">
        <v>2</v>
      </c>
      <c r="CB49" s="15" t="s">
        <v>2</v>
      </c>
      <c r="CC49" s="15" t="s">
        <v>24</v>
      </c>
      <c r="CD49" s="15" t="s">
        <v>2</v>
      </c>
      <c r="CE49" s="15" t="s">
        <v>25</v>
      </c>
      <c r="CF49" t="s">
        <v>24</v>
      </c>
      <c r="CG49" t="s">
        <v>2</v>
      </c>
      <c r="CH49" t="s">
        <v>23</v>
      </c>
      <c r="CI49" t="s">
        <v>23</v>
      </c>
      <c r="CJ49" t="s">
        <v>25</v>
      </c>
      <c r="CK49" t="s">
        <v>23</v>
      </c>
      <c r="CL49" t="s">
        <v>24</v>
      </c>
      <c r="CM49" t="s">
        <v>24</v>
      </c>
      <c r="CN49" t="s">
        <v>26</v>
      </c>
      <c r="CO49" t="s">
        <v>23</v>
      </c>
      <c r="CP49" t="s">
        <v>2</v>
      </c>
      <c r="CQ49" t="s">
        <v>24</v>
      </c>
      <c r="CR49" t="s">
        <v>25</v>
      </c>
      <c r="CS49" t="s">
        <v>26</v>
      </c>
      <c r="CT49" t="s">
        <v>24</v>
      </c>
      <c r="CU49" t="s">
        <v>23</v>
      </c>
      <c r="CV49" t="s">
        <v>23</v>
      </c>
      <c r="CW49" t="s">
        <v>24</v>
      </c>
      <c r="CX49" t="s">
        <v>25</v>
      </c>
      <c r="CY49" t="s">
        <v>2</v>
      </c>
      <c r="CZ49" t="s">
        <v>25</v>
      </c>
      <c r="DA49" t="s">
        <v>25</v>
      </c>
      <c r="DB49" t="s">
        <v>23</v>
      </c>
      <c r="DC49" t="s">
        <v>25</v>
      </c>
      <c r="DD49" t="s">
        <v>2</v>
      </c>
      <c r="DE49" t="s">
        <v>24</v>
      </c>
      <c r="DF49" t="s">
        <v>26</v>
      </c>
      <c r="DG49" t="s">
        <v>26</v>
      </c>
      <c r="DH49" t="s">
        <v>2</v>
      </c>
      <c r="DI49" t="s">
        <v>26</v>
      </c>
      <c r="DJ49" t="s">
        <v>25</v>
      </c>
      <c r="DK49" t="s">
        <v>26</v>
      </c>
      <c r="DL49" t="s">
        <v>25</v>
      </c>
      <c r="DM49" t="s">
        <v>24</v>
      </c>
      <c r="DN49" t="s">
        <v>25</v>
      </c>
      <c r="DO49" t="s">
        <v>23</v>
      </c>
      <c r="DP49" t="s">
        <v>23</v>
      </c>
      <c r="DQ49" t="s">
        <v>2</v>
      </c>
      <c r="DR49" t="s">
        <v>2</v>
      </c>
      <c r="DS49" t="s">
        <v>2</v>
      </c>
      <c r="DT49" t="s">
        <v>25</v>
      </c>
      <c r="DU49" t="s">
        <v>24</v>
      </c>
      <c r="DV49" t="s">
        <v>26</v>
      </c>
      <c r="DW49" t="s">
        <v>25</v>
      </c>
      <c r="DX49" t="s">
        <v>24</v>
      </c>
      <c r="DY49" t="s">
        <v>26</v>
      </c>
      <c r="DZ49" t="s">
        <v>23</v>
      </c>
      <c r="EA49" t="s">
        <v>2</v>
      </c>
      <c r="EB49" t="s">
        <v>23</v>
      </c>
      <c r="EC49" t="s">
        <v>23</v>
      </c>
      <c r="ED49" t="s">
        <v>26</v>
      </c>
      <c r="EE49" t="s">
        <v>26</v>
      </c>
      <c r="EF49" t="s">
        <v>26</v>
      </c>
      <c r="EG49" t="s">
        <v>25</v>
      </c>
      <c r="EH49" t="s">
        <v>26</v>
      </c>
      <c r="EI49" t="s">
        <v>24</v>
      </c>
      <c r="EJ49" t="s">
        <v>23</v>
      </c>
      <c r="EK49" t="s">
        <v>26</v>
      </c>
      <c r="EL49" t="s">
        <v>2</v>
      </c>
      <c r="EM49" t="s">
        <v>24</v>
      </c>
      <c r="EN49" t="s">
        <v>23</v>
      </c>
      <c r="EO49" t="s">
        <v>25</v>
      </c>
      <c r="EP49" s="15" t="s">
        <v>2</v>
      </c>
      <c r="EQ49" s="15" t="s">
        <v>24</v>
      </c>
      <c r="ER49" s="15" t="s">
        <v>23</v>
      </c>
      <c r="ES49" s="15" t="s">
        <v>2</v>
      </c>
      <c r="ET49" s="15" t="s">
        <v>25</v>
      </c>
      <c r="EU49" s="15" t="s">
        <v>23</v>
      </c>
      <c r="EV49" s="15" t="s">
        <v>23</v>
      </c>
      <c r="EW49" s="15" t="s">
        <v>2</v>
      </c>
      <c r="EX49" s="15" t="s">
        <v>24</v>
      </c>
      <c r="EY49" s="15" t="s">
        <v>23</v>
      </c>
      <c r="EZ49" s="15" t="s">
        <v>23</v>
      </c>
      <c r="FA49" s="15" t="s">
        <v>23</v>
      </c>
      <c r="FB49" s="15" t="s">
        <v>25</v>
      </c>
      <c r="FC49" s="15" t="s">
        <v>25</v>
      </c>
      <c r="FD49" s="15" t="s">
        <v>2</v>
      </c>
      <c r="FE49" s="15" t="s">
        <v>24</v>
      </c>
      <c r="FF49" s="15" t="s">
        <v>25</v>
      </c>
      <c r="FG49" s="15" t="s">
        <v>25</v>
      </c>
      <c r="FH49" s="15" t="s">
        <v>25</v>
      </c>
      <c r="FI49" s="15" t="s">
        <v>25</v>
      </c>
      <c r="FJ49" s="15" t="s">
        <v>23</v>
      </c>
      <c r="FK49" s="15" t="s">
        <v>24</v>
      </c>
      <c r="FL49" s="15" t="s">
        <v>23</v>
      </c>
      <c r="FM49" s="15" t="s">
        <v>23</v>
      </c>
      <c r="FN49" s="15" t="s">
        <v>25</v>
      </c>
      <c r="FO49" s="15" t="s">
        <v>23</v>
      </c>
      <c r="FP49" s="15" t="s">
        <v>25</v>
      </c>
      <c r="FQ49" s="15" t="s">
        <v>23</v>
      </c>
      <c r="FR49" s="15" t="s">
        <v>2</v>
      </c>
      <c r="FS49" s="15" t="s">
        <v>2</v>
      </c>
      <c r="FT49" s="15" t="s">
        <v>23</v>
      </c>
      <c r="FU49" s="15" t="s">
        <v>2</v>
      </c>
      <c r="FV49" s="15" t="s">
        <v>24</v>
      </c>
      <c r="FW49" s="15" t="s">
        <v>24</v>
      </c>
      <c r="FX49" s="15" t="s">
        <v>25</v>
      </c>
      <c r="FY49" s="15" t="s">
        <v>2</v>
      </c>
      <c r="FZ49" s="15" t="s">
        <v>24</v>
      </c>
      <c r="GA49" s="15" t="s">
        <v>24</v>
      </c>
      <c r="GB49" s="15" t="s">
        <v>23</v>
      </c>
      <c r="GC49" s="15" t="s">
        <v>2</v>
      </c>
      <c r="GD49" s="15" t="s">
        <v>25</v>
      </c>
      <c r="GE49" s="15" t="s">
        <v>2</v>
      </c>
      <c r="GF49" s="15" t="s">
        <v>25</v>
      </c>
      <c r="GG49" s="15" t="s">
        <v>23</v>
      </c>
      <c r="GH49" s="15" t="s">
        <v>2</v>
      </c>
      <c r="GI49" s="15" t="s">
        <v>24</v>
      </c>
      <c r="GJ49" s="15" t="s">
        <v>24</v>
      </c>
      <c r="GK49" s="15" t="s">
        <v>25</v>
      </c>
      <c r="GL49" s="15" t="s">
        <v>24</v>
      </c>
      <c r="GM49" s="15" t="s">
        <v>2</v>
      </c>
      <c r="GN49" s="15" t="s">
        <v>25</v>
      </c>
      <c r="GO49" s="15" t="s">
        <v>23</v>
      </c>
      <c r="GP49" s="15" t="s">
        <v>24</v>
      </c>
      <c r="GQ49" s="15" t="s">
        <v>2</v>
      </c>
      <c r="GR49" s="15" t="s">
        <v>2</v>
      </c>
      <c r="GS49" s="15" t="s">
        <v>23</v>
      </c>
      <c r="GT49" s="15" t="s">
        <v>25</v>
      </c>
      <c r="GU49" s="15" t="s">
        <v>25</v>
      </c>
      <c r="GV49" t="s">
        <v>2</v>
      </c>
      <c r="GW49" t="s">
        <v>24</v>
      </c>
      <c r="GX49" t="s">
        <v>23</v>
      </c>
      <c r="GY49" t="s">
        <v>25</v>
      </c>
      <c r="GZ49" t="s">
        <v>25</v>
      </c>
      <c r="HA49" t="s">
        <v>24</v>
      </c>
      <c r="HB49" t="s">
        <v>2</v>
      </c>
      <c r="HC49" t="s">
        <v>2</v>
      </c>
      <c r="HD49" t="s">
        <v>2</v>
      </c>
      <c r="HE49" t="s">
        <v>25</v>
      </c>
      <c r="HF49" t="s">
        <v>23</v>
      </c>
      <c r="HG49" t="s">
        <v>24</v>
      </c>
      <c r="HH49" s="15" t="s">
        <v>23</v>
      </c>
      <c r="HI49" s="15" t="s">
        <v>25</v>
      </c>
      <c r="HJ49" s="15" t="s">
        <v>23</v>
      </c>
      <c r="HK49" s="15" t="s">
        <v>25</v>
      </c>
      <c r="HL49" s="15" t="s">
        <v>2</v>
      </c>
      <c r="HM49" s="15" t="s">
        <v>23</v>
      </c>
      <c r="HN49" s="15"/>
      <c r="HO49" s="15"/>
      <c r="HP49" s="15"/>
      <c r="HQ49" s="15"/>
      <c r="HR49" s="15"/>
      <c r="HS49" s="15"/>
      <c r="HT49" s="15"/>
      <c r="HU49" s="15"/>
      <c r="HV49" s="15"/>
      <c r="HW49" s="15"/>
      <c r="IQ49" s="15"/>
      <c r="IR49" s="15"/>
      <c r="IS49" s="15"/>
      <c r="IT49" s="15"/>
      <c r="IU49" s="15"/>
      <c r="IV49" s="15"/>
      <c r="IW49" s="15"/>
      <c r="IX49" s="15"/>
      <c r="IY49" s="15"/>
      <c r="IZ49" s="15"/>
      <c r="JA49" s="15"/>
      <c r="JB49" s="15"/>
      <c r="JC49" s="15"/>
      <c r="JD49" s="15"/>
      <c r="JE49" s="15"/>
      <c r="JF49" s="15"/>
      <c r="JG49" s="15"/>
      <c r="JH49" s="15"/>
      <c r="JI49" s="15"/>
      <c r="JZ49" s="15"/>
      <c r="KA49" s="15"/>
      <c r="KB49" s="15"/>
      <c r="KC49" s="15"/>
      <c r="KD49" s="15"/>
      <c r="KE49" s="15"/>
      <c r="KF49" s="15"/>
      <c r="KG49" s="15"/>
      <c r="KH49" s="15"/>
      <c r="KI49" s="15"/>
      <c r="KJ49" s="15"/>
      <c r="KK49" s="15"/>
      <c r="KL49" s="15"/>
      <c r="KM49" s="15"/>
      <c r="LI49" s="15"/>
      <c r="LJ49" s="15"/>
      <c r="LK49" s="15"/>
      <c r="LL49" s="15"/>
      <c r="LM49" s="15"/>
      <c r="LN49" s="15"/>
      <c r="LO49" s="15"/>
      <c r="LP49" s="15"/>
      <c r="LQ49" s="15"/>
      <c r="LR49" s="15"/>
    </row>
    <row r="50" spans="1:330">
      <c r="A50">
        <v>43662</v>
      </c>
      <c r="B50" s="15" t="s">
        <v>792</v>
      </c>
      <c r="C50" s="15" t="s">
        <v>736</v>
      </c>
      <c r="D50" s="15" t="s">
        <v>37</v>
      </c>
      <c r="E50" s="15" t="s">
        <v>765</v>
      </c>
      <c r="F50" s="15"/>
      <c r="G50" s="15" t="s">
        <v>24</v>
      </c>
      <c r="H50" s="15" t="s">
        <v>25</v>
      </c>
      <c r="I50" s="15" t="s">
        <v>23</v>
      </c>
      <c r="J50" s="15" t="s">
        <v>25</v>
      </c>
      <c r="K50" s="15" t="s">
        <v>25</v>
      </c>
      <c r="L50" s="15" t="s">
        <v>2</v>
      </c>
      <c r="M50" s="15" t="s">
        <v>24</v>
      </c>
      <c r="N50" s="15" t="s">
        <v>23</v>
      </c>
      <c r="O50" s="15" t="s">
        <v>24</v>
      </c>
      <c r="P50" s="15" t="s">
        <v>2</v>
      </c>
      <c r="Q50" s="15" t="s">
        <v>2</v>
      </c>
      <c r="R50" s="15" t="s">
        <v>24</v>
      </c>
      <c r="S50" s="15" t="s">
        <v>23</v>
      </c>
      <c r="T50" s="15" t="s">
        <v>25</v>
      </c>
      <c r="U50" s="15" t="s">
        <v>23</v>
      </c>
      <c r="V50" s="15" t="s">
        <v>24</v>
      </c>
      <c r="W50" s="15" t="s">
        <v>2</v>
      </c>
      <c r="X50" s="15" t="s">
        <v>23</v>
      </c>
      <c r="Y50" s="15" t="s">
        <v>2</v>
      </c>
      <c r="Z50" t="s">
        <v>24</v>
      </c>
      <c r="AA50" t="s">
        <v>23</v>
      </c>
      <c r="AB50" t="s">
        <v>2</v>
      </c>
      <c r="AC50" t="s">
        <v>23</v>
      </c>
      <c r="AD50" t="s">
        <v>25</v>
      </c>
      <c r="AE50" t="s">
        <v>23</v>
      </c>
      <c r="AF50" t="s">
        <v>25</v>
      </c>
      <c r="AG50" t="s">
        <v>23</v>
      </c>
      <c r="AH50" t="s">
        <v>2</v>
      </c>
      <c r="AI50" t="s">
        <v>24</v>
      </c>
      <c r="AJ50" t="s">
        <v>23</v>
      </c>
      <c r="AK50" t="s">
        <v>2</v>
      </c>
      <c r="AL50" t="s">
        <v>2</v>
      </c>
      <c r="AM50" t="s">
        <v>25</v>
      </c>
      <c r="AN50" t="s">
        <v>24</v>
      </c>
      <c r="AO50" s="15" t="s">
        <v>25</v>
      </c>
      <c r="AP50" s="15" t="s">
        <v>2</v>
      </c>
      <c r="AQ50" s="15" t="s">
        <v>25</v>
      </c>
      <c r="AR50" s="15" t="s">
        <v>23</v>
      </c>
      <c r="AS50" s="15" t="s">
        <v>24</v>
      </c>
      <c r="AT50" s="15" t="s">
        <v>25</v>
      </c>
      <c r="AU50" s="15" t="s">
        <v>25</v>
      </c>
      <c r="AV50" s="15" t="s">
        <v>2</v>
      </c>
      <c r="AW50" s="15" t="s">
        <v>25</v>
      </c>
      <c r="AX50" t="s">
        <v>2</v>
      </c>
      <c r="AY50" t="s">
        <v>25</v>
      </c>
      <c r="AZ50" t="s">
        <v>24</v>
      </c>
      <c r="BA50" t="s">
        <v>25</v>
      </c>
      <c r="BB50" t="s">
        <v>24</v>
      </c>
      <c r="BC50" t="s">
        <v>23</v>
      </c>
      <c r="BD50" t="s">
        <v>23</v>
      </c>
      <c r="BE50" t="s">
        <v>24</v>
      </c>
      <c r="BF50" t="s">
        <v>2</v>
      </c>
      <c r="BG50" t="s">
        <v>2</v>
      </c>
      <c r="BH50" t="s">
        <v>25</v>
      </c>
      <c r="BI50" t="s">
        <v>23</v>
      </c>
      <c r="BJ50" t="s">
        <v>25</v>
      </c>
      <c r="BK50" t="s">
        <v>23</v>
      </c>
      <c r="BL50" t="s">
        <v>24</v>
      </c>
      <c r="BM50" t="s">
        <v>25</v>
      </c>
      <c r="BN50" t="s">
        <v>23</v>
      </c>
      <c r="BO50" t="s">
        <v>2</v>
      </c>
      <c r="BP50" t="s">
        <v>2</v>
      </c>
      <c r="BQ50" t="s">
        <v>25</v>
      </c>
      <c r="BR50" t="s">
        <v>23</v>
      </c>
      <c r="BS50" t="s">
        <v>23</v>
      </c>
      <c r="BT50" t="s">
        <v>25</v>
      </c>
      <c r="BU50" t="s">
        <v>23</v>
      </c>
      <c r="BV50" t="s">
        <v>2</v>
      </c>
      <c r="BW50" t="s">
        <v>24</v>
      </c>
      <c r="BX50" s="15" t="s">
        <v>25</v>
      </c>
      <c r="BY50" s="15" t="s">
        <v>2</v>
      </c>
      <c r="BZ50" s="15" t="s">
        <v>23</v>
      </c>
      <c r="CA50" s="15" t="s">
        <v>2</v>
      </c>
      <c r="CB50" s="15" t="s">
        <v>2</v>
      </c>
      <c r="CC50" s="15" t="s">
        <v>24</v>
      </c>
      <c r="CD50" s="15" t="s">
        <v>2</v>
      </c>
      <c r="CE50" s="15" t="s">
        <v>25</v>
      </c>
      <c r="CF50" t="s">
        <v>24</v>
      </c>
      <c r="CG50" t="s">
        <v>23</v>
      </c>
      <c r="CH50" t="s">
        <v>23</v>
      </c>
      <c r="CI50" t="s">
        <v>23</v>
      </c>
      <c r="CJ50" t="s">
        <v>25</v>
      </c>
      <c r="CK50" t="s">
        <v>23</v>
      </c>
      <c r="CL50" t="s">
        <v>24</v>
      </c>
      <c r="CM50" t="s">
        <v>24</v>
      </c>
      <c r="CN50" t="s">
        <v>26</v>
      </c>
      <c r="CO50" t="s">
        <v>23</v>
      </c>
      <c r="CP50" t="s">
        <v>2</v>
      </c>
      <c r="CQ50" t="s">
        <v>24</v>
      </c>
      <c r="CR50" t="s">
        <v>25</v>
      </c>
      <c r="CS50" t="s">
        <v>23</v>
      </c>
      <c r="CT50" t="s">
        <v>24</v>
      </c>
      <c r="CU50" t="s">
        <v>23</v>
      </c>
      <c r="CV50" t="s">
        <v>23</v>
      </c>
      <c r="CW50" t="s">
        <v>24</v>
      </c>
      <c r="CX50" t="s">
        <v>25</v>
      </c>
      <c r="CY50" t="s">
        <v>2</v>
      </c>
      <c r="CZ50" t="s">
        <v>25</v>
      </c>
      <c r="DA50" t="s">
        <v>25</v>
      </c>
      <c r="DB50" t="s">
        <v>2</v>
      </c>
      <c r="DC50" t="s">
        <v>25</v>
      </c>
      <c r="DD50" t="s">
        <v>25</v>
      </c>
      <c r="DF50" t="s">
        <v>26</v>
      </c>
      <c r="DH50" t="s">
        <v>2</v>
      </c>
      <c r="DI50" t="s">
        <v>26</v>
      </c>
      <c r="DJ50" t="s">
        <v>25</v>
      </c>
      <c r="DK50" t="s">
        <v>2</v>
      </c>
      <c r="DL50" t="s">
        <v>25</v>
      </c>
      <c r="DM50" t="s">
        <v>2</v>
      </c>
      <c r="DO50" t="s">
        <v>24</v>
      </c>
      <c r="DP50" t="s">
        <v>2</v>
      </c>
      <c r="DQ50" t="s">
        <v>2</v>
      </c>
      <c r="DR50" t="s">
        <v>2</v>
      </c>
      <c r="DS50" t="s">
        <v>26</v>
      </c>
      <c r="DT50" t="s">
        <v>25</v>
      </c>
      <c r="DU50" t="s">
        <v>25</v>
      </c>
      <c r="DV50" t="s">
        <v>25</v>
      </c>
      <c r="DW50" t="s">
        <v>25</v>
      </c>
      <c r="DX50" t="s">
        <v>24</v>
      </c>
      <c r="DY50" t="s">
        <v>26</v>
      </c>
      <c r="DZ50" t="s">
        <v>24</v>
      </c>
      <c r="EA50" t="s">
        <v>24</v>
      </c>
      <c r="EB50" t="s">
        <v>23</v>
      </c>
      <c r="EC50" t="s">
        <v>23</v>
      </c>
      <c r="ED50" t="s">
        <v>24</v>
      </c>
      <c r="EE50" t="s">
        <v>26</v>
      </c>
      <c r="EF50" t="s">
        <v>26</v>
      </c>
      <c r="EG50" t="s">
        <v>25</v>
      </c>
      <c r="EH50" t="s">
        <v>26</v>
      </c>
      <c r="EL50" t="s">
        <v>2</v>
      </c>
      <c r="EM50" t="s">
        <v>24</v>
      </c>
      <c r="EN50" t="s">
        <v>23</v>
      </c>
      <c r="EO50" t="s">
        <v>25</v>
      </c>
      <c r="EP50" s="15" t="s">
        <v>24</v>
      </c>
      <c r="EQ50" s="15" t="s">
        <v>24</v>
      </c>
      <c r="ER50" s="15" t="s">
        <v>23</v>
      </c>
      <c r="ES50" s="15" t="s">
        <v>2</v>
      </c>
      <c r="ET50" s="15" t="s">
        <v>25</v>
      </c>
      <c r="EU50" s="15" t="s">
        <v>2</v>
      </c>
      <c r="EV50" s="15" t="s">
        <v>23</v>
      </c>
      <c r="EW50" s="15" t="s">
        <v>2</v>
      </c>
      <c r="EX50" s="15" t="s">
        <v>24</v>
      </c>
      <c r="EY50" s="15" t="s">
        <v>2</v>
      </c>
      <c r="EZ50" s="15" t="s">
        <v>25</v>
      </c>
      <c r="FA50" s="15" t="s">
        <v>23</v>
      </c>
      <c r="FB50" s="15" t="s">
        <v>25</v>
      </c>
      <c r="FC50" s="15" t="s">
        <v>23</v>
      </c>
      <c r="FD50" s="15" t="s">
        <v>25</v>
      </c>
      <c r="FE50" s="15" t="s">
        <v>24</v>
      </c>
      <c r="FF50" s="15" t="s">
        <v>24</v>
      </c>
      <c r="FG50" s="15" t="s">
        <v>23</v>
      </c>
      <c r="FH50" s="15" t="s">
        <v>23</v>
      </c>
      <c r="FI50" s="15" t="s">
        <v>25</v>
      </c>
      <c r="FJ50" s="15" t="s">
        <v>25</v>
      </c>
      <c r="FK50" s="15" t="s">
        <v>23</v>
      </c>
      <c r="FL50" s="15"/>
      <c r="FM50" s="15" t="s">
        <v>23</v>
      </c>
      <c r="FN50" s="15" t="s">
        <v>25</v>
      </c>
      <c r="FO50" s="15" t="s">
        <v>23</v>
      </c>
      <c r="FP50" s="15" t="s">
        <v>25</v>
      </c>
      <c r="FQ50" s="15" t="s">
        <v>24</v>
      </c>
      <c r="FR50" s="15"/>
      <c r="FS50" s="15"/>
      <c r="FT50" s="15" t="s">
        <v>24</v>
      </c>
      <c r="FU50" s="15" t="s">
        <v>2</v>
      </c>
      <c r="FV50" s="15"/>
      <c r="FW50" s="15" t="s">
        <v>24</v>
      </c>
      <c r="FX50" s="15"/>
      <c r="FY50" t="s">
        <v>24</v>
      </c>
      <c r="FZ50" t="s">
        <v>24</v>
      </c>
      <c r="GA50" t="s">
        <v>24</v>
      </c>
      <c r="GB50" t="s">
        <v>23</v>
      </c>
      <c r="GC50" t="s">
        <v>2</v>
      </c>
      <c r="GD50" t="s">
        <v>25</v>
      </c>
      <c r="GE50" t="s">
        <v>2</v>
      </c>
      <c r="GF50" t="s">
        <v>25</v>
      </c>
      <c r="GG50" s="15" t="s">
        <v>23</v>
      </c>
      <c r="GH50" s="15" t="s">
        <v>2</v>
      </c>
      <c r="GI50" s="15" t="s">
        <v>24</v>
      </c>
      <c r="GJ50" s="15" t="s">
        <v>24</v>
      </c>
      <c r="GK50" t="s">
        <v>25</v>
      </c>
      <c r="GL50" t="s">
        <v>24</v>
      </c>
      <c r="GM50" t="s">
        <v>2</v>
      </c>
      <c r="GN50" t="s">
        <v>25</v>
      </c>
      <c r="GO50" t="s">
        <v>23</v>
      </c>
      <c r="GP50" t="s">
        <v>23</v>
      </c>
      <c r="GQ50" t="s">
        <v>2</v>
      </c>
      <c r="GR50" t="s">
        <v>2</v>
      </c>
      <c r="GS50" t="s">
        <v>23</v>
      </c>
      <c r="GT50" t="s">
        <v>25</v>
      </c>
      <c r="GU50" t="s">
        <v>24</v>
      </c>
      <c r="GV50" t="s">
        <v>2</v>
      </c>
      <c r="GW50" t="s">
        <v>24</v>
      </c>
      <c r="GX50" t="s">
        <v>23</v>
      </c>
      <c r="GY50" t="s">
        <v>25</v>
      </c>
      <c r="GZ50" t="s">
        <v>2</v>
      </c>
      <c r="HA50" t="s">
        <v>25</v>
      </c>
      <c r="HB50" t="s">
        <v>25</v>
      </c>
      <c r="HC50" t="s">
        <v>24</v>
      </c>
      <c r="HD50" t="s">
        <v>2</v>
      </c>
      <c r="HE50" t="s">
        <v>25</v>
      </c>
      <c r="HF50" t="s">
        <v>2</v>
      </c>
      <c r="HG50" t="s">
        <v>24</v>
      </c>
      <c r="HH50" t="s">
        <v>24</v>
      </c>
      <c r="HI50" s="15" t="s">
        <v>25</v>
      </c>
      <c r="HJ50" s="15" t="s">
        <v>23</v>
      </c>
      <c r="HK50" s="15" t="s">
        <v>25</v>
      </c>
      <c r="HL50" s="15" t="s">
        <v>24</v>
      </c>
      <c r="HM50" s="15" t="s">
        <v>23</v>
      </c>
      <c r="HN50" s="15"/>
      <c r="HO50" s="15"/>
      <c r="HP50" s="15"/>
      <c r="HQ50" s="15"/>
      <c r="HR50" s="15"/>
      <c r="HS50" s="15"/>
      <c r="HT50" s="15"/>
      <c r="HU50" s="15"/>
      <c r="HV50" s="15"/>
      <c r="HW50" s="15"/>
      <c r="IQ50" s="15"/>
      <c r="IR50" s="15"/>
      <c r="IS50" s="15"/>
      <c r="IT50" s="15"/>
      <c r="IU50" s="15"/>
      <c r="IV50" s="15"/>
      <c r="IX50" s="15"/>
      <c r="JZ50" s="15"/>
      <c r="KA50" s="15"/>
      <c r="KB50" s="15"/>
      <c r="KC50" s="15"/>
      <c r="KD50" s="15"/>
      <c r="KF50" s="15"/>
      <c r="KG50" s="15"/>
      <c r="KH50" s="15"/>
      <c r="KI50" s="15"/>
      <c r="KJ50" s="15"/>
      <c r="KK50" s="15"/>
      <c r="KL50" s="15"/>
      <c r="KM50" s="15"/>
      <c r="LI50" s="15"/>
      <c r="LJ50" s="15"/>
      <c r="LK50" s="15"/>
      <c r="LL50" s="15"/>
      <c r="LM50" s="15"/>
      <c r="LN50" s="15"/>
      <c r="LO50" s="15"/>
      <c r="LP50" s="15"/>
      <c r="LQ50" s="15"/>
      <c r="LR50" s="15"/>
    </row>
    <row r="51" spans="1:330">
      <c r="A51">
        <v>43662</v>
      </c>
      <c r="B51" s="15" t="s">
        <v>793</v>
      </c>
      <c r="C51" s="15" t="s">
        <v>670</v>
      </c>
      <c r="D51" s="15" t="s">
        <v>37</v>
      </c>
      <c r="E51" s="15" t="s">
        <v>765</v>
      </c>
      <c r="F51" s="15"/>
      <c r="G51" s="15" t="s">
        <v>24</v>
      </c>
      <c r="H51" s="15" t="s">
        <v>25</v>
      </c>
      <c r="I51" s="15" t="s">
        <v>23</v>
      </c>
      <c r="J51" s="15" t="s">
        <v>23</v>
      </c>
      <c r="K51" s="15" t="s">
        <v>25</v>
      </c>
      <c r="L51" s="15" t="s">
        <v>2</v>
      </c>
      <c r="M51" s="15" t="s">
        <v>25</v>
      </c>
      <c r="N51" s="15" t="s">
        <v>23</v>
      </c>
      <c r="O51" s="15" t="s">
        <v>24</v>
      </c>
      <c r="P51" s="15" t="s">
        <v>2</v>
      </c>
      <c r="Q51" s="15" t="s">
        <v>2</v>
      </c>
      <c r="R51" s="15" t="s">
        <v>24</v>
      </c>
      <c r="S51" s="15" t="s">
        <v>2</v>
      </c>
      <c r="T51" s="15" t="s">
        <v>25</v>
      </c>
      <c r="U51" s="15" t="s">
        <v>23</v>
      </c>
      <c r="V51" s="15" t="s">
        <v>24</v>
      </c>
      <c r="W51" s="15" t="s">
        <v>25</v>
      </c>
      <c r="X51" s="15" t="s">
        <v>23</v>
      </c>
      <c r="Y51" s="15" t="s">
        <v>2</v>
      </c>
      <c r="Z51" t="s">
        <v>24</v>
      </c>
      <c r="AA51" t="s">
        <v>23</v>
      </c>
      <c r="AB51" t="s">
        <v>2</v>
      </c>
      <c r="AC51" t="s">
        <v>25</v>
      </c>
      <c r="AD51" t="s">
        <v>25</v>
      </c>
      <c r="AE51" t="s">
        <v>23</v>
      </c>
      <c r="AF51" t="s">
        <v>25</v>
      </c>
      <c r="AG51" t="s">
        <v>23</v>
      </c>
      <c r="AH51" t="s">
        <v>2</v>
      </c>
      <c r="AI51" t="s">
        <v>24</v>
      </c>
      <c r="AJ51" t="s">
        <v>23</v>
      </c>
      <c r="AK51" t="s">
        <v>2</v>
      </c>
      <c r="AL51" t="s">
        <v>2</v>
      </c>
      <c r="AM51" t="s">
        <v>24</v>
      </c>
      <c r="AN51" t="s">
        <v>23</v>
      </c>
      <c r="AO51" s="15" t="s">
        <v>25</v>
      </c>
      <c r="AP51" s="15" t="s">
        <v>2</v>
      </c>
      <c r="AQ51" s="15" t="s">
        <v>23</v>
      </c>
      <c r="AR51" s="15" t="s">
        <v>23</v>
      </c>
      <c r="AS51" s="15" t="s">
        <v>24</v>
      </c>
      <c r="AT51" s="15" t="s">
        <v>2</v>
      </c>
      <c r="AU51" s="15" t="s">
        <v>25</v>
      </c>
      <c r="AV51" s="15" t="s">
        <v>2</v>
      </c>
      <c r="AW51" s="15" t="s">
        <v>25</v>
      </c>
      <c r="AX51" s="15" t="s">
        <v>23</v>
      </c>
      <c r="AY51" s="15" t="s">
        <v>24</v>
      </c>
      <c r="AZ51" s="15" t="s">
        <v>24</v>
      </c>
      <c r="BA51" s="15" t="s">
        <v>2</v>
      </c>
      <c r="BB51" s="15" t="s">
        <v>24</v>
      </c>
      <c r="BC51" s="15" t="s">
        <v>23</v>
      </c>
      <c r="BD51" s="15" t="s">
        <v>23</v>
      </c>
      <c r="BE51" s="15" t="s">
        <v>24</v>
      </c>
      <c r="BF51" s="15" t="s">
        <v>2</v>
      </c>
      <c r="BG51" s="15" t="s">
        <v>2</v>
      </c>
      <c r="BH51" s="15" t="s">
        <v>25</v>
      </c>
      <c r="BI51" s="15" t="s">
        <v>2</v>
      </c>
      <c r="BJ51" s="15" t="s">
        <v>25</v>
      </c>
      <c r="BK51" s="15" t="s">
        <v>23</v>
      </c>
      <c r="BL51" s="15" t="s">
        <v>24</v>
      </c>
      <c r="BM51" t="s">
        <v>25</v>
      </c>
      <c r="BN51" t="s">
        <v>23</v>
      </c>
      <c r="BO51" t="s">
        <v>2</v>
      </c>
      <c r="BP51" t="s">
        <v>2</v>
      </c>
      <c r="BQ51" t="s">
        <v>24</v>
      </c>
      <c r="BR51" t="s">
        <v>23</v>
      </c>
      <c r="BS51" t="s">
        <v>23</v>
      </c>
      <c r="BT51" t="s">
        <v>25</v>
      </c>
      <c r="BU51" t="s">
        <v>23</v>
      </c>
      <c r="BV51" t="s">
        <v>23</v>
      </c>
      <c r="BW51" t="s">
        <v>24</v>
      </c>
      <c r="BX51" s="15" t="s">
        <v>25</v>
      </c>
      <c r="BY51" s="15" t="s">
        <v>24</v>
      </c>
      <c r="BZ51" s="15" t="s">
        <v>25</v>
      </c>
      <c r="CA51" s="15" t="s">
        <v>2</v>
      </c>
      <c r="CB51" s="15" t="s">
        <v>2</v>
      </c>
      <c r="CC51" s="15" t="s">
        <v>24</v>
      </c>
      <c r="CD51" s="15" t="s">
        <v>2</v>
      </c>
      <c r="CE51" s="15" t="s">
        <v>25</v>
      </c>
      <c r="CF51" t="s">
        <v>24</v>
      </c>
      <c r="CG51" t="s">
        <v>2</v>
      </c>
      <c r="CH51" t="s">
        <v>23</v>
      </c>
      <c r="CI51" t="s">
        <v>23</v>
      </c>
      <c r="CJ51" t="s">
        <v>25</v>
      </c>
      <c r="CK51" t="s">
        <v>23</v>
      </c>
      <c r="CL51" t="s">
        <v>24</v>
      </c>
      <c r="CM51" t="s">
        <v>24</v>
      </c>
      <c r="CN51" t="s">
        <v>26</v>
      </c>
      <c r="CO51" t="s">
        <v>23</v>
      </c>
      <c r="CP51" t="s">
        <v>2</v>
      </c>
      <c r="CQ51" t="s">
        <v>24</v>
      </c>
      <c r="CR51" t="s">
        <v>25</v>
      </c>
      <c r="CS51" t="s">
        <v>26</v>
      </c>
      <c r="CT51" t="s">
        <v>24</v>
      </c>
      <c r="CU51" t="s">
        <v>23</v>
      </c>
      <c r="CV51" t="s">
        <v>23</v>
      </c>
      <c r="CW51" t="s">
        <v>24</v>
      </c>
      <c r="CX51" t="s">
        <v>25</v>
      </c>
      <c r="CY51" t="s">
        <v>2</v>
      </c>
      <c r="CZ51" t="s">
        <v>25</v>
      </c>
      <c r="DA51" t="s">
        <v>25</v>
      </c>
      <c r="DB51" t="s">
        <v>23</v>
      </c>
      <c r="DC51" t="s">
        <v>25</v>
      </c>
      <c r="DD51" t="s">
        <v>2</v>
      </c>
      <c r="DE51" t="s">
        <v>24</v>
      </c>
      <c r="DF51" t="s">
        <v>24</v>
      </c>
      <c r="DG51" t="s">
        <v>26</v>
      </c>
      <c r="DH51" t="s">
        <v>2</v>
      </c>
      <c r="DI51" t="s">
        <v>26</v>
      </c>
      <c r="DJ51" t="s">
        <v>25</v>
      </c>
      <c r="DK51" t="s">
        <v>26</v>
      </c>
      <c r="DL51" t="s">
        <v>25</v>
      </c>
      <c r="DM51" t="s">
        <v>24</v>
      </c>
      <c r="DN51" t="s">
        <v>23</v>
      </c>
      <c r="DO51" t="s">
        <v>25</v>
      </c>
      <c r="DP51" t="s">
        <v>26</v>
      </c>
      <c r="DQ51" t="s">
        <v>2</v>
      </c>
      <c r="DR51" t="s">
        <v>2</v>
      </c>
      <c r="DS51" t="s">
        <v>26</v>
      </c>
      <c r="DT51" t="s">
        <v>25</v>
      </c>
      <c r="DU51" t="s">
        <v>2</v>
      </c>
      <c r="DV51" t="s">
        <v>25</v>
      </c>
      <c r="DW51" t="s">
        <v>25</v>
      </c>
      <c r="DX51" t="s">
        <v>23</v>
      </c>
      <c r="DY51" t="s">
        <v>26</v>
      </c>
      <c r="DZ51" t="s">
        <v>24</v>
      </c>
      <c r="EA51" t="s">
        <v>2</v>
      </c>
      <c r="EB51" t="s">
        <v>23</v>
      </c>
      <c r="EC51" t="s">
        <v>23</v>
      </c>
      <c r="ED51" t="s">
        <v>26</v>
      </c>
      <c r="EE51" t="s">
        <v>26</v>
      </c>
      <c r="EF51" t="s">
        <v>24</v>
      </c>
      <c r="EG51" t="s">
        <v>25</v>
      </c>
      <c r="EH51" t="s">
        <v>26</v>
      </c>
      <c r="EI51" t="s">
        <v>23</v>
      </c>
      <c r="EJ51" t="s">
        <v>2</v>
      </c>
      <c r="EK51" t="s">
        <v>23</v>
      </c>
      <c r="EL51" t="s">
        <v>2</v>
      </c>
      <c r="EM51" t="s">
        <v>24</v>
      </c>
      <c r="EN51" t="s">
        <v>23</v>
      </c>
      <c r="EO51" t="s">
        <v>2</v>
      </c>
      <c r="EP51" s="15" t="s">
        <v>24</v>
      </c>
      <c r="EQ51" s="15" t="s">
        <v>24</v>
      </c>
      <c r="ER51" s="15" t="s">
        <v>23</v>
      </c>
      <c r="ES51" s="15" t="s">
        <v>24</v>
      </c>
      <c r="ET51" s="15" t="s">
        <v>25</v>
      </c>
      <c r="EU51" s="15" t="s">
        <v>23</v>
      </c>
      <c r="EV51" s="15" t="s">
        <v>23</v>
      </c>
      <c r="EW51" s="15" t="s">
        <v>2</v>
      </c>
      <c r="EX51" s="15" t="s">
        <v>24</v>
      </c>
      <c r="EY51" s="15" t="s">
        <v>2</v>
      </c>
      <c r="EZ51" s="15" t="s">
        <v>25</v>
      </c>
      <c r="FA51" s="15" t="s">
        <v>23</v>
      </c>
      <c r="FB51" s="15" t="s">
        <v>25</v>
      </c>
      <c r="FC51" s="15" t="s">
        <v>2</v>
      </c>
      <c r="FD51" s="15" t="s">
        <v>24</v>
      </c>
      <c r="FE51" s="15" t="s">
        <v>24</v>
      </c>
      <c r="FF51" s="15" t="s">
        <v>2</v>
      </c>
      <c r="FG51" s="15" t="s">
        <v>23</v>
      </c>
      <c r="FH51" s="15" t="s">
        <v>25</v>
      </c>
      <c r="FI51" s="15" t="s">
        <v>25</v>
      </c>
      <c r="FJ51" s="15" t="s">
        <v>23</v>
      </c>
      <c r="FK51" s="15" t="s">
        <v>23</v>
      </c>
      <c r="FL51" s="15" t="s">
        <v>23</v>
      </c>
      <c r="FM51" s="15" t="s">
        <v>24</v>
      </c>
      <c r="FN51" s="15" t="s">
        <v>24</v>
      </c>
      <c r="FO51" s="15" t="s">
        <v>24</v>
      </c>
      <c r="FP51" s="15" t="s">
        <v>25</v>
      </c>
      <c r="FQ51" s="15" t="s">
        <v>24</v>
      </c>
      <c r="FR51" s="15" t="s">
        <v>2</v>
      </c>
      <c r="FS51" s="15" t="s">
        <v>24</v>
      </c>
      <c r="FT51" s="15" t="s">
        <v>23</v>
      </c>
      <c r="FU51" s="15" t="s">
        <v>23</v>
      </c>
      <c r="FV51" s="15" t="s">
        <v>23</v>
      </c>
      <c r="FW51" s="15" t="s">
        <v>23</v>
      </c>
      <c r="FX51" s="15" t="s">
        <v>25</v>
      </c>
      <c r="FY51" s="15" t="s">
        <v>23</v>
      </c>
      <c r="FZ51" s="15" t="s">
        <v>24</v>
      </c>
      <c r="GA51" s="15" t="s">
        <v>24</v>
      </c>
      <c r="GB51" s="15" t="s">
        <v>23</v>
      </c>
      <c r="GC51" s="15" t="s">
        <v>2</v>
      </c>
      <c r="GD51" s="15" t="s">
        <v>2</v>
      </c>
      <c r="GE51" s="15" t="s">
        <v>2</v>
      </c>
      <c r="GF51" s="15" t="s">
        <v>25</v>
      </c>
      <c r="GG51" s="15" t="s">
        <v>23</v>
      </c>
      <c r="GH51" s="15" t="s">
        <v>2</v>
      </c>
      <c r="GI51" s="15" t="s">
        <v>24</v>
      </c>
      <c r="GJ51" s="15" t="s">
        <v>24</v>
      </c>
      <c r="GK51" s="15" t="s">
        <v>25</v>
      </c>
      <c r="GL51" s="15" t="s">
        <v>24</v>
      </c>
      <c r="GM51" s="15" t="s">
        <v>2</v>
      </c>
      <c r="GN51" s="15" t="s">
        <v>25</v>
      </c>
      <c r="GO51" s="15" t="s">
        <v>23</v>
      </c>
      <c r="GP51" s="15" t="s">
        <v>24</v>
      </c>
      <c r="GQ51" s="15" t="s">
        <v>2</v>
      </c>
      <c r="GR51" s="15" t="s">
        <v>2</v>
      </c>
      <c r="GS51" s="15" t="s">
        <v>23</v>
      </c>
      <c r="GT51" s="15" t="s">
        <v>25</v>
      </c>
      <c r="GU51" s="15" t="s">
        <v>2</v>
      </c>
      <c r="GV51" s="15" t="s">
        <v>24</v>
      </c>
      <c r="GW51" t="s">
        <v>23</v>
      </c>
      <c r="GX51" t="s">
        <v>23</v>
      </c>
      <c r="GY51" t="s">
        <v>25</v>
      </c>
      <c r="GZ51" t="s">
        <v>25</v>
      </c>
      <c r="HA51" t="s">
        <v>24</v>
      </c>
      <c r="HB51" t="s">
        <v>23</v>
      </c>
      <c r="HC51" t="s">
        <v>2</v>
      </c>
      <c r="HD51" t="s">
        <v>2</v>
      </c>
      <c r="HE51" t="s">
        <v>25</v>
      </c>
      <c r="HF51" t="s">
        <v>23</v>
      </c>
      <c r="HG51" t="s">
        <v>24</v>
      </c>
      <c r="HH51" s="15" t="s">
        <v>23</v>
      </c>
      <c r="HI51" s="15" t="s">
        <v>25</v>
      </c>
      <c r="HJ51" s="15" t="s">
        <v>23</v>
      </c>
      <c r="HK51" s="15" t="s">
        <v>25</v>
      </c>
      <c r="HL51" s="15" t="s">
        <v>25</v>
      </c>
      <c r="HM51" s="15" t="s">
        <v>23</v>
      </c>
      <c r="HN51" s="15"/>
      <c r="HO51" s="15"/>
      <c r="HP51" s="15"/>
      <c r="HQ51" s="15"/>
      <c r="HR51" s="15"/>
      <c r="HS51" s="15"/>
      <c r="HT51" s="15"/>
      <c r="HU51" s="15"/>
      <c r="HV51" s="15"/>
      <c r="HW51" s="15"/>
      <c r="IQ51" s="15"/>
      <c r="IR51" s="15"/>
      <c r="IS51" s="15"/>
      <c r="IT51" s="15"/>
      <c r="IU51" s="15"/>
      <c r="IV51" s="15"/>
      <c r="IW51" s="15"/>
      <c r="IX51" s="15"/>
      <c r="IY51" s="15"/>
      <c r="IZ51" s="15"/>
      <c r="JA51" s="15"/>
      <c r="JB51" s="15"/>
      <c r="JC51" s="15"/>
      <c r="JD51" s="15"/>
      <c r="JE51" s="15"/>
      <c r="JF51" s="15"/>
      <c r="JG51" s="15"/>
      <c r="JH51" s="15"/>
      <c r="JI51" s="15"/>
      <c r="JZ51" s="15"/>
      <c r="KA51" s="15"/>
      <c r="KB51" s="15"/>
      <c r="KC51" s="15"/>
      <c r="KD51" s="15"/>
      <c r="KE51" s="15"/>
      <c r="KF51" s="15"/>
      <c r="KG51" s="15"/>
      <c r="KH51" s="15"/>
      <c r="KI51" s="15"/>
      <c r="KJ51" s="15"/>
      <c r="KK51" s="15"/>
      <c r="KL51" s="15"/>
      <c r="KM51" s="15"/>
      <c r="LI51" s="15"/>
      <c r="LJ51" s="15"/>
      <c r="LK51" s="15"/>
      <c r="LL51" s="15"/>
      <c r="LM51" s="15"/>
      <c r="LO51" s="15"/>
      <c r="LP51" s="15"/>
      <c r="LQ51" s="15"/>
      <c r="LR51" s="15"/>
    </row>
    <row r="52" spans="1:330">
      <c r="A52">
        <v>43662</v>
      </c>
      <c r="B52" s="15" t="s">
        <v>794</v>
      </c>
      <c r="C52" s="15" t="s">
        <v>676</v>
      </c>
      <c r="D52" s="15" t="s">
        <v>37</v>
      </c>
      <c r="E52" s="15" t="s">
        <v>765</v>
      </c>
      <c r="F52" s="15"/>
      <c r="G52" s="15" t="s">
        <v>24</v>
      </c>
      <c r="H52" s="15" t="s">
        <v>25</v>
      </c>
      <c r="I52" s="15" t="s">
        <v>23</v>
      </c>
      <c r="J52" s="15" t="s">
        <v>23</v>
      </c>
      <c r="K52" s="15" t="s">
        <v>25</v>
      </c>
      <c r="L52" s="15" t="s">
        <v>2</v>
      </c>
      <c r="M52" s="15" t="s">
        <v>24</v>
      </c>
      <c r="N52" s="15" t="s">
        <v>23</v>
      </c>
      <c r="O52" s="15" t="s">
        <v>24</v>
      </c>
      <c r="P52" s="15" t="s">
        <v>2</v>
      </c>
      <c r="Q52" s="15" t="s">
        <v>2</v>
      </c>
      <c r="R52" s="15" t="s">
        <v>24</v>
      </c>
      <c r="S52" s="15" t="s">
        <v>2</v>
      </c>
      <c r="T52" s="15" t="s">
        <v>25</v>
      </c>
      <c r="U52" s="15" t="s">
        <v>23</v>
      </c>
      <c r="V52" s="15" t="s">
        <v>24</v>
      </c>
      <c r="W52" s="15" t="s">
        <v>2</v>
      </c>
      <c r="X52" s="15" t="s">
        <v>23</v>
      </c>
      <c r="Y52" s="15" t="s">
        <v>2</v>
      </c>
      <c r="Z52" t="s">
        <v>24</v>
      </c>
      <c r="AA52" t="s">
        <v>23</v>
      </c>
      <c r="AB52" t="s">
        <v>23</v>
      </c>
      <c r="AC52" t="s">
        <v>25</v>
      </c>
      <c r="AD52" t="s">
        <v>25</v>
      </c>
      <c r="AE52" t="s">
        <v>23</v>
      </c>
      <c r="AF52" t="s">
        <v>25</v>
      </c>
      <c r="AG52" t="s">
        <v>23</v>
      </c>
      <c r="AH52" t="s">
        <v>2</v>
      </c>
      <c r="AI52" t="s">
        <v>24</v>
      </c>
      <c r="AJ52" t="s">
        <v>23</v>
      </c>
      <c r="AK52" t="s">
        <v>2</v>
      </c>
      <c r="AL52" t="s">
        <v>2</v>
      </c>
      <c r="AM52" t="s">
        <v>23</v>
      </c>
      <c r="AN52" t="s">
        <v>23</v>
      </c>
      <c r="AO52" s="15" t="s">
        <v>25</v>
      </c>
      <c r="AP52" s="15" t="s">
        <v>2</v>
      </c>
      <c r="AQ52" s="15" t="s">
        <v>25</v>
      </c>
      <c r="AR52" s="15" t="s">
        <v>23</v>
      </c>
      <c r="AS52" s="15" t="s">
        <v>24</v>
      </c>
      <c r="AT52" t="s">
        <v>25</v>
      </c>
      <c r="AU52" t="s">
        <v>25</v>
      </c>
      <c r="AV52" t="s">
        <v>2</v>
      </c>
      <c r="AW52" t="s">
        <v>25</v>
      </c>
      <c r="AX52" t="s">
        <v>23</v>
      </c>
      <c r="AY52" t="s">
        <v>24</v>
      </c>
      <c r="AZ52" t="s">
        <v>24</v>
      </c>
      <c r="BA52" t="s">
        <v>25</v>
      </c>
      <c r="BB52" t="s">
        <v>24</v>
      </c>
      <c r="BC52" t="s">
        <v>23</v>
      </c>
      <c r="BD52" t="s">
        <v>23</v>
      </c>
      <c r="BE52" t="s">
        <v>23</v>
      </c>
      <c r="BF52" t="s">
        <v>2</v>
      </c>
      <c r="BG52" t="s">
        <v>2</v>
      </c>
      <c r="BH52" t="s">
        <v>2</v>
      </c>
      <c r="BI52" t="s">
        <v>2</v>
      </c>
      <c r="BJ52" t="s">
        <v>25</v>
      </c>
      <c r="BK52" t="s">
        <v>23</v>
      </c>
      <c r="BL52" t="s">
        <v>24</v>
      </c>
      <c r="BM52" t="s">
        <v>25</v>
      </c>
      <c r="BN52" t="s">
        <v>23</v>
      </c>
      <c r="BO52" t="s">
        <v>23</v>
      </c>
      <c r="BP52" t="s">
        <v>2</v>
      </c>
      <c r="BQ52" t="s">
        <v>24</v>
      </c>
      <c r="BR52" t="s">
        <v>2</v>
      </c>
      <c r="BS52" t="s">
        <v>23</v>
      </c>
      <c r="BT52" t="s">
        <v>25</v>
      </c>
      <c r="BU52" t="s">
        <v>23</v>
      </c>
      <c r="BV52" t="s">
        <v>2</v>
      </c>
      <c r="BW52" t="s">
        <v>24</v>
      </c>
      <c r="BX52" s="15" t="s">
        <v>25</v>
      </c>
      <c r="BY52" s="15" t="s">
        <v>25</v>
      </c>
      <c r="BZ52" s="15" t="s">
        <v>25</v>
      </c>
      <c r="CA52" s="15" t="s">
        <v>2</v>
      </c>
      <c r="CB52" s="15" t="s">
        <v>2</v>
      </c>
      <c r="CC52" s="15" t="s">
        <v>24</v>
      </c>
      <c r="CD52" s="15" t="s">
        <v>2</v>
      </c>
      <c r="CE52" s="15" t="s">
        <v>25</v>
      </c>
      <c r="CF52" t="s">
        <v>24</v>
      </c>
      <c r="CG52" t="s">
        <v>2</v>
      </c>
      <c r="CH52" t="s">
        <v>23</v>
      </c>
      <c r="CI52" t="s">
        <v>23</v>
      </c>
      <c r="CJ52" t="s">
        <v>25</v>
      </c>
      <c r="CK52" t="s">
        <v>23</v>
      </c>
      <c r="CL52" t="s">
        <v>24</v>
      </c>
      <c r="CM52" t="s">
        <v>24</v>
      </c>
      <c r="CN52" t="s">
        <v>24</v>
      </c>
      <c r="CO52" t="s">
        <v>23</v>
      </c>
      <c r="CP52" t="s">
        <v>23</v>
      </c>
      <c r="CQ52" t="s">
        <v>24</v>
      </c>
      <c r="CR52" t="s">
        <v>25</v>
      </c>
      <c r="CS52" t="s">
        <v>26</v>
      </c>
      <c r="CT52" t="s">
        <v>24</v>
      </c>
      <c r="CU52" t="s">
        <v>23</v>
      </c>
      <c r="CV52" t="s">
        <v>23</v>
      </c>
      <c r="CW52" t="s">
        <v>26</v>
      </c>
      <c r="CX52" t="s">
        <v>25</v>
      </c>
      <c r="CY52" t="s">
        <v>2</v>
      </c>
      <c r="CZ52" t="s">
        <v>25</v>
      </c>
      <c r="DA52" t="s">
        <v>25</v>
      </c>
      <c r="DB52" t="s">
        <v>23</v>
      </c>
      <c r="DC52" t="s">
        <v>25</v>
      </c>
      <c r="DD52" t="s">
        <v>2</v>
      </c>
      <c r="DE52" t="s">
        <v>24</v>
      </c>
      <c r="DF52" t="s">
        <v>26</v>
      </c>
      <c r="DG52" t="s">
        <v>26</v>
      </c>
      <c r="DH52" t="s">
        <v>2</v>
      </c>
      <c r="DI52" t="s">
        <v>26</v>
      </c>
      <c r="DJ52" t="s">
        <v>25</v>
      </c>
      <c r="DK52" t="s">
        <v>26</v>
      </c>
      <c r="DL52" t="s">
        <v>25</v>
      </c>
      <c r="DM52" t="s">
        <v>2</v>
      </c>
      <c r="DN52" t="s">
        <v>25</v>
      </c>
      <c r="DO52" t="s">
        <v>23</v>
      </c>
      <c r="DP52" t="s">
        <v>24</v>
      </c>
      <c r="DQ52" t="s">
        <v>2</v>
      </c>
      <c r="DR52" t="s">
        <v>2</v>
      </c>
      <c r="DS52" t="s">
        <v>2</v>
      </c>
      <c r="DT52" t="s">
        <v>25</v>
      </c>
      <c r="DU52" t="s">
        <v>24</v>
      </c>
      <c r="DV52" t="s">
        <v>25</v>
      </c>
      <c r="DW52" t="s">
        <v>24</v>
      </c>
      <c r="DX52" t="s">
        <v>24</v>
      </c>
      <c r="DY52" t="s">
        <v>26</v>
      </c>
      <c r="DZ52" t="s">
        <v>24</v>
      </c>
      <c r="EA52" t="s">
        <v>2</v>
      </c>
      <c r="EB52" t="s">
        <v>23</v>
      </c>
      <c r="EC52" t="s">
        <v>23</v>
      </c>
      <c r="ED52" t="s">
        <v>26</v>
      </c>
      <c r="EE52" t="s">
        <v>26</v>
      </c>
      <c r="EF52" t="s">
        <v>24</v>
      </c>
      <c r="EG52" t="s">
        <v>25</v>
      </c>
      <c r="EH52" t="s">
        <v>23</v>
      </c>
      <c r="EI52" t="s">
        <v>2</v>
      </c>
      <c r="EJ52" t="s">
        <v>2</v>
      </c>
      <c r="EK52" t="s">
        <v>23</v>
      </c>
      <c r="EL52" t="s">
        <v>2</v>
      </c>
      <c r="EM52" t="s">
        <v>24</v>
      </c>
      <c r="EN52" t="s">
        <v>23</v>
      </c>
      <c r="EO52" t="s">
        <v>25</v>
      </c>
      <c r="EP52" s="15" t="s">
        <v>24</v>
      </c>
      <c r="EQ52" s="15" t="s">
        <v>24</v>
      </c>
      <c r="ER52" s="15" t="s">
        <v>23</v>
      </c>
      <c r="ES52" s="15" t="s">
        <v>2</v>
      </c>
      <c r="ET52" s="15" t="s">
        <v>25</v>
      </c>
      <c r="EU52" s="15" t="s">
        <v>23</v>
      </c>
      <c r="EV52" s="15" t="s">
        <v>23</v>
      </c>
      <c r="EW52" s="15" t="s">
        <v>2</v>
      </c>
      <c r="EX52" s="15" t="s">
        <v>24</v>
      </c>
      <c r="EY52" s="15" t="s">
        <v>23</v>
      </c>
      <c r="EZ52" s="15" t="s">
        <v>25</v>
      </c>
      <c r="FA52" s="15" t="s">
        <v>25</v>
      </c>
      <c r="FB52" s="15" t="s">
        <v>25</v>
      </c>
      <c r="FC52" s="15" t="s">
        <v>2</v>
      </c>
      <c r="FD52" s="15" t="s">
        <v>23</v>
      </c>
      <c r="FE52" s="15" t="s">
        <v>23</v>
      </c>
      <c r="FF52" s="15" t="s">
        <v>25</v>
      </c>
      <c r="FG52" s="15" t="s">
        <v>23</v>
      </c>
      <c r="FH52" s="15" t="s">
        <v>2</v>
      </c>
      <c r="FI52" s="15" t="s">
        <v>25</v>
      </c>
      <c r="FJ52" s="15" t="s">
        <v>23</v>
      </c>
      <c r="FK52" s="15" t="s">
        <v>24</v>
      </c>
      <c r="FL52" s="15" t="s">
        <v>23</v>
      </c>
      <c r="FM52" s="15" t="s">
        <v>24</v>
      </c>
      <c r="FN52" s="15" t="s">
        <v>25</v>
      </c>
      <c r="FO52" s="15" t="s">
        <v>23</v>
      </c>
      <c r="FP52" s="15" t="s">
        <v>25</v>
      </c>
      <c r="FQ52" s="15" t="s">
        <v>24</v>
      </c>
      <c r="FR52" s="15" t="s">
        <v>2</v>
      </c>
      <c r="FS52" s="15" t="s">
        <v>24</v>
      </c>
      <c r="FT52" s="15" t="s">
        <v>23</v>
      </c>
      <c r="FU52" s="15" t="s">
        <v>2</v>
      </c>
      <c r="FV52" s="15" t="s">
        <v>24</v>
      </c>
      <c r="FW52" s="15" t="s">
        <v>24</v>
      </c>
      <c r="FX52" s="15" t="s">
        <v>25</v>
      </c>
      <c r="FY52" s="15" t="s">
        <v>23</v>
      </c>
      <c r="FZ52" s="15" t="s">
        <v>24</v>
      </c>
      <c r="GA52" s="15" t="s">
        <v>24</v>
      </c>
      <c r="GB52" s="15" t="s">
        <v>23</v>
      </c>
      <c r="GC52" s="15" t="s">
        <v>2</v>
      </c>
      <c r="GD52" s="15" t="s">
        <v>25</v>
      </c>
      <c r="GE52" s="15" t="s">
        <v>2</v>
      </c>
      <c r="GF52" s="15" t="s">
        <v>25</v>
      </c>
      <c r="GG52" s="15" t="s">
        <v>23</v>
      </c>
      <c r="GH52" s="15" t="s">
        <v>2</v>
      </c>
      <c r="GI52" s="15" t="s">
        <v>24</v>
      </c>
      <c r="GJ52" s="15" t="s">
        <v>23</v>
      </c>
      <c r="GK52" t="s">
        <v>25</v>
      </c>
      <c r="GL52" s="15" t="s">
        <v>24</v>
      </c>
      <c r="GM52" s="15" t="s">
        <v>2</v>
      </c>
      <c r="GN52" s="15" t="s">
        <v>25</v>
      </c>
      <c r="GO52" t="s">
        <v>24</v>
      </c>
      <c r="GP52" t="s">
        <v>25</v>
      </c>
      <c r="GQ52" t="s">
        <v>23</v>
      </c>
      <c r="GR52" t="s">
        <v>2</v>
      </c>
      <c r="GS52" t="s">
        <v>23</v>
      </c>
      <c r="GT52" t="s">
        <v>2</v>
      </c>
      <c r="GU52" t="s">
        <v>24</v>
      </c>
      <c r="GV52" t="s">
        <v>2</v>
      </c>
      <c r="GW52" t="s">
        <v>24</v>
      </c>
      <c r="GX52" t="s">
        <v>25</v>
      </c>
      <c r="GY52" t="s">
        <v>25</v>
      </c>
      <c r="GZ52" t="s">
        <v>25</v>
      </c>
      <c r="HA52" t="s">
        <v>24</v>
      </c>
      <c r="HB52" t="s">
        <v>23</v>
      </c>
      <c r="HC52" t="s">
        <v>2</v>
      </c>
      <c r="HD52" t="s">
        <v>25</v>
      </c>
      <c r="HE52" t="s">
        <v>25</v>
      </c>
      <c r="HF52" t="s">
        <v>24</v>
      </c>
      <c r="HG52" t="s">
        <v>25</v>
      </c>
      <c r="HH52" s="15" t="s">
        <v>24</v>
      </c>
      <c r="HI52" s="15" t="s">
        <v>25</v>
      </c>
      <c r="HJ52" s="15" t="s">
        <v>25</v>
      </c>
      <c r="HK52" s="15" t="s">
        <v>25</v>
      </c>
      <c r="HL52" s="15" t="s">
        <v>2</v>
      </c>
      <c r="HM52" s="15" t="s">
        <v>23</v>
      </c>
      <c r="HN52" s="15"/>
      <c r="HO52" s="15"/>
      <c r="HP52" s="15"/>
      <c r="HQ52" s="15"/>
      <c r="HR52" s="15"/>
      <c r="HS52" s="15"/>
      <c r="HT52" s="15"/>
      <c r="HU52" s="15"/>
      <c r="HV52" s="15"/>
      <c r="HW52" s="15"/>
      <c r="IQ52" s="15"/>
      <c r="IR52" s="15"/>
      <c r="IS52" s="15"/>
      <c r="IT52" s="15"/>
      <c r="IU52" s="15"/>
      <c r="IV52" s="15"/>
      <c r="IW52" s="15"/>
      <c r="IX52" s="15"/>
      <c r="IY52" s="15"/>
      <c r="IZ52" s="15"/>
      <c r="JA52" s="15"/>
      <c r="JB52" s="15"/>
      <c r="JC52" s="15"/>
      <c r="JD52" s="15"/>
      <c r="JE52" s="15"/>
      <c r="JF52" s="15"/>
      <c r="JG52" s="15"/>
      <c r="JH52" s="15"/>
      <c r="JI52" s="15"/>
      <c r="JZ52" s="15"/>
      <c r="KA52" s="15"/>
      <c r="KB52" s="15"/>
      <c r="KC52" s="15"/>
      <c r="KD52" s="15"/>
      <c r="KE52" s="15"/>
      <c r="KF52" s="15"/>
      <c r="KG52" s="15"/>
      <c r="KH52" s="15"/>
      <c r="KI52" s="15"/>
      <c r="KJ52" s="15"/>
      <c r="KK52" s="15"/>
      <c r="KL52" s="15"/>
      <c r="KM52" s="15"/>
      <c r="LI52" s="15"/>
      <c r="LJ52" s="15"/>
      <c r="LK52" s="15"/>
      <c r="LL52" s="15"/>
      <c r="LM52" s="15"/>
      <c r="LN52" s="15"/>
      <c r="LO52" s="15"/>
      <c r="LP52" s="15"/>
      <c r="LQ52" s="15"/>
      <c r="LR52" s="15"/>
    </row>
    <row r="53" spans="1:330">
      <c r="A53">
        <v>43662</v>
      </c>
      <c r="B53" s="15" t="s">
        <v>795</v>
      </c>
      <c r="C53" s="15" t="s">
        <v>668</v>
      </c>
      <c r="D53" s="15" t="s">
        <v>37</v>
      </c>
      <c r="E53" s="15" t="s">
        <v>765</v>
      </c>
      <c r="F53" s="15"/>
      <c r="G53" s="15" t="s">
        <v>24</v>
      </c>
      <c r="H53" s="15" t="s">
        <v>25</v>
      </c>
      <c r="I53" s="15" t="s">
        <v>23</v>
      </c>
      <c r="J53" s="15" t="s">
        <v>23</v>
      </c>
      <c r="K53" s="15" t="s">
        <v>25</v>
      </c>
      <c r="L53" s="15" t="s">
        <v>2</v>
      </c>
      <c r="M53" s="15" t="s">
        <v>25</v>
      </c>
      <c r="N53" s="15" t="s">
        <v>23</v>
      </c>
      <c r="O53" s="15" t="s">
        <v>24</v>
      </c>
      <c r="P53" s="15" t="s">
        <v>2</v>
      </c>
      <c r="Q53" s="15" t="s">
        <v>2</v>
      </c>
      <c r="R53" s="15" t="s">
        <v>24</v>
      </c>
      <c r="S53" s="15" t="s">
        <v>2</v>
      </c>
      <c r="T53" s="15" t="s">
        <v>25</v>
      </c>
      <c r="U53" s="15" t="s">
        <v>23</v>
      </c>
      <c r="V53" s="15" t="s">
        <v>24</v>
      </c>
      <c r="W53" s="15" t="s">
        <v>2</v>
      </c>
      <c r="X53" s="15" t="s">
        <v>23</v>
      </c>
      <c r="Y53" s="15" t="s">
        <v>2</v>
      </c>
      <c r="Z53" t="s">
        <v>24</v>
      </c>
      <c r="AA53" t="s">
        <v>23</v>
      </c>
      <c r="AB53" t="s">
        <v>2</v>
      </c>
      <c r="AC53" t="s">
        <v>25</v>
      </c>
      <c r="AD53" t="s">
        <v>25</v>
      </c>
      <c r="AE53" t="s">
        <v>23</v>
      </c>
      <c r="AF53" t="s">
        <v>25</v>
      </c>
      <c r="AG53" t="s">
        <v>23</v>
      </c>
      <c r="AH53" t="s">
        <v>2</v>
      </c>
      <c r="AI53" t="s">
        <v>24</v>
      </c>
      <c r="AJ53" t="s">
        <v>23</v>
      </c>
      <c r="AK53" t="s">
        <v>2</v>
      </c>
      <c r="AL53" t="s">
        <v>2</v>
      </c>
      <c r="AM53" t="s">
        <v>23</v>
      </c>
      <c r="AN53" t="s">
        <v>23</v>
      </c>
      <c r="AO53" s="15" t="s">
        <v>25</v>
      </c>
      <c r="AP53" s="15" t="s">
        <v>2</v>
      </c>
      <c r="AQ53" s="15" t="s">
        <v>25</v>
      </c>
      <c r="AR53" t="s">
        <v>23</v>
      </c>
      <c r="AS53" s="15" t="s">
        <v>24</v>
      </c>
      <c r="AT53" s="15" t="s">
        <v>25</v>
      </c>
      <c r="AU53" s="15" t="s">
        <v>25</v>
      </c>
      <c r="AV53" t="s">
        <v>2</v>
      </c>
      <c r="AW53" s="15" t="s">
        <v>25</v>
      </c>
      <c r="AX53" s="15" t="s">
        <v>23</v>
      </c>
      <c r="AY53" s="15" t="s">
        <v>24</v>
      </c>
      <c r="AZ53" s="15" t="s">
        <v>24</v>
      </c>
      <c r="BA53" s="15" t="s">
        <v>25</v>
      </c>
      <c r="BB53" s="15" t="s">
        <v>24</v>
      </c>
      <c r="BC53" s="15" t="s">
        <v>23</v>
      </c>
      <c r="BD53" s="15" t="s">
        <v>23</v>
      </c>
      <c r="BE53" s="15" t="s">
        <v>24</v>
      </c>
      <c r="BF53" s="15" t="s">
        <v>2</v>
      </c>
      <c r="BG53" s="15" t="s">
        <v>2</v>
      </c>
      <c r="BH53" s="15" t="s">
        <v>25</v>
      </c>
      <c r="BI53" s="15" t="s">
        <v>23</v>
      </c>
      <c r="BJ53" t="s">
        <v>25</v>
      </c>
      <c r="BK53" t="s">
        <v>23</v>
      </c>
      <c r="BL53" t="s">
        <v>24</v>
      </c>
      <c r="BM53" t="s">
        <v>25</v>
      </c>
      <c r="BN53" t="s">
        <v>23</v>
      </c>
      <c r="BO53" t="s">
        <v>2</v>
      </c>
      <c r="BP53" t="s">
        <v>2</v>
      </c>
      <c r="BQ53" t="s">
        <v>24</v>
      </c>
      <c r="BR53" t="s">
        <v>23</v>
      </c>
      <c r="BS53" t="s">
        <v>25</v>
      </c>
      <c r="BT53" t="s">
        <v>25</v>
      </c>
      <c r="BU53" t="s">
        <v>23</v>
      </c>
      <c r="BV53" t="s">
        <v>2</v>
      </c>
      <c r="BW53" t="s">
        <v>24</v>
      </c>
      <c r="BX53" s="15" t="s">
        <v>25</v>
      </c>
      <c r="BY53" s="15" t="s">
        <v>24</v>
      </c>
      <c r="BZ53" s="15" t="s">
        <v>25</v>
      </c>
      <c r="CA53" s="15" t="s">
        <v>2</v>
      </c>
      <c r="CB53" s="15" t="s">
        <v>2</v>
      </c>
      <c r="CC53" s="15" t="s">
        <v>24</v>
      </c>
      <c r="CD53" s="15" t="s">
        <v>2</v>
      </c>
      <c r="CE53" s="15" t="s">
        <v>25</v>
      </c>
      <c r="CF53" t="s">
        <v>24</v>
      </c>
      <c r="CG53" t="s">
        <v>2</v>
      </c>
      <c r="CH53" t="s">
        <v>23</v>
      </c>
      <c r="CI53" t="s">
        <v>23</v>
      </c>
      <c r="CJ53" t="s">
        <v>25</v>
      </c>
      <c r="CK53" t="s">
        <v>23</v>
      </c>
      <c r="CL53" t="s">
        <v>24</v>
      </c>
      <c r="CM53" t="s">
        <v>24</v>
      </c>
      <c r="CN53" t="s">
        <v>26</v>
      </c>
      <c r="CO53" t="s">
        <v>23</v>
      </c>
      <c r="CP53" t="s">
        <v>2</v>
      </c>
      <c r="CQ53" t="s">
        <v>24</v>
      </c>
      <c r="CR53" t="s">
        <v>25</v>
      </c>
      <c r="CS53" t="s">
        <v>26</v>
      </c>
      <c r="CT53" t="s">
        <v>24</v>
      </c>
      <c r="CU53" t="s">
        <v>23</v>
      </c>
      <c r="CV53" t="s">
        <v>23</v>
      </c>
      <c r="CW53" t="s">
        <v>24</v>
      </c>
      <c r="CX53" t="s">
        <v>25</v>
      </c>
      <c r="CY53" t="s">
        <v>2</v>
      </c>
      <c r="CZ53" t="s">
        <v>25</v>
      </c>
      <c r="DA53" t="s">
        <v>25</v>
      </c>
      <c r="DB53" t="s">
        <v>23</v>
      </c>
      <c r="DC53" t="s">
        <v>25</v>
      </c>
      <c r="DD53" t="s">
        <v>2</v>
      </c>
      <c r="DE53" t="s">
        <v>24</v>
      </c>
      <c r="DF53" t="s">
        <v>26</v>
      </c>
      <c r="DG53" t="s">
        <v>26</v>
      </c>
      <c r="DH53" t="s">
        <v>2</v>
      </c>
      <c r="DI53" t="s">
        <v>26</v>
      </c>
      <c r="DJ53" t="s">
        <v>25</v>
      </c>
      <c r="DK53" t="s">
        <v>26</v>
      </c>
      <c r="DL53" t="s">
        <v>25</v>
      </c>
      <c r="DM53" t="s">
        <v>2</v>
      </c>
      <c r="DN53" t="s">
        <v>23</v>
      </c>
      <c r="DO53" t="s">
        <v>25</v>
      </c>
      <c r="DP53" t="s">
        <v>26</v>
      </c>
      <c r="DQ53" t="s">
        <v>2</v>
      </c>
      <c r="DR53" t="s">
        <v>26</v>
      </c>
      <c r="DS53" t="s">
        <v>26</v>
      </c>
      <c r="DT53" t="s">
        <v>25</v>
      </c>
      <c r="DU53" t="s">
        <v>25</v>
      </c>
      <c r="DV53" t="s">
        <v>25</v>
      </c>
      <c r="DW53" t="s">
        <v>25</v>
      </c>
      <c r="DX53" t="s">
        <v>23</v>
      </c>
      <c r="DY53" t="s">
        <v>26</v>
      </c>
      <c r="DZ53" t="s">
        <v>24</v>
      </c>
      <c r="EA53" t="s">
        <v>2</v>
      </c>
      <c r="EB53" t="s">
        <v>23</v>
      </c>
      <c r="EC53" t="s">
        <v>23</v>
      </c>
      <c r="ED53" t="s">
        <v>24</v>
      </c>
      <c r="EE53" t="s">
        <v>26</v>
      </c>
      <c r="EF53" t="s">
        <v>24</v>
      </c>
      <c r="EG53" t="s">
        <v>25</v>
      </c>
      <c r="EH53" t="s">
        <v>26</v>
      </c>
      <c r="EI53" t="s">
        <v>24</v>
      </c>
      <c r="EJ53" t="s">
        <v>2</v>
      </c>
      <c r="EK53" t="s">
        <v>25</v>
      </c>
      <c r="EL53" t="s">
        <v>24</v>
      </c>
      <c r="EM53" t="s">
        <v>23</v>
      </c>
      <c r="EN53" t="s">
        <v>25</v>
      </c>
      <c r="EO53" t="s">
        <v>24</v>
      </c>
      <c r="EP53" s="15" t="s">
        <v>24</v>
      </c>
      <c r="EQ53" s="15" t="s">
        <v>24</v>
      </c>
      <c r="ER53" s="15" t="s">
        <v>23</v>
      </c>
      <c r="ES53" s="15" t="s">
        <v>25</v>
      </c>
      <c r="ET53" s="15" t="s">
        <v>23</v>
      </c>
      <c r="EU53" s="15" t="s">
        <v>23</v>
      </c>
      <c r="EV53" s="15" t="s">
        <v>2</v>
      </c>
      <c r="EW53" s="15" t="s">
        <v>24</v>
      </c>
      <c r="EX53" s="15" t="s">
        <v>2</v>
      </c>
      <c r="EY53" s="15" t="s">
        <v>2</v>
      </c>
      <c r="EZ53" s="15" t="s">
        <v>25</v>
      </c>
      <c r="FA53" s="15" t="s">
        <v>23</v>
      </c>
      <c r="FB53" t="s">
        <v>25</v>
      </c>
      <c r="FC53" s="15" t="s">
        <v>2</v>
      </c>
      <c r="FD53" s="15" t="s">
        <v>23</v>
      </c>
      <c r="FE53" s="15" t="s">
        <v>24</v>
      </c>
      <c r="FF53" s="15" t="s">
        <v>25</v>
      </c>
      <c r="FG53" s="15" t="s">
        <v>23</v>
      </c>
      <c r="FH53" s="15" t="s">
        <v>2</v>
      </c>
      <c r="FI53" s="15" t="s">
        <v>25</v>
      </c>
      <c r="FJ53" s="15" t="s">
        <v>23</v>
      </c>
      <c r="FK53" s="15" t="s">
        <v>24</v>
      </c>
      <c r="FL53" t="s">
        <v>23</v>
      </c>
      <c r="FM53" s="15" t="s">
        <v>24</v>
      </c>
      <c r="FN53" s="15" t="s">
        <v>25</v>
      </c>
      <c r="FO53" s="15" t="s">
        <v>24</v>
      </c>
      <c r="FP53" s="15" t="s">
        <v>25</v>
      </c>
      <c r="FQ53" s="15" t="s">
        <v>23</v>
      </c>
      <c r="FR53" s="15" t="s">
        <v>2</v>
      </c>
      <c r="FS53" t="s">
        <v>24</v>
      </c>
      <c r="FT53" s="15" t="s">
        <v>23</v>
      </c>
      <c r="FU53" s="15" t="s">
        <v>2</v>
      </c>
      <c r="FV53" s="15" t="s">
        <v>24</v>
      </c>
      <c r="FW53" s="15" t="s">
        <v>24</v>
      </c>
      <c r="FX53" s="15" t="s">
        <v>25</v>
      </c>
      <c r="FY53" s="15" t="s">
        <v>23</v>
      </c>
      <c r="FZ53" s="15" t="s">
        <v>24</v>
      </c>
      <c r="GA53" t="s">
        <v>23</v>
      </c>
      <c r="GB53" s="15" t="s">
        <v>2</v>
      </c>
      <c r="GC53" s="15" t="s">
        <v>2</v>
      </c>
      <c r="GD53" t="s">
        <v>2</v>
      </c>
      <c r="GE53" s="15" t="s">
        <v>25</v>
      </c>
      <c r="GF53" s="15" t="s">
        <v>25</v>
      </c>
      <c r="GG53" s="15" t="s">
        <v>2</v>
      </c>
      <c r="GH53" s="15" t="s">
        <v>24</v>
      </c>
      <c r="GI53" s="15" t="s">
        <v>24</v>
      </c>
      <c r="GJ53" t="s">
        <v>25</v>
      </c>
      <c r="GK53" s="15" t="s">
        <v>24</v>
      </c>
      <c r="GL53" s="15" t="s">
        <v>24</v>
      </c>
      <c r="GM53" s="15" t="s">
        <v>2</v>
      </c>
      <c r="GN53" t="s">
        <v>23</v>
      </c>
      <c r="GO53" s="15" t="s">
        <v>24</v>
      </c>
      <c r="GP53" t="s">
        <v>2</v>
      </c>
      <c r="GQ53" s="15" t="s">
        <v>2</v>
      </c>
      <c r="GR53" s="15" t="s">
        <v>2</v>
      </c>
      <c r="GS53" s="15" t="s">
        <v>2</v>
      </c>
      <c r="GT53" t="s">
        <v>2</v>
      </c>
      <c r="GU53" t="s">
        <v>2</v>
      </c>
      <c r="GV53" s="15" t="s">
        <v>23</v>
      </c>
      <c r="GW53" t="s">
        <v>2</v>
      </c>
      <c r="GX53" t="s">
        <v>2</v>
      </c>
      <c r="GY53" t="s">
        <v>25</v>
      </c>
      <c r="GZ53" t="s">
        <v>25</v>
      </c>
      <c r="HA53" t="s">
        <v>24</v>
      </c>
      <c r="HB53" t="s">
        <v>2</v>
      </c>
      <c r="HC53" t="s">
        <v>2</v>
      </c>
      <c r="HD53" t="s">
        <v>23</v>
      </c>
      <c r="HE53" t="s">
        <v>24</v>
      </c>
      <c r="HF53" t="s">
        <v>24</v>
      </c>
      <c r="HG53" t="s">
        <v>24</v>
      </c>
      <c r="HH53" s="15" t="s">
        <v>2</v>
      </c>
      <c r="HI53" s="15" t="s">
        <v>25</v>
      </c>
      <c r="HJ53" s="15" t="s">
        <v>23</v>
      </c>
      <c r="HK53" s="15" t="s">
        <v>25</v>
      </c>
      <c r="HL53" s="15" t="s">
        <v>25</v>
      </c>
      <c r="HM53" s="15" t="s">
        <v>24</v>
      </c>
      <c r="HN53" s="15"/>
      <c r="HO53" s="15"/>
      <c r="HP53" s="15"/>
      <c r="HQ53" s="15"/>
      <c r="HR53" s="15"/>
      <c r="HS53" s="15"/>
      <c r="HT53" s="15"/>
      <c r="HU53" s="15"/>
      <c r="HV53" s="15"/>
      <c r="HW53" s="15"/>
      <c r="IQ53" s="15"/>
      <c r="IS53" s="15"/>
      <c r="IU53" s="15"/>
      <c r="IX53" s="15"/>
      <c r="IY53" s="15"/>
      <c r="IZ53" s="15"/>
      <c r="JA53" s="15"/>
      <c r="JC53" s="15"/>
      <c r="JZ53" s="15"/>
      <c r="KA53" s="15"/>
      <c r="KB53" s="15"/>
      <c r="KC53" s="15"/>
      <c r="KD53" s="15"/>
      <c r="KE53" s="15"/>
      <c r="KF53" s="15"/>
      <c r="KG53" s="15"/>
      <c r="KH53" s="15"/>
      <c r="KI53" s="15"/>
      <c r="KK53" s="15"/>
      <c r="KL53" s="15"/>
      <c r="KM53" s="15"/>
      <c r="LI53" s="15"/>
      <c r="LJ53" s="15"/>
      <c r="LK53" s="15"/>
      <c r="LL53" s="15"/>
      <c r="LM53" s="15"/>
      <c r="LN53" s="15"/>
      <c r="LO53" s="15"/>
      <c r="LP53" s="15"/>
      <c r="LQ53" s="15"/>
      <c r="LR53" s="15"/>
    </row>
    <row r="54" spans="1:330">
      <c r="A54">
        <v>43662</v>
      </c>
      <c r="B54" s="15" t="s">
        <v>796</v>
      </c>
      <c r="C54" s="15" t="s">
        <v>669</v>
      </c>
      <c r="D54" s="15" t="s">
        <v>37</v>
      </c>
      <c r="E54" s="15" t="s">
        <v>765</v>
      </c>
      <c r="F54" s="15"/>
      <c r="G54" s="15" t="s">
        <v>24</v>
      </c>
      <c r="H54" s="15" t="s">
        <v>25</v>
      </c>
      <c r="I54" s="15" t="s">
        <v>23</v>
      </c>
      <c r="J54" s="15" t="s">
        <v>23</v>
      </c>
      <c r="K54" s="15" t="s">
        <v>25</v>
      </c>
      <c r="L54" s="15" t="s">
        <v>2</v>
      </c>
      <c r="M54" s="15" t="s">
        <v>24</v>
      </c>
      <c r="N54" s="15" t="s">
        <v>23</v>
      </c>
      <c r="O54" s="15" t="s">
        <v>24</v>
      </c>
      <c r="P54" s="15" t="s">
        <v>2</v>
      </c>
      <c r="Q54" s="15" t="s">
        <v>2</v>
      </c>
      <c r="R54" s="15" t="s">
        <v>24</v>
      </c>
      <c r="S54" s="15" t="s">
        <v>2</v>
      </c>
      <c r="T54" s="15" t="s">
        <v>25</v>
      </c>
      <c r="U54" s="15" t="s">
        <v>23</v>
      </c>
      <c r="V54" s="15" t="s">
        <v>24</v>
      </c>
      <c r="W54" s="15" t="s">
        <v>2</v>
      </c>
      <c r="X54" s="15" t="s">
        <v>23</v>
      </c>
      <c r="Y54" t="s">
        <v>2</v>
      </c>
      <c r="Z54" t="s">
        <v>24</v>
      </c>
      <c r="AA54" t="s">
        <v>23</v>
      </c>
      <c r="AB54" t="s">
        <v>2</v>
      </c>
      <c r="AC54" t="s">
        <v>25</v>
      </c>
      <c r="AD54" t="s">
        <v>25</v>
      </c>
      <c r="AE54" t="s">
        <v>23</v>
      </c>
      <c r="AF54" t="s">
        <v>25</v>
      </c>
      <c r="AG54" t="s">
        <v>23</v>
      </c>
      <c r="AH54" t="s">
        <v>2</v>
      </c>
      <c r="AI54" t="s">
        <v>24</v>
      </c>
      <c r="AJ54" t="s">
        <v>23</v>
      </c>
      <c r="AK54" t="s">
        <v>2</v>
      </c>
      <c r="AL54" t="s">
        <v>2</v>
      </c>
      <c r="AM54" t="s">
        <v>23</v>
      </c>
      <c r="AN54" t="s">
        <v>23</v>
      </c>
      <c r="AO54" s="15" t="s">
        <v>25</v>
      </c>
      <c r="AP54" s="15" t="s">
        <v>2</v>
      </c>
      <c r="AQ54" s="15" t="s">
        <v>24</v>
      </c>
      <c r="AR54" s="15" t="s">
        <v>23</v>
      </c>
      <c r="AS54" s="15" t="s">
        <v>24</v>
      </c>
      <c r="AT54" s="15" t="s">
        <v>25</v>
      </c>
      <c r="AU54" s="15" t="s">
        <v>25</v>
      </c>
      <c r="AV54" s="15" t="s">
        <v>2</v>
      </c>
      <c r="AW54" s="15" t="s">
        <v>25</v>
      </c>
      <c r="AX54" s="15" t="s">
        <v>23</v>
      </c>
      <c r="AY54" s="15" t="s">
        <v>24</v>
      </c>
      <c r="AZ54" s="15" t="s">
        <v>24</v>
      </c>
      <c r="BA54" s="15" t="s">
        <v>25</v>
      </c>
      <c r="BB54" s="15" t="s">
        <v>23</v>
      </c>
      <c r="BC54" s="15" t="s">
        <v>23</v>
      </c>
      <c r="BD54" s="15" t="s">
        <v>23</v>
      </c>
      <c r="BE54" s="15" t="s">
        <v>24</v>
      </c>
      <c r="BF54" s="15" t="s">
        <v>2</v>
      </c>
      <c r="BG54" s="15" t="s">
        <v>2</v>
      </c>
      <c r="BH54" s="15" t="s">
        <v>25</v>
      </c>
      <c r="BI54" s="15" t="s">
        <v>2</v>
      </c>
      <c r="BJ54" s="15" t="s">
        <v>25</v>
      </c>
      <c r="BK54" s="15" t="s">
        <v>23</v>
      </c>
      <c r="BL54" s="15" t="s">
        <v>24</v>
      </c>
      <c r="BM54" t="s">
        <v>2</v>
      </c>
      <c r="BN54" t="s">
        <v>23</v>
      </c>
      <c r="BO54" t="s">
        <v>2</v>
      </c>
      <c r="BP54" t="s">
        <v>2</v>
      </c>
      <c r="BQ54" t="s">
        <v>24</v>
      </c>
      <c r="BR54" t="s">
        <v>23</v>
      </c>
      <c r="BS54" t="s">
        <v>23</v>
      </c>
      <c r="BT54" t="s">
        <v>25</v>
      </c>
      <c r="BU54" t="s">
        <v>23</v>
      </c>
      <c r="BV54" t="s">
        <v>2</v>
      </c>
      <c r="BW54" t="s">
        <v>24</v>
      </c>
      <c r="BX54" s="15" t="s">
        <v>25</v>
      </c>
      <c r="BY54" s="15" t="s">
        <v>25</v>
      </c>
      <c r="BZ54" s="15" t="s">
        <v>25</v>
      </c>
      <c r="CA54" s="15" t="s">
        <v>2</v>
      </c>
      <c r="CB54" s="15" t="s">
        <v>25</v>
      </c>
      <c r="CC54" s="15" t="s">
        <v>24</v>
      </c>
      <c r="CD54" s="15" t="s">
        <v>2</v>
      </c>
      <c r="CE54" s="15" t="s">
        <v>25</v>
      </c>
      <c r="CF54" t="s">
        <v>24</v>
      </c>
      <c r="CG54" t="s">
        <v>2</v>
      </c>
      <c r="CH54" t="s">
        <v>23</v>
      </c>
      <c r="CI54" t="s">
        <v>23</v>
      </c>
      <c r="CJ54" t="s">
        <v>25</v>
      </c>
      <c r="CK54" t="s">
        <v>23</v>
      </c>
      <c r="CL54" t="s">
        <v>26</v>
      </c>
      <c r="CM54" t="s">
        <v>24</v>
      </c>
      <c r="CN54" t="s">
        <v>26</v>
      </c>
      <c r="CO54" t="s">
        <v>23</v>
      </c>
      <c r="CP54" t="s">
        <v>2</v>
      </c>
      <c r="CQ54" t="s">
        <v>24</v>
      </c>
      <c r="CR54" t="s">
        <v>25</v>
      </c>
      <c r="CS54" t="s">
        <v>26</v>
      </c>
      <c r="CT54" t="s">
        <v>24</v>
      </c>
      <c r="CU54" t="s">
        <v>23</v>
      </c>
      <c r="CV54" t="s">
        <v>23</v>
      </c>
      <c r="CW54" t="s">
        <v>24</v>
      </c>
      <c r="CX54" t="s">
        <v>25</v>
      </c>
      <c r="CY54" t="s">
        <v>2</v>
      </c>
      <c r="CZ54" t="s">
        <v>25</v>
      </c>
      <c r="DA54" t="s">
        <v>25</v>
      </c>
      <c r="DB54" t="s">
        <v>23</v>
      </c>
      <c r="DC54" t="s">
        <v>25</v>
      </c>
      <c r="DD54" t="s">
        <v>2</v>
      </c>
      <c r="DE54" t="s">
        <v>24</v>
      </c>
      <c r="DF54" t="s">
        <v>26</v>
      </c>
      <c r="DG54" t="s">
        <v>26</v>
      </c>
      <c r="DH54" t="s">
        <v>2</v>
      </c>
      <c r="DI54" t="s">
        <v>26</v>
      </c>
      <c r="DJ54" t="s">
        <v>25</v>
      </c>
      <c r="DK54" t="s">
        <v>2</v>
      </c>
      <c r="DL54" t="s">
        <v>25</v>
      </c>
      <c r="DM54" t="s">
        <v>24</v>
      </c>
      <c r="DN54" t="s">
        <v>25</v>
      </c>
      <c r="DO54" t="s">
        <v>25</v>
      </c>
      <c r="DP54" t="s">
        <v>26</v>
      </c>
      <c r="DQ54" t="s">
        <v>2</v>
      </c>
      <c r="DR54" t="s">
        <v>26</v>
      </c>
      <c r="DS54" t="s">
        <v>26</v>
      </c>
      <c r="DT54" t="s">
        <v>25</v>
      </c>
      <c r="DU54" t="s">
        <v>25</v>
      </c>
      <c r="DV54" t="s">
        <v>25</v>
      </c>
      <c r="DW54" t="s">
        <v>24</v>
      </c>
      <c r="DX54" t="s">
        <v>23</v>
      </c>
      <c r="DY54" t="s">
        <v>26</v>
      </c>
      <c r="DZ54" t="s">
        <v>23</v>
      </c>
      <c r="EA54" t="s">
        <v>2</v>
      </c>
      <c r="EB54" t="s">
        <v>23</v>
      </c>
      <c r="EC54" t="s">
        <v>23</v>
      </c>
      <c r="ED54" t="s">
        <v>26</v>
      </c>
      <c r="EE54" t="s">
        <v>26</v>
      </c>
      <c r="EF54" t="s">
        <v>26</v>
      </c>
      <c r="EG54" t="s">
        <v>25</v>
      </c>
      <c r="EH54" t="s">
        <v>26</v>
      </c>
      <c r="EI54" t="s">
        <v>24</v>
      </c>
      <c r="EJ54" t="s">
        <v>2</v>
      </c>
      <c r="EK54" t="s">
        <v>2</v>
      </c>
      <c r="EL54" t="s">
        <v>2</v>
      </c>
      <c r="EM54" t="s">
        <v>24</v>
      </c>
      <c r="EN54" t="s">
        <v>23</v>
      </c>
      <c r="EO54" t="s">
        <v>25</v>
      </c>
      <c r="EP54" s="15" t="s">
        <v>24</v>
      </c>
      <c r="EQ54" s="15" t="s">
        <v>24</v>
      </c>
      <c r="ER54" s="15" t="s">
        <v>24</v>
      </c>
      <c r="ES54" s="15" t="s">
        <v>2</v>
      </c>
      <c r="ET54" s="15" t="s">
        <v>25</v>
      </c>
      <c r="EU54" s="15" t="s">
        <v>23</v>
      </c>
      <c r="EV54" s="15" t="s">
        <v>2</v>
      </c>
      <c r="EW54" s="15" t="s">
        <v>2</v>
      </c>
      <c r="EX54" s="15" t="s">
        <v>24</v>
      </c>
      <c r="EY54" s="15" t="s">
        <v>2</v>
      </c>
      <c r="EZ54" s="15" t="s">
        <v>25</v>
      </c>
      <c r="FA54" s="15" t="s">
        <v>23</v>
      </c>
      <c r="FB54" s="15" t="s">
        <v>25</v>
      </c>
      <c r="FC54" s="15" t="s">
        <v>2</v>
      </c>
      <c r="FD54" s="15" t="s">
        <v>2</v>
      </c>
      <c r="FE54" s="15" t="s">
        <v>24</v>
      </c>
      <c r="FF54" s="15" t="s">
        <v>25</v>
      </c>
      <c r="FG54" s="15" t="s">
        <v>23</v>
      </c>
      <c r="FH54" s="15" t="s">
        <v>2</v>
      </c>
      <c r="FI54" s="15" t="s">
        <v>25</v>
      </c>
      <c r="FJ54" s="15" t="s">
        <v>23</v>
      </c>
      <c r="FK54" s="15" t="s">
        <v>24</v>
      </c>
      <c r="FL54" s="15" t="s">
        <v>23</v>
      </c>
      <c r="FM54" s="15" t="s">
        <v>24</v>
      </c>
      <c r="FN54" s="15" t="s">
        <v>25</v>
      </c>
      <c r="FO54" s="15" t="s">
        <v>25</v>
      </c>
      <c r="FP54" s="15" t="s">
        <v>24</v>
      </c>
      <c r="FQ54" s="15" t="s">
        <v>25</v>
      </c>
      <c r="FR54" s="15" t="s">
        <v>2</v>
      </c>
      <c r="FS54" s="15" t="s">
        <v>24</v>
      </c>
      <c r="FT54" s="15" t="s">
        <v>25</v>
      </c>
      <c r="FU54" s="15" t="s">
        <v>25</v>
      </c>
      <c r="FV54" s="15" t="s">
        <v>24</v>
      </c>
      <c r="FW54" s="15" t="s">
        <v>25</v>
      </c>
      <c r="FX54" s="15" t="s">
        <v>24</v>
      </c>
      <c r="FY54" s="15" t="s">
        <v>23</v>
      </c>
      <c r="FZ54" s="15" t="s">
        <v>24</v>
      </c>
      <c r="GA54" s="15" t="s">
        <v>24</v>
      </c>
      <c r="GB54" s="15" t="s">
        <v>23</v>
      </c>
      <c r="GC54" s="15" t="s">
        <v>2</v>
      </c>
      <c r="GD54" s="15" t="s">
        <v>2</v>
      </c>
      <c r="GE54" s="15" t="s">
        <v>2</v>
      </c>
      <c r="GF54" s="15" t="s">
        <v>25</v>
      </c>
      <c r="GG54" s="15" t="s">
        <v>23</v>
      </c>
      <c r="GH54" s="15" t="s">
        <v>2</v>
      </c>
      <c r="GI54" s="15" t="s">
        <v>24</v>
      </c>
      <c r="GJ54" s="15" t="s">
        <v>24</v>
      </c>
      <c r="GK54" s="15" t="s">
        <v>25</v>
      </c>
      <c r="GL54" s="15" t="s">
        <v>24</v>
      </c>
      <c r="GM54" s="15" t="s">
        <v>23</v>
      </c>
      <c r="GN54" s="15" t="s">
        <v>25</v>
      </c>
      <c r="GO54" s="15" t="s">
        <v>23</v>
      </c>
      <c r="GP54" s="15" t="s">
        <v>24</v>
      </c>
      <c r="GQ54" s="15" t="s">
        <v>2</v>
      </c>
      <c r="GR54" s="15" t="s">
        <v>2</v>
      </c>
      <c r="GS54" s="15" t="s">
        <v>2</v>
      </c>
      <c r="GT54" s="15" t="s">
        <v>2</v>
      </c>
      <c r="GU54" s="15" t="s">
        <v>25</v>
      </c>
      <c r="GV54" s="15" t="s">
        <v>2</v>
      </c>
      <c r="GW54" t="s">
        <v>23</v>
      </c>
      <c r="GX54" t="s">
        <v>23</v>
      </c>
      <c r="GY54" t="s">
        <v>25</v>
      </c>
      <c r="GZ54" t="s">
        <v>25</v>
      </c>
      <c r="HA54" t="s">
        <v>24</v>
      </c>
      <c r="HB54" t="s">
        <v>25</v>
      </c>
      <c r="HC54" t="s">
        <v>2</v>
      </c>
      <c r="HD54" t="s">
        <v>2</v>
      </c>
      <c r="HE54" t="s">
        <v>25</v>
      </c>
      <c r="HF54" t="s">
        <v>24</v>
      </c>
      <c r="HG54" t="s">
        <v>24</v>
      </c>
      <c r="HH54" s="15" t="s">
        <v>25</v>
      </c>
      <c r="HI54" s="15" t="s">
        <v>25</v>
      </c>
      <c r="HJ54" s="15" t="s">
        <v>23</v>
      </c>
      <c r="HK54" s="15" t="s">
        <v>25</v>
      </c>
      <c r="HL54" s="15" t="s">
        <v>25</v>
      </c>
      <c r="HM54" s="15" t="s">
        <v>23</v>
      </c>
      <c r="HN54" s="15"/>
      <c r="HP54" s="15"/>
      <c r="HQ54" s="15"/>
      <c r="HR54" s="15"/>
      <c r="HS54" s="15"/>
      <c r="HT54" s="15"/>
      <c r="HU54" s="15"/>
      <c r="HV54" s="15"/>
      <c r="HW54" s="15"/>
      <c r="IQ54" s="15"/>
      <c r="IR54" s="15"/>
      <c r="IS54" s="15"/>
      <c r="IT54" s="15"/>
      <c r="IU54" s="15"/>
      <c r="IV54" s="15"/>
      <c r="IW54" s="15"/>
      <c r="IX54" s="15"/>
      <c r="IY54" s="15"/>
      <c r="IZ54" s="15"/>
      <c r="JA54" s="15"/>
      <c r="JB54" s="15"/>
      <c r="JC54" s="15"/>
      <c r="JD54" s="15"/>
      <c r="JE54" s="15"/>
      <c r="JF54" s="15"/>
      <c r="JG54" s="15"/>
      <c r="JH54" s="15"/>
      <c r="JI54" s="15"/>
      <c r="JJ54" s="15"/>
      <c r="JZ54" s="15"/>
      <c r="KA54" s="15"/>
      <c r="KB54" s="15"/>
      <c r="KC54" s="15"/>
      <c r="KD54" s="15"/>
      <c r="KE54" s="15"/>
      <c r="KF54" s="15"/>
      <c r="KG54" s="15"/>
      <c r="KH54" s="15"/>
      <c r="KI54" s="15"/>
      <c r="KJ54" s="15"/>
      <c r="KK54" s="15"/>
      <c r="KL54" s="15"/>
      <c r="KM54" s="15"/>
      <c r="LI54" s="15"/>
      <c r="LJ54" s="15"/>
      <c r="LK54" s="15"/>
      <c r="LL54" s="15"/>
      <c r="LM54" s="15"/>
      <c r="LN54" s="15"/>
      <c r="LO54" s="15"/>
      <c r="LP54" s="15"/>
      <c r="LQ54" s="15"/>
      <c r="LR54" s="15"/>
    </row>
    <row r="55" spans="1:330">
      <c r="A55">
        <v>43662</v>
      </c>
      <c r="B55" s="15" t="s">
        <v>797</v>
      </c>
      <c r="C55" t="s">
        <v>675</v>
      </c>
      <c r="D55" s="15" t="s">
        <v>37</v>
      </c>
      <c r="E55" s="15" t="s">
        <v>765</v>
      </c>
      <c r="F55" s="15"/>
      <c r="G55" s="15" t="s">
        <v>24</v>
      </c>
      <c r="H55" s="15" t="s">
        <v>25</v>
      </c>
      <c r="I55" s="15" t="s">
        <v>23</v>
      </c>
      <c r="J55" s="15" t="s">
        <v>23</v>
      </c>
      <c r="K55" s="15" t="s">
        <v>25</v>
      </c>
      <c r="L55" s="15" t="s">
        <v>2</v>
      </c>
      <c r="M55" s="15" t="s">
        <v>24</v>
      </c>
      <c r="N55" s="15" t="s">
        <v>23</v>
      </c>
      <c r="O55" s="15" t="s">
        <v>24</v>
      </c>
      <c r="P55" s="15" t="s">
        <v>23</v>
      </c>
      <c r="Q55" s="15" t="s">
        <v>2</v>
      </c>
      <c r="R55" s="15" t="s">
        <v>24</v>
      </c>
      <c r="S55" s="15" t="s">
        <v>2</v>
      </c>
      <c r="T55" s="15" t="s">
        <v>25</v>
      </c>
      <c r="U55" s="15" t="s">
        <v>23</v>
      </c>
      <c r="V55" s="15" t="s">
        <v>24</v>
      </c>
      <c r="W55" s="15" t="s">
        <v>2</v>
      </c>
      <c r="X55" s="15" t="s">
        <v>23</v>
      </c>
      <c r="Y55" s="15" t="s">
        <v>2</v>
      </c>
      <c r="Z55" s="15" t="s">
        <v>24</v>
      </c>
      <c r="AA55" t="s">
        <v>23</v>
      </c>
      <c r="AB55" t="s">
        <v>2</v>
      </c>
      <c r="AC55" t="s">
        <v>25</v>
      </c>
      <c r="AD55" t="s">
        <v>25</v>
      </c>
      <c r="AE55" t="s">
        <v>25</v>
      </c>
      <c r="AF55" t="s">
        <v>25</v>
      </c>
      <c r="AG55" t="s">
        <v>23</v>
      </c>
      <c r="AH55" t="s">
        <v>25</v>
      </c>
      <c r="AI55" t="s">
        <v>24</v>
      </c>
      <c r="AJ55" t="s">
        <v>23</v>
      </c>
      <c r="AK55" t="s">
        <v>2</v>
      </c>
      <c r="AL55" t="s">
        <v>2</v>
      </c>
      <c r="AM55" t="s">
        <v>23</v>
      </c>
      <c r="AN55" t="s">
        <v>23</v>
      </c>
      <c r="AO55" s="15" t="s">
        <v>25</v>
      </c>
      <c r="AP55" s="15" t="s">
        <v>2</v>
      </c>
      <c r="AQ55" s="15" t="s">
        <v>25</v>
      </c>
      <c r="AR55" s="15" t="s">
        <v>23</v>
      </c>
      <c r="AS55" s="15" t="s">
        <v>24</v>
      </c>
      <c r="AT55" s="15" t="s">
        <v>25</v>
      </c>
      <c r="AU55" s="15" t="s">
        <v>25</v>
      </c>
      <c r="AV55" s="15" t="s">
        <v>2</v>
      </c>
      <c r="AW55" s="15" t="s">
        <v>25</v>
      </c>
      <c r="AX55" s="15" t="s">
        <v>23</v>
      </c>
      <c r="AY55" s="15" t="s">
        <v>24</v>
      </c>
      <c r="AZ55" s="15" t="s">
        <v>24</v>
      </c>
      <c r="BA55" s="15" t="s">
        <v>25</v>
      </c>
      <c r="BB55" s="15" t="s">
        <v>24</v>
      </c>
      <c r="BC55" s="15" t="s">
        <v>23</v>
      </c>
      <c r="BD55" s="15" t="s">
        <v>23</v>
      </c>
      <c r="BE55" s="15" t="s">
        <v>2</v>
      </c>
      <c r="BF55" s="15" t="s">
        <v>2</v>
      </c>
      <c r="BG55" s="15" t="s">
        <v>23</v>
      </c>
      <c r="BH55" s="15" t="s">
        <v>25</v>
      </c>
      <c r="BI55" s="15" t="s">
        <v>2</v>
      </c>
      <c r="BJ55" s="15" t="s">
        <v>25</v>
      </c>
      <c r="BK55" s="15" t="s">
        <v>23</v>
      </c>
      <c r="BL55" s="15" t="s">
        <v>24</v>
      </c>
      <c r="BM55" t="s">
        <v>25</v>
      </c>
      <c r="BN55" t="s">
        <v>23</v>
      </c>
      <c r="BO55" t="s">
        <v>2</v>
      </c>
      <c r="BP55" t="s">
        <v>2</v>
      </c>
      <c r="BQ55" t="s">
        <v>24</v>
      </c>
      <c r="BR55" t="s">
        <v>2</v>
      </c>
      <c r="BS55" t="s">
        <v>23</v>
      </c>
      <c r="BT55" t="s">
        <v>25</v>
      </c>
      <c r="BU55" t="s">
        <v>23</v>
      </c>
      <c r="BV55" t="s">
        <v>2</v>
      </c>
      <c r="BW55" t="s">
        <v>24</v>
      </c>
      <c r="BX55" s="15" t="s">
        <v>25</v>
      </c>
      <c r="BY55" s="15" t="s">
        <v>25</v>
      </c>
      <c r="BZ55" s="15" t="s">
        <v>25</v>
      </c>
      <c r="CA55" s="15" t="s">
        <v>2</v>
      </c>
      <c r="CB55" s="15" t="s">
        <v>2</v>
      </c>
      <c r="CC55" s="15" t="s">
        <v>24</v>
      </c>
      <c r="CD55" s="15" t="s">
        <v>2</v>
      </c>
      <c r="CE55" s="15" t="s">
        <v>25</v>
      </c>
      <c r="CF55" t="s">
        <v>24</v>
      </c>
      <c r="CG55" t="s">
        <v>24</v>
      </c>
      <c r="CH55" t="s">
        <v>23</v>
      </c>
      <c r="CI55" t="s">
        <v>23</v>
      </c>
      <c r="CJ55" t="s">
        <v>25</v>
      </c>
      <c r="CK55" t="s">
        <v>23</v>
      </c>
      <c r="CL55" t="s">
        <v>24</v>
      </c>
      <c r="CM55" t="s">
        <v>24</v>
      </c>
      <c r="CN55" t="s">
        <v>24</v>
      </c>
      <c r="CO55" t="s">
        <v>23</v>
      </c>
      <c r="CP55" t="s">
        <v>23</v>
      </c>
      <c r="CQ55" t="s">
        <v>23</v>
      </c>
      <c r="CR55" t="s">
        <v>24</v>
      </c>
      <c r="CS55" t="s">
        <v>26</v>
      </c>
      <c r="CT55" t="s">
        <v>24</v>
      </c>
      <c r="CU55" t="s">
        <v>23</v>
      </c>
      <c r="CV55" t="s">
        <v>23</v>
      </c>
      <c r="CW55" t="s">
        <v>26</v>
      </c>
      <c r="CX55" t="s">
        <v>25</v>
      </c>
      <c r="CY55" t="s">
        <v>2</v>
      </c>
      <c r="CZ55" t="s">
        <v>25</v>
      </c>
      <c r="DA55" t="s">
        <v>23</v>
      </c>
      <c r="DB55" t="s">
        <v>23</v>
      </c>
      <c r="DC55" t="s">
        <v>25</v>
      </c>
      <c r="DD55" t="s">
        <v>2</v>
      </c>
      <c r="DE55" t="s">
        <v>24</v>
      </c>
      <c r="DF55" t="s">
        <v>26</v>
      </c>
      <c r="DG55" t="s">
        <v>26</v>
      </c>
      <c r="DH55" t="s">
        <v>2</v>
      </c>
      <c r="DI55" t="s">
        <v>26</v>
      </c>
      <c r="DJ55" t="s">
        <v>25</v>
      </c>
      <c r="DK55" t="s">
        <v>26</v>
      </c>
      <c r="DL55" t="s">
        <v>25</v>
      </c>
      <c r="DM55" t="s">
        <v>2</v>
      </c>
      <c r="DN55" t="s">
        <v>25</v>
      </c>
      <c r="DO55" t="s">
        <v>23</v>
      </c>
      <c r="DQ55" t="s">
        <v>2</v>
      </c>
      <c r="DR55" t="s">
        <v>25</v>
      </c>
      <c r="DS55" t="s">
        <v>2</v>
      </c>
      <c r="DT55" t="s">
        <v>2</v>
      </c>
      <c r="DU55" t="s">
        <v>24</v>
      </c>
      <c r="DV55" t="s">
        <v>25</v>
      </c>
      <c r="DW55" t="s">
        <v>25</v>
      </c>
      <c r="DX55" t="s">
        <v>24</v>
      </c>
      <c r="DY55" t="s">
        <v>26</v>
      </c>
      <c r="DZ55" t="s">
        <v>24</v>
      </c>
      <c r="EA55" t="s">
        <v>25</v>
      </c>
      <c r="EB55" t="s">
        <v>23</v>
      </c>
      <c r="EC55" t="s">
        <v>23</v>
      </c>
      <c r="ED55" t="s">
        <v>26</v>
      </c>
      <c r="EE55" t="s">
        <v>2</v>
      </c>
      <c r="EF55" t="s">
        <v>24</v>
      </c>
      <c r="EG55" t="s">
        <v>25</v>
      </c>
      <c r="EH55" t="s">
        <v>26</v>
      </c>
      <c r="EI55" t="s">
        <v>2</v>
      </c>
      <c r="EJ55" t="s">
        <v>26</v>
      </c>
      <c r="EK55" t="s">
        <v>26</v>
      </c>
      <c r="EL55" t="s">
        <v>2</v>
      </c>
      <c r="EM55" t="s">
        <v>24</v>
      </c>
      <c r="EN55" t="s">
        <v>23</v>
      </c>
      <c r="EO55" t="s">
        <v>25</v>
      </c>
      <c r="EP55" s="15" t="s">
        <v>2</v>
      </c>
      <c r="EQ55" s="15" t="s">
        <v>24</v>
      </c>
      <c r="ER55" s="15" t="s">
        <v>23</v>
      </c>
      <c r="ES55" s="15" t="s">
        <v>2</v>
      </c>
      <c r="ET55" s="15" t="s">
        <v>25</v>
      </c>
      <c r="EU55" s="15"/>
      <c r="EV55" s="15" t="s">
        <v>24</v>
      </c>
      <c r="EW55" s="15" t="s">
        <v>2</v>
      </c>
      <c r="EX55" s="15" t="s">
        <v>25</v>
      </c>
      <c r="EY55" s="15" t="s">
        <v>23</v>
      </c>
      <c r="EZ55" s="15" t="s">
        <v>25</v>
      </c>
      <c r="FA55" s="15" t="s">
        <v>25</v>
      </c>
      <c r="FB55" s="15" t="s">
        <v>25</v>
      </c>
      <c r="FC55" s="15" t="s">
        <v>2</v>
      </c>
      <c r="FD55" s="15" t="s">
        <v>23</v>
      </c>
      <c r="FE55" s="15" t="s">
        <v>24</v>
      </c>
      <c r="FF55" s="15" t="s">
        <v>25</v>
      </c>
      <c r="FG55" s="15" t="s">
        <v>23</v>
      </c>
      <c r="FH55" s="15" t="s">
        <v>23</v>
      </c>
      <c r="FI55" s="15" t="s">
        <v>25</v>
      </c>
      <c r="FJ55" s="15" t="s">
        <v>23</v>
      </c>
      <c r="FK55" s="15" t="s">
        <v>24</v>
      </c>
      <c r="FL55" s="15" t="s">
        <v>23</v>
      </c>
      <c r="FM55" s="15" t="s">
        <v>24</v>
      </c>
      <c r="FN55" s="15" t="s">
        <v>25</v>
      </c>
      <c r="FO55" s="15" t="s">
        <v>23</v>
      </c>
      <c r="FP55" s="15" t="s">
        <v>25</v>
      </c>
      <c r="FQ55" s="15" t="s">
        <v>24</v>
      </c>
      <c r="FR55" s="15" t="s">
        <v>2</v>
      </c>
      <c r="FS55" s="15" t="s">
        <v>24</v>
      </c>
      <c r="FT55" s="15" t="s">
        <v>23</v>
      </c>
      <c r="FU55" s="15" t="s">
        <v>2</v>
      </c>
      <c r="FV55" s="15" t="s">
        <v>24</v>
      </c>
      <c r="FW55" s="15" t="s">
        <v>25</v>
      </c>
      <c r="FX55" s="15" t="s">
        <v>23</v>
      </c>
      <c r="FY55" s="15" t="s">
        <v>24</v>
      </c>
      <c r="FZ55" s="15" t="s">
        <v>25</v>
      </c>
      <c r="GA55" s="15" t="s">
        <v>23</v>
      </c>
      <c r="GB55" s="15" t="s">
        <v>2</v>
      </c>
      <c r="GC55" s="15" t="s">
        <v>2</v>
      </c>
      <c r="GD55" s="15" t="s">
        <v>25</v>
      </c>
      <c r="GE55" s="15" t="s">
        <v>2</v>
      </c>
      <c r="GF55" s="15" t="s">
        <v>25</v>
      </c>
      <c r="GG55" s="15" t="s">
        <v>23</v>
      </c>
      <c r="GH55" s="15" t="s">
        <v>2</v>
      </c>
      <c r="GI55" s="15" t="s">
        <v>24</v>
      </c>
      <c r="GJ55" s="15" t="s">
        <v>23</v>
      </c>
      <c r="GK55" s="15" t="s">
        <v>25</v>
      </c>
      <c r="GL55" s="15" t="s">
        <v>24</v>
      </c>
      <c r="GM55" s="15" t="s">
        <v>25</v>
      </c>
      <c r="GN55" s="15" t="s">
        <v>25</v>
      </c>
      <c r="GO55" s="15" t="s">
        <v>24</v>
      </c>
      <c r="GP55" s="15" t="s">
        <v>25</v>
      </c>
      <c r="GQ55" s="15" t="s">
        <v>23</v>
      </c>
      <c r="GR55" s="15" t="s">
        <v>2</v>
      </c>
      <c r="GS55" s="15" t="s">
        <v>23</v>
      </c>
      <c r="GT55" s="15" t="s">
        <v>2</v>
      </c>
      <c r="GU55" s="15" t="s">
        <v>2</v>
      </c>
      <c r="GV55" s="15" t="s">
        <v>23</v>
      </c>
      <c r="GW55" t="s">
        <v>24</v>
      </c>
      <c r="GX55" t="s">
        <v>25</v>
      </c>
      <c r="GY55" t="s">
        <v>25</v>
      </c>
      <c r="GZ55" t="s">
        <v>25</v>
      </c>
      <c r="HA55" t="s">
        <v>24</v>
      </c>
      <c r="HB55" t="s">
        <v>23</v>
      </c>
      <c r="HC55" t="s">
        <v>2</v>
      </c>
      <c r="HD55" t="s">
        <v>24</v>
      </c>
      <c r="HE55" t="s">
        <v>25</v>
      </c>
      <c r="HF55" t="s">
        <v>24</v>
      </c>
      <c r="HG55" t="s">
        <v>25</v>
      </c>
      <c r="HH55" s="15" t="s">
        <v>24</v>
      </c>
      <c r="HI55" s="15" t="s">
        <v>25</v>
      </c>
      <c r="HJ55" s="15" t="s">
        <v>25</v>
      </c>
      <c r="HK55" s="15" t="s">
        <v>2</v>
      </c>
      <c r="HL55" s="15" t="s">
        <v>2</v>
      </c>
      <c r="HM55" s="15" t="s">
        <v>2</v>
      </c>
      <c r="HN55" s="15"/>
      <c r="HO55" s="15"/>
      <c r="HP55" s="15"/>
      <c r="HQ55" s="15"/>
      <c r="HR55" s="15"/>
      <c r="HS55" s="15"/>
      <c r="HT55" s="15"/>
      <c r="HU55" s="15"/>
      <c r="HV55" s="15"/>
      <c r="HW55" s="15"/>
      <c r="IQ55" s="15"/>
      <c r="IR55" s="15"/>
      <c r="IS55" s="15"/>
      <c r="IT55" s="15"/>
      <c r="IU55" s="15"/>
      <c r="IV55" s="15"/>
      <c r="IW55" s="15"/>
      <c r="IX55" s="15"/>
      <c r="IY55" s="15"/>
      <c r="IZ55" s="15"/>
      <c r="JA55" s="15"/>
      <c r="JB55" s="15"/>
      <c r="JC55" s="15"/>
      <c r="JD55" s="15"/>
      <c r="JE55" s="15"/>
      <c r="JF55" s="15"/>
      <c r="JG55" s="15"/>
      <c r="JH55" s="15"/>
      <c r="JI55" s="15"/>
      <c r="JZ55" s="15"/>
      <c r="KA55" s="15"/>
      <c r="KB55" s="15"/>
      <c r="KC55" s="15"/>
      <c r="KD55" s="15"/>
      <c r="KE55" s="15"/>
      <c r="KF55" s="15"/>
      <c r="KG55" s="15"/>
      <c r="KH55" s="15"/>
      <c r="KI55" s="15"/>
      <c r="KJ55" s="15"/>
      <c r="KK55" s="15"/>
      <c r="KL55" s="15"/>
      <c r="KM55" s="15"/>
      <c r="LI55" s="15"/>
      <c r="LJ55" s="15"/>
      <c r="LK55" s="15"/>
      <c r="LL55" s="15"/>
      <c r="LM55" s="15"/>
      <c r="LN55" s="15"/>
      <c r="LO55" s="15"/>
      <c r="LP55" s="15"/>
      <c r="LQ55" s="15"/>
      <c r="LR55" s="15"/>
    </row>
    <row r="56" spans="1:330">
      <c r="A56">
        <v>43662</v>
      </c>
      <c r="B56" s="15" t="s">
        <v>798</v>
      </c>
      <c r="C56" s="15" t="s">
        <v>667</v>
      </c>
      <c r="D56" s="15" t="s">
        <v>37</v>
      </c>
      <c r="E56" s="15" t="s">
        <v>765</v>
      </c>
      <c r="F56" s="15"/>
      <c r="G56" s="15" t="s">
        <v>24</v>
      </c>
      <c r="H56" s="15" t="s">
        <v>25</v>
      </c>
      <c r="I56" s="15" t="s">
        <v>24</v>
      </c>
      <c r="J56" s="15" t="s">
        <v>23</v>
      </c>
      <c r="K56" s="15" t="s">
        <v>25</v>
      </c>
      <c r="L56" s="15" t="s">
        <v>2</v>
      </c>
      <c r="M56" s="15" t="s">
        <v>24</v>
      </c>
      <c r="N56" s="15" t="s">
        <v>23</v>
      </c>
      <c r="O56" s="15" t="s">
        <v>24</v>
      </c>
      <c r="P56" s="15" t="s">
        <v>2</v>
      </c>
      <c r="Q56" s="15" t="s">
        <v>2</v>
      </c>
      <c r="R56" s="15" t="s">
        <v>24</v>
      </c>
      <c r="S56" s="15" t="s">
        <v>2</v>
      </c>
      <c r="T56" s="15" t="s">
        <v>25</v>
      </c>
      <c r="U56" s="15" t="s">
        <v>23</v>
      </c>
      <c r="V56" s="15" t="s">
        <v>24</v>
      </c>
      <c r="W56" s="15" t="s">
        <v>2</v>
      </c>
      <c r="X56" s="15" t="s">
        <v>23</v>
      </c>
      <c r="Y56" s="15" t="s">
        <v>2</v>
      </c>
      <c r="Z56" t="s">
        <v>24</v>
      </c>
      <c r="AA56" t="s">
        <v>23</v>
      </c>
      <c r="AB56" t="s">
        <v>2</v>
      </c>
      <c r="AC56" t="s">
        <v>25</v>
      </c>
      <c r="AD56" t="s">
        <v>25</v>
      </c>
      <c r="AE56" t="s">
        <v>23</v>
      </c>
      <c r="AF56" t="s">
        <v>25</v>
      </c>
      <c r="AG56" t="s">
        <v>23</v>
      </c>
      <c r="AH56" t="s">
        <v>2</v>
      </c>
      <c r="AI56" t="s">
        <v>24</v>
      </c>
      <c r="AJ56" t="s">
        <v>23</v>
      </c>
      <c r="AK56" t="s">
        <v>2</v>
      </c>
      <c r="AL56" t="s">
        <v>2</v>
      </c>
      <c r="AM56" t="s">
        <v>24</v>
      </c>
      <c r="AN56" t="s">
        <v>25</v>
      </c>
      <c r="AO56" s="15" t="s">
        <v>25</v>
      </c>
      <c r="AP56" t="s">
        <v>23</v>
      </c>
      <c r="AQ56" t="s">
        <v>25</v>
      </c>
      <c r="AR56" s="15" t="s">
        <v>23</v>
      </c>
      <c r="AS56" t="s">
        <v>24</v>
      </c>
      <c r="AT56" s="15" t="s">
        <v>25</v>
      </c>
      <c r="AU56" s="15" t="s">
        <v>25</v>
      </c>
      <c r="AV56" s="15" t="s">
        <v>2</v>
      </c>
      <c r="AW56" s="15" t="s">
        <v>25</v>
      </c>
      <c r="AX56" s="15" t="s">
        <v>23</v>
      </c>
      <c r="AY56" s="15" t="s">
        <v>24</v>
      </c>
      <c r="AZ56" s="15" t="s">
        <v>24</v>
      </c>
      <c r="BA56" s="15" t="s">
        <v>2</v>
      </c>
      <c r="BB56" s="15" t="s">
        <v>24</v>
      </c>
      <c r="BC56" s="15" t="s">
        <v>2</v>
      </c>
      <c r="BD56" s="15" t="s">
        <v>23</v>
      </c>
      <c r="BE56" s="15" t="s">
        <v>24</v>
      </c>
      <c r="BF56" s="15" t="s">
        <v>2</v>
      </c>
      <c r="BG56" s="15" t="s">
        <v>2</v>
      </c>
      <c r="BH56" s="15" t="s">
        <v>25</v>
      </c>
      <c r="BI56" s="15" t="s">
        <v>2</v>
      </c>
      <c r="BJ56" s="15" t="s">
        <v>25</v>
      </c>
      <c r="BK56" s="15" t="s">
        <v>23</v>
      </c>
      <c r="BL56" s="15" t="s">
        <v>24</v>
      </c>
      <c r="BM56" t="s">
        <v>25</v>
      </c>
      <c r="BN56" t="s">
        <v>23</v>
      </c>
      <c r="BO56" t="s">
        <v>2</v>
      </c>
      <c r="BP56" t="s">
        <v>2</v>
      </c>
      <c r="BQ56" t="s">
        <v>24</v>
      </c>
      <c r="BR56" t="s">
        <v>23</v>
      </c>
      <c r="BS56" t="s">
        <v>23</v>
      </c>
      <c r="BT56" t="s">
        <v>24</v>
      </c>
      <c r="BU56" t="s">
        <v>23</v>
      </c>
      <c r="BV56" t="s">
        <v>2</v>
      </c>
      <c r="BW56" t="s">
        <v>23</v>
      </c>
      <c r="BX56" s="15" t="s">
        <v>25</v>
      </c>
      <c r="BY56" s="15" t="s">
        <v>24</v>
      </c>
      <c r="BZ56" s="15" t="s">
        <v>2</v>
      </c>
      <c r="CA56" s="15" t="s">
        <v>2</v>
      </c>
      <c r="CB56" s="15" t="s">
        <v>23</v>
      </c>
      <c r="CC56" s="15" t="s">
        <v>24</v>
      </c>
      <c r="CD56" s="15" t="s">
        <v>2</v>
      </c>
      <c r="CE56" s="15" t="s">
        <v>25</v>
      </c>
      <c r="CF56" t="s">
        <v>24</v>
      </c>
      <c r="CG56" t="s">
        <v>2</v>
      </c>
      <c r="CH56" t="s">
        <v>23</v>
      </c>
      <c r="CI56" t="s">
        <v>23</v>
      </c>
      <c r="CJ56" t="s">
        <v>25</v>
      </c>
      <c r="CK56" t="s">
        <v>23</v>
      </c>
      <c r="CL56" t="s">
        <v>24</v>
      </c>
      <c r="CM56" t="s">
        <v>24</v>
      </c>
      <c r="CO56" t="s">
        <v>23</v>
      </c>
      <c r="CP56" t="s">
        <v>2</v>
      </c>
      <c r="CQ56" t="s">
        <v>24</v>
      </c>
      <c r="CR56" t="s">
        <v>25</v>
      </c>
      <c r="CS56" t="s">
        <v>26</v>
      </c>
      <c r="CT56" t="s">
        <v>24</v>
      </c>
      <c r="CU56" t="s">
        <v>23</v>
      </c>
      <c r="CV56" t="s">
        <v>23</v>
      </c>
      <c r="CW56" t="s">
        <v>24</v>
      </c>
      <c r="CX56" t="s">
        <v>25</v>
      </c>
      <c r="CY56" t="s">
        <v>25</v>
      </c>
      <c r="CZ56" t="s">
        <v>25</v>
      </c>
      <c r="DA56" t="s">
        <v>23</v>
      </c>
      <c r="DB56" t="s">
        <v>23</v>
      </c>
      <c r="DC56" t="s">
        <v>25</v>
      </c>
      <c r="DD56" t="s">
        <v>2</v>
      </c>
      <c r="DE56" t="s">
        <v>24</v>
      </c>
      <c r="DF56" t="s">
        <v>26</v>
      </c>
      <c r="DG56" t="s">
        <v>26</v>
      </c>
      <c r="DH56" t="s">
        <v>2</v>
      </c>
      <c r="DI56" t="s">
        <v>26</v>
      </c>
      <c r="DJ56" t="s">
        <v>25</v>
      </c>
      <c r="DK56" t="s">
        <v>26</v>
      </c>
      <c r="DL56" t="s">
        <v>25</v>
      </c>
      <c r="DM56" t="s">
        <v>24</v>
      </c>
      <c r="DN56" t="s">
        <v>24</v>
      </c>
      <c r="DO56" t="s">
        <v>23</v>
      </c>
      <c r="DP56" t="s">
        <v>26</v>
      </c>
      <c r="DQ56" t="s">
        <v>2</v>
      </c>
      <c r="DR56" t="s">
        <v>2</v>
      </c>
      <c r="DS56" t="s">
        <v>2</v>
      </c>
      <c r="DT56" t="s">
        <v>2</v>
      </c>
      <c r="DU56" t="s">
        <v>25</v>
      </c>
      <c r="DV56" t="s">
        <v>26</v>
      </c>
      <c r="DW56" t="s">
        <v>25</v>
      </c>
      <c r="DX56" t="s">
        <v>23</v>
      </c>
      <c r="DY56" t="s">
        <v>26</v>
      </c>
      <c r="DZ56" t="s">
        <v>24</v>
      </c>
      <c r="EA56" t="s">
        <v>2</v>
      </c>
      <c r="EB56" t="s">
        <v>23</v>
      </c>
      <c r="EC56" t="s">
        <v>23</v>
      </c>
      <c r="ED56" t="s">
        <v>23</v>
      </c>
      <c r="EE56" t="s">
        <v>26</v>
      </c>
      <c r="EF56" t="s">
        <v>24</v>
      </c>
      <c r="EG56" t="s">
        <v>25</v>
      </c>
      <c r="EH56" t="s">
        <v>23</v>
      </c>
      <c r="EI56" t="s">
        <v>26</v>
      </c>
      <c r="EJ56" t="s">
        <v>2</v>
      </c>
      <c r="EK56" t="s">
        <v>26</v>
      </c>
      <c r="EL56" t="s">
        <v>2</v>
      </c>
      <c r="EM56" t="s">
        <v>2</v>
      </c>
      <c r="EN56" t="s">
        <v>23</v>
      </c>
      <c r="EO56" t="s">
        <v>25</v>
      </c>
      <c r="EP56" s="15" t="s">
        <v>2</v>
      </c>
      <c r="EQ56" s="15" t="s">
        <v>25</v>
      </c>
      <c r="ER56" s="15" t="s">
        <v>23</v>
      </c>
      <c r="ES56" s="15" t="s">
        <v>2</v>
      </c>
      <c r="ET56" s="15" t="s">
        <v>24</v>
      </c>
      <c r="EU56" s="15" t="s">
        <v>23</v>
      </c>
      <c r="EV56" s="15" t="s">
        <v>23</v>
      </c>
      <c r="EW56" s="15" t="s">
        <v>2</v>
      </c>
      <c r="EX56" s="15" t="s">
        <v>24</v>
      </c>
      <c r="EY56" s="15" t="s">
        <v>23</v>
      </c>
      <c r="EZ56" s="15" t="s">
        <v>25</v>
      </c>
      <c r="FA56" s="15" t="s">
        <v>23</v>
      </c>
      <c r="FB56" s="15" t="s">
        <v>24</v>
      </c>
      <c r="FC56" s="15" t="s">
        <v>25</v>
      </c>
      <c r="FD56" s="15" t="s">
        <v>2</v>
      </c>
      <c r="FE56" s="15" t="s">
        <v>24</v>
      </c>
      <c r="FF56" s="15" t="s">
        <v>24</v>
      </c>
      <c r="FG56" s="15" t="s">
        <v>2</v>
      </c>
      <c r="FH56" s="15" t="s">
        <v>25</v>
      </c>
      <c r="FI56" s="15" t="s">
        <v>25</v>
      </c>
      <c r="FJ56" s="15" t="s">
        <v>2</v>
      </c>
      <c r="FK56" s="15" t="s">
        <v>23</v>
      </c>
      <c r="FL56" s="15" t="s">
        <v>23</v>
      </c>
      <c r="FM56" s="15" t="s">
        <v>2</v>
      </c>
      <c r="FN56" s="15" t="s">
        <v>25</v>
      </c>
      <c r="FO56" s="15" t="s">
        <v>23</v>
      </c>
      <c r="FP56" s="15"/>
      <c r="FQ56" s="15" t="s">
        <v>23</v>
      </c>
      <c r="FR56" s="15" t="s">
        <v>2</v>
      </c>
      <c r="FS56" s="15" t="s">
        <v>23</v>
      </c>
      <c r="FT56" s="15" t="s">
        <v>24</v>
      </c>
      <c r="FU56" s="15" t="s">
        <v>23</v>
      </c>
      <c r="FV56" s="15" t="s">
        <v>25</v>
      </c>
      <c r="FW56" s="15" t="s">
        <v>24</v>
      </c>
      <c r="FX56" s="15" t="s">
        <v>2</v>
      </c>
      <c r="FY56" s="15" t="s">
        <v>2</v>
      </c>
      <c r="FZ56" s="15" t="s">
        <v>25</v>
      </c>
      <c r="GA56" s="15" t="s">
        <v>24</v>
      </c>
      <c r="GB56" s="15" t="s">
        <v>23</v>
      </c>
      <c r="GC56" s="15" t="s">
        <v>25</v>
      </c>
      <c r="GD56" s="15" t="s">
        <v>2</v>
      </c>
      <c r="GE56" s="15" t="s">
        <v>2</v>
      </c>
      <c r="GF56" s="15" t="s">
        <v>25</v>
      </c>
      <c r="GG56" s="15" t="s">
        <v>23</v>
      </c>
      <c r="GH56" s="15" t="s">
        <v>2</v>
      </c>
      <c r="GI56" s="15" t="s">
        <v>24</v>
      </c>
      <c r="GJ56" s="15" t="s">
        <v>24</v>
      </c>
      <c r="GK56" s="15" t="s">
        <v>23</v>
      </c>
      <c r="GL56" s="15" t="s">
        <v>24</v>
      </c>
      <c r="GM56" s="15" t="s">
        <v>2</v>
      </c>
      <c r="GN56" s="15" t="s">
        <v>25</v>
      </c>
      <c r="GO56" s="15" t="s">
        <v>23</v>
      </c>
      <c r="GP56" s="15" t="s">
        <v>24</v>
      </c>
      <c r="GQ56" s="15" t="s">
        <v>24</v>
      </c>
      <c r="GR56" s="15" t="s">
        <v>2</v>
      </c>
      <c r="GS56" s="15" t="s">
        <v>2</v>
      </c>
      <c r="GT56" s="15" t="s">
        <v>25</v>
      </c>
      <c r="GU56" s="15" t="s">
        <v>25</v>
      </c>
      <c r="GV56" t="s">
        <v>2</v>
      </c>
      <c r="GW56" t="s">
        <v>24</v>
      </c>
      <c r="GX56" t="s">
        <v>23</v>
      </c>
      <c r="GY56" t="s">
        <v>25</v>
      </c>
      <c r="GZ56" t="s">
        <v>25</v>
      </c>
      <c r="HA56" t="s">
        <v>23</v>
      </c>
      <c r="HB56" t="s">
        <v>23</v>
      </c>
      <c r="HC56" t="s">
        <v>24</v>
      </c>
      <c r="HD56" t="s">
        <v>23</v>
      </c>
      <c r="HE56" t="s">
        <v>23</v>
      </c>
      <c r="HF56" t="s">
        <v>24</v>
      </c>
      <c r="HG56" t="s">
        <v>23</v>
      </c>
      <c r="HH56" s="15" t="s">
        <v>2</v>
      </c>
      <c r="HI56" s="15" t="s">
        <v>25</v>
      </c>
      <c r="HJ56" s="15" t="s">
        <v>23</v>
      </c>
      <c r="HK56" s="15" t="s">
        <v>24</v>
      </c>
      <c r="HL56" s="15" t="s">
        <v>25</v>
      </c>
      <c r="HM56" s="15" t="s">
        <v>23</v>
      </c>
      <c r="HN56" s="15"/>
      <c r="HO56" s="15"/>
      <c r="HP56" s="15"/>
      <c r="HQ56" s="15"/>
      <c r="HR56" s="15"/>
      <c r="HS56" s="15"/>
      <c r="HT56" s="15"/>
      <c r="HU56" s="15"/>
      <c r="HV56" s="15"/>
      <c r="HW56" s="15"/>
      <c r="IQ56" s="15"/>
      <c r="IR56" s="15"/>
      <c r="IS56" s="15"/>
      <c r="IT56" s="15"/>
      <c r="IU56" s="15"/>
      <c r="IV56" s="15"/>
      <c r="IW56" s="15"/>
      <c r="IX56" s="15"/>
      <c r="IY56" s="15"/>
      <c r="IZ56" s="15"/>
      <c r="JA56" s="15"/>
      <c r="JB56" s="15"/>
      <c r="JC56" s="15"/>
      <c r="JE56" s="15"/>
      <c r="JF56" s="15"/>
      <c r="JG56" s="15"/>
      <c r="JH56" s="15"/>
      <c r="JI56" s="15"/>
      <c r="JZ56" s="15"/>
      <c r="KA56" s="15"/>
      <c r="KB56" s="15"/>
      <c r="KC56" s="15"/>
      <c r="KD56" s="15"/>
      <c r="KE56" s="15"/>
      <c r="KF56" s="15"/>
      <c r="KG56" s="15"/>
      <c r="KH56" s="15"/>
      <c r="KI56" s="15"/>
      <c r="KJ56" s="15"/>
      <c r="KK56" s="15"/>
      <c r="KL56" s="15"/>
      <c r="KM56" s="15"/>
      <c r="LI56" s="15"/>
      <c r="LJ56" s="15"/>
      <c r="LK56" s="15"/>
      <c r="LL56" s="15"/>
      <c r="LM56" s="15"/>
      <c r="LN56" s="15"/>
      <c r="LO56" s="15"/>
      <c r="LP56" s="15"/>
      <c r="LQ56" s="15"/>
      <c r="LR56" s="15"/>
    </row>
    <row r="57" spans="1:330">
      <c r="A57">
        <v>43662</v>
      </c>
      <c r="B57" s="15" t="s">
        <v>23</v>
      </c>
      <c r="C57" s="15" t="s">
        <v>673</v>
      </c>
      <c r="D57" s="15" t="s">
        <v>37</v>
      </c>
      <c r="E57" s="15" t="s">
        <v>765</v>
      </c>
      <c r="F57" s="15"/>
      <c r="G57" s="15" t="s">
        <v>24</v>
      </c>
      <c r="H57" s="15" t="s">
        <v>25</v>
      </c>
      <c r="I57" s="15" t="s">
        <v>23</v>
      </c>
      <c r="J57" s="15" t="s">
        <v>23</v>
      </c>
      <c r="K57" s="15" t="s">
        <v>25</v>
      </c>
      <c r="L57" s="15" t="s">
        <v>2</v>
      </c>
      <c r="M57" s="15" t="s">
        <v>24</v>
      </c>
      <c r="N57" s="15" t="s">
        <v>23</v>
      </c>
      <c r="O57" s="15" t="s">
        <v>24</v>
      </c>
      <c r="P57" s="15" t="s">
        <v>2</v>
      </c>
      <c r="Q57" s="15" t="s">
        <v>2</v>
      </c>
      <c r="R57" s="15" t="s">
        <v>24</v>
      </c>
      <c r="S57" s="15" t="s">
        <v>2</v>
      </c>
      <c r="T57" s="15" t="s">
        <v>25</v>
      </c>
      <c r="U57" s="15" t="s">
        <v>23</v>
      </c>
      <c r="V57" s="15" t="s">
        <v>24</v>
      </c>
      <c r="W57" s="15" t="s">
        <v>2</v>
      </c>
      <c r="X57" s="15" t="s">
        <v>23</v>
      </c>
      <c r="Y57" s="15" t="s">
        <v>2</v>
      </c>
      <c r="Z57" t="s">
        <v>24</v>
      </c>
      <c r="AA57" t="s">
        <v>23</v>
      </c>
      <c r="AB57" t="s">
        <v>2</v>
      </c>
      <c r="AC57" t="s">
        <v>25</v>
      </c>
      <c r="AD57" t="s">
        <v>25</v>
      </c>
      <c r="AE57" t="s">
        <v>2</v>
      </c>
      <c r="AF57" t="s">
        <v>25</v>
      </c>
      <c r="AG57" t="s">
        <v>23</v>
      </c>
      <c r="AH57" t="s">
        <v>2</v>
      </c>
      <c r="AI57" t="s">
        <v>24</v>
      </c>
      <c r="AJ57" t="s">
        <v>23</v>
      </c>
      <c r="AK57" t="s">
        <v>2</v>
      </c>
      <c r="AL57" t="s">
        <v>2</v>
      </c>
      <c r="AM57" t="s">
        <v>23</v>
      </c>
      <c r="AN57" t="s">
        <v>23</v>
      </c>
      <c r="AO57" s="15" t="s">
        <v>24</v>
      </c>
      <c r="AP57" s="15" t="s">
        <v>2</v>
      </c>
      <c r="AQ57" s="15" t="s">
        <v>25</v>
      </c>
      <c r="AR57" s="15" t="s">
        <v>23</v>
      </c>
      <c r="AS57" s="15" t="s">
        <v>24</v>
      </c>
      <c r="AT57" s="15" t="s">
        <v>2</v>
      </c>
      <c r="AU57" s="15" t="s">
        <v>25</v>
      </c>
      <c r="AV57" s="15" t="s">
        <v>2</v>
      </c>
      <c r="AW57" s="15" t="s">
        <v>25</v>
      </c>
      <c r="AX57" s="15" t="s">
        <v>23</v>
      </c>
      <c r="AY57" s="15" t="s">
        <v>25</v>
      </c>
      <c r="AZ57" s="15" t="s">
        <v>24</v>
      </c>
      <c r="BA57" s="15" t="s">
        <v>25</v>
      </c>
      <c r="BB57" s="15" t="s">
        <v>24</v>
      </c>
      <c r="BC57" s="15" t="s">
        <v>23</v>
      </c>
      <c r="BD57" s="15" t="s">
        <v>23</v>
      </c>
      <c r="BE57" s="15" t="s">
        <v>24</v>
      </c>
      <c r="BF57" s="15" t="s">
        <v>2</v>
      </c>
      <c r="BG57" s="15" t="s">
        <v>2</v>
      </c>
      <c r="BH57" s="15" t="s">
        <v>2</v>
      </c>
      <c r="BI57" s="15" t="s">
        <v>2</v>
      </c>
      <c r="BJ57" s="15" t="s">
        <v>25</v>
      </c>
      <c r="BK57" s="15" t="s">
        <v>23</v>
      </c>
      <c r="BL57" t="s">
        <v>24</v>
      </c>
      <c r="BM57" t="s">
        <v>25</v>
      </c>
      <c r="BN57" t="s">
        <v>23</v>
      </c>
      <c r="BO57" t="s">
        <v>2</v>
      </c>
      <c r="BP57" t="s">
        <v>2</v>
      </c>
      <c r="BQ57" t="s">
        <v>24</v>
      </c>
      <c r="BR57" t="s">
        <v>23</v>
      </c>
      <c r="BS57" t="s">
        <v>25</v>
      </c>
      <c r="BT57" t="s">
        <v>25</v>
      </c>
      <c r="BU57" t="s">
        <v>23</v>
      </c>
      <c r="BV57" t="s">
        <v>2</v>
      </c>
      <c r="BW57" t="s">
        <v>24</v>
      </c>
      <c r="BX57" s="15" t="s">
        <v>25</v>
      </c>
      <c r="BY57" s="15" t="s">
        <v>25</v>
      </c>
      <c r="BZ57" s="15" t="s">
        <v>25</v>
      </c>
      <c r="CA57" s="15" t="s">
        <v>2</v>
      </c>
      <c r="CB57" s="15" t="s">
        <v>2</v>
      </c>
      <c r="CC57" s="15" t="s">
        <v>24</v>
      </c>
      <c r="CD57" s="15" t="s">
        <v>2</v>
      </c>
      <c r="CE57" s="15" t="s">
        <v>25</v>
      </c>
      <c r="CF57" t="s">
        <v>24</v>
      </c>
      <c r="CG57" t="s">
        <v>2</v>
      </c>
      <c r="CH57" t="s">
        <v>23</v>
      </c>
      <c r="CI57" t="s">
        <v>23</v>
      </c>
      <c r="CJ57" t="s">
        <v>25</v>
      </c>
      <c r="CK57" t="s">
        <v>23</v>
      </c>
      <c r="CL57" t="s">
        <v>24</v>
      </c>
      <c r="CM57" t="s">
        <v>24</v>
      </c>
      <c r="CN57" t="s">
        <v>26</v>
      </c>
      <c r="CO57" t="s">
        <v>23</v>
      </c>
      <c r="CP57" t="s">
        <v>2</v>
      </c>
      <c r="CQ57" t="s">
        <v>24</v>
      </c>
      <c r="CR57" t="s">
        <v>25</v>
      </c>
      <c r="CS57" t="s">
        <v>26</v>
      </c>
      <c r="CT57" t="s">
        <v>24</v>
      </c>
      <c r="CU57" t="s">
        <v>23</v>
      </c>
      <c r="CV57" t="s">
        <v>23</v>
      </c>
      <c r="CW57" t="s">
        <v>24</v>
      </c>
      <c r="CX57" t="s">
        <v>25</v>
      </c>
      <c r="CY57" t="s">
        <v>2</v>
      </c>
      <c r="CZ57" t="s">
        <v>25</v>
      </c>
      <c r="DA57" t="s">
        <v>25</v>
      </c>
      <c r="DB57" t="s">
        <v>23</v>
      </c>
      <c r="DC57" t="s">
        <v>25</v>
      </c>
      <c r="DD57" t="s">
        <v>2</v>
      </c>
      <c r="DE57" t="s">
        <v>24</v>
      </c>
      <c r="DF57" t="s">
        <v>26</v>
      </c>
      <c r="DG57" t="s">
        <v>26</v>
      </c>
      <c r="DH57" t="s">
        <v>2</v>
      </c>
      <c r="DI57" t="s">
        <v>26</v>
      </c>
      <c r="DJ57" t="s">
        <v>25</v>
      </c>
      <c r="DK57" t="s">
        <v>26</v>
      </c>
      <c r="DL57" t="s">
        <v>25</v>
      </c>
      <c r="DM57" t="s">
        <v>24</v>
      </c>
      <c r="DN57" t="s">
        <v>24</v>
      </c>
      <c r="DO57" t="s">
        <v>23</v>
      </c>
      <c r="DP57" t="s">
        <v>26</v>
      </c>
      <c r="DQ57" t="s">
        <v>2</v>
      </c>
      <c r="DR57" t="s">
        <v>2</v>
      </c>
      <c r="DS57" t="s">
        <v>26</v>
      </c>
      <c r="DT57" t="s">
        <v>26</v>
      </c>
      <c r="DU57" t="s">
        <v>25</v>
      </c>
      <c r="DV57" t="s">
        <v>25</v>
      </c>
      <c r="DW57" t="s">
        <v>25</v>
      </c>
      <c r="DX57" t="s">
        <v>23</v>
      </c>
      <c r="DY57" t="s">
        <v>26</v>
      </c>
      <c r="DZ57" t="s">
        <v>24</v>
      </c>
      <c r="EA57" t="s">
        <v>25</v>
      </c>
      <c r="EB57" t="s">
        <v>23</v>
      </c>
      <c r="EC57" t="s">
        <v>23</v>
      </c>
      <c r="ED57" t="s">
        <v>24</v>
      </c>
      <c r="EE57" t="s">
        <v>26</v>
      </c>
      <c r="EF57" t="s">
        <v>24</v>
      </c>
      <c r="EG57" t="s">
        <v>25</v>
      </c>
      <c r="EH57" t="s">
        <v>23</v>
      </c>
      <c r="EI57" t="s">
        <v>25</v>
      </c>
      <c r="EJ57" t="s">
        <v>2</v>
      </c>
      <c r="EK57" t="s">
        <v>23</v>
      </c>
      <c r="EL57" t="s">
        <v>2</v>
      </c>
      <c r="EM57" t="s">
        <v>24</v>
      </c>
      <c r="EN57" t="s">
        <v>23</v>
      </c>
      <c r="EO57" t="s">
        <v>25</v>
      </c>
      <c r="EP57" s="15" t="s">
        <v>24</v>
      </c>
      <c r="EQ57" s="15" t="s">
        <v>24</v>
      </c>
      <c r="ER57" s="15" t="s">
        <v>23</v>
      </c>
      <c r="ES57" s="15" t="s">
        <v>24</v>
      </c>
      <c r="ET57" s="15" t="s">
        <v>25</v>
      </c>
      <c r="EU57" s="15" t="s">
        <v>23</v>
      </c>
      <c r="EV57" s="15" t="s">
        <v>23</v>
      </c>
      <c r="EW57" s="15" t="s">
        <v>2</v>
      </c>
      <c r="EX57" s="15" t="s">
        <v>24</v>
      </c>
      <c r="EY57" s="15" t="s">
        <v>2</v>
      </c>
      <c r="EZ57" s="15" t="s">
        <v>25</v>
      </c>
      <c r="FA57" s="15" t="s">
        <v>23</v>
      </c>
      <c r="FB57" s="15" t="s">
        <v>25</v>
      </c>
      <c r="FC57" s="15" t="s">
        <v>2</v>
      </c>
      <c r="FD57" s="15" t="s">
        <v>2</v>
      </c>
      <c r="FE57" s="15" t="s">
        <v>24</v>
      </c>
      <c r="FF57" s="15" t="s">
        <v>2</v>
      </c>
      <c r="FG57" s="15" t="s">
        <v>23</v>
      </c>
      <c r="FH57" s="15" t="s">
        <v>23</v>
      </c>
      <c r="FI57" s="15" t="s">
        <v>25</v>
      </c>
      <c r="FJ57" s="15" t="s">
        <v>23</v>
      </c>
      <c r="FK57" s="15" t="s">
        <v>24</v>
      </c>
      <c r="FL57" s="15" t="s">
        <v>23</v>
      </c>
      <c r="FM57" s="15" t="s">
        <v>24</v>
      </c>
      <c r="FN57" s="15" t="s">
        <v>25</v>
      </c>
      <c r="FO57" s="15" t="s">
        <v>23</v>
      </c>
      <c r="FP57" s="15" t="s">
        <v>25</v>
      </c>
      <c r="FQ57" s="15" t="s">
        <v>23</v>
      </c>
      <c r="FR57" s="15" t="s">
        <v>2</v>
      </c>
      <c r="FS57" s="15" t="s">
        <v>24</v>
      </c>
      <c r="FT57" s="15" t="s">
        <v>23</v>
      </c>
      <c r="FU57" s="15" t="s">
        <v>25</v>
      </c>
      <c r="FV57" s="15" t="s">
        <v>24</v>
      </c>
      <c r="FW57" s="15" t="s">
        <v>24</v>
      </c>
      <c r="FX57" s="15" t="s">
        <v>25</v>
      </c>
      <c r="FY57" s="15" t="s">
        <v>23</v>
      </c>
      <c r="FZ57" s="15" t="s">
        <v>24</v>
      </c>
      <c r="GA57" s="15" t="s">
        <v>24</v>
      </c>
      <c r="GB57" s="15" t="s">
        <v>23</v>
      </c>
      <c r="GC57" s="15" t="s">
        <v>2</v>
      </c>
      <c r="GD57" s="15" t="s">
        <v>2</v>
      </c>
      <c r="GE57" s="15" t="s">
        <v>2</v>
      </c>
      <c r="GF57" s="15" t="s">
        <v>25</v>
      </c>
      <c r="GG57" s="15" t="s">
        <v>23</v>
      </c>
      <c r="GH57" s="15" t="s">
        <v>2</v>
      </c>
      <c r="GI57" s="15" t="s">
        <v>24</v>
      </c>
      <c r="GJ57" s="15" t="s">
        <v>24</v>
      </c>
      <c r="GK57" s="15" t="s">
        <v>25</v>
      </c>
      <c r="GL57" s="15" t="s">
        <v>24</v>
      </c>
      <c r="GM57" s="15" t="s">
        <v>2</v>
      </c>
      <c r="GN57" s="15" t="s">
        <v>25</v>
      </c>
      <c r="GO57" s="15" t="s">
        <v>24</v>
      </c>
      <c r="GP57" s="15" t="s">
        <v>24</v>
      </c>
      <c r="GQ57" s="15" t="s">
        <v>2</v>
      </c>
      <c r="GR57" s="15" t="s">
        <v>2</v>
      </c>
      <c r="GS57" s="15" t="s">
        <v>2</v>
      </c>
      <c r="GT57" s="15" t="s">
        <v>25</v>
      </c>
      <c r="GU57" s="15" t="s">
        <v>25</v>
      </c>
      <c r="GV57" s="15" t="s">
        <v>2</v>
      </c>
      <c r="GW57" t="s">
        <v>23</v>
      </c>
      <c r="GX57" t="s">
        <v>23</v>
      </c>
      <c r="GY57" t="s">
        <v>25</v>
      </c>
      <c r="GZ57" t="s">
        <v>25</v>
      </c>
      <c r="HA57" t="s">
        <v>24</v>
      </c>
      <c r="HB57" t="s">
        <v>25</v>
      </c>
      <c r="HC57" t="s">
        <v>2</v>
      </c>
      <c r="HD57" t="s">
        <v>2</v>
      </c>
      <c r="HE57" t="s">
        <v>25</v>
      </c>
      <c r="HF57" t="s">
        <v>2</v>
      </c>
      <c r="HG57" t="s">
        <v>24</v>
      </c>
      <c r="HH57" s="15" t="s">
        <v>23</v>
      </c>
      <c r="HI57" s="15" t="s">
        <v>25</v>
      </c>
      <c r="HJ57" s="15" t="s">
        <v>23</v>
      </c>
      <c r="HK57" s="15" t="s">
        <v>24</v>
      </c>
      <c r="HL57" s="15" t="s">
        <v>2</v>
      </c>
      <c r="HM57" s="15" t="s">
        <v>2</v>
      </c>
      <c r="HN57" s="15"/>
      <c r="HO57" s="15"/>
      <c r="HP57" s="15"/>
      <c r="HQ57" s="15"/>
      <c r="HR57" s="15"/>
      <c r="HS57" s="15"/>
      <c r="HT57" s="15"/>
      <c r="HU57" s="15"/>
      <c r="HV57" s="15"/>
      <c r="HW57" s="15"/>
      <c r="IQ57" s="15"/>
      <c r="IR57" s="15"/>
      <c r="IS57" s="15"/>
      <c r="IT57" s="15"/>
      <c r="IU57" s="15"/>
      <c r="IV57" s="15"/>
      <c r="IW57" s="15"/>
      <c r="IX57" s="15"/>
      <c r="IY57" s="15"/>
      <c r="IZ57" s="15"/>
      <c r="JA57" s="15"/>
      <c r="JB57" s="15"/>
      <c r="JC57" s="15"/>
      <c r="JD57" s="15"/>
      <c r="JE57" s="15"/>
      <c r="JF57" s="15"/>
      <c r="JG57" s="15"/>
      <c r="JH57" s="15"/>
      <c r="JI57" s="15"/>
      <c r="JZ57" s="15"/>
      <c r="KA57" s="15"/>
      <c r="KB57" s="15"/>
      <c r="KC57" s="15"/>
      <c r="KD57" s="15"/>
      <c r="KE57" s="15"/>
      <c r="KF57" s="15"/>
      <c r="KG57" s="15"/>
      <c r="KH57" s="15"/>
      <c r="KI57" s="15"/>
      <c r="KJ57" s="15"/>
      <c r="KK57" s="15"/>
      <c r="KL57" s="15"/>
      <c r="LI57" s="15"/>
      <c r="LJ57" s="15"/>
      <c r="LK57" s="15"/>
      <c r="LL57" s="15"/>
      <c r="LN57" s="15"/>
      <c r="LO57" s="15"/>
      <c r="LP57" s="15"/>
      <c r="LR57" s="15"/>
    </row>
    <row r="58" spans="1:330">
      <c r="A58">
        <v>43662</v>
      </c>
      <c r="B58" s="15" t="s">
        <v>24</v>
      </c>
      <c r="C58" t="s">
        <v>799</v>
      </c>
      <c r="D58" t="s">
        <v>37</v>
      </c>
      <c r="E58" t="s">
        <v>765</v>
      </c>
      <c r="H58" s="15"/>
      <c r="K58" s="15"/>
      <c r="N58" s="15"/>
      <c r="AF58" s="15"/>
      <c r="AG58" s="15"/>
      <c r="AL58" s="15"/>
      <c r="AY58" s="15"/>
      <c r="BM58" s="15"/>
      <c r="BP58" s="15"/>
      <c r="CA58" s="15"/>
      <c r="CF58" s="15"/>
      <c r="CZ58" s="15"/>
      <c r="DJ58" s="15"/>
      <c r="EF58" s="15"/>
      <c r="EL58" t="s">
        <v>24</v>
      </c>
      <c r="EM58" t="s">
        <v>25</v>
      </c>
      <c r="EN58" t="s">
        <v>25</v>
      </c>
      <c r="EO58" t="s">
        <v>2</v>
      </c>
      <c r="EP58" t="s">
        <v>24</v>
      </c>
      <c r="EQ58" t="s">
        <v>2</v>
      </c>
      <c r="ER58" t="s">
        <v>23</v>
      </c>
      <c r="ES58" t="s">
        <v>25</v>
      </c>
      <c r="ET58" t="s">
        <v>24</v>
      </c>
      <c r="EU58" t="s">
        <v>23</v>
      </c>
      <c r="EV58" t="s">
        <v>2</v>
      </c>
      <c r="EW58" t="s">
        <v>2</v>
      </c>
      <c r="EX58" t="s">
        <v>24</v>
      </c>
      <c r="EY58" t="s">
        <v>2</v>
      </c>
      <c r="EZ58" t="s">
        <v>25</v>
      </c>
      <c r="FA58" t="s">
        <v>25</v>
      </c>
      <c r="FB58" t="s">
        <v>24</v>
      </c>
      <c r="FC58" t="s">
        <v>23</v>
      </c>
      <c r="FD58" t="s">
        <v>2</v>
      </c>
      <c r="FE58" t="s">
        <v>25</v>
      </c>
      <c r="FF58" t="s">
        <v>23</v>
      </c>
      <c r="FG58" t="s">
        <v>23</v>
      </c>
      <c r="FH58" t="s">
        <v>24</v>
      </c>
      <c r="FI58" t="s">
        <v>24</v>
      </c>
      <c r="FJ58" t="s">
        <v>2</v>
      </c>
      <c r="FK58" t="s">
        <v>24</v>
      </c>
      <c r="FL58" t="s">
        <v>24</v>
      </c>
      <c r="FM58" t="s">
        <v>23</v>
      </c>
      <c r="FN58" t="s">
        <v>25</v>
      </c>
      <c r="FO58" t="s">
        <v>2</v>
      </c>
      <c r="FP58" t="s">
        <v>23</v>
      </c>
      <c r="FQ58" t="s">
        <v>25</v>
      </c>
      <c r="FR58" t="s">
        <v>25</v>
      </c>
      <c r="FS58" t="s">
        <v>2</v>
      </c>
      <c r="FT58" t="s">
        <v>23</v>
      </c>
      <c r="FU58" t="s">
        <v>2</v>
      </c>
      <c r="FV58" t="s">
        <v>23</v>
      </c>
      <c r="FW58" t="s">
        <v>25</v>
      </c>
      <c r="FX58" t="s">
        <v>24</v>
      </c>
      <c r="FY58" t="s">
        <v>25</v>
      </c>
      <c r="FZ58" t="s">
        <v>2</v>
      </c>
      <c r="GA58" t="s">
        <v>2</v>
      </c>
      <c r="GB58" t="s">
        <v>2</v>
      </c>
      <c r="GC58" t="s">
        <v>23</v>
      </c>
      <c r="GD58" t="s">
        <v>24</v>
      </c>
      <c r="GE58" t="s">
        <v>2</v>
      </c>
      <c r="GF58" t="s">
        <v>25</v>
      </c>
      <c r="GG58" t="s">
        <v>24</v>
      </c>
      <c r="GH58" t="s">
        <v>23</v>
      </c>
      <c r="GI58" t="s">
        <v>25</v>
      </c>
      <c r="GJ58" t="s">
        <v>2</v>
      </c>
      <c r="GK58" t="s">
        <v>23</v>
      </c>
      <c r="GL58" t="s">
        <v>25</v>
      </c>
      <c r="GM58" t="s">
        <v>23</v>
      </c>
      <c r="GN58" t="s">
        <v>23</v>
      </c>
      <c r="GO58" t="s">
        <v>2</v>
      </c>
      <c r="GP58" t="s">
        <v>23</v>
      </c>
      <c r="GQ58" t="s">
        <v>2</v>
      </c>
      <c r="GR58" t="s">
        <v>25</v>
      </c>
      <c r="GS58" t="s">
        <v>25</v>
      </c>
      <c r="GT58" t="s">
        <v>23</v>
      </c>
      <c r="GU58" t="s">
        <v>2</v>
      </c>
      <c r="GV58" t="s">
        <v>25</v>
      </c>
      <c r="GW58" t="s">
        <v>25</v>
      </c>
      <c r="GX58" t="s">
        <v>24</v>
      </c>
      <c r="GY58" t="s">
        <v>25</v>
      </c>
      <c r="GZ58" t="s">
        <v>23</v>
      </c>
      <c r="HA58" t="s">
        <v>23</v>
      </c>
      <c r="HB58" t="s">
        <v>2</v>
      </c>
      <c r="HC58" t="s">
        <v>25</v>
      </c>
      <c r="HD58" t="s">
        <v>23</v>
      </c>
      <c r="HE58" t="s">
        <v>25</v>
      </c>
      <c r="HF58" t="s">
        <v>23</v>
      </c>
      <c r="HG58" t="s">
        <v>23</v>
      </c>
      <c r="HH58" t="s">
        <v>2</v>
      </c>
      <c r="HI58" t="s">
        <v>25</v>
      </c>
      <c r="HJ58" t="s">
        <v>24</v>
      </c>
      <c r="HK58" t="s">
        <v>23</v>
      </c>
      <c r="HL58" t="s">
        <v>23</v>
      </c>
      <c r="HM58" t="s">
        <v>23</v>
      </c>
    </row>
    <row r="59" spans="1:330">
      <c r="B59" s="15"/>
      <c r="H59" s="15"/>
      <c r="K59" s="15"/>
      <c r="N59" s="15"/>
      <c r="AG59" s="15"/>
      <c r="AL59" s="15"/>
      <c r="AY59" s="15"/>
      <c r="BL59" s="15"/>
      <c r="BP59" s="15"/>
      <c r="CA59" s="15"/>
      <c r="CF59" s="15"/>
      <c r="CZ59" s="15"/>
      <c r="DJ59" s="15"/>
      <c r="HV59" s="15"/>
      <c r="HW59" s="15"/>
      <c r="HX59" s="15"/>
      <c r="HZ59" s="15"/>
      <c r="II59" s="15"/>
      <c r="JD59" s="15"/>
      <c r="LI59" s="15"/>
      <c r="LJ59" s="15"/>
      <c r="LK59" s="15"/>
      <c r="LM59" s="15"/>
      <c r="LO59" s="15"/>
      <c r="LR59" s="15"/>
    </row>
    <row r="60" spans="1:330">
      <c r="B60" s="15"/>
      <c r="C60" s="15"/>
      <c r="D60" s="15"/>
      <c r="E60" s="15"/>
      <c r="AO60" s="15"/>
      <c r="AP60" s="15"/>
      <c r="AQ60" s="15"/>
      <c r="AR60" s="15"/>
      <c r="AS60" s="15"/>
      <c r="AT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X60" s="15"/>
      <c r="BY60" s="15"/>
      <c r="BZ60" s="15"/>
      <c r="CA60" s="15"/>
      <c r="CB60" s="15"/>
      <c r="CC60" s="15"/>
      <c r="CD60" s="15"/>
      <c r="DG60" s="15"/>
      <c r="DH60" s="15"/>
      <c r="DI60" s="15"/>
      <c r="DJ60" s="15"/>
      <c r="DK60" s="15"/>
      <c r="DL60" s="15"/>
      <c r="DM60" s="15"/>
      <c r="DN60" s="15"/>
      <c r="DO60" s="15"/>
      <c r="DP60" s="15"/>
      <c r="DQ60" s="15"/>
      <c r="DR60" s="15"/>
      <c r="DS60" s="15"/>
      <c r="DT60" s="15"/>
      <c r="DU60" s="15"/>
      <c r="DV60" s="15"/>
      <c r="DW60" s="15"/>
      <c r="DX60" s="15"/>
      <c r="DY60" s="15"/>
      <c r="DZ60" s="15"/>
      <c r="EA60" s="15"/>
      <c r="EB60" s="15"/>
      <c r="EC60" s="15"/>
      <c r="ED60" s="15"/>
      <c r="EE60" s="15"/>
      <c r="EF60" s="15"/>
      <c r="EG60" s="15"/>
      <c r="EH60" s="15"/>
      <c r="EI60" s="15"/>
      <c r="EJ60" s="15"/>
      <c r="EP60" s="15"/>
      <c r="EQ60" s="15"/>
      <c r="ER60" s="15"/>
      <c r="EY60" s="15"/>
      <c r="EZ60" s="15"/>
      <c r="FA60" s="15"/>
      <c r="FB60" s="15"/>
      <c r="FC60" s="15"/>
      <c r="FD60" s="15"/>
      <c r="FE60" s="15"/>
      <c r="FF60" s="15"/>
      <c r="FG60" s="15"/>
      <c r="FI60" s="15"/>
      <c r="FY60" s="15"/>
      <c r="FZ60" s="15"/>
      <c r="GA60" s="15"/>
      <c r="GB60" s="15"/>
      <c r="GC60" s="15"/>
      <c r="GD60" s="15"/>
      <c r="GE60" s="15"/>
      <c r="GF60" s="15"/>
      <c r="GG60" s="15"/>
      <c r="GH60" s="15"/>
      <c r="GI60" s="15"/>
      <c r="GJ60" s="15"/>
      <c r="GK60" s="15"/>
      <c r="GL60" s="15"/>
      <c r="GM60" s="15"/>
      <c r="GN60" s="15"/>
      <c r="GO60" s="15"/>
      <c r="GP60" s="15"/>
      <c r="GQ60" s="15"/>
      <c r="GR60" s="15"/>
      <c r="HH60" s="15"/>
      <c r="HI60" s="15"/>
      <c r="HJ60" s="15"/>
      <c r="HL60" s="15"/>
      <c r="HN60" s="15"/>
      <c r="HO60" s="15"/>
      <c r="HP60" s="15"/>
      <c r="HQ60" s="15"/>
      <c r="HR60" s="15"/>
      <c r="HS60" s="15"/>
      <c r="HT60" s="15"/>
      <c r="HU60" s="15"/>
      <c r="HV60" s="15"/>
      <c r="HW60" s="15"/>
      <c r="IQ60" s="15"/>
      <c r="IR60" s="15"/>
      <c r="IS60" s="15"/>
      <c r="IT60" s="15"/>
      <c r="IU60" s="15"/>
      <c r="IV60" s="15"/>
      <c r="IW60" s="15"/>
      <c r="IX60" s="15"/>
      <c r="IY60" s="15"/>
      <c r="IZ60" s="15"/>
      <c r="JA60" s="15"/>
      <c r="JB60" s="15"/>
      <c r="JC60" s="15"/>
      <c r="JD60" s="15"/>
      <c r="JF60" s="15"/>
      <c r="JZ60" s="15"/>
      <c r="KA60" s="15"/>
      <c r="KB60" s="15"/>
      <c r="KC60" s="15"/>
      <c r="KD60" s="15"/>
      <c r="KE60" s="15"/>
      <c r="KF60" s="15"/>
      <c r="KG60" s="15"/>
      <c r="KH60" s="15"/>
      <c r="KI60" s="15"/>
      <c r="KJ60" s="15"/>
      <c r="KK60" s="15"/>
      <c r="KL60" s="15"/>
      <c r="LI60" s="15"/>
      <c r="LJ60" s="15"/>
      <c r="LK60" s="15"/>
      <c r="LL60" s="15"/>
      <c r="LN60" s="15"/>
      <c r="LO60" s="15"/>
      <c r="LP60" s="15"/>
      <c r="LQ60" s="15"/>
    </row>
    <row r="61" spans="1:330">
      <c r="B61" s="15"/>
      <c r="C61" s="15"/>
      <c r="D61" s="15"/>
      <c r="E61" s="15"/>
      <c r="AO61" s="15"/>
      <c r="AP61" s="15"/>
      <c r="AQ61" s="15"/>
      <c r="AU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X61" s="15"/>
      <c r="BY61" s="15"/>
      <c r="BZ61" s="15"/>
      <c r="CA61" s="15"/>
      <c r="CB61" s="15"/>
      <c r="CC61" s="15"/>
      <c r="CD61" s="15"/>
      <c r="CE61" s="15"/>
      <c r="DG61" s="15"/>
      <c r="DH61" s="15"/>
      <c r="DI61" s="15"/>
      <c r="DJ61" s="15"/>
      <c r="DK61" s="15"/>
      <c r="DL61" s="15"/>
      <c r="DM61" s="15"/>
      <c r="DN61" s="15"/>
      <c r="DO61" s="15"/>
      <c r="DP61" s="15"/>
      <c r="DQ61" s="15"/>
      <c r="DR61" s="15"/>
      <c r="DS61" s="15"/>
      <c r="DT61" s="15"/>
      <c r="DU61" s="15"/>
      <c r="DV61" s="15"/>
      <c r="DW61" s="15"/>
      <c r="DX61" s="15"/>
      <c r="DY61" s="15"/>
      <c r="DZ61" s="15"/>
      <c r="EA61" s="15"/>
      <c r="EB61" s="15"/>
      <c r="EC61" s="15"/>
      <c r="ED61" s="15"/>
      <c r="EE61" s="15"/>
      <c r="EF61" s="15"/>
      <c r="EG61" s="15"/>
      <c r="EH61" s="15"/>
      <c r="EI61" s="15"/>
      <c r="EJ61" s="15"/>
      <c r="EK61" s="15"/>
      <c r="EL61" s="15"/>
      <c r="EM61" s="15"/>
      <c r="EN61" s="15"/>
      <c r="EO61" s="15"/>
      <c r="EP61" s="15"/>
      <c r="EQ61" s="15"/>
      <c r="ER61" s="15"/>
      <c r="ES61" s="15"/>
      <c r="EU61" s="15"/>
      <c r="EV61" s="15"/>
      <c r="EW61" s="15"/>
      <c r="EX61" s="15"/>
      <c r="EY61" s="15"/>
      <c r="EZ61" s="15"/>
      <c r="FA61" s="15"/>
      <c r="FC61" s="15"/>
      <c r="FD61" s="15"/>
      <c r="FE61" s="15"/>
      <c r="FG61" s="15"/>
      <c r="FH61" s="15"/>
      <c r="FI61" s="15"/>
      <c r="FJ61" s="15"/>
      <c r="FK61" s="15"/>
      <c r="FL61" s="15"/>
      <c r="FM61" s="15"/>
      <c r="FY61" s="15"/>
      <c r="FZ61" s="15"/>
      <c r="GA61" s="15"/>
      <c r="GB61" s="15"/>
      <c r="GC61" s="15"/>
      <c r="GD61" s="15"/>
      <c r="GE61" s="15"/>
      <c r="GF61" s="15"/>
      <c r="GG61" s="15"/>
      <c r="GH61" s="15"/>
      <c r="GI61" s="15"/>
      <c r="GJ61" s="15"/>
      <c r="GK61" s="15"/>
      <c r="GL61" s="15"/>
      <c r="GM61" s="15"/>
      <c r="GN61" s="15"/>
      <c r="GO61" s="15"/>
      <c r="GP61" s="15"/>
      <c r="GQ61" s="15"/>
      <c r="GR61" s="15"/>
      <c r="HH61" s="15"/>
      <c r="HI61" s="15"/>
      <c r="HJ61" s="15"/>
      <c r="HK61" s="15"/>
      <c r="HL61" s="15"/>
      <c r="HN61" s="15"/>
      <c r="HO61" s="15"/>
      <c r="HP61" s="15"/>
      <c r="HQ61" s="15"/>
      <c r="HS61" s="15"/>
      <c r="HT61" s="15"/>
      <c r="HU61" s="15"/>
      <c r="HV61" s="15"/>
      <c r="HW61" s="15"/>
      <c r="HX61" s="15"/>
      <c r="HY61" s="15"/>
      <c r="HZ61" s="15"/>
      <c r="IQ61" s="15"/>
      <c r="IR61" s="15"/>
      <c r="IS61" s="15"/>
      <c r="IT61" s="15"/>
      <c r="IU61" s="15"/>
      <c r="IV61" s="15"/>
      <c r="IW61" s="15"/>
      <c r="IX61" s="15"/>
      <c r="IY61" s="15"/>
      <c r="IZ61" s="15"/>
      <c r="JA61" s="15"/>
      <c r="JB61" s="15"/>
      <c r="JC61" s="15"/>
      <c r="JD61" s="15"/>
      <c r="JE61" s="15"/>
      <c r="JF61" s="15"/>
      <c r="JZ61" s="15"/>
      <c r="KA61" s="15"/>
      <c r="KB61" s="15"/>
      <c r="KC61" s="15"/>
      <c r="KD61" s="15"/>
      <c r="KE61" s="15"/>
      <c r="KF61" s="15"/>
      <c r="KG61" s="15"/>
      <c r="KH61" s="15"/>
      <c r="KI61" s="15"/>
      <c r="KJ61" s="15"/>
      <c r="KK61" s="15"/>
      <c r="KL61" s="15"/>
      <c r="KM61" s="15"/>
      <c r="LI61" s="15"/>
      <c r="LJ61" s="15"/>
      <c r="LK61" s="15"/>
      <c r="LL61" s="15"/>
      <c r="LM61" s="15"/>
      <c r="LN61" s="15"/>
      <c r="LO61" s="15"/>
      <c r="LP61" s="15"/>
      <c r="LQ61" s="15"/>
      <c r="LR61" s="15"/>
    </row>
    <row r="62" spans="1:330">
      <c r="B62" s="15"/>
      <c r="C62" s="15"/>
      <c r="D62" s="15"/>
      <c r="E62" s="15"/>
      <c r="AO62" s="15"/>
      <c r="AP62" s="15"/>
      <c r="AQ62" s="15"/>
      <c r="AS62" s="15"/>
      <c r="AT62" s="15"/>
      <c r="AU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X62" s="15"/>
      <c r="BY62" s="15"/>
      <c r="BZ62" s="15"/>
      <c r="CA62" s="15"/>
      <c r="CB62" s="15"/>
      <c r="CC62" s="15"/>
      <c r="CD62" s="15"/>
      <c r="CE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  <c r="EE62" s="15"/>
      <c r="EF62" s="15"/>
      <c r="EG62" s="15"/>
      <c r="EH62" s="15"/>
      <c r="EI62" s="15"/>
      <c r="EJ62" s="15"/>
      <c r="EK62" s="15"/>
      <c r="EL62" s="15"/>
      <c r="EM62" s="15"/>
      <c r="EP62" s="15"/>
      <c r="EQ62" s="15"/>
      <c r="ER62" s="15"/>
      <c r="ES62" s="15"/>
      <c r="ET62" s="15"/>
      <c r="EU62" s="15"/>
      <c r="EV62" s="15"/>
      <c r="EW62" s="15"/>
      <c r="EX62" s="15"/>
      <c r="FE62" s="15"/>
      <c r="FF62" s="15"/>
      <c r="FG62" s="15"/>
      <c r="FH62" s="15"/>
      <c r="FI62" s="15"/>
      <c r="FJ62" s="15"/>
      <c r="FK62" s="15"/>
      <c r="FL62" s="15"/>
      <c r="FM62" s="15"/>
      <c r="FY62" s="15"/>
      <c r="FZ62" s="15"/>
      <c r="GA62" s="15"/>
      <c r="GB62" s="15"/>
      <c r="GC62" s="15"/>
      <c r="GD62" s="15"/>
      <c r="GE62" s="15"/>
      <c r="GF62" s="15"/>
      <c r="GG62" s="15"/>
      <c r="GH62" s="15"/>
      <c r="GI62" s="15"/>
      <c r="GJ62" s="15"/>
      <c r="GK62" s="15"/>
      <c r="GL62" s="15"/>
      <c r="GM62" s="15"/>
      <c r="GN62" s="15"/>
      <c r="GO62" s="15"/>
      <c r="GP62" s="15"/>
      <c r="GQ62" s="15"/>
      <c r="GR62" s="15"/>
      <c r="HH62" s="15"/>
      <c r="HI62" s="15"/>
      <c r="HJ62" s="15"/>
      <c r="HK62" s="15"/>
      <c r="HL62" s="15"/>
      <c r="HN62" s="15"/>
      <c r="HO62" s="15"/>
      <c r="HP62" s="15"/>
      <c r="HQ62" s="15"/>
      <c r="HR62" s="15"/>
      <c r="HS62" s="15"/>
      <c r="HY62" s="15"/>
      <c r="IQ62" s="15"/>
      <c r="IR62" s="15"/>
      <c r="IS62" s="15"/>
      <c r="IT62" s="15"/>
      <c r="IU62" s="15"/>
      <c r="IV62" s="15"/>
      <c r="IW62" s="15"/>
      <c r="IX62" s="15"/>
      <c r="IY62" s="15"/>
      <c r="IZ62" s="15"/>
      <c r="JA62" s="15"/>
      <c r="JB62" s="15"/>
      <c r="JC62" s="15"/>
      <c r="JD62" s="15"/>
      <c r="JE62" s="15"/>
      <c r="JF62" s="15"/>
      <c r="JZ62" s="15"/>
      <c r="KA62" s="15"/>
      <c r="KB62" s="15"/>
      <c r="KC62" s="15"/>
      <c r="KD62" s="15"/>
      <c r="KE62" s="15"/>
      <c r="KF62" s="15"/>
      <c r="KG62" s="15"/>
      <c r="KH62" s="15"/>
      <c r="KI62" s="15"/>
      <c r="KJ62" s="15"/>
      <c r="KK62" s="15"/>
      <c r="KL62" s="15"/>
      <c r="LI62" s="15"/>
      <c r="LJ62" s="15"/>
      <c r="LK62" s="15"/>
      <c r="LL62" s="15"/>
      <c r="LM62" s="15"/>
      <c r="LN62" s="15"/>
      <c r="LO62" s="15"/>
      <c r="LP62" s="15"/>
      <c r="LQ62" s="15"/>
      <c r="LR62" s="15"/>
    </row>
    <row r="63" spans="1:330">
      <c r="B63" s="15"/>
      <c r="C63" s="15"/>
      <c r="D63" s="15"/>
      <c r="E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X63" s="15"/>
      <c r="BY63" s="15"/>
      <c r="BZ63" s="15"/>
      <c r="CA63" s="15"/>
      <c r="CB63" s="15"/>
      <c r="CC63" s="15"/>
      <c r="CD63" s="15"/>
      <c r="CE63" s="15"/>
      <c r="DG63" s="15"/>
      <c r="DH63" s="15"/>
      <c r="DI63" s="15"/>
      <c r="DJ63" s="15"/>
      <c r="DK63" s="15"/>
      <c r="DL63" s="15"/>
      <c r="DM63" s="15"/>
      <c r="DN63" s="15"/>
      <c r="DO63" s="15"/>
      <c r="DP63" s="15"/>
      <c r="DQ63" s="15"/>
      <c r="DR63" s="15"/>
      <c r="DS63" s="15"/>
      <c r="DT63" s="15"/>
      <c r="DU63" s="15"/>
      <c r="DV63" s="15"/>
      <c r="DW63" s="15"/>
      <c r="DX63" s="15"/>
      <c r="DY63" s="15"/>
      <c r="DZ63" s="15"/>
      <c r="EA63" s="15"/>
      <c r="EB63" s="15"/>
      <c r="EC63" s="15"/>
      <c r="ED63" s="15"/>
      <c r="EE63" s="15"/>
      <c r="EF63" s="15"/>
      <c r="EG63" s="15"/>
      <c r="EH63" s="15"/>
      <c r="EI63" s="15"/>
      <c r="EJ63" s="15"/>
      <c r="EK63" s="15"/>
      <c r="EL63" s="15"/>
      <c r="EM63" s="15"/>
      <c r="EN63" s="15"/>
      <c r="EO63" s="15"/>
      <c r="EP63" s="15"/>
      <c r="EQ63" s="15"/>
      <c r="ER63" s="15"/>
      <c r="ES63" s="15"/>
      <c r="ET63" s="15"/>
      <c r="EU63" s="15"/>
      <c r="EV63" s="15"/>
      <c r="EW63" s="15"/>
      <c r="EX63" s="15"/>
      <c r="EY63" s="15"/>
      <c r="EZ63" s="15"/>
      <c r="FA63" s="15"/>
      <c r="FB63" s="15"/>
      <c r="FC63" s="15"/>
      <c r="FD63" s="15"/>
      <c r="FE63" s="15"/>
      <c r="FF63" s="15"/>
      <c r="FG63" s="15"/>
      <c r="FH63" s="15"/>
      <c r="FI63" s="15"/>
      <c r="FJ63" s="15"/>
      <c r="FK63" s="15"/>
      <c r="FL63" s="15"/>
      <c r="FM63" s="15"/>
      <c r="FY63" s="15"/>
      <c r="FZ63" s="15"/>
      <c r="GA63" s="15"/>
      <c r="GB63" s="15"/>
      <c r="GC63" s="15"/>
      <c r="GD63" s="15"/>
      <c r="GE63" s="15"/>
      <c r="GF63" s="15"/>
      <c r="GG63" s="15"/>
      <c r="GH63" s="15"/>
      <c r="GI63" s="15"/>
      <c r="GJ63" s="15"/>
      <c r="GK63" s="15"/>
      <c r="GL63" s="15"/>
      <c r="GM63" s="15"/>
      <c r="GN63" s="15"/>
      <c r="GO63" s="15"/>
      <c r="GP63" s="15"/>
      <c r="GQ63" s="15"/>
      <c r="GR63" s="15"/>
      <c r="HH63" s="15"/>
      <c r="HI63" s="15"/>
      <c r="HJ63" s="15"/>
      <c r="HK63" s="15"/>
      <c r="HL63" s="15"/>
      <c r="HM63" s="15"/>
      <c r="HN63" s="15"/>
      <c r="HO63" s="15"/>
      <c r="HP63" s="15"/>
      <c r="HQ63" s="15"/>
      <c r="HR63" s="15"/>
      <c r="HS63" s="15"/>
      <c r="HT63" s="15"/>
      <c r="HU63" s="15"/>
      <c r="HV63" s="15"/>
      <c r="HW63" s="15"/>
      <c r="HX63" s="15"/>
      <c r="HY63" s="15"/>
      <c r="HZ63" s="15"/>
      <c r="IQ63" s="15"/>
      <c r="IR63" s="15"/>
      <c r="IS63" s="15"/>
      <c r="IT63" s="15"/>
      <c r="IU63" s="15"/>
      <c r="IV63" s="15"/>
      <c r="IW63" s="15"/>
      <c r="IX63" s="15"/>
      <c r="IY63" s="15"/>
      <c r="IZ63" s="15"/>
      <c r="JA63" s="15"/>
      <c r="JB63" s="15"/>
      <c r="JC63" s="15"/>
      <c r="JD63" s="15"/>
      <c r="JE63" s="15"/>
      <c r="JF63" s="15"/>
      <c r="JZ63" s="15"/>
      <c r="KA63" s="15"/>
      <c r="KB63" s="15"/>
      <c r="KC63" s="15"/>
      <c r="KD63" s="15"/>
      <c r="KE63" s="15"/>
      <c r="KF63" s="15"/>
      <c r="KG63" s="15"/>
      <c r="KH63" s="15"/>
      <c r="KI63" s="15"/>
      <c r="KJ63" s="15"/>
      <c r="KK63" s="15"/>
      <c r="KL63" s="15"/>
      <c r="KM63" s="15"/>
      <c r="LI63" s="15"/>
      <c r="LJ63" s="15"/>
      <c r="LK63" s="15"/>
      <c r="LL63" s="15"/>
      <c r="LM63" s="15"/>
      <c r="LN63" s="15"/>
      <c r="LO63" s="15"/>
      <c r="LP63" s="15"/>
      <c r="LQ63" s="15"/>
      <c r="LR63" s="15"/>
    </row>
    <row r="64" spans="1:330">
      <c r="B64" s="15"/>
      <c r="C64" s="15"/>
      <c r="D64" s="15"/>
      <c r="E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X64" s="15"/>
      <c r="BY64" s="15"/>
      <c r="BZ64" s="15"/>
      <c r="CA64" s="15"/>
      <c r="CB64" s="15"/>
      <c r="CC64" s="15"/>
      <c r="CD64" s="15"/>
      <c r="CE64" s="15"/>
      <c r="DG64" s="15"/>
      <c r="DH64" s="15"/>
      <c r="DI64" s="15"/>
      <c r="DJ64" s="15"/>
      <c r="DK64" s="15"/>
      <c r="DL64" s="15"/>
      <c r="DM64" s="15"/>
      <c r="DN64" s="15"/>
      <c r="DO64" s="15"/>
      <c r="DP64" s="15"/>
      <c r="DQ64" s="15"/>
      <c r="DR64" s="15"/>
      <c r="DS64" s="15"/>
      <c r="DT64" s="15"/>
      <c r="DU64" s="15"/>
      <c r="DV64" s="15"/>
      <c r="DW64" s="15"/>
      <c r="DX64" s="15"/>
      <c r="DY64" s="15"/>
      <c r="DZ64" s="15"/>
      <c r="EA64" s="15"/>
      <c r="EB64" s="15"/>
      <c r="EC64" s="15"/>
      <c r="ED64" s="15"/>
      <c r="EE64" s="15"/>
      <c r="EF64" s="15"/>
      <c r="EG64" s="15"/>
      <c r="EH64" s="15"/>
      <c r="EI64" s="15"/>
      <c r="EJ64" s="15"/>
      <c r="EK64" s="15"/>
      <c r="EL64" s="15"/>
      <c r="EM64" s="15"/>
      <c r="EN64" s="15"/>
      <c r="EO64" s="15"/>
      <c r="EP64" s="15"/>
      <c r="EQ64" s="15"/>
      <c r="ER64" s="15"/>
      <c r="ES64" s="15"/>
      <c r="ET64" s="15"/>
      <c r="EU64" s="15"/>
      <c r="EV64" s="15"/>
      <c r="EW64" s="15"/>
      <c r="EX64" s="15"/>
      <c r="EY64" s="15"/>
      <c r="EZ64" s="15"/>
      <c r="FA64" s="15"/>
      <c r="FB64" s="15"/>
      <c r="FC64" s="15"/>
      <c r="FD64" s="15"/>
      <c r="FE64" s="15"/>
      <c r="FF64" s="15"/>
      <c r="FG64" s="15"/>
      <c r="FH64" s="15"/>
      <c r="FI64" s="15"/>
      <c r="FJ64" s="15"/>
      <c r="FK64" s="15"/>
      <c r="FL64" s="15"/>
      <c r="FM64" s="15"/>
      <c r="FY64" s="15"/>
      <c r="FZ64" s="15"/>
      <c r="GA64" s="15"/>
      <c r="GB64" s="15"/>
      <c r="GC64" s="15"/>
      <c r="GD64" s="15"/>
      <c r="GE64" s="15"/>
      <c r="GF64" s="15"/>
      <c r="GG64" s="15"/>
      <c r="GH64" s="15"/>
      <c r="GI64" s="15"/>
      <c r="GJ64" s="15"/>
      <c r="GK64" s="15"/>
      <c r="GL64" s="15"/>
      <c r="GM64" s="15"/>
      <c r="GN64" s="15"/>
      <c r="GO64" s="15"/>
      <c r="GP64" s="15"/>
      <c r="GQ64" s="15"/>
      <c r="GR64" s="15"/>
      <c r="HH64" s="15"/>
      <c r="HI64" s="15"/>
      <c r="HJ64" s="15"/>
      <c r="HK64" s="15"/>
      <c r="HL64" s="15"/>
      <c r="HM64" s="15"/>
      <c r="HN64" s="15"/>
      <c r="HO64" s="15"/>
      <c r="HP64" s="15"/>
      <c r="HQ64" s="15"/>
      <c r="HR64" s="15"/>
      <c r="HS64" s="15"/>
      <c r="HT64" s="15"/>
      <c r="HU64" s="15"/>
      <c r="HV64" s="15"/>
      <c r="HW64" s="15"/>
      <c r="HX64" s="15"/>
      <c r="HY64" s="15"/>
      <c r="HZ64" s="15"/>
      <c r="IQ64" s="15"/>
      <c r="IR64" s="15"/>
      <c r="IS64" s="15"/>
      <c r="IT64" s="15"/>
      <c r="IU64" s="15"/>
      <c r="IV64" s="15"/>
      <c r="IW64" s="15"/>
      <c r="IX64" s="15"/>
      <c r="IY64" s="15"/>
      <c r="IZ64" s="15"/>
      <c r="JA64" s="15"/>
      <c r="JB64" s="15"/>
      <c r="JC64" s="15"/>
      <c r="JD64" s="15"/>
      <c r="JE64" s="15"/>
      <c r="JF64" s="15"/>
      <c r="JZ64" s="15"/>
      <c r="KA64" s="15"/>
      <c r="KB64" s="15"/>
      <c r="KC64" s="15"/>
      <c r="KD64" s="15"/>
      <c r="KE64" s="15"/>
      <c r="KF64" s="15"/>
      <c r="KG64" s="15"/>
      <c r="KH64" s="15"/>
      <c r="KI64" s="15"/>
      <c r="KJ64" s="15"/>
      <c r="KK64" s="15"/>
      <c r="KL64" s="15"/>
      <c r="KM64" s="15"/>
      <c r="LI64" s="15"/>
      <c r="LJ64" s="15"/>
      <c r="LK64" s="15"/>
      <c r="LL64" s="15"/>
      <c r="LM64" s="15"/>
      <c r="LN64" s="15"/>
      <c r="LO64" s="15"/>
      <c r="LP64" s="15"/>
      <c r="LQ64" s="15"/>
      <c r="LR64" s="15"/>
    </row>
    <row r="65" spans="2:330">
      <c r="B65" s="15"/>
      <c r="C65" s="15"/>
      <c r="D65" s="15"/>
      <c r="E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X65" s="15"/>
      <c r="BY65" s="15"/>
      <c r="BZ65" s="15"/>
      <c r="CA65" s="15"/>
      <c r="CB65" s="15"/>
      <c r="CC65" s="15"/>
      <c r="CD65" s="15"/>
      <c r="CE65" s="15"/>
      <c r="DG65" s="15"/>
      <c r="DH65" s="15"/>
      <c r="DI65" s="15"/>
      <c r="DJ65" s="15"/>
      <c r="DK65" s="15"/>
      <c r="DL65" s="15"/>
      <c r="DM65" s="15"/>
      <c r="DN65" s="15"/>
      <c r="DO65" s="15"/>
      <c r="DP65" s="15"/>
      <c r="DQ65" s="15"/>
      <c r="DR65" s="15"/>
      <c r="DS65" s="15"/>
      <c r="DT65" s="15"/>
      <c r="DU65" s="15"/>
      <c r="DV65" s="15"/>
      <c r="DW65" s="15"/>
      <c r="DX65" s="15"/>
      <c r="DY65" s="15"/>
      <c r="DZ65" s="15"/>
      <c r="EA65" s="15"/>
      <c r="EB65" s="15"/>
      <c r="EC65" s="15"/>
      <c r="ED65" s="15"/>
      <c r="EE65" s="15"/>
      <c r="EF65" s="15"/>
      <c r="EG65" s="15"/>
      <c r="EH65" s="15"/>
      <c r="EI65" s="15"/>
      <c r="EJ65" s="15"/>
      <c r="EK65" s="15"/>
      <c r="EL65" s="15"/>
      <c r="EM65" s="15"/>
      <c r="EN65" s="15"/>
      <c r="EO65" s="15"/>
      <c r="EP65" s="15"/>
      <c r="EQ65" s="15"/>
      <c r="ER65" s="15"/>
      <c r="ES65" s="15"/>
      <c r="ET65" s="15"/>
      <c r="EU65" s="15"/>
      <c r="EV65" s="15"/>
      <c r="EW65" s="15"/>
      <c r="EX65" s="15"/>
      <c r="EY65" s="15"/>
      <c r="EZ65" s="15"/>
      <c r="FA65" s="15"/>
      <c r="FB65" s="15"/>
      <c r="FC65" s="15"/>
      <c r="FD65" s="15"/>
      <c r="FE65" s="15"/>
      <c r="FF65" s="15"/>
      <c r="FG65" s="15"/>
      <c r="FH65" s="15"/>
      <c r="FI65" s="15"/>
      <c r="FJ65" s="15"/>
      <c r="FK65" s="15"/>
      <c r="FL65" s="15"/>
      <c r="FM65" s="15"/>
      <c r="FY65" s="15"/>
      <c r="FZ65" s="15"/>
      <c r="GA65" s="15"/>
      <c r="GB65" s="15"/>
      <c r="GC65" s="15"/>
      <c r="GD65" s="15"/>
      <c r="GE65" s="15"/>
      <c r="GF65" s="15"/>
      <c r="GG65" s="15"/>
      <c r="GH65" s="15"/>
      <c r="GI65" s="15"/>
      <c r="GJ65" s="15"/>
      <c r="GK65" s="15"/>
      <c r="GL65" s="15"/>
      <c r="GM65" s="15"/>
      <c r="GN65" s="15"/>
      <c r="GO65" s="15"/>
      <c r="GP65" s="15"/>
      <c r="GQ65" s="15"/>
      <c r="GR65" s="15"/>
      <c r="HH65" s="15"/>
      <c r="HI65" s="15"/>
      <c r="HJ65" s="15"/>
      <c r="HK65" s="15"/>
      <c r="HL65" s="15"/>
      <c r="HM65" s="15"/>
      <c r="HN65" s="15"/>
      <c r="HO65" s="15"/>
      <c r="HP65" s="15"/>
      <c r="HQ65" s="15"/>
      <c r="HR65" s="15"/>
      <c r="HS65" s="15"/>
      <c r="HT65" s="15"/>
      <c r="HU65" s="15"/>
      <c r="HV65" s="15"/>
      <c r="HW65" s="15"/>
      <c r="HX65" s="15"/>
      <c r="HY65" s="15"/>
      <c r="HZ65" s="15"/>
      <c r="IQ65" s="15"/>
      <c r="IR65" s="15"/>
      <c r="IS65" s="15"/>
      <c r="IT65" s="15"/>
      <c r="IU65" s="15"/>
      <c r="IV65" s="15"/>
      <c r="IW65" s="15"/>
      <c r="IX65" s="15"/>
      <c r="IY65" s="15"/>
      <c r="IZ65" s="15"/>
      <c r="JA65" s="15"/>
      <c r="JB65" s="15"/>
      <c r="JC65" s="15"/>
      <c r="JD65" s="15"/>
      <c r="JE65" s="15"/>
      <c r="JF65" s="15"/>
      <c r="JZ65" s="15"/>
      <c r="KA65" s="15"/>
      <c r="KB65" s="15"/>
      <c r="KC65" s="15"/>
      <c r="KD65" s="15"/>
      <c r="KE65" s="15"/>
      <c r="KF65" s="15"/>
      <c r="KG65" s="15"/>
      <c r="KH65" s="15"/>
      <c r="KI65" s="15"/>
      <c r="KJ65" s="15"/>
      <c r="KK65" s="15"/>
      <c r="KL65" s="15"/>
      <c r="KM65" s="15"/>
      <c r="LI65" s="15"/>
      <c r="LJ65" s="15"/>
      <c r="LK65" s="15"/>
      <c r="LL65" s="15"/>
      <c r="LM65" s="15"/>
      <c r="LN65" s="15"/>
      <c r="LO65" s="15"/>
      <c r="LP65" s="15"/>
      <c r="LQ65" s="15"/>
      <c r="LR65" s="15"/>
    </row>
    <row r="66" spans="2:330">
      <c r="B66" s="15"/>
      <c r="C66" s="15"/>
      <c r="D66" s="15"/>
      <c r="E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X66" s="15"/>
      <c r="BY66" s="15"/>
      <c r="BZ66" s="15"/>
      <c r="CA66" s="15"/>
      <c r="CB66" s="15"/>
      <c r="CC66" s="15"/>
      <c r="CD66" s="15"/>
      <c r="CE66" s="15"/>
      <c r="DG66" s="15"/>
      <c r="DH66" s="15"/>
      <c r="DI66" s="15"/>
      <c r="DJ66" s="15"/>
      <c r="DK66" s="15"/>
      <c r="DL66" s="15"/>
      <c r="DM66" s="15"/>
      <c r="DN66" s="15"/>
      <c r="DO66" s="15"/>
      <c r="DP66" s="15"/>
      <c r="DQ66" s="15"/>
      <c r="DR66" s="15"/>
      <c r="DS66" s="15"/>
      <c r="DT66" s="15"/>
      <c r="DU66" s="15"/>
      <c r="DV66" s="15"/>
      <c r="DW66" s="15"/>
      <c r="DX66" s="15"/>
      <c r="DY66" s="15"/>
      <c r="DZ66" s="15"/>
      <c r="EA66" s="15"/>
      <c r="EB66" s="15"/>
      <c r="EC66" s="15"/>
      <c r="ED66" s="15"/>
      <c r="EE66" s="15"/>
      <c r="EF66" s="15"/>
      <c r="EG66" s="15"/>
      <c r="EH66" s="15"/>
      <c r="EI66" s="15"/>
      <c r="EJ66" s="15"/>
      <c r="EK66" s="15"/>
      <c r="EL66" s="15"/>
      <c r="EM66" s="15"/>
      <c r="EN66" s="15"/>
      <c r="EO66" s="15"/>
      <c r="EP66" s="15"/>
      <c r="EQ66" s="15"/>
      <c r="ER66" s="15"/>
      <c r="ES66" s="15"/>
      <c r="ET66" s="15"/>
      <c r="EU66" s="15"/>
      <c r="EV66" s="15"/>
      <c r="EW66" s="15"/>
      <c r="EX66" s="15"/>
      <c r="EY66" s="15"/>
      <c r="EZ66" s="15"/>
      <c r="FA66" s="15"/>
      <c r="FB66" s="15"/>
      <c r="FC66" s="15"/>
      <c r="FD66" s="15"/>
      <c r="FE66" s="15"/>
      <c r="FF66" s="15"/>
      <c r="FG66" s="15"/>
      <c r="FH66" s="15"/>
      <c r="FI66" s="15"/>
      <c r="FJ66" s="15"/>
      <c r="FK66" s="15"/>
      <c r="FL66" s="15"/>
      <c r="FM66" s="15"/>
      <c r="FY66" s="15"/>
      <c r="FZ66" s="15"/>
      <c r="GA66" s="15"/>
      <c r="GB66" s="15"/>
      <c r="GC66" s="15"/>
      <c r="GD66" s="15"/>
      <c r="GE66" s="15"/>
      <c r="GF66" s="15"/>
      <c r="GG66" s="15"/>
      <c r="GH66" s="15"/>
      <c r="GI66" s="15"/>
      <c r="GJ66" s="15"/>
      <c r="GK66" s="15"/>
      <c r="GL66" s="15"/>
      <c r="GM66" s="15"/>
      <c r="GN66" s="15"/>
      <c r="GO66" s="15"/>
      <c r="GP66" s="15"/>
      <c r="GQ66" s="15"/>
      <c r="GR66" s="15"/>
      <c r="HH66" s="15"/>
      <c r="HI66" s="15"/>
      <c r="HJ66" s="15"/>
      <c r="HK66" s="15"/>
      <c r="HL66" s="15"/>
      <c r="HN66" s="15"/>
      <c r="HO66" s="15"/>
      <c r="HP66" s="15"/>
      <c r="HQ66" s="15"/>
      <c r="HR66" s="15"/>
      <c r="HS66" s="15"/>
      <c r="HT66" s="15"/>
      <c r="HU66" s="15"/>
      <c r="HW66" s="15"/>
      <c r="HY66" s="15"/>
      <c r="HZ66" s="15"/>
      <c r="IQ66" s="15"/>
      <c r="IR66" s="15"/>
      <c r="IS66" s="15"/>
      <c r="IT66" s="15"/>
      <c r="IU66" s="15"/>
      <c r="IV66" s="15"/>
      <c r="IW66" s="15"/>
      <c r="IX66" s="15"/>
      <c r="IY66" s="15"/>
      <c r="IZ66" s="15"/>
      <c r="JA66" s="15"/>
      <c r="JB66" s="15"/>
      <c r="JC66" s="15"/>
      <c r="JD66" s="15"/>
      <c r="JZ66" s="15"/>
      <c r="KA66" s="15"/>
      <c r="KB66" s="15"/>
      <c r="KC66" s="15"/>
      <c r="KD66" s="15"/>
      <c r="KE66" s="15"/>
      <c r="KF66" s="15"/>
      <c r="KG66" s="15"/>
      <c r="KH66" s="15"/>
      <c r="KI66" s="15"/>
      <c r="KJ66" s="15"/>
      <c r="KK66" s="15"/>
      <c r="KL66" s="15"/>
      <c r="KM66" s="15"/>
      <c r="LI66" s="15"/>
      <c r="LJ66" s="15"/>
      <c r="LK66" s="15"/>
      <c r="LL66" s="15"/>
      <c r="LM66" s="15"/>
      <c r="LN66" s="15"/>
      <c r="LO66" s="15"/>
      <c r="LP66" s="15"/>
      <c r="LQ66" s="15"/>
      <c r="LR66" s="15"/>
    </row>
    <row r="67" spans="2:330">
      <c r="B67" s="15"/>
      <c r="C67" s="15"/>
      <c r="D67" s="15"/>
      <c r="E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X67" s="15"/>
      <c r="BY67" s="15"/>
      <c r="BZ67" s="15"/>
      <c r="CA67" s="15"/>
      <c r="CB67" s="15"/>
      <c r="CC67" s="15"/>
      <c r="CD67" s="15"/>
      <c r="CE67" s="15"/>
      <c r="DG67" s="15"/>
      <c r="DH67" s="15"/>
      <c r="DI67" s="15"/>
      <c r="DJ67" s="15"/>
      <c r="DK67" s="15"/>
      <c r="DL67" s="15"/>
      <c r="DM67" s="15"/>
      <c r="DN67" s="15"/>
      <c r="DO67" s="15"/>
      <c r="DP67" s="15"/>
      <c r="DQ67" s="15"/>
      <c r="DR67" s="15"/>
      <c r="DS67" s="15"/>
      <c r="DT67" s="15"/>
      <c r="DU67" s="15"/>
      <c r="DV67" s="15"/>
      <c r="DW67" s="15"/>
      <c r="DX67" s="15"/>
      <c r="DY67" s="15"/>
      <c r="DZ67" s="15"/>
      <c r="EA67" s="15"/>
      <c r="EB67" s="15"/>
      <c r="EC67" s="15"/>
      <c r="ED67" s="15"/>
      <c r="EE67" s="15"/>
      <c r="EF67" s="15"/>
      <c r="EH67" s="15"/>
      <c r="EI67" s="15"/>
      <c r="EJ67" s="15"/>
      <c r="EP67" s="15"/>
      <c r="EQ67" s="15"/>
      <c r="ER67" s="15"/>
      <c r="ES67" s="15"/>
      <c r="ET67" s="15"/>
      <c r="EU67" s="15"/>
      <c r="EV67" s="15"/>
      <c r="EW67" s="15"/>
      <c r="EX67" s="15"/>
      <c r="EY67" s="15"/>
      <c r="EZ67" s="15"/>
      <c r="FA67" s="15"/>
      <c r="FB67" s="15"/>
      <c r="FC67" s="15"/>
      <c r="FD67" s="15"/>
      <c r="FE67" s="15"/>
      <c r="FF67" s="15"/>
      <c r="FH67" s="15"/>
      <c r="FI67" s="15"/>
      <c r="FY67" s="15"/>
      <c r="FZ67" s="15"/>
      <c r="GA67" s="15"/>
      <c r="GB67" s="15"/>
      <c r="GC67" s="15"/>
      <c r="GD67" s="15"/>
      <c r="GE67" s="15"/>
      <c r="GF67" s="15"/>
      <c r="GG67" s="15"/>
      <c r="GH67" s="15"/>
      <c r="GI67" s="15"/>
      <c r="GJ67" s="15"/>
      <c r="GK67" s="15"/>
      <c r="GL67" s="15"/>
      <c r="GM67" s="15"/>
      <c r="GN67" s="15"/>
      <c r="GO67" s="15"/>
      <c r="GP67" s="15"/>
      <c r="GQ67" s="15"/>
      <c r="GR67" s="15"/>
      <c r="HH67" s="15"/>
      <c r="HI67" s="15"/>
      <c r="HJ67" s="15"/>
      <c r="HK67" s="15"/>
      <c r="HL67" s="15"/>
      <c r="HM67" s="15"/>
      <c r="HN67" s="15"/>
      <c r="HO67" s="15"/>
      <c r="HP67" s="15"/>
      <c r="HQ67" s="15"/>
      <c r="HR67" s="15"/>
      <c r="HS67" s="15"/>
      <c r="HT67" s="15"/>
      <c r="HU67" s="15"/>
      <c r="HV67" s="15"/>
      <c r="IQ67" s="15"/>
      <c r="IR67" s="15"/>
      <c r="IS67" s="15"/>
      <c r="IT67" s="15"/>
      <c r="IU67" s="15"/>
      <c r="IV67" s="15"/>
      <c r="IW67" s="15"/>
      <c r="IX67" s="15"/>
      <c r="IY67" s="15"/>
      <c r="IZ67" s="15"/>
      <c r="JA67" s="15"/>
      <c r="JB67" s="15"/>
      <c r="JC67" s="15"/>
      <c r="JD67" s="15"/>
      <c r="JE67" s="15"/>
      <c r="JF67" s="15"/>
      <c r="JZ67" s="15"/>
      <c r="KA67" s="15"/>
      <c r="KB67" s="15"/>
      <c r="KC67" s="15"/>
      <c r="KD67" s="15"/>
      <c r="KE67" s="15"/>
      <c r="KF67" s="15"/>
      <c r="KG67" s="15"/>
      <c r="KH67" s="15"/>
      <c r="KI67" s="15"/>
      <c r="KJ67" s="15"/>
      <c r="KK67" s="15"/>
      <c r="KL67" s="15"/>
      <c r="KM67" s="15"/>
      <c r="LI67" s="15"/>
      <c r="LJ67" s="15"/>
      <c r="LK67" s="15"/>
      <c r="LL67" s="15"/>
      <c r="LM67" s="15"/>
      <c r="LN67" s="15"/>
      <c r="LO67" s="15"/>
      <c r="LP67" s="15"/>
      <c r="LQ67" s="15"/>
      <c r="LR67" s="15"/>
    </row>
    <row r="68" spans="2:330">
      <c r="B68" s="15"/>
      <c r="C68" s="15"/>
      <c r="D68" s="15"/>
      <c r="E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X68" s="15"/>
      <c r="BY68" s="15"/>
      <c r="BZ68" s="15"/>
      <c r="CA68" s="15"/>
      <c r="CB68" s="15"/>
      <c r="CC68" s="15"/>
      <c r="CD68" s="15"/>
      <c r="CE68" s="15"/>
      <c r="DG68" s="15"/>
      <c r="DH68" s="15"/>
      <c r="DI68" s="15"/>
      <c r="DJ68" s="15"/>
      <c r="DK68" s="15"/>
      <c r="DL68" s="15"/>
      <c r="DM68" s="15"/>
      <c r="DN68" s="15"/>
      <c r="DO68" s="15"/>
      <c r="DP68" s="15"/>
      <c r="DQ68" s="15"/>
      <c r="DR68" s="15"/>
      <c r="DS68" s="15"/>
      <c r="DT68" s="15"/>
      <c r="DU68" s="15"/>
      <c r="DV68" s="15"/>
      <c r="DW68" s="15"/>
      <c r="DX68" s="15"/>
      <c r="DY68" s="15"/>
      <c r="DZ68" s="15"/>
      <c r="EA68" s="15"/>
      <c r="EB68" s="15"/>
      <c r="EC68" s="15"/>
      <c r="ED68" s="15"/>
      <c r="EE68" s="15"/>
      <c r="EF68" s="15"/>
      <c r="EG68" s="15"/>
      <c r="EH68" s="15"/>
      <c r="EI68" s="15"/>
      <c r="EJ68" s="15"/>
      <c r="EK68" s="15"/>
      <c r="EL68" s="15"/>
      <c r="EM68" s="15"/>
      <c r="EN68" s="15"/>
      <c r="EO68" s="15"/>
      <c r="EP68" s="15"/>
      <c r="EQ68" s="15"/>
      <c r="ER68" s="15"/>
      <c r="ES68" s="15"/>
      <c r="ET68" s="15"/>
      <c r="EY68" s="15"/>
      <c r="EZ68" s="15"/>
      <c r="FA68" s="15"/>
      <c r="FB68" s="15"/>
      <c r="FC68" s="15"/>
      <c r="FD68" s="15"/>
      <c r="FE68" s="15"/>
      <c r="FF68" s="15"/>
      <c r="FG68" s="15"/>
      <c r="FH68" s="15"/>
      <c r="FI68" s="15"/>
      <c r="FJ68" s="15"/>
      <c r="FK68" s="15"/>
      <c r="FL68" s="15"/>
      <c r="FM68" s="15"/>
      <c r="FY68" s="15"/>
      <c r="FZ68" s="15"/>
      <c r="GA68" s="15"/>
      <c r="GB68" s="15"/>
      <c r="GC68" s="15"/>
      <c r="GD68" s="15"/>
      <c r="GE68" s="15"/>
      <c r="GF68" s="15"/>
      <c r="GG68" s="15"/>
      <c r="GH68" s="15"/>
      <c r="GI68" s="15"/>
      <c r="GJ68" s="15"/>
      <c r="GK68" s="15"/>
      <c r="GL68" s="15"/>
      <c r="GM68" s="15"/>
      <c r="GN68" s="15"/>
      <c r="GO68" s="15"/>
      <c r="GP68" s="15"/>
      <c r="GQ68" s="15"/>
      <c r="GR68" s="15"/>
      <c r="HH68" s="15"/>
      <c r="HI68" s="15"/>
      <c r="HJ68" s="15"/>
      <c r="HK68" s="15"/>
      <c r="HL68" s="15"/>
      <c r="HM68" s="15"/>
      <c r="HN68" s="15"/>
      <c r="HO68" s="15"/>
      <c r="HP68" s="15"/>
      <c r="HQ68" s="15"/>
      <c r="HR68" s="15"/>
      <c r="HS68" s="15"/>
      <c r="HT68" s="15"/>
      <c r="HU68" s="15"/>
      <c r="HV68" s="15"/>
      <c r="HW68" s="15"/>
      <c r="HX68" s="15"/>
      <c r="HY68" s="15"/>
      <c r="HZ68" s="15"/>
      <c r="IQ68" s="15"/>
      <c r="IR68" s="15"/>
      <c r="IS68" s="15"/>
      <c r="IT68" s="15"/>
      <c r="IU68" s="15"/>
      <c r="IV68" s="15"/>
      <c r="IW68" s="15"/>
      <c r="IX68" s="15"/>
      <c r="IY68" s="15"/>
      <c r="IZ68" s="15"/>
      <c r="JA68" s="15"/>
      <c r="JB68" s="15"/>
      <c r="JC68" s="15"/>
      <c r="JD68" s="15"/>
      <c r="JE68" s="15"/>
      <c r="JF68" s="15"/>
      <c r="JZ68" s="15"/>
      <c r="KA68" s="15"/>
      <c r="KB68" s="15"/>
      <c r="KC68" s="15"/>
      <c r="KD68" s="15"/>
      <c r="KE68" s="15"/>
      <c r="KF68" s="15"/>
      <c r="KG68" s="15"/>
      <c r="KH68" s="15"/>
      <c r="KI68" s="15"/>
      <c r="KJ68" s="15"/>
      <c r="KK68" s="15"/>
      <c r="KL68" s="15"/>
      <c r="KM68" s="15"/>
      <c r="LI68" s="15"/>
      <c r="LJ68" s="15"/>
      <c r="LK68" s="15"/>
      <c r="LL68" s="15"/>
      <c r="LM68" s="15"/>
      <c r="LN68" s="15"/>
      <c r="LO68" s="15"/>
      <c r="LP68" s="15"/>
      <c r="LQ68" s="15"/>
      <c r="LR68" s="15"/>
    </row>
    <row r="69" spans="2:330">
      <c r="B69" s="15"/>
      <c r="C69" s="15"/>
      <c r="D69" s="15"/>
      <c r="E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X69" s="15"/>
      <c r="BY69" s="15"/>
      <c r="BZ69" s="15"/>
      <c r="CA69" s="15"/>
      <c r="CB69" s="15"/>
      <c r="CC69" s="15"/>
      <c r="CD69" s="15"/>
      <c r="CE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  <c r="EE69" s="15"/>
      <c r="EF69" s="15"/>
      <c r="EG69" s="15"/>
      <c r="EH69" s="15"/>
      <c r="EI69" s="15"/>
      <c r="EJ69" s="15"/>
      <c r="EK69" s="15"/>
      <c r="EL69" s="15"/>
      <c r="EM69" s="15"/>
      <c r="EN69" s="15"/>
      <c r="EO69" s="15"/>
      <c r="EP69" s="15"/>
      <c r="EQ69" s="15"/>
      <c r="ER69" s="15"/>
      <c r="ES69" s="15"/>
      <c r="ET69" s="15"/>
      <c r="EU69" s="15"/>
      <c r="EV69" s="15"/>
      <c r="EW69" s="15"/>
      <c r="EX69" s="15"/>
      <c r="EY69" s="15"/>
      <c r="EZ69" s="15"/>
      <c r="FA69" s="15"/>
      <c r="FB69" s="15"/>
      <c r="FC69" s="15"/>
      <c r="FD69" s="15"/>
      <c r="FE69" s="15"/>
      <c r="FF69" s="15"/>
      <c r="FG69" s="15"/>
      <c r="FH69" s="15"/>
      <c r="FI69" s="15"/>
      <c r="FJ69" s="15"/>
      <c r="FK69" s="15"/>
      <c r="FL69" s="15"/>
      <c r="FM69" s="15"/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HH69" s="15"/>
      <c r="HI69" s="15"/>
      <c r="HJ69" s="15"/>
      <c r="HK69" s="15"/>
      <c r="HL69" s="15"/>
      <c r="HM69" s="15"/>
      <c r="HN69" s="15"/>
      <c r="HO69" s="15"/>
      <c r="HP69" s="15"/>
      <c r="HQ69" s="15"/>
      <c r="HR69" s="15"/>
      <c r="HS69" s="15"/>
      <c r="HT69" s="15"/>
      <c r="HU69" s="15"/>
      <c r="HV69" s="15"/>
      <c r="HW69" s="15"/>
      <c r="HX69" s="15"/>
      <c r="HY69" s="15"/>
      <c r="HZ69" s="15"/>
      <c r="IQ69" s="15"/>
      <c r="IR69" s="15"/>
      <c r="IS69" s="15"/>
      <c r="IT69" s="15"/>
      <c r="IU69" s="15"/>
      <c r="IV69" s="15"/>
      <c r="IW69" s="15"/>
      <c r="IX69" s="15"/>
      <c r="IY69" s="15"/>
      <c r="IZ69" s="15"/>
      <c r="JA69" s="15"/>
      <c r="JB69" s="15"/>
      <c r="JC69" s="15"/>
      <c r="JD69" s="15"/>
      <c r="JE69" s="15"/>
      <c r="JF69" s="15"/>
      <c r="JZ69" s="15"/>
      <c r="KA69" s="15"/>
      <c r="KB69" s="15"/>
      <c r="KC69" s="15"/>
      <c r="KD69" s="15"/>
      <c r="KE69" s="15"/>
      <c r="KF69" s="15"/>
      <c r="KG69" s="15"/>
      <c r="KH69" s="15"/>
      <c r="KI69" s="15"/>
      <c r="KJ69" s="15"/>
      <c r="KK69" s="15"/>
      <c r="KL69" s="15"/>
      <c r="KM69" s="15"/>
      <c r="LI69" s="15"/>
      <c r="LJ69" s="15"/>
      <c r="LK69" s="15"/>
      <c r="LL69" s="15"/>
      <c r="LM69" s="15"/>
      <c r="LN69" s="15"/>
      <c r="LO69" s="15"/>
      <c r="LP69" s="15"/>
      <c r="LQ69" s="15"/>
      <c r="LR69" s="15"/>
    </row>
    <row r="70" spans="2:330">
      <c r="B70" s="15"/>
      <c r="C70" s="15"/>
      <c r="D70" s="15"/>
      <c r="E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H70" s="15"/>
      <c r="BX70" s="15"/>
      <c r="BY70" s="15"/>
      <c r="BZ70" s="15"/>
      <c r="CA70" s="15"/>
      <c r="CB70" s="15"/>
      <c r="CC70" s="15"/>
      <c r="CD70" s="15"/>
      <c r="CE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15"/>
      <c r="DS70" s="15"/>
      <c r="DT70" s="15"/>
      <c r="DU70" s="15"/>
      <c r="DV70" s="15"/>
      <c r="DW70" s="15"/>
      <c r="DX70" s="15"/>
      <c r="DY70" s="15"/>
      <c r="DZ70" s="15"/>
      <c r="EA70" s="15"/>
      <c r="EB70" s="15"/>
      <c r="EC70" s="15"/>
      <c r="ED70" s="15"/>
      <c r="EE70" s="15"/>
      <c r="EF70" s="15"/>
      <c r="EG70" s="15"/>
      <c r="EH70" s="15"/>
      <c r="EI70" s="15"/>
      <c r="EK70" s="15"/>
      <c r="EL70" s="15"/>
      <c r="EM70" s="15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H70" s="15"/>
      <c r="FI70" s="15"/>
      <c r="FJ70" s="15"/>
      <c r="FL70" s="15"/>
      <c r="FM70" s="15"/>
      <c r="FY70" s="15"/>
      <c r="FZ70" s="15"/>
      <c r="GA70" s="15"/>
      <c r="GB70" s="15"/>
      <c r="GC70" s="15"/>
      <c r="GD70" s="15"/>
      <c r="GE70" s="15"/>
      <c r="GF70" s="15"/>
      <c r="GG70" s="15"/>
      <c r="GH70" s="15"/>
      <c r="GI70" s="15"/>
      <c r="GJ70" s="15"/>
      <c r="GK70" s="15"/>
      <c r="GL70" s="15"/>
      <c r="GM70" s="15"/>
      <c r="GN70" s="15"/>
      <c r="GO70" s="15"/>
      <c r="GP70" s="15"/>
      <c r="GQ70" s="15"/>
      <c r="GR70" s="15"/>
      <c r="HH70" s="15"/>
      <c r="HI70" s="15"/>
      <c r="HJ70" s="15"/>
      <c r="HK70" s="15"/>
      <c r="HL70" s="15"/>
      <c r="HM70" s="15"/>
      <c r="HO70" s="15"/>
      <c r="HP70" s="15"/>
      <c r="HQ70" s="15"/>
      <c r="HR70" s="15"/>
      <c r="HS70" s="15"/>
      <c r="HT70" s="15"/>
      <c r="HU70" s="15"/>
      <c r="HV70" s="15"/>
      <c r="HW70" s="15"/>
      <c r="HX70" s="15"/>
      <c r="HY70" s="15"/>
      <c r="HZ70" s="15"/>
      <c r="IQ70" s="15"/>
      <c r="IR70" s="15"/>
      <c r="IS70" s="15"/>
      <c r="IT70" s="15"/>
      <c r="IU70" s="15"/>
      <c r="IV70" s="15"/>
      <c r="IW70" s="15"/>
      <c r="IX70" s="15"/>
      <c r="IY70" s="15"/>
      <c r="IZ70" s="15"/>
      <c r="JA70" s="15"/>
      <c r="JB70" s="15"/>
      <c r="JC70" s="15"/>
      <c r="JD70" s="15"/>
      <c r="JE70" s="15"/>
      <c r="JF70" s="15"/>
      <c r="JZ70" s="15"/>
      <c r="KA70" s="15"/>
      <c r="KB70" s="15"/>
      <c r="KC70" s="15"/>
      <c r="KD70" s="15"/>
      <c r="KE70" s="15"/>
      <c r="KF70" s="15"/>
      <c r="KG70" s="15"/>
      <c r="KH70" s="15"/>
      <c r="KI70" s="15"/>
      <c r="KJ70" s="15"/>
      <c r="KK70" s="15"/>
      <c r="KL70" s="15"/>
      <c r="KM70" s="15"/>
      <c r="LI70" s="15"/>
      <c r="LJ70" s="15"/>
      <c r="LK70" s="15"/>
      <c r="LL70" s="15"/>
      <c r="LM70" s="15"/>
      <c r="LN70" s="15"/>
      <c r="LO70" s="15"/>
      <c r="LP70" s="15"/>
      <c r="LQ70" s="15"/>
      <c r="LR70" s="15"/>
    </row>
    <row r="71" spans="2:330">
      <c r="B71" s="15"/>
      <c r="C71" s="15"/>
      <c r="D71" s="15"/>
      <c r="E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X71" s="15"/>
      <c r="BY71" s="15"/>
      <c r="BZ71" s="15"/>
      <c r="CA71" s="15"/>
      <c r="CB71" s="15"/>
      <c r="CC71" s="15"/>
      <c r="CD71" s="15"/>
      <c r="CE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5"/>
      <c r="EA71" s="15"/>
      <c r="EB71" s="15"/>
      <c r="EC71" s="15"/>
      <c r="ED71" s="15"/>
      <c r="EE71" s="15"/>
      <c r="EF71" s="15"/>
      <c r="EH71" s="15"/>
      <c r="EP71" s="15"/>
      <c r="EQ71" s="15"/>
      <c r="ER71" s="15"/>
      <c r="ES71" s="15"/>
      <c r="EU71" s="15"/>
      <c r="EV71" s="15"/>
      <c r="EW71" s="15"/>
      <c r="EX71" s="15"/>
      <c r="EY71" s="15"/>
      <c r="EZ71" s="15"/>
      <c r="FA71" s="15"/>
      <c r="FB71" s="15"/>
      <c r="FC71" s="15"/>
      <c r="FD71" s="15"/>
      <c r="FE71" s="15"/>
      <c r="FF71" s="15"/>
      <c r="FG71" s="15"/>
      <c r="FH71" s="15"/>
      <c r="FI71" s="15"/>
      <c r="FJ71" s="15"/>
      <c r="FK71" s="15"/>
      <c r="FL71" s="15"/>
      <c r="FM71" s="15"/>
      <c r="FY71" s="15"/>
      <c r="FZ71" s="15"/>
      <c r="GA71" s="15"/>
      <c r="GB71" s="15"/>
      <c r="GC71" s="15"/>
      <c r="GD71" s="15"/>
      <c r="GE71" s="15"/>
      <c r="GF71" s="15"/>
      <c r="GG71" s="15"/>
      <c r="GH71" s="15"/>
      <c r="GI71" s="15"/>
      <c r="GJ71" s="15"/>
      <c r="GK71" s="15"/>
      <c r="GL71" s="15"/>
      <c r="GM71" s="15"/>
      <c r="GN71" s="15"/>
      <c r="GO71" s="15"/>
      <c r="GP71" s="15"/>
      <c r="GQ71" s="15"/>
      <c r="GR71" s="15"/>
      <c r="HH71" s="15"/>
      <c r="HI71" s="15"/>
      <c r="HJ71" s="15"/>
      <c r="HL71" s="15"/>
      <c r="HN71" s="15"/>
      <c r="HO71" s="15"/>
      <c r="HP71" s="15"/>
      <c r="HQ71" s="15"/>
      <c r="HR71" s="15"/>
      <c r="HS71" s="15"/>
      <c r="HT71" s="15"/>
      <c r="HU71" s="15"/>
      <c r="HV71" s="15"/>
      <c r="HW71" s="15"/>
      <c r="HX71" s="15"/>
      <c r="HY71" s="15"/>
      <c r="HZ71" s="15"/>
      <c r="IQ71" s="15"/>
      <c r="IR71" s="15"/>
      <c r="IS71" s="15"/>
      <c r="IT71" s="15"/>
      <c r="IU71" s="15"/>
      <c r="IV71" s="15"/>
      <c r="IW71" s="15"/>
      <c r="IX71" s="15"/>
      <c r="IY71" s="15"/>
      <c r="IZ71" s="15"/>
      <c r="JA71" s="15"/>
      <c r="JB71" s="15"/>
      <c r="JC71" s="15"/>
      <c r="JD71" s="15"/>
      <c r="JE71" s="15"/>
      <c r="JZ71" s="15"/>
      <c r="KA71" s="15"/>
      <c r="KB71" s="15"/>
      <c r="KC71" s="15"/>
      <c r="KD71" s="15"/>
      <c r="KE71" s="15"/>
      <c r="KF71" s="15"/>
      <c r="KG71" s="15"/>
      <c r="KH71" s="15"/>
      <c r="KI71" s="15"/>
      <c r="KJ71" s="15"/>
      <c r="KK71" s="15"/>
      <c r="KL71" s="15"/>
      <c r="KM71" s="15"/>
      <c r="LI71" s="15"/>
      <c r="LJ71" s="15"/>
      <c r="LK71" s="15"/>
      <c r="LL71" s="15"/>
      <c r="LM71" s="15"/>
      <c r="LN71" s="15"/>
      <c r="LO71" s="15"/>
      <c r="LP71" s="15"/>
      <c r="LQ71" s="15"/>
      <c r="LR71" s="15"/>
    </row>
    <row r="72" spans="2:330">
      <c r="B72" s="15"/>
      <c r="C72" s="15"/>
      <c r="D72" s="15"/>
      <c r="E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X72" s="15"/>
      <c r="BY72" s="15"/>
      <c r="BZ72" s="15"/>
      <c r="CA72" s="15"/>
      <c r="CB72" s="15"/>
      <c r="CC72" s="15"/>
      <c r="CD72" s="15"/>
      <c r="CE72" s="15"/>
      <c r="DG72" s="15"/>
      <c r="DH72" s="15"/>
      <c r="DI72" s="15"/>
      <c r="DJ72" s="15"/>
      <c r="DK72" s="15"/>
      <c r="DL72" s="15"/>
      <c r="DM72" s="15"/>
      <c r="DN72" s="15"/>
      <c r="DO72" s="15"/>
      <c r="DP72" s="15"/>
      <c r="DQ72" s="15"/>
      <c r="DR72" s="15"/>
      <c r="DS72" s="15"/>
      <c r="DT72" s="15"/>
      <c r="DU72" s="15"/>
      <c r="DV72" s="15"/>
      <c r="DW72" s="15"/>
      <c r="DX72" s="15"/>
      <c r="DY72" s="15"/>
      <c r="DZ72" s="15"/>
      <c r="EA72" s="15"/>
      <c r="EB72" s="15"/>
      <c r="EC72" s="15"/>
      <c r="ED72" s="15"/>
      <c r="EE72" s="15"/>
      <c r="EF72" s="15"/>
      <c r="EG72" s="15"/>
      <c r="EH72" s="15"/>
      <c r="EI72" s="15"/>
      <c r="EJ72" s="15"/>
      <c r="EK72" s="15"/>
      <c r="EL72" s="15"/>
      <c r="EM72" s="15"/>
      <c r="EN72" s="15"/>
      <c r="EO72" s="15"/>
      <c r="EP72" s="15"/>
      <c r="EQ72" s="15"/>
      <c r="ER72" s="15"/>
      <c r="ES72" s="15"/>
      <c r="ET72" s="15"/>
      <c r="EU72" s="15"/>
      <c r="EV72" s="15"/>
      <c r="EW72" s="15"/>
      <c r="EX72" s="15"/>
      <c r="EY72" s="15"/>
      <c r="EZ72" s="15"/>
      <c r="FA72" s="15"/>
      <c r="FB72" s="15"/>
      <c r="FC72" s="15"/>
      <c r="FD72" s="15"/>
      <c r="FE72" s="15"/>
      <c r="FF72" s="15"/>
      <c r="FG72" s="15"/>
      <c r="FH72" s="15"/>
      <c r="FI72" s="15"/>
      <c r="FJ72" s="15"/>
      <c r="FK72" s="15"/>
      <c r="FL72" s="15"/>
      <c r="FM72" s="15"/>
      <c r="FY72" s="15"/>
      <c r="FZ72" s="15"/>
      <c r="GA72" s="15"/>
      <c r="GB72" s="15"/>
      <c r="GC72" s="15"/>
      <c r="GD72" s="15"/>
      <c r="GE72" s="15"/>
      <c r="GF72" s="15"/>
      <c r="GG72" s="15"/>
      <c r="GH72" s="15"/>
      <c r="GI72" s="15"/>
      <c r="GJ72" s="15"/>
      <c r="GK72" s="15"/>
      <c r="GL72" s="15"/>
      <c r="GM72" s="15"/>
      <c r="GN72" s="15"/>
      <c r="GO72" s="15"/>
      <c r="GP72" s="15"/>
      <c r="GQ72" s="15"/>
      <c r="GR72" s="15"/>
      <c r="HH72" s="15"/>
      <c r="HI72" s="15"/>
      <c r="HJ72" s="15"/>
      <c r="HK72" s="15"/>
      <c r="HL72" s="15"/>
      <c r="HM72" s="15"/>
      <c r="HN72" s="15"/>
      <c r="HO72" s="15"/>
      <c r="HP72" s="15"/>
      <c r="HQ72" s="15"/>
      <c r="HR72" s="15"/>
      <c r="HS72" s="15"/>
      <c r="HT72" s="15"/>
      <c r="HU72" s="15"/>
      <c r="HV72" s="15"/>
      <c r="HW72" s="15"/>
      <c r="HX72" s="15"/>
      <c r="HY72" s="15"/>
      <c r="HZ72" s="15"/>
      <c r="IQ72" s="15"/>
      <c r="IR72" s="15"/>
      <c r="IS72" s="15"/>
      <c r="IT72" s="15"/>
      <c r="IU72" s="15"/>
      <c r="IV72" s="15"/>
      <c r="IW72" s="15"/>
      <c r="IX72" s="15"/>
      <c r="IY72" s="15"/>
      <c r="IZ72" s="15"/>
      <c r="JA72" s="15"/>
      <c r="JB72" s="15"/>
      <c r="JC72" s="15"/>
      <c r="JD72" s="15"/>
      <c r="JE72" s="15"/>
      <c r="JF72" s="15"/>
      <c r="JZ72" s="15"/>
      <c r="KA72" s="15"/>
      <c r="KB72" s="15"/>
      <c r="KC72" s="15"/>
      <c r="KD72" s="15"/>
      <c r="KE72" s="15"/>
      <c r="KF72" s="15"/>
      <c r="KG72" s="15"/>
      <c r="KH72" s="15"/>
      <c r="KI72" s="15"/>
      <c r="KJ72" s="15"/>
      <c r="KK72" s="15"/>
      <c r="KL72" s="15"/>
      <c r="KM72" s="15"/>
      <c r="LI72" s="15"/>
      <c r="LJ72" s="15"/>
      <c r="LK72" s="15"/>
      <c r="LL72" s="15"/>
      <c r="LM72" s="15"/>
      <c r="LN72" s="15"/>
      <c r="LO72" s="15"/>
      <c r="LP72" s="15"/>
      <c r="LQ72" s="15"/>
      <c r="LR72" s="15"/>
    </row>
    <row r="73" spans="2:330">
      <c r="B73" s="15"/>
      <c r="C73" s="15"/>
      <c r="D73" s="15"/>
      <c r="E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X73" s="15"/>
      <c r="BY73" s="15"/>
      <c r="BZ73" s="15"/>
      <c r="CA73" s="15"/>
      <c r="CB73" s="15"/>
      <c r="CC73" s="15"/>
      <c r="CD73" s="15"/>
      <c r="CE73" s="15"/>
      <c r="DG73" s="15"/>
      <c r="DH73" s="15"/>
      <c r="DI73" s="15"/>
      <c r="DJ73" s="15"/>
      <c r="DK73" s="15"/>
      <c r="DL73" s="15"/>
      <c r="DM73" s="15"/>
      <c r="DN73" s="15"/>
      <c r="DO73" s="15"/>
      <c r="DP73" s="15"/>
      <c r="DQ73" s="15"/>
      <c r="DR73" s="15"/>
      <c r="DS73" s="15"/>
      <c r="DT73" s="15"/>
      <c r="DU73" s="15"/>
      <c r="DV73" s="15"/>
      <c r="DW73" s="15"/>
      <c r="DX73" s="15"/>
      <c r="DY73" s="15"/>
      <c r="DZ73" s="15"/>
      <c r="EA73" s="15"/>
      <c r="EB73" s="15"/>
      <c r="EC73" s="15"/>
      <c r="ED73" s="15"/>
      <c r="EE73" s="15"/>
      <c r="EF73" s="15"/>
      <c r="EG73" s="15"/>
      <c r="EH73" s="15"/>
      <c r="EI73" s="15"/>
      <c r="EJ73" s="15"/>
      <c r="EK73" s="15"/>
      <c r="EL73" s="15"/>
      <c r="EM73" s="15"/>
      <c r="EN73" s="15"/>
      <c r="EO73" s="15"/>
      <c r="EP73" s="15"/>
      <c r="EQ73" s="15"/>
      <c r="ER73" s="15"/>
      <c r="ES73" s="15"/>
      <c r="ET73" s="15"/>
      <c r="EU73" s="15"/>
      <c r="EV73" s="15"/>
      <c r="EW73" s="15"/>
      <c r="EX73" s="15"/>
      <c r="EY73" s="15"/>
      <c r="EZ73" s="15"/>
      <c r="FA73" s="15"/>
      <c r="FB73" s="15"/>
      <c r="FC73" s="15"/>
      <c r="FD73" s="15"/>
      <c r="FE73" s="15"/>
      <c r="FF73" s="15"/>
      <c r="FG73" s="15"/>
      <c r="FH73" s="15"/>
      <c r="FI73" s="15"/>
      <c r="FJ73" s="15"/>
      <c r="FK73" s="15"/>
      <c r="FL73" s="15"/>
      <c r="FM73" s="15"/>
      <c r="FY73" s="15"/>
      <c r="FZ73" s="15"/>
      <c r="GA73" s="15"/>
      <c r="GB73" s="15"/>
      <c r="GC73" s="15"/>
      <c r="GD73" s="15"/>
      <c r="GE73" s="15"/>
      <c r="GF73" s="15"/>
      <c r="GG73" s="15"/>
      <c r="GH73" s="15"/>
      <c r="GI73" s="15"/>
      <c r="GJ73" s="15"/>
      <c r="GK73" s="15"/>
      <c r="GL73" s="15"/>
      <c r="GM73" s="15"/>
      <c r="GN73" s="15"/>
      <c r="GO73" s="15"/>
      <c r="GP73" s="15"/>
      <c r="GQ73" s="15"/>
      <c r="GR73" s="15"/>
      <c r="HH73" s="15"/>
      <c r="HI73" s="15"/>
      <c r="HJ73" s="15"/>
      <c r="HK73" s="15"/>
      <c r="HL73" s="15"/>
      <c r="HM73" s="15"/>
      <c r="HN73" s="15"/>
      <c r="HO73" s="15"/>
      <c r="HP73" s="15"/>
      <c r="HQ73" s="15"/>
      <c r="HR73" s="15"/>
      <c r="HS73" s="15"/>
      <c r="HT73" s="15"/>
      <c r="HU73" s="15"/>
      <c r="HV73" s="15"/>
      <c r="HW73" s="15"/>
      <c r="HX73" s="15"/>
      <c r="HY73" s="15"/>
      <c r="HZ73" s="15"/>
      <c r="IQ73" s="15"/>
      <c r="IR73" s="15"/>
      <c r="IS73" s="15"/>
      <c r="IT73" s="15"/>
      <c r="IU73" s="15"/>
      <c r="IV73" s="15"/>
      <c r="IW73" s="15"/>
      <c r="IX73" s="15"/>
      <c r="IY73" s="15"/>
      <c r="IZ73" s="15"/>
      <c r="JA73" s="15"/>
      <c r="JB73" s="15"/>
      <c r="JC73" s="15"/>
      <c r="JD73" s="15"/>
      <c r="JE73" s="15"/>
      <c r="JF73" s="15"/>
      <c r="JZ73" s="15"/>
      <c r="KA73" s="15"/>
      <c r="KB73" s="15"/>
      <c r="KC73" s="15"/>
      <c r="KD73" s="15"/>
      <c r="KE73" s="15"/>
      <c r="KF73" s="15"/>
      <c r="KG73" s="15"/>
      <c r="KH73" s="15"/>
      <c r="KI73" s="15"/>
      <c r="KJ73" s="15"/>
      <c r="KK73" s="15"/>
      <c r="KL73" s="15"/>
      <c r="KM73" s="15"/>
      <c r="LI73" s="15"/>
      <c r="LJ73" s="15"/>
      <c r="LK73" s="15"/>
      <c r="LL73" s="15"/>
      <c r="LM73" s="15"/>
      <c r="LN73" s="15"/>
      <c r="LO73" s="15"/>
      <c r="LP73" s="15"/>
      <c r="LQ73" s="15"/>
      <c r="LR73" s="15"/>
    </row>
    <row r="74" spans="2:330">
      <c r="B74" s="15"/>
      <c r="C74" s="15"/>
      <c r="D74" s="15"/>
      <c r="E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X74" s="15"/>
      <c r="BY74" s="15"/>
      <c r="BZ74" s="15"/>
      <c r="CA74" s="15"/>
      <c r="CC74" s="15"/>
      <c r="CD74" s="15"/>
      <c r="DG74" s="15"/>
      <c r="DH74" s="15"/>
      <c r="DI74" s="15"/>
      <c r="DJ74" s="15"/>
      <c r="DK74" s="15"/>
      <c r="DL74" s="15"/>
      <c r="DM74" s="15"/>
      <c r="DN74" s="15"/>
      <c r="DO74" s="15"/>
      <c r="DP74" s="15"/>
      <c r="DQ74" s="15"/>
      <c r="DR74" s="15"/>
      <c r="DS74" s="15"/>
      <c r="DT74" s="15"/>
      <c r="DU74" s="15"/>
      <c r="DV74" s="15"/>
      <c r="DW74" s="15"/>
      <c r="DX74" s="15"/>
      <c r="DY74" s="15"/>
      <c r="DZ74" s="15"/>
      <c r="EA74" s="15"/>
      <c r="EB74" s="15"/>
      <c r="EC74" s="15"/>
      <c r="ED74" s="15"/>
      <c r="EE74" s="15"/>
      <c r="EF74" s="15"/>
      <c r="EG74" s="15"/>
      <c r="EH74" s="15"/>
      <c r="EP74" s="15"/>
      <c r="EQ74" s="15"/>
      <c r="ER74" s="15"/>
      <c r="ES74" s="15"/>
      <c r="ET74" s="15"/>
      <c r="EU74" s="15"/>
      <c r="EV74" s="15"/>
      <c r="EW74" s="15"/>
      <c r="EX74" s="15"/>
      <c r="FE74" s="15"/>
      <c r="FF74" s="15"/>
      <c r="FG74" s="15"/>
      <c r="FH74" s="15"/>
      <c r="FI74" s="15"/>
      <c r="FJ74" s="15"/>
      <c r="FK74" s="15"/>
      <c r="FL74" s="15"/>
      <c r="FY74" s="15"/>
      <c r="FZ74" s="15"/>
      <c r="GA74" s="15"/>
      <c r="GB74" s="15"/>
      <c r="GC74" s="15"/>
      <c r="GD74" s="15"/>
      <c r="GE74" s="15"/>
      <c r="GF74" s="15"/>
      <c r="GG74" s="15"/>
      <c r="GH74" s="15"/>
      <c r="GJ74" s="15"/>
      <c r="GK74" s="15"/>
      <c r="GL74" s="15"/>
      <c r="GN74" s="15"/>
      <c r="HH74" s="15"/>
      <c r="HI74" s="15"/>
      <c r="HJ74" s="15"/>
      <c r="HK74" s="15"/>
      <c r="HL74" s="15"/>
      <c r="HM74" s="15"/>
      <c r="HN74" s="15"/>
      <c r="HO74" s="15"/>
      <c r="HP74" s="15"/>
      <c r="HQ74" s="15"/>
      <c r="HR74" s="15"/>
      <c r="HS74" s="15"/>
      <c r="HT74" s="15"/>
      <c r="HU74" s="15"/>
      <c r="HV74" s="15"/>
      <c r="HW74" s="15"/>
      <c r="HX74" s="15"/>
      <c r="IQ74" s="15"/>
      <c r="IR74" s="15"/>
      <c r="IS74" s="15"/>
      <c r="IT74" s="15"/>
      <c r="IU74" s="15"/>
      <c r="IV74" s="15"/>
      <c r="IW74" s="15"/>
      <c r="IX74" s="15"/>
      <c r="IY74" s="15"/>
      <c r="JA74" s="15"/>
      <c r="JB74" s="15"/>
      <c r="JC74" s="15"/>
      <c r="JD74" s="15"/>
      <c r="JZ74" s="15"/>
      <c r="KA74" s="15"/>
      <c r="KB74" s="15"/>
      <c r="KC74" s="15"/>
      <c r="KD74" s="15"/>
      <c r="KE74" s="15"/>
      <c r="KF74" s="15"/>
      <c r="KG74" s="15"/>
      <c r="KH74" s="15"/>
      <c r="KI74" s="15"/>
      <c r="KJ74" s="15"/>
      <c r="LI74" s="15"/>
      <c r="LJ74" s="15"/>
      <c r="LK74" s="15"/>
      <c r="LL74" s="15"/>
      <c r="LO74" s="15"/>
      <c r="LR74" s="15"/>
    </row>
    <row r="75" spans="2:330">
      <c r="B75" s="15"/>
      <c r="C75" s="15"/>
      <c r="D75" s="15"/>
      <c r="E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X75" s="15"/>
      <c r="BY75" s="15"/>
      <c r="BZ75" s="15"/>
      <c r="CA75" s="15"/>
      <c r="CB75" s="15"/>
      <c r="CC75" s="15"/>
      <c r="CD75" s="15"/>
      <c r="CE75" s="15"/>
      <c r="DG75" s="15"/>
      <c r="DH75" s="15"/>
      <c r="DI75" s="15"/>
      <c r="DJ75" s="15"/>
      <c r="DK75" s="15"/>
      <c r="DL75" s="15"/>
      <c r="DM75" s="15"/>
      <c r="DN75" s="15"/>
      <c r="DO75" s="15"/>
      <c r="DP75" s="15"/>
      <c r="DQ75" s="15"/>
      <c r="DR75" s="15"/>
      <c r="DS75" s="15"/>
      <c r="DT75" s="15"/>
      <c r="DU75" s="15"/>
      <c r="DV75" s="15"/>
      <c r="DW75" s="15"/>
      <c r="DX75" s="15"/>
      <c r="DY75" s="15"/>
      <c r="DZ75" s="15"/>
      <c r="EA75" s="15"/>
      <c r="EB75" s="15"/>
      <c r="EC75" s="15"/>
      <c r="ED75" s="15"/>
      <c r="EE75" s="15"/>
      <c r="EF75" s="15"/>
      <c r="EG75" s="15"/>
      <c r="EH75" s="15"/>
      <c r="EI75" s="15"/>
      <c r="EJ75" s="15"/>
      <c r="EK75" s="15"/>
      <c r="EL75" s="15"/>
      <c r="EM75" s="15"/>
      <c r="EN75" s="15"/>
      <c r="EO75" s="15"/>
      <c r="EP75" s="15"/>
      <c r="EQ75" s="15"/>
      <c r="ER75" s="15"/>
      <c r="ES75" s="15"/>
      <c r="ET75" s="15"/>
      <c r="EU75" s="15"/>
      <c r="EV75" s="15"/>
      <c r="EW75" s="15"/>
      <c r="EX75" s="15"/>
      <c r="EY75" s="15"/>
      <c r="EZ75" s="15"/>
      <c r="FA75" s="15"/>
      <c r="FB75" s="15"/>
      <c r="FC75" s="15"/>
      <c r="FD75" s="15"/>
      <c r="FE75" s="15"/>
      <c r="FF75" s="15"/>
      <c r="FG75" s="15"/>
      <c r="FH75" s="15"/>
      <c r="FI75" s="15"/>
      <c r="FJ75" s="15"/>
      <c r="FK75" s="15"/>
      <c r="FL75" s="15"/>
      <c r="FM75" s="15"/>
      <c r="FY75" s="15"/>
      <c r="FZ75" s="15"/>
      <c r="GA75" s="15"/>
      <c r="GB75" s="15"/>
      <c r="GC75" s="15"/>
      <c r="GD75" s="15"/>
      <c r="GE75" s="15"/>
      <c r="GF75" s="15"/>
      <c r="GG75" s="15"/>
      <c r="GH75" s="15"/>
      <c r="GI75" s="15"/>
      <c r="GJ75" s="15"/>
      <c r="GK75" s="15"/>
      <c r="GL75" s="15"/>
      <c r="GM75" s="15"/>
      <c r="GN75" s="15"/>
      <c r="GO75" s="15"/>
      <c r="GP75" s="15"/>
      <c r="GQ75" s="15"/>
      <c r="HH75" s="15"/>
      <c r="HI75" s="15"/>
      <c r="HJ75" s="15"/>
      <c r="HK75" s="15"/>
      <c r="HL75" s="15"/>
      <c r="HM75" s="15"/>
      <c r="HN75" s="15"/>
      <c r="HO75" s="15"/>
      <c r="HP75" s="15"/>
      <c r="HQ75" s="15"/>
      <c r="HR75" s="15"/>
      <c r="HS75" s="15"/>
      <c r="HT75" s="15"/>
      <c r="HU75" s="15"/>
      <c r="HV75" s="15"/>
      <c r="HW75" s="15"/>
      <c r="HX75" s="15"/>
      <c r="HY75" s="15"/>
      <c r="HZ75" s="15"/>
      <c r="IQ75" s="15"/>
      <c r="IR75" s="15"/>
      <c r="IS75" s="15"/>
      <c r="IT75" s="15"/>
      <c r="IU75" s="15"/>
      <c r="IV75" s="15"/>
      <c r="IW75" s="15"/>
      <c r="IX75" s="15"/>
      <c r="IY75" s="15"/>
      <c r="IZ75" s="15"/>
      <c r="JA75" s="15"/>
      <c r="JB75" s="15"/>
      <c r="JC75" s="15"/>
      <c r="JD75" s="15"/>
      <c r="JE75" s="15"/>
      <c r="JZ75" s="15"/>
      <c r="KA75" s="15"/>
      <c r="KB75" s="15"/>
      <c r="KC75" s="15"/>
      <c r="KD75" s="15"/>
      <c r="KE75" s="15"/>
      <c r="KF75" s="15"/>
      <c r="KG75" s="15"/>
      <c r="KH75" s="15"/>
      <c r="KI75" s="15"/>
      <c r="KJ75" s="15"/>
      <c r="KK75" s="15"/>
      <c r="KL75" s="15"/>
      <c r="KM75" s="15"/>
      <c r="LI75" s="15"/>
      <c r="LJ75" s="15"/>
      <c r="LK75" s="15"/>
      <c r="LL75" s="15"/>
      <c r="LM75" s="15"/>
      <c r="LN75" s="15"/>
      <c r="LO75" s="15"/>
      <c r="LQ75" s="15"/>
      <c r="LR75" s="15"/>
    </row>
    <row r="76" spans="2:330">
      <c r="B76" s="15"/>
      <c r="C76" s="15"/>
      <c r="D76" s="15"/>
      <c r="E76" s="15"/>
      <c r="AO76" s="15"/>
      <c r="AP76" s="15"/>
      <c r="AQ76" s="15"/>
      <c r="AR76" s="15"/>
      <c r="AS76" s="15"/>
      <c r="AT76" s="15"/>
      <c r="AW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X76" s="15"/>
      <c r="BY76" s="15"/>
      <c r="BZ76" s="15"/>
      <c r="CA76" s="15"/>
      <c r="CB76" s="15"/>
      <c r="CC76" s="15"/>
      <c r="CD76" s="15"/>
      <c r="CE76" s="15"/>
      <c r="DG76" s="15"/>
      <c r="DH76" s="15"/>
      <c r="DI76" s="15"/>
      <c r="DJ76" s="15"/>
      <c r="DK76" s="15"/>
      <c r="DL76" s="15"/>
      <c r="DM76" s="15"/>
      <c r="DN76" s="15"/>
      <c r="DO76" s="15"/>
      <c r="DP76" s="15"/>
      <c r="DQ76" s="15"/>
      <c r="DR76" s="15"/>
      <c r="DS76" s="15"/>
      <c r="DT76" s="15"/>
      <c r="DU76" s="15"/>
      <c r="DV76" s="15"/>
      <c r="DW76" s="15"/>
      <c r="DX76" s="15"/>
      <c r="DY76" s="15"/>
      <c r="DZ76" s="15"/>
      <c r="EA76" s="15"/>
      <c r="EB76" s="15"/>
      <c r="EC76" s="15"/>
      <c r="ED76" s="15"/>
      <c r="EE76" s="15"/>
      <c r="EF76" s="15"/>
      <c r="EH76" s="15"/>
      <c r="EP76" s="15"/>
      <c r="EQ76" s="15"/>
      <c r="ER76" s="15"/>
      <c r="EU76" s="15"/>
      <c r="EV76" s="15"/>
      <c r="EW76" s="15"/>
      <c r="EX76" s="15"/>
      <c r="EY76" s="15"/>
      <c r="EZ76" s="15"/>
      <c r="FA76" s="15"/>
      <c r="FB76" s="15"/>
      <c r="FC76" s="15"/>
      <c r="FD76" s="15"/>
      <c r="FE76" s="15"/>
      <c r="FF76" s="15"/>
      <c r="FG76" s="15"/>
      <c r="FH76" s="15"/>
      <c r="FI76" s="15"/>
      <c r="FJ76" s="15"/>
      <c r="FK76" s="15"/>
      <c r="FL76" s="15"/>
      <c r="FM76" s="15"/>
      <c r="FY76" s="15"/>
      <c r="FZ76" s="15"/>
      <c r="GA76" s="15"/>
      <c r="GB76" s="15"/>
      <c r="GC76" s="15"/>
      <c r="GD76" s="15"/>
      <c r="GE76" s="15"/>
      <c r="GF76" s="15"/>
      <c r="GG76" s="15"/>
      <c r="GH76" s="15"/>
      <c r="GI76" s="15"/>
      <c r="GJ76" s="15"/>
      <c r="GK76" s="15"/>
      <c r="GL76" s="15"/>
      <c r="GM76" s="15"/>
      <c r="GN76" s="15"/>
      <c r="GO76" s="15"/>
      <c r="GP76" s="15"/>
      <c r="GQ76" s="15"/>
      <c r="GR76" s="15"/>
      <c r="HH76" s="15"/>
      <c r="HI76" s="15"/>
      <c r="HJ76" s="15"/>
      <c r="HK76" s="15"/>
      <c r="HL76" s="15"/>
      <c r="HN76" s="15"/>
      <c r="HO76" s="15"/>
      <c r="HP76" s="15"/>
      <c r="HQ76" s="15"/>
      <c r="HR76" s="15"/>
      <c r="HS76" s="15"/>
      <c r="HT76" s="15"/>
      <c r="HU76" s="15"/>
      <c r="HV76" s="15"/>
      <c r="HW76" s="15"/>
      <c r="HX76" s="15"/>
      <c r="HY76" s="15"/>
      <c r="IQ76" s="15"/>
      <c r="IR76" s="15"/>
      <c r="IS76" s="15"/>
      <c r="IT76" s="15"/>
      <c r="IU76" s="15"/>
      <c r="IV76" s="15"/>
      <c r="IW76" s="15"/>
      <c r="IX76" s="15"/>
      <c r="IY76" s="15"/>
      <c r="IZ76" s="15"/>
      <c r="JA76" s="15"/>
      <c r="JB76" s="15"/>
      <c r="JC76" s="15"/>
      <c r="JD76" s="15"/>
      <c r="JE76" s="15"/>
      <c r="JF76" s="15"/>
      <c r="JZ76" s="15"/>
      <c r="KA76" s="15"/>
      <c r="KB76" s="15"/>
      <c r="KC76" s="15"/>
      <c r="KD76" s="15"/>
      <c r="KF76" s="15"/>
      <c r="KG76" s="15"/>
      <c r="KH76" s="15"/>
      <c r="KI76" s="15"/>
      <c r="KJ76" s="15"/>
      <c r="KK76" s="15"/>
      <c r="KL76" s="15"/>
      <c r="KM76" s="15"/>
      <c r="LI76" s="15"/>
      <c r="LJ76" s="15"/>
      <c r="LK76" s="15"/>
      <c r="LL76" s="15"/>
      <c r="LM76" s="15"/>
      <c r="LN76" s="15"/>
      <c r="LO76" s="15"/>
      <c r="LP76" s="15"/>
      <c r="LQ76" s="15"/>
      <c r="LR76" s="15"/>
    </row>
    <row r="77" spans="2:330">
      <c r="B77" s="15"/>
      <c r="C77" s="15"/>
      <c r="D77" s="15"/>
      <c r="E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X77" s="15"/>
      <c r="BY77" s="15"/>
      <c r="BZ77" s="15"/>
      <c r="CA77" s="15"/>
      <c r="CB77" s="15"/>
      <c r="CC77" s="15"/>
      <c r="CD77" s="15"/>
      <c r="CE77" s="15"/>
      <c r="DG77" s="15"/>
      <c r="DH77" s="15"/>
      <c r="DI77" s="15"/>
      <c r="DJ77" s="15"/>
      <c r="DK77" s="15"/>
      <c r="DL77" s="15"/>
      <c r="DM77" s="15"/>
      <c r="DN77" s="15"/>
      <c r="DO77" s="15"/>
      <c r="DP77" s="15"/>
      <c r="DQ77" s="15"/>
      <c r="DR77" s="15"/>
      <c r="DS77" s="15"/>
      <c r="DT77" s="15"/>
      <c r="DU77" s="15"/>
      <c r="DV77" s="15"/>
      <c r="DW77" s="15"/>
      <c r="DX77" s="15"/>
      <c r="DY77" s="15"/>
      <c r="DZ77" s="15"/>
      <c r="EA77" s="15"/>
      <c r="EB77" s="15"/>
      <c r="EC77" s="15"/>
      <c r="ED77" s="15"/>
      <c r="EE77" s="15"/>
      <c r="EF77" s="15"/>
      <c r="EG77" s="15"/>
      <c r="EH77" s="15"/>
      <c r="EI77" s="15"/>
      <c r="EJ77" s="15"/>
      <c r="EK77" s="15"/>
      <c r="EL77" s="15"/>
      <c r="EM77" s="15"/>
      <c r="EN77" s="15"/>
      <c r="EO77" s="15"/>
      <c r="EP77" s="15"/>
      <c r="EQ77" s="15"/>
      <c r="ER77" s="15"/>
      <c r="ES77" s="15"/>
      <c r="ET77" s="15"/>
      <c r="EU77" s="15"/>
      <c r="EV77" s="15"/>
      <c r="EW77" s="15"/>
      <c r="EX77" s="15"/>
      <c r="EY77" s="15"/>
      <c r="EZ77" s="15"/>
      <c r="FA77" s="15"/>
      <c r="FB77" s="15"/>
      <c r="FC77" s="15"/>
      <c r="FD77" s="15"/>
      <c r="FE77" s="15"/>
      <c r="FF77" s="15"/>
      <c r="FG77" s="15"/>
      <c r="FH77" s="15"/>
      <c r="FI77" s="15"/>
      <c r="FJ77" s="15"/>
      <c r="FK77" s="15"/>
      <c r="FL77" s="15"/>
      <c r="FM77" s="15"/>
      <c r="FY77" s="15"/>
      <c r="FZ77" s="15"/>
      <c r="GA77" s="15"/>
      <c r="GB77" s="15"/>
      <c r="GC77" s="15"/>
      <c r="GD77" s="15"/>
      <c r="GE77" s="15"/>
      <c r="GF77" s="15"/>
      <c r="GG77" s="15"/>
      <c r="GH77" s="15"/>
      <c r="GI77" s="15"/>
      <c r="GJ77" s="15"/>
      <c r="GK77" s="15"/>
      <c r="GL77" s="15"/>
      <c r="GM77" s="15"/>
      <c r="GN77" s="15"/>
      <c r="GO77" s="15"/>
      <c r="GP77" s="15"/>
      <c r="GQ77" s="15"/>
      <c r="GR77" s="15"/>
      <c r="HH77" s="15"/>
      <c r="HI77" s="15"/>
      <c r="HJ77" s="15"/>
      <c r="HK77" s="15"/>
      <c r="HL77" s="15"/>
      <c r="HM77" s="15"/>
      <c r="HN77" s="15"/>
      <c r="HO77" s="15"/>
      <c r="HP77" s="15"/>
      <c r="HQ77" s="15"/>
      <c r="HR77" s="15"/>
      <c r="HS77" s="15"/>
      <c r="HT77" s="15"/>
      <c r="HU77" s="15"/>
      <c r="HV77" s="15"/>
      <c r="HW77" s="15"/>
      <c r="HX77" s="15"/>
      <c r="HY77" s="15"/>
      <c r="HZ77" s="15"/>
      <c r="IQ77" s="15"/>
      <c r="IR77" s="15"/>
      <c r="IS77" s="15"/>
      <c r="IT77" s="15"/>
      <c r="IU77" s="15"/>
      <c r="IV77" s="15"/>
      <c r="IW77" s="15"/>
      <c r="IX77" s="15"/>
      <c r="IY77" s="15"/>
      <c r="IZ77" s="15"/>
      <c r="JA77" s="15"/>
      <c r="JB77" s="15"/>
      <c r="JC77" s="15"/>
      <c r="JD77" s="15"/>
      <c r="JE77" s="15"/>
      <c r="JF77" s="15"/>
      <c r="JZ77" s="15"/>
      <c r="KA77" s="15"/>
      <c r="KB77" s="15"/>
      <c r="KC77" s="15"/>
      <c r="KD77" s="15"/>
      <c r="KE77" s="15"/>
      <c r="KF77" s="15"/>
      <c r="KG77" s="15"/>
      <c r="KH77" s="15"/>
      <c r="KI77" s="15"/>
      <c r="KJ77" s="15"/>
      <c r="KK77" s="15"/>
      <c r="KL77" s="15"/>
      <c r="KM77" s="15"/>
      <c r="LI77" s="15"/>
      <c r="LJ77" s="15"/>
      <c r="LK77" s="15"/>
      <c r="LL77" s="15"/>
      <c r="LM77" s="15"/>
      <c r="LN77" s="15"/>
      <c r="LO77" s="15"/>
      <c r="LP77" s="15"/>
      <c r="LQ77" s="15"/>
      <c r="LR77" s="15"/>
    </row>
    <row r="78" spans="2:330">
      <c r="B78" s="15"/>
      <c r="C78" s="15"/>
      <c r="D78" s="15"/>
      <c r="E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X78" s="15"/>
      <c r="BY78" s="15"/>
      <c r="BZ78" s="15"/>
      <c r="CA78" s="15"/>
      <c r="CB78" s="15"/>
      <c r="CC78" s="15"/>
      <c r="CD78" s="15"/>
      <c r="CE78" s="15"/>
      <c r="DG78" s="15"/>
      <c r="DH78" s="15"/>
      <c r="DI78" s="15"/>
      <c r="DJ78" s="15"/>
      <c r="DK78" s="15"/>
      <c r="DL78" s="15"/>
      <c r="DM78" s="15"/>
      <c r="DN78" s="15"/>
      <c r="DO78" s="15"/>
      <c r="DP78" s="15"/>
      <c r="DQ78" s="15"/>
      <c r="DR78" s="15"/>
      <c r="DS78" s="15"/>
      <c r="DT78" s="15"/>
      <c r="DU78" s="15"/>
      <c r="DV78" s="15"/>
      <c r="DW78" s="15"/>
      <c r="DX78" s="15"/>
      <c r="DY78" s="15"/>
      <c r="DZ78" s="15"/>
      <c r="EA78" s="15"/>
      <c r="EB78" s="15"/>
      <c r="EC78" s="15"/>
      <c r="ED78" s="15"/>
      <c r="EE78" s="15"/>
      <c r="EF78" s="15"/>
      <c r="EG78" s="15"/>
      <c r="EH78" s="15"/>
      <c r="EI78" s="15"/>
      <c r="EJ78" s="15"/>
      <c r="EK78" s="15"/>
      <c r="EL78" s="15"/>
      <c r="EM78" s="15"/>
      <c r="EN78" s="15"/>
      <c r="EO78" s="15"/>
      <c r="EP78" s="15"/>
      <c r="EQ78" s="15"/>
      <c r="ER78" s="15"/>
      <c r="ES78" s="15"/>
      <c r="ET78" s="15"/>
      <c r="EU78" s="15"/>
      <c r="EV78" s="15"/>
      <c r="EW78" s="15"/>
      <c r="EX78" s="15"/>
      <c r="EY78" s="15"/>
      <c r="EZ78" s="15"/>
      <c r="FA78" s="15"/>
      <c r="FB78" s="15"/>
      <c r="FC78" s="15"/>
      <c r="FD78" s="15"/>
      <c r="FE78" s="15"/>
      <c r="FF78" s="15"/>
      <c r="FG78" s="15"/>
      <c r="FH78" s="15"/>
      <c r="FI78" s="15"/>
      <c r="FJ78" s="15"/>
      <c r="FK78" s="15"/>
      <c r="FL78" s="15"/>
      <c r="FM78" s="15"/>
      <c r="FY78" s="15"/>
      <c r="FZ78" s="15"/>
      <c r="GA78" s="15"/>
      <c r="GB78" s="15"/>
      <c r="GC78" s="15"/>
      <c r="GD78" s="15"/>
      <c r="GE78" s="15"/>
      <c r="GF78" s="15"/>
      <c r="GG78" s="15"/>
      <c r="GH78" s="15"/>
      <c r="GI78" s="15"/>
      <c r="GJ78" s="15"/>
      <c r="GK78" s="15"/>
      <c r="GL78" s="15"/>
      <c r="GM78" s="15"/>
      <c r="GN78" s="15"/>
      <c r="GO78" s="15"/>
      <c r="GP78" s="15"/>
      <c r="GQ78" s="15"/>
      <c r="GR78" s="15"/>
      <c r="HH78" s="15"/>
      <c r="HI78" s="15"/>
      <c r="HJ78" s="15"/>
      <c r="HK78" s="15"/>
      <c r="HL78" s="15"/>
      <c r="HM78" s="15"/>
      <c r="HN78" s="15"/>
      <c r="HO78" s="15"/>
      <c r="HP78" s="15"/>
      <c r="HQ78" s="15"/>
      <c r="HR78" s="15"/>
      <c r="HS78" s="15"/>
      <c r="HT78" s="15"/>
      <c r="HU78" s="15"/>
      <c r="HV78" s="15"/>
      <c r="HW78" s="15"/>
      <c r="HX78" s="15"/>
      <c r="HY78" s="15"/>
      <c r="HZ78" s="15"/>
      <c r="IQ78" s="15"/>
      <c r="IR78" s="15"/>
      <c r="IS78" s="15"/>
      <c r="IT78" s="15"/>
      <c r="IU78" s="15"/>
      <c r="IV78" s="15"/>
      <c r="IW78" s="15"/>
      <c r="IX78" s="15"/>
      <c r="IY78" s="15"/>
      <c r="IZ78" s="15"/>
      <c r="JA78" s="15"/>
      <c r="JB78" s="15"/>
      <c r="JC78" s="15"/>
      <c r="JD78" s="15"/>
      <c r="JE78" s="15"/>
      <c r="JF78" s="15"/>
      <c r="JZ78" s="15"/>
      <c r="KA78" s="15"/>
      <c r="KB78" s="15"/>
      <c r="KC78" s="15"/>
      <c r="KD78" s="15"/>
      <c r="KE78" s="15"/>
      <c r="KF78" s="15"/>
      <c r="KG78" s="15"/>
      <c r="KH78" s="15"/>
      <c r="KI78" s="15"/>
      <c r="KJ78" s="15"/>
      <c r="KK78" s="15"/>
      <c r="KL78" s="15"/>
      <c r="KM78" s="15"/>
      <c r="LI78" s="15"/>
      <c r="LJ78" s="15"/>
      <c r="LK78" s="15"/>
      <c r="LL78" s="15"/>
      <c r="LM78" s="15"/>
      <c r="LN78" s="15"/>
      <c r="LO78" s="15"/>
      <c r="LP78" s="15"/>
      <c r="LQ78" s="15"/>
      <c r="LR78" s="15"/>
    </row>
    <row r="79" spans="2:330">
      <c r="B79" s="15"/>
      <c r="C79" s="15"/>
      <c r="D79" s="15"/>
      <c r="E79" s="15"/>
      <c r="AO79" s="15"/>
      <c r="AP79" s="15"/>
      <c r="AQ79" s="15"/>
      <c r="AR79" s="15"/>
      <c r="AS79" s="15"/>
      <c r="AT79" s="15"/>
      <c r="AU79" s="15"/>
      <c r="AV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X79" s="15"/>
      <c r="BY79" s="15"/>
      <c r="BZ79" s="15"/>
      <c r="CA79" s="15"/>
      <c r="CB79" s="15"/>
      <c r="CC79" s="15"/>
      <c r="CD79" s="15"/>
      <c r="CE79" s="15"/>
      <c r="DG79" s="15"/>
      <c r="DH79" s="15"/>
      <c r="DI79" s="15"/>
      <c r="DJ79" s="15"/>
      <c r="DK79" s="15"/>
      <c r="DL79" s="15"/>
      <c r="DM79" s="15"/>
      <c r="DN79" s="15"/>
      <c r="DP79" s="15"/>
      <c r="DQ79" s="15"/>
      <c r="DR79" s="15"/>
      <c r="DS79" s="15"/>
      <c r="DT79" s="15"/>
      <c r="DU79" s="15"/>
      <c r="DV79" s="15"/>
      <c r="DW79" s="15"/>
      <c r="DX79" s="15"/>
      <c r="DY79" s="15"/>
      <c r="DZ79" s="15"/>
      <c r="EA79" s="15"/>
      <c r="EC79" s="15"/>
      <c r="EE79" s="15"/>
      <c r="EF79" s="15"/>
      <c r="EH79" s="15"/>
      <c r="EI79" s="15"/>
      <c r="EJ79" s="15"/>
      <c r="EK79" s="15"/>
      <c r="EL79" s="15"/>
      <c r="EP79" s="15"/>
      <c r="EQ79" s="15"/>
      <c r="ER79" s="15"/>
      <c r="ES79" s="15"/>
      <c r="EU79" s="15"/>
      <c r="EV79" s="15"/>
      <c r="EY79" s="15"/>
      <c r="EZ79" s="15"/>
      <c r="FA79" s="15"/>
      <c r="FB79" s="15"/>
      <c r="FC79" s="15"/>
      <c r="FD79" s="15"/>
      <c r="FE79" s="15"/>
      <c r="FF79" s="15"/>
      <c r="FG79" s="15"/>
      <c r="FH79" s="15"/>
      <c r="FI79" s="15"/>
      <c r="FJ79" s="15"/>
      <c r="FK79" s="15"/>
      <c r="FL79" s="15"/>
      <c r="FY79" s="15"/>
      <c r="FZ79" s="15"/>
      <c r="GA79" s="15"/>
      <c r="GB79" s="15"/>
      <c r="GC79" s="15"/>
      <c r="GD79" s="15"/>
      <c r="GE79" s="15"/>
      <c r="GF79" s="15"/>
      <c r="GG79" s="15"/>
      <c r="GH79" s="15"/>
      <c r="GI79" s="15"/>
      <c r="GJ79" s="15"/>
      <c r="GK79" s="15"/>
      <c r="GL79" s="15"/>
      <c r="GM79" s="15"/>
      <c r="GN79" s="15"/>
      <c r="GO79" s="15"/>
      <c r="GR79" s="15"/>
      <c r="HH79" s="15"/>
      <c r="HI79" s="15"/>
      <c r="HJ79" s="15"/>
      <c r="HK79" s="15"/>
      <c r="HL79" s="15"/>
      <c r="HM79" s="15"/>
      <c r="HN79" s="15"/>
      <c r="HO79" s="15"/>
      <c r="HP79" s="15"/>
      <c r="HQ79" s="15"/>
      <c r="HR79" s="15"/>
      <c r="HS79" s="15"/>
      <c r="HT79" s="15"/>
      <c r="HU79" s="15"/>
      <c r="HV79" s="15"/>
      <c r="HW79" s="15"/>
      <c r="HY79" s="15"/>
      <c r="HZ79" s="15"/>
      <c r="IQ79" s="15"/>
      <c r="IR79" s="15"/>
      <c r="IS79" s="15"/>
      <c r="IT79" s="15"/>
      <c r="IU79" s="15"/>
      <c r="IV79" s="15"/>
      <c r="IW79" s="15"/>
      <c r="IX79" s="15"/>
      <c r="IY79" s="15"/>
      <c r="IZ79" s="15"/>
      <c r="JA79" s="15"/>
      <c r="JB79" s="15"/>
      <c r="JD79" s="15"/>
      <c r="JE79" s="15"/>
      <c r="JZ79" s="15"/>
      <c r="KA79" s="15"/>
      <c r="KB79" s="15"/>
      <c r="KC79" s="15"/>
      <c r="KD79" s="15"/>
      <c r="KE79" s="15"/>
      <c r="KF79" s="15"/>
      <c r="KG79" s="15"/>
      <c r="KH79" s="15"/>
      <c r="KI79" s="15"/>
      <c r="KJ79" s="15"/>
      <c r="KK79" s="15"/>
      <c r="KL79" s="15"/>
      <c r="KM79" s="15"/>
      <c r="LI79" s="15"/>
      <c r="LJ79" s="15"/>
      <c r="LK79" s="15"/>
      <c r="LL79" s="15"/>
      <c r="LM79" s="15"/>
      <c r="LO79" s="15"/>
      <c r="LP79" s="15"/>
      <c r="LQ79" s="15"/>
      <c r="LR79" s="15"/>
    </row>
    <row r="80" spans="2:330">
      <c r="B80" s="15"/>
      <c r="C80" s="15"/>
      <c r="D80" s="15"/>
      <c r="E80" s="15"/>
      <c r="AO80" s="15"/>
      <c r="AP80" s="15"/>
      <c r="AQ80" s="15"/>
      <c r="AR80" s="15"/>
      <c r="AS80" s="15"/>
      <c r="AT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X80" s="15"/>
      <c r="BY80" s="15"/>
      <c r="BZ80" s="15"/>
      <c r="CA80" s="15"/>
      <c r="CB80" s="15"/>
      <c r="CC80" s="15"/>
      <c r="CD80" s="15"/>
      <c r="CE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J80" s="15"/>
      <c r="EL80" s="15"/>
      <c r="EM80" s="15"/>
      <c r="EN80" s="15"/>
      <c r="EP80" s="15"/>
      <c r="EQ80" s="15"/>
      <c r="ER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H80" s="15"/>
      <c r="FI80" s="15"/>
      <c r="FJ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HH80" s="15"/>
      <c r="HI80" s="15"/>
      <c r="HJ80" s="15"/>
      <c r="HK80" s="15"/>
      <c r="HN80" s="15"/>
      <c r="HO80" s="15"/>
      <c r="HP80" s="15"/>
      <c r="HQ80" s="15"/>
      <c r="HS80" s="15"/>
      <c r="HT80" s="15"/>
      <c r="HU80" s="15"/>
      <c r="HV80" s="15"/>
      <c r="HW80" s="15"/>
      <c r="HX80" s="15"/>
      <c r="HY80" s="15"/>
      <c r="HZ80" s="15"/>
      <c r="IQ80" s="15"/>
      <c r="IR80" s="15"/>
      <c r="IS80" s="15"/>
      <c r="IT80" s="15"/>
      <c r="IU80" s="15"/>
      <c r="IV80" s="15"/>
      <c r="IW80" s="15"/>
      <c r="IY80" s="15"/>
      <c r="IZ80" s="15"/>
      <c r="JA80" s="15"/>
      <c r="JB80" s="15"/>
      <c r="JC80" s="15"/>
      <c r="JD80" s="15"/>
      <c r="JF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LI80" s="15"/>
      <c r="LJ80" s="15"/>
      <c r="LK80" s="15"/>
      <c r="LL80" s="15"/>
      <c r="LN80" s="15"/>
      <c r="LO80" s="15"/>
      <c r="LP80" s="15"/>
      <c r="LQ80" s="15"/>
      <c r="LR80" s="15"/>
    </row>
    <row r="81" spans="2:330">
      <c r="B81" s="15"/>
      <c r="C81" s="15"/>
      <c r="D81" s="15"/>
      <c r="E81" s="15"/>
      <c r="AP81" s="15"/>
      <c r="AQ81" s="15"/>
      <c r="AS81" s="15"/>
      <c r="AT81" s="15"/>
      <c r="AU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X81" s="15"/>
      <c r="BY81" s="15"/>
      <c r="BZ81" s="15"/>
      <c r="CA81" s="15"/>
      <c r="CB81" s="15"/>
      <c r="CC81" s="15"/>
      <c r="CD81" s="15"/>
      <c r="CE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H81" s="15"/>
      <c r="EI81" s="15"/>
      <c r="EJ81" s="15"/>
      <c r="EK81" s="15"/>
      <c r="EL81" s="15"/>
      <c r="EM81" s="15"/>
      <c r="EP81" s="15"/>
      <c r="EQ81" s="15"/>
      <c r="ER81" s="15"/>
      <c r="ES81" s="15"/>
      <c r="ET81" s="15"/>
      <c r="EU81" s="15"/>
      <c r="EV81" s="15"/>
      <c r="EW81" s="15"/>
      <c r="FE81" s="15"/>
      <c r="FF81" s="15"/>
      <c r="FG81" s="15"/>
      <c r="FH81" s="15"/>
      <c r="FI81" s="15"/>
      <c r="FJ81" s="15"/>
      <c r="FK81" s="15"/>
      <c r="FL81" s="15"/>
      <c r="FM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HK81" s="15"/>
      <c r="HL81" s="15"/>
      <c r="HN81" s="15"/>
      <c r="HO81" s="15"/>
      <c r="HP81" s="15"/>
      <c r="HQ81" s="15"/>
      <c r="HR81" s="15"/>
      <c r="HS81" s="15"/>
      <c r="HU81" s="15"/>
      <c r="HV81" s="15"/>
      <c r="HW81" s="15"/>
      <c r="HY81" s="15"/>
      <c r="HZ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</row>
    <row r="82" spans="2:330">
      <c r="B82" s="15"/>
      <c r="C82" s="15"/>
      <c r="D82" s="15"/>
      <c r="E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X82" s="15"/>
      <c r="BY82" s="15"/>
      <c r="BZ82" s="15"/>
      <c r="CA82" s="15"/>
      <c r="CB82" s="15"/>
      <c r="CC82" s="15"/>
      <c r="CD82" s="15"/>
      <c r="CE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L82" s="15"/>
      <c r="FM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S82" s="15"/>
      <c r="HT82" s="15"/>
      <c r="HU82" s="15"/>
      <c r="HV82" s="15"/>
      <c r="HW82" s="15"/>
      <c r="HX82" s="15"/>
      <c r="HY82" s="15"/>
      <c r="HZ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</row>
    <row r="83" spans="2:330">
      <c r="B83" s="15"/>
      <c r="C83" s="15"/>
      <c r="D83" s="15"/>
      <c r="E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X83" s="15"/>
      <c r="BY83" s="15"/>
      <c r="BZ83" s="15"/>
      <c r="CA83" s="15"/>
      <c r="CB83" s="15"/>
      <c r="CC83" s="15"/>
      <c r="CD83" s="15"/>
      <c r="CE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</row>
    <row r="84" spans="2:330">
      <c r="B84" s="15"/>
      <c r="C84" s="15"/>
      <c r="D84" s="15"/>
      <c r="E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X84" s="15"/>
      <c r="BY84" s="15"/>
      <c r="BZ84" s="15"/>
      <c r="CA84" s="15"/>
      <c r="CB84" s="15"/>
      <c r="CC84" s="15"/>
      <c r="CD84" s="15"/>
      <c r="CE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LI84" s="15"/>
      <c r="LJ84" s="15"/>
      <c r="LK84" s="15"/>
      <c r="LL84" s="15"/>
      <c r="LM84" s="15"/>
      <c r="LN84" s="15"/>
      <c r="LO84" s="15"/>
      <c r="LQ84" s="15"/>
      <c r="LR84" s="15"/>
    </row>
    <row r="85" spans="2:330">
      <c r="B85" s="15"/>
      <c r="C85" s="15"/>
      <c r="D85" s="15"/>
      <c r="E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X85" s="15"/>
      <c r="BY85" s="15"/>
      <c r="BZ85" s="15"/>
      <c r="CA85" s="15"/>
      <c r="CB85" s="15"/>
      <c r="CC85" s="15"/>
      <c r="CD85" s="15"/>
      <c r="CE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</row>
    <row r="86" spans="2:330">
      <c r="B86" s="15"/>
      <c r="C86" s="15"/>
      <c r="D86" s="15"/>
      <c r="E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X86" s="15"/>
      <c r="BY86" s="15"/>
      <c r="BZ86" s="15"/>
      <c r="CA86" s="15"/>
      <c r="CB86" s="15"/>
      <c r="CC86" s="15"/>
      <c r="CD86" s="15"/>
      <c r="CE86" s="15"/>
      <c r="DG86" s="15"/>
      <c r="DH86" s="15"/>
      <c r="DI86" s="15"/>
      <c r="DJ86" s="15"/>
      <c r="DK86" s="15"/>
      <c r="DL86" s="15"/>
      <c r="DM86" s="15"/>
      <c r="DN86" s="15"/>
      <c r="DO86" s="15"/>
      <c r="DP86" s="15"/>
      <c r="DQ86" s="15"/>
      <c r="DR86" s="15"/>
      <c r="DS86" s="15"/>
      <c r="DT86" s="15"/>
      <c r="DV86" s="15"/>
      <c r="DW86" s="15"/>
      <c r="DX86" s="15"/>
      <c r="DY86" s="15"/>
      <c r="DZ86" s="15"/>
      <c r="EA86" s="15"/>
      <c r="EB86" s="15"/>
      <c r="EC86" s="15"/>
      <c r="ED86" s="15"/>
      <c r="EE86" s="15"/>
      <c r="EF86" s="15"/>
      <c r="EG86" s="15"/>
      <c r="EH86" s="15"/>
      <c r="EI86" s="15"/>
      <c r="EJ86" s="15"/>
      <c r="EK86" s="15"/>
      <c r="EL86" s="15"/>
      <c r="EM86" s="15"/>
      <c r="EN86" s="15"/>
      <c r="EP86" s="15"/>
      <c r="EQ86" s="15"/>
      <c r="ER86" s="15"/>
      <c r="ES86" s="15"/>
      <c r="ET86" s="15"/>
      <c r="EU86" s="15"/>
      <c r="EV86" s="15"/>
      <c r="EW86" s="15"/>
      <c r="EX86" s="15"/>
      <c r="EY86" s="15"/>
      <c r="EZ86" s="15"/>
      <c r="FA86" s="15"/>
      <c r="FB86" s="15"/>
      <c r="FC86" s="15"/>
      <c r="FD86" s="15"/>
      <c r="FE86" s="15"/>
      <c r="FF86" s="15"/>
      <c r="FG86" s="15"/>
      <c r="FH86" s="15"/>
      <c r="FI86" s="15"/>
      <c r="FJ86" s="15"/>
      <c r="FK86" s="15"/>
      <c r="FL86" s="15"/>
      <c r="FM86" s="15"/>
      <c r="FY86" s="15"/>
      <c r="FZ86" s="15"/>
      <c r="GA86" s="15"/>
      <c r="GB86" s="15"/>
      <c r="GC86" s="15"/>
      <c r="GE86" s="15"/>
      <c r="GF86" s="15"/>
      <c r="GG86" s="15"/>
      <c r="GH86" s="15"/>
      <c r="GI86" s="15"/>
      <c r="GJ86" s="15"/>
      <c r="GK86" s="15"/>
      <c r="GL86" s="15"/>
      <c r="GM86" s="15"/>
      <c r="GN86" s="15"/>
      <c r="GO86" s="15"/>
      <c r="GP86" s="15"/>
      <c r="GQ86" s="15"/>
      <c r="GR86" s="15"/>
      <c r="HH86" s="15"/>
      <c r="HI86" s="15"/>
      <c r="HJ86" s="15"/>
      <c r="HK86" s="15"/>
      <c r="HL86" s="15"/>
      <c r="HM86" s="15"/>
      <c r="HN86" s="15"/>
      <c r="HO86" s="15"/>
      <c r="HP86" s="15"/>
      <c r="HQ86" s="15"/>
      <c r="HR86" s="15"/>
      <c r="HS86" s="15"/>
      <c r="HT86" s="15"/>
      <c r="HU86" s="15"/>
      <c r="HV86" s="15"/>
      <c r="HW86" s="15"/>
      <c r="HX86" s="15"/>
      <c r="IQ86" s="15"/>
      <c r="IR86" s="15"/>
      <c r="IS86" s="15"/>
      <c r="IT86" s="15"/>
      <c r="IU86" s="15"/>
      <c r="IV86" s="15"/>
      <c r="IW86" s="15"/>
      <c r="IX86" s="15"/>
      <c r="IY86" s="15"/>
      <c r="IZ86" s="15"/>
      <c r="JA86" s="15"/>
      <c r="JB86" s="15"/>
      <c r="JC86" s="15"/>
      <c r="JD86" s="15"/>
      <c r="JE86" s="15"/>
      <c r="JF86" s="15"/>
      <c r="JZ86" s="15"/>
      <c r="KA86" s="15"/>
      <c r="KB86" s="15"/>
      <c r="KC86" s="15"/>
      <c r="KD86" s="15"/>
      <c r="KE86" s="15"/>
      <c r="KF86" s="15"/>
      <c r="KG86" s="15"/>
      <c r="KH86" s="15"/>
      <c r="KI86" s="15"/>
      <c r="KJ86" s="15"/>
      <c r="KK86" s="15"/>
      <c r="KL86" s="15"/>
      <c r="KM86" s="15"/>
      <c r="LI86" s="15"/>
      <c r="LJ86" s="15"/>
      <c r="LK86" s="15"/>
      <c r="LM86" s="15"/>
      <c r="LN86" s="15"/>
      <c r="LO86" s="15"/>
      <c r="LP86" s="15"/>
      <c r="LQ86" s="15"/>
      <c r="LR86" s="15"/>
    </row>
    <row r="87" spans="2:330">
      <c r="B87" s="15"/>
      <c r="C87" s="15"/>
      <c r="D87" s="15"/>
      <c r="E87" s="15"/>
      <c r="AO87" s="15"/>
      <c r="AP87" s="15"/>
      <c r="AQ87" s="15"/>
      <c r="AS87" s="15"/>
      <c r="AT87" s="15"/>
      <c r="AU87" s="15"/>
      <c r="AV87" s="15"/>
      <c r="AW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X87" s="15"/>
      <c r="BY87" s="15"/>
      <c r="BZ87" s="15"/>
      <c r="CA87" s="15"/>
      <c r="CB87" s="15"/>
      <c r="CC87" s="15"/>
      <c r="CD87" s="15"/>
      <c r="CE87" s="15"/>
      <c r="DG87" s="15"/>
      <c r="DH87" s="15"/>
      <c r="DI87" s="15"/>
      <c r="DJ87" s="15"/>
      <c r="DK87" s="15"/>
      <c r="DL87" s="15"/>
      <c r="DM87" s="15"/>
      <c r="DN87" s="15"/>
      <c r="DO87" s="15"/>
      <c r="DP87" s="15"/>
      <c r="DQ87" s="15"/>
      <c r="DR87" s="15"/>
      <c r="DS87" s="15"/>
      <c r="DT87" s="15"/>
      <c r="DU87" s="15"/>
      <c r="DV87" s="15"/>
      <c r="DW87" s="15"/>
      <c r="DX87" s="15"/>
      <c r="DY87" s="15"/>
      <c r="DZ87" s="15"/>
      <c r="EA87" s="15"/>
      <c r="EB87" s="15"/>
      <c r="EC87" s="15"/>
      <c r="ED87" s="15"/>
      <c r="EE87" s="15"/>
      <c r="EF87" s="15"/>
      <c r="EG87" s="15"/>
      <c r="EH87" s="15"/>
      <c r="EI87" s="15"/>
      <c r="EJ87" s="15"/>
      <c r="EL87" s="15"/>
      <c r="EM87" s="15"/>
      <c r="EP87" s="15"/>
      <c r="EQ87" s="15"/>
      <c r="ER87" s="15"/>
      <c r="ES87" s="15"/>
      <c r="ET87" s="15"/>
      <c r="EU87" s="15"/>
      <c r="EV87" s="15"/>
      <c r="EW87" s="15"/>
      <c r="EY87" s="15"/>
      <c r="EZ87" s="15"/>
      <c r="FA87" s="15"/>
      <c r="FB87" s="15"/>
      <c r="FC87" s="15"/>
      <c r="FD87" s="15"/>
      <c r="FE87" s="15"/>
      <c r="FF87" s="15"/>
      <c r="FG87" s="15"/>
      <c r="FH87" s="15"/>
      <c r="FI87" s="15"/>
      <c r="FJ87" s="15"/>
      <c r="FK87" s="15"/>
      <c r="FL87" s="15"/>
      <c r="FM87" s="15"/>
      <c r="FY87" s="15"/>
      <c r="FZ87" s="15"/>
      <c r="GA87" s="15"/>
      <c r="GB87" s="15"/>
      <c r="GC87" s="15"/>
      <c r="GD87" s="15"/>
      <c r="GE87" s="15"/>
      <c r="GF87" s="15"/>
      <c r="GG87" s="15"/>
      <c r="GH87" s="15"/>
      <c r="GI87" s="15"/>
      <c r="GJ87" s="15"/>
      <c r="GK87" s="15"/>
      <c r="GL87" s="15"/>
      <c r="GM87" s="15"/>
      <c r="GN87" s="15"/>
      <c r="GO87" s="15"/>
      <c r="GP87" s="15"/>
      <c r="GQ87" s="15"/>
      <c r="GR87" s="15"/>
      <c r="HH87" s="15"/>
      <c r="HI87" s="15"/>
      <c r="HJ87" s="15"/>
      <c r="HK87" s="15"/>
      <c r="HL87" s="15"/>
      <c r="HM87" s="15"/>
      <c r="HN87" s="15"/>
      <c r="HO87" s="15"/>
      <c r="HP87" s="15"/>
      <c r="HQ87" s="15"/>
      <c r="HR87" s="15"/>
      <c r="HS87" s="15"/>
      <c r="HT87" s="15"/>
      <c r="HU87" s="15"/>
      <c r="HV87" s="15"/>
      <c r="HW87" s="15"/>
      <c r="HX87" s="15"/>
      <c r="HY87" s="15"/>
      <c r="IQ87" s="15"/>
      <c r="IR87" s="15"/>
      <c r="IS87" s="15"/>
      <c r="IT87" s="15"/>
      <c r="IU87" s="15"/>
      <c r="IV87" s="15"/>
      <c r="IW87" s="15"/>
      <c r="IX87" s="15"/>
      <c r="IY87" s="15"/>
      <c r="IZ87" s="15"/>
      <c r="JA87" s="15"/>
      <c r="JB87" s="15"/>
      <c r="JC87" s="15"/>
      <c r="JD87" s="15"/>
      <c r="JE87" s="15"/>
      <c r="JF87" s="15"/>
      <c r="JZ87" s="15"/>
      <c r="KA87" s="15"/>
      <c r="KB87" s="15"/>
      <c r="KC87" s="15"/>
      <c r="KD87" s="15"/>
      <c r="KE87" s="15"/>
      <c r="KF87" s="15"/>
      <c r="KG87" s="15"/>
      <c r="KH87" s="15"/>
      <c r="KI87" s="15"/>
      <c r="KJ87" s="15"/>
      <c r="KK87" s="15"/>
      <c r="KL87" s="15"/>
      <c r="KM87" s="15"/>
      <c r="LI87" s="15"/>
      <c r="LJ87" s="15"/>
      <c r="LK87" s="15"/>
      <c r="LL87" s="15"/>
      <c r="LM87" s="15"/>
      <c r="LN87" s="15"/>
      <c r="LO87" s="15"/>
      <c r="LP87" s="15"/>
      <c r="LQ87" s="15"/>
      <c r="LR87" s="15"/>
    </row>
    <row r="88" spans="2:330">
      <c r="B88" s="15"/>
      <c r="C88" s="15"/>
      <c r="D88" s="15"/>
      <c r="E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X88" s="15"/>
      <c r="BY88" s="15"/>
      <c r="BZ88" s="15"/>
      <c r="CA88" s="15"/>
      <c r="CB88" s="15"/>
      <c r="CC88" s="15"/>
      <c r="CD88" s="15"/>
      <c r="CE88" s="15"/>
      <c r="DG88" s="15"/>
      <c r="DH88" s="15"/>
      <c r="DI88" s="15"/>
      <c r="DJ88" s="15"/>
      <c r="DK88" s="15"/>
      <c r="DL88" s="15"/>
      <c r="DM88" s="15"/>
      <c r="DN88" s="15"/>
      <c r="DO88" s="15"/>
      <c r="DP88" s="15"/>
      <c r="DQ88" s="15"/>
      <c r="DR88" s="15"/>
      <c r="DS88" s="15"/>
      <c r="DT88" s="15"/>
      <c r="DU88" s="15"/>
      <c r="DV88" s="15"/>
      <c r="DW88" s="15"/>
      <c r="DX88" s="15"/>
      <c r="DY88" s="15"/>
      <c r="DZ88" s="15"/>
      <c r="EA88" s="15"/>
      <c r="EB88" s="15"/>
      <c r="EC88" s="15"/>
      <c r="ED88" s="15"/>
      <c r="EE88" s="15"/>
      <c r="EF88" s="15"/>
      <c r="EG88" s="15"/>
      <c r="EH88" s="15"/>
      <c r="EI88" s="15"/>
      <c r="EJ88" s="15"/>
      <c r="EK88" s="15"/>
      <c r="EL88" s="15"/>
      <c r="EM88" s="15"/>
      <c r="EN88" s="15"/>
      <c r="EO88" s="15"/>
      <c r="EP88" s="15"/>
      <c r="EQ88" s="15"/>
      <c r="ER88" s="15"/>
      <c r="ES88" s="15"/>
      <c r="ET88" s="15"/>
      <c r="EU88" s="15"/>
      <c r="EV88" s="15"/>
      <c r="EW88" s="15"/>
      <c r="EX88" s="15"/>
      <c r="EY88" s="15"/>
      <c r="EZ88" s="15"/>
      <c r="FA88" s="15"/>
      <c r="FB88" s="15"/>
      <c r="FC88" s="15"/>
      <c r="FD88" s="15"/>
      <c r="FE88" s="15"/>
      <c r="FF88" s="15"/>
      <c r="FG88" s="15"/>
      <c r="FH88" s="15"/>
      <c r="FI88" s="15"/>
      <c r="FJ88" s="15"/>
      <c r="FK88" s="15"/>
      <c r="FL88" s="15"/>
      <c r="FM88" s="15"/>
      <c r="FY88" s="15"/>
      <c r="FZ88" s="15"/>
      <c r="GA88" s="15"/>
      <c r="GB88" s="15"/>
      <c r="GC88" s="15"/>
      <c r="GD88" s="15"/>
      <c r="GE88" s="15"/>
      <c r="GF88" s="15"/>
      <c r="GG88" s="15"/>
      <c r="GH88" s="15"/>
      <c r="GI88" s="15"/>
      <c r="GJ88" s="15"/>
      <c r="GK88" s="15"/>
      <c r="GL88" s="15"/>
      <c r="GM88" s="15"/>
      <c r="GN88" s="15"/>
      <c r="GO88" s="15"/>
      <c r="GP88" s="15"/>
      <c r="GQ88" s="15"/>
      <c r="GR88" s="15"/>
      <c r="HH88" s="15"/>
      <c r="HI88" s="15"/>
      <c r="HJ88" s="15"/>
      <c r="HK88" s="15"/>
      <c r="HL88" s="15"/>
      <c r="HM88" s="15"/>
      <c r="HN88" s="15"/>
      <c r="HO88" s="15"/>
      <c r="HP88" s="15"/>
      <c r="HQ88" s="15"/>
      <c r="HR88" s="15"/>
      <c r="HS88" s="15"/>
      <c r="HT88" s="15"/>
      <c r="HU88" s="15"/>
      <c r="HV88" s="15"/>
      <c r="HW88" s="15"/>
      <c r="HX88" s="15"/>
      <c r="HY88" s="15"/>
      <c r="HZ88" s="15"/>
      <c r="IQ88" s="15"/>
      <c r="IR88" s="15"/>
      <c r="IS88" s="15"/>
      <c r="IT88" s="15"/>
      <c r="IU88" s="15"/>
      <c r="IV88" s="15"/>
      <c r="IW88" s="15"/>
      <c r="IX88" s="15"/>
      <c r="IY88" s="15"/>
      <c r="IZ88" s="15"/>
      <c r="JA88" s="15"/>
      <c r="JB88" s="15"/>
      <c r="JC88" s="15"/>
      <c r="JD88" s="15"/>
      <c r="JE88" s="15"/>
      <c r="JF88" s="15"/>
      <c r="JZ88" s="15"/>
      <c r="KA88" s="15"/>
      <c r="KB88" s="15"/>
      <c r="KC88" s="15"/>
      <c r="KD88" s="15"/>
      <c r="KE88" s="15"/>
      <c r="KF88" s="15"/>
      <c r="KG88" s="15"/>
      <c r="KH88" s="15"/>
      <c r="KI88" s="15"/>
      <c r="KJ88" s="15"/>
      <c r="KK88" s="15"/>
      <c r="KL88" s="15"/>
      <c r="KM88" s="15"/>
      <c r="LI88" s="15"/>
      <c r="LJ88" s="15"/>
      <c r="LK88" s="15"/>
      <c r="LL88" s="15"/>
      <c r="LM88" s="15"/>
      <c r="LN88" s="15"/>
      <c r="LO88" s="15"/>
      <c r="LP88" s="15"/>
      <c r="LQ88" s="15"/>
      <c r="LR88" s="15"/>
    </row>
    <row r="89" spans="2:330">
      <c r="B89" s="15"/>
      <c r="C89" s="15"/>
      <c r="D89" s="15"/>
      <c r="E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X89" s="15"/>
      <c r="BY89" s="15"/>
      <c r="BZ89" s="15"/>
      <c r="CA89" s="15"/>
      <c r="CB89" s="15"/>
      <c r="CC89" s="15"/>
      <c r="CD89" s="15"/>
      <c r="DG89" s="15"/>
      <c r="DH89" s="15"/>
      <c r="DI89" s="15"/>
      <c r="DJ89" s="15"/>
      <c r="DK89" s="15"/>
      <c r="DL89" s="15"/>
      <c r="DM89" s="15"/>
      <c r="DN89" s="15"/>
      <c r="DO89" s="15"/>
      <c r="DP89" s="15"/>
      <c r="DQ89" s="15"/>
      <c r="DR89" s="15"/>
      <c r="DS89" s="15"/>
      <c r="DT89" s="15"/>
      <c r="DU89" s="15"/>
      <c r="DV89" s="15"/>
      <c r="DW89" s="15"/>
      <c r="DX89" s="15"/>
      <c r="DY89" s="15"/>
      <c r="DZ89" s="15"/>
      <c r="EA89" s="15"/>
      <c r="EB89" s="15"/>
      <c r="EC89" s="15"/>
      <c r="ED89" s="15"/>
      <c r="EE89" s="15"/>
      <c r="EF89" s="15"/>
      <c r="EG89" s="15"/>
      <c r="EH89" s="15"/>
      <c r="EI89" s="15"/>
      <c r="EJ89" s="15"/>
      <c r="EK89" s="15"/>
      <c r="EL89" s="15"/>
      <c r="EM89" s="15"/>
      <c r="EY89" s="15"/>
      <c r="EZ89" s="15"/>
      <c r="FA89" s="15"/>
      <c r="FB89" s="15"/>
      <c r="FC89" s="15"/>
      <c r="FD89" s="15"/>
      <c r="FE89" s="15"/>
      <c r="FF89" s="15"/>
      <c r="FG89" s="15"/>
      <c r="FH89" s="15"/>
      <c r="FI89" s="15"/>
      <c r="FJ89" s="15"/>
      <c r="FK89" s="15"/>
      <c r="FL89" s="15"/>
      <c r="FM89" s="15"/>
      <c r="FY89" s="15"/>
      <c r="FZ89" s="15"/>
      <c r="GA89" s="15"/>
      <c r="GB89" s="15"/>
      <c r="GC89" s="15"/>
      <c r="GD89" s="15"/>
      <c r="GE89" s="15"/>
      <c r="GF89" s="15"/>
      <c r="GG89" s="15"/>
      <c r="GH89" s="15"/>
      <c r="GI89" s="15"/>
      <c r="GJ89" s="15"/>
      <c r="GK89" s="15"/>
      <c r="GL89" s="15"/>
      <c r="GO89" s="15"/>
      <c r="GQ89" s="15"/>
      <c r="GR89" s="15"/>
      <c r="HH89" s="15"/>
      <c r="HN89" s="15"/>
      <c r="HO89" s="15"/>
      <c r="HP89" s="15"/>
      <c r="HQ89" s="15"/>
      <c r="HR89" s="15"/>
      <c r="HS89" s="15"/>
      <c r="HT89" s="15"/>
      <c r="HU89" s="15"/>
      <c r="HV89" s="15"/>
      <c r="HW89" s="15"/>
      <c r="HX89" s="15"/>
      <c r="HY89" s="15"/>
      <c r="HZ89" s="15"/>
      <c r="IQ89" s="15"/>
      <c r="IR89" s="15"/>
      <c r="IS89" s="15"/>
      <c r="IT89" s="15"/>
      <c r="IU89" s="15"/>
      <c r="IV89" s="15"/>
      <c r="IW89" s="15"/>
      <c r="IZ89" s="15"/>
      <c r="JD89" s="15"/>
      <c r="JE89" s="15"/>
      <c r="JZ89" s="15"/>
      <c r="KA89" s="15"/>
      <c r="KB89" s="15"/>
      <c r="KC89" s="15"/>
      <c r="KD89" s="15"/>
      <c r="KE89" s="15"/>
      <c r="KF89" s="15"/>
      <c r="KG89" s="15"/>
      <c r="KH89" s="15"/>
      <c r="KI89" s="15"/>
      <c r="KJ89" s="15"/>
      <c r="KK89" s="15"/>
      <c r="KL89" s="15"/>
      <c r="KM89" s="15"/>
      <c r="LI89" s="15"/>
      <c r="LJ89" s="15"/>
      <c r="LK89" s="15"/>
      <c r="LL89" s="15"/>
      <c r="LO89" s="15"/>
      <c r="LQ89" s="15"/>
    </row>
    <row r="90" spans="2:330">
      <c r="B90" s="15"/>
      <c r="C90" s="15"/>
      <c r="D90" s="15"/>
      <c r="E90" s="15"/>
      <c r="AO90" s="15"/>
      <c r="AP90" s="15"/>
      <c r="AQ90" s="15"/>
      <c r="AS90" s="15"/>
      <c r="AT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X90" s="15"/>
      <c r="BY90" s="15"/>
      <c r="BZ90" s="15"/>
      <c r="CA90" s="15"/>
      <c r="CB90" s="15"/>
      <c r="CC90" s="15"/>
      <c r="CD90" s="15"/>
      <c r="CE90" s="15"/>
      <c r="DG90" s="15"/>
      <c r="DH90" s="15"/>
      <c r="DI90" s="15"/>
      <c r="DJ90" s="15"/>
      <c r="DK90" s="15"/>
      <c r="DL90" s="15"/>
      <c r="DM90" s="15"/>
      <c r="DN90" s="15"/>
      <c r="DO90" s="15"/>
      <c r="DP90" s="15"/>
      <c r="DQ90" s="15"/>
      <c r="DR90" s="15"/>
      <c r="DS90" s="15"/>
      <c r="DT90" s="15"/>
      <c r="DU90" s="15"/>
      <c r="DV90" s="15"/>
      <c r="DW90" s="15"/>
      <c r="DX90" s="15"/>
      <c r="DY90" s="15"/>
      <c r="DZ90" s="15"/>
      <c r="EA90" s="15"/>
      <c r="EB90" s="15"/>
      <c r="EC90" s="15"/>
      <c r="EE90" s="15"/>
      <c r="EF90" s="15"/>
      <c r="EG90" s="15"/>
      <c r="EH90" s="15"/>
      <c r="EJ90" s="15"/>
      <c r="EK90" s="15"/>
      <c r="EP90" s="15"/>
      <c r="EQ90" s="15"/>
      <c r="ER90" s="15"/>
      <c r="ES90" s="15"/>
      <c r="ET90" s="15"/>
      <c r="EY90" s="15"/>
      <c r="EZ90" s="15"/>
      <c r="FA90" s="15"/>
      <c r="FB90" s="15"/>
      <c r="FC90" s="15"/>
      <c r="FD90" s="15"/>
      <c r="FE90" s="15"/>
      <c r="FF90" s="15"/>
      <c r="FG90" s="15"/>
      <c r="FH90" s="15"/>
      <c r="FI90" s="15"/>
      <c r="FJ90" s="15"/>
      <c r="FK90" s="15"/>
      <c r="FY90" s="15"/>
      <c r="FZ90" s="15"/>
      <c r="GA90" s="15"/>
      <c r="GB90" s="15"/>
      <c r="GC90" s="15"/>
      <c r="GD90" s="15"/>
      <c r="GE90" s="15"/>
      <c r="GF90" s="15"/>
      <c r="GG90" s="15"/>
      <c r="GH90" s="15"/>
      <c r="GI90" s="15"/>
      <c r="GJ90" s="15"/>
      <c r="GK90" s="15"/>
      <c r="GL90" s="15"/>
      <c r="GM90" s="15"/>
      <c r="GN90" s="15"/>
      <c r="GO90" s="15"/>
      <c r="GP90" s="15"/>
      <c r="GQ90" s="15"/>
      <c r="GR90" s="15"/>
      <c r="HH90" s="15"/>
      <c r="HI90" s="15"/>
      <c r="HJ90" s="15"/>
      <c r="HK90" s="15"/>
      <c r="HL90" s="15"/>
      <c r="HN90" s="15"/>
      <c r="HO90" s="15"/>
      <c r="HP90" s="15"/>
      <c r="HQ90" s="15"/>
      <c r="HR90" s="15"/>
      <c r="HS90" s="15"/>
      <c r="HT90" s="15"/>
      <c r="HU90" s="15"/>
      <c r="HV90" s="15"/>
      <c r="IQ90" s="15"/>
      <c r="IR90" s="15"/>
      <c r="IS90" s="15"/>
      <c r="IT90" s="15"/>
      <c r="IU90" s="15"/>
      <c r="IV90" s="15"/>
      <c r="IW90" s="15"/>
      <c r="IX90" s="15"/>
      <c r="IY90" s="15"/>
      <c r="IZ90" s="15"/>
      <c r="JA90" s="15"/>
      <c r="JB90" s="15"/>
      <c r="JC90" s="15"/>
      <c r="JD90" s="15"/>
      <c r="JE90" s="15"/>
      <c r="JZ90" s="15"/>
      <c r="KA90" s="15"/>
      <c r="KB90" s="15"/>
      <c r="KC90" s="15"/>
      <c r="KD90" s="15"/>
      <c r="KE90" s="15"/>
      <c r="KF90" s="15"/>
      <c r="KG90" s="15"/>
      <c r="KH90" s="15"/>
      <c r="KI90" s="15"/>
      <c r="KJ90" s="15"/>
      <c r="KK90" s="15"/>
      <c r="KL90" s="15"/>
      <c r="KM90" s="15"/>
      <c r="LI90" s="15"/>
      <c r="LJ90" s="15"/>
      <c r="LK90" s="15"/>
      <c r="LL90" s="15"/>
      <c r="LM90" s="15"/>
      <c r="LN90" s="15"/>
      <c r="LO90" s="15"/>
      <c r="LP90" s="15"/>
      <c r="LQ90" s="15"/>
      <c r="LR90" s="15"/>
    </row>
    <row r="91" spans="2:330">
      <c r="B91" s="15"/>
      <c r="C91" s="15"/>
      <c r="D91" s="15"/>
      <c r="E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X91" s="15"/>
      <c r="BY91" s="15"/>
      <c r="BZ91" s="15"/>
      <c r="CA91" s="15"/>
      <c r="CB91" s="15"/>
      <c r="CC91" s="15"/>
      <c r="CD91" s="15"/>
      <c r="CE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5"/>
      <c r="DW91" s="15"/>
      <c r="DX91" s="15"/>
      <c r="DY91" s="15"/>
      <c r="DZ91" s="15"/>
      <c r="EA91" s="15"/>
      <c r="EB91" s="15"/>
      <c r="EC91" s="15"/>
      <c r="ED91" s="15"/>
      <c r="EE91" s="15"/>
      <c r="EF91" s="15"/>
      <c r="EG91" s="15"/>
      <c r="EH91" s="15"/>
      <c r="EI91" s="15"/>
      <c r="EJ91" s="15"/>
      <c r="EK91" s="15"/>
      <c r="EL91" s="15"/>
      <c r="EM91" s="15"/>
      <c r="EN91" s="15"/>
      <c r="EO91" s="15"/>
      <c r="EP91" s="15"/>
      <c r="EQ91" s="15"/>
      <c r="ER91" s="15"/>
      <c r="ES91" s="15"/>
      <c r="ET91" s="15"/>
      <c r="EU91" s="15"/>
      <c r="EV91" s="15"/>
      <c r="EW91" s="15"/>
      <c r="EX91" s="15"/>
      <c r="EY91" s="15"/>
      <c r="EZ91" s="15"/>
      <c r="FA91" s="15"/>
      <c r="FB91" s="15"/>
      <c r="FC91" s="15"/>
      <c r="FD91" s="15"/>
      <c r="FE91" s="15"/>
      <c r="FF91" s="15"/>
      <c r="FG91" s="15"/>
      <c r="FH91" s="15"/>
      <c r="FI91" s="15"/>
      <c r="FJ91" s="15"/>
      <c r="FK91" s="15"/>
      <c r="FL91" s="15"/>
      <c r="FM91" s="15"/>
      <c r="FY91" s="15"/>
      <c r="FZ91" s="15"/>
      <c r="GA91" s="15"/>
      <c r="GB91" s="15"/>
      <c r="GC91" s="15"/>
      <c r="GD91" s="15"/>
      <c r="GE91" s="15"/>
      <c r="GF91" s="15"/>
      <c r="GG91" s="15"/>
      <c r="GH91" s="15"/>
      <c r="GI91" s="15"/>
      <c r="GJ91" s="15"/>
      <c r="GK91" s="15"/>
      <c r="GL91" s="15"/>
      <c r="GM91" s="15"/>
      <c r="GN91" s="15"/>
      <c r="GO91" s="15"/>
      <c r="GP91" s="15"/>
      <c r="GQ91" s="15"/>
      <c r="GR91" s="15"/>
      <c r="HH91" s="15"/>
      <c r="HI91" s="15"/>
      <c r="HJ91" s="15"/>
      <c r="HK91" s="15"/>
      <c r="HL91" s="15"/>
      <c r="HM91" s="15"/>
      <c r="HN91" s="15"/>
      <c r="HO91" s="15"/>
      <c r="HP91" s="15"/>
      <c r="HQ91" s="15"/>
      <c r="HR91" s="15"/>
      <c r="HS91" s="15"/>
      <c r="HT91" s="15"/>
      <c r="HU91" s="15"/>
      <c r="HV91" s="15"/>
      <c r="HW91" s="15"/>
      <c r="HX91" s="15"/>
      <c r="HY91" s="15"/>
      <c r="HZ91" s="15"/>
      <c r="IQ91" s="15"/>
      <c r="IR91" s="15"/>
      <c r="IS91" s="15"/>
      <c r="IT91" s="15"/>
      <c r="IU91" s="15"/>
      <c r="IV91" s="15"/>
      <c r="IW91" s="15"/>
      <c r="IX91" s="15"/>
      <c r="IY91" s="15"/>
      <c r="IZ91" s="15"/>
      <c r="JA91" s="15"/>
      <c r="JB91" s="15"/>
      <c r="JC91" s="15"/>
      <c r="JD91" s="15"/>
      <c r="JE91" s="15"/>
      <c r="JF91" s="15"/>
      <c r="JZ91" s="15"/>
      <c r="KA91" s="15"/>
      <c r="KB91" s="15"/>
      <c r="KC91" s="15"/>
      <c r="KD91" s="15"/>
      <c r="KE91" s="15"/>
      <c r="KF91" s="15"/>
      <c r="KG91" s="15"/>
      <c r="KH91" s="15"/>
      <c r="KI91" s="15"/>
      <c r="KJ91" s="15"/>
      <c r="KK91" s="15"/>
      <c r="KL91" s="15"/>
      <c r="KM91" s="15"/>
      <c r="LI91" s="15"/>
      <c r="LJ91" s="15"/>
      <c r="LK91" s="15"/>
      <c r="LL91" s="15"/>
      <c r="LM91" s="15"/>
      <c r="LN91" s="15"/>
      <c r="LO91" s="15"/>
      <c r="LP91" s="15"/>
      <c r="LQ91" s="15"/>
      <c r="LR91" s="15"/>
    </row>
    <row r="92" spans="2:330">
      <c r="B92" s="15"/>
      <c r="C92" s="15"/>
      <c r="D92" s="15"/>
      <c r="E92" s="15"/>
      <c r="AO92" s="15"/>
      <c r="AP92" s="15"/>
      <c r="AQ92" s="15"/>
      <c r="AR92" s="15"/>
      <c r="AS92" s="15"/>
      <c r="AT92" s="15"/>
      <c r="AU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X92" s="15"/>
      <c r="BY92" s="15"/>
      <c r="BZ92" s="15"/>
      <c r="CA92" s="15"/>
      <c r="CB92" s="15"/>
      <c r="CC92" s="15"/>
      <c r="CD92" s="15"/>
      <c r="CE92" s="15"/>
      <c r="DG92" s="15"/>
      <c r="DH92" s="15"/>
      <c r="DI92" s="15"/>
      <c r="DJ92" s="15"/>
      <c r="DK92" s="15"/>
      <c r="DL92" s="15"/>
      <c r="DM92" s="15"/>
      <c r="DN92" s="15"/>
      <c r="DO92" s="15"/>
      <c r="DP92" s="15"/>
      <c r="DQ92" s="15"/>
      <c r="DR92" s="15"/>
      <c r="DS92" s="15"/>
      <c r="DT92" s="15"/>
      <c r="DU92" s="15"/>
      <c r="DV92" s="15"/>
      <c r="DW92" s="15"/>
      <c r="DX92" s="15"/>
      <c r="DY92" s="15"/>
      <c r="DZ92" s="15"/>
      <c r="EA92" s="15"/>
      <c r="EB92" s="15"/>
      <c r="EC92" s="15"/>
      <c r="ED92" s="15"/>
      <c r="EE92" s="15"/>
      <c r="EF92" s="15"/>
      <c r="EG92" s="15"/>
      <c r="EH92" s="15"/>
      <c r="EI92" s="15"/>
      <c r="EJ92" s="15"/>
      <c r="EK92" s="15"/>
      <c r="EL92" s="15"/>
      <c r="EM92" s="15"/>
      <c r="EP92" s="15"/>
      <c r="EQ92" s="15"/>
      <c r="ER92" s="15"/>
      <c r="ES92" s="15"/>
      <c r="ET92" s="15"/>
      <c r="EU92" s="15"/>
      <c r="EV92" s="15"/>
      <c r="EW92" s="15"/>
      <c r="EX92" s="15"/>
      <c r="EY92" s="15"/>
      <c r="EZ92" s="15"/>
      <c r="FA92" s="15"/>
      <c r="FB92" s="15"/>
      <c r="FC92" s="15"/>
      <c r="FD92" s="15"/>
      <c r="FE92" s="15"/>
      <c r="FF92" s="15"/>
      <c r="FG92" s="15"/>
      <c r="FH92" s="15"/>
      <c r="FI92" s="15"/>
      <c r="FY92" s="15"/>
      <c r="FZ92" s="15"/>
      <c r="GA92" s="15"/>
      <c r="GB92" s="15"/>
      <c r="GC92" s="15"/>
      <c r="GD92" s="15"/>
      <c r="GE92" s="15"/>
      <c r="GF92" s="15"/>
      <c r="GG92" s="15"/>
      <c r="GH92" s="15"/>
      <c r="GI92" s="15"/>
      <c r="GJ92" s="15"/>
      <c r="GK92" s="15"/>
      <c r="GL92" s="15"/>
      <c r="GM92" s="15"/>
      <c r="GN92" s="15"/>
      <c r="GO92" s="15"/>
      <c r="GP92" s="15"/>
      <c r="GQ92" s="15"/>
      <c r="GR92" s="15"/>
      <c r="HH92" s="15"/>
      <c r="HI92" s="15"/>
      <c r="HJ92" s="15"/>
      <c r="HK92" s="15"/>
      <c r="HL92" s="15"/>
      <c r="HM92" s="15"/>
      <c r="HN92" s="15"/>
      <c r="HO92" s="15"/>
      <c r="HP92" s="15"/>
      <c r="HQ92" s="15"/>
      <c r="HR92" s="15"/>
      <c r="HS92" s="15"/>
      <c r="HT92" s="15"/>
      <c r="HU92" s="15"/>
      <c r="HV92" s="15"/>
      <c r="HW92" s="15"/>
      <c r="IQ92" s="15"/>
      <c r="IR92" s="15"/>
      <c r="IS92" s="15"/>
      <c r="IT92" s="15"/>
      <c r="IU92" s="15"/>
      <c r="IV92" s="15"/>
      <c r="IW92" s="15"/>
      <c r="IX92" s="15"/>
      <c r="IY92" s="15"/>
      <c r="IZ92" s="15"/>
      <c r="JA92" s="15"/>
      <c r="JB92" s="15"/>
      <c r="JC92" s="15"/>
      <c r="JD92" s="15"/>
      <c r="JE92" s="15"/>
      <c r="JZ92" s="15"/>
      <c r="KA92" s="15"/>
      <c r="KB92" s="15"/>
      <c r="KC92" s="15"/>
      <c r="KD92" s="15"/>
      <c r="KE92" s="15"/>
      <c r="KF92" s="15"/>
      <c r="KG92" s="15"/>
      <c r="KH92" s="15"/>
      <c r="KI92" s="15"/>
      <c r="KJ92" s="15"/>
      <c r="KK92" s="15"/>
      <c r="KL92" s="15"/>
      <c r="KM92" s="15"/>
      <c r="LI92" s="15"/>
      <c r="LJ92" s="15"/>
      <c r="LK92" s="15"/>
      <c r="LL92" s="15"/>
      <c r="LM92" s="15"/>
      <c r="LN92" s="15"/>
      <c r="LO92" s="15"/>
      <c r="LP92" s="15"/>
      <c r="LQ92" s="15"/>
      <c r="LR92" s="15"/>
    </row>
    <row r="93" spans="2:330">
      <c r="B93" s="15"/>
      <c r="C93" s="15"/>
      <c r="D93" s="15"/>
      <c r="E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X93" s="15"/>
      <c r="BY93" s="15"/>
      <c r="BZ93" s="15"/>
      <c r="CA93" s="15"/>
      <c r="CB93" s="15"/>
      <c r="CC93" s="15"/>
      <c r="CD93" s="15"/>
      <c r="CE93" s="15"/>
      <c r="DG93" s="15"/>
      <c r="DH93" s="15"/>
      <c r="DI93" s="15"/>
      <c r="DJ93" s="15"/>
      <c r="DK93" s="15"/>
      <c r="DL93" s="15"/>
      <c r="DM93" s="15"/>
      <c r="DN93" s="15"/>
      <c r="DO93" s="15"/>
      <c r="DP93" s="15"/>
      <c r="DQ93" s="15"/>
      <c r="DR93" s="15"/>
      <c r="DS93" s="15"/>
      <c r="DT93" s="15"/>
      <c r="DU93" s="15"/>
      <c r="DV93" s="15"/>
      <c r="DW93" s="15"/>
      <c r="DX93" s="15"/>
      <c r="DY93" s="15"/>
      <c r="DZ93" s="15"/>
      <c r="EA93" s="15"/>
      <c r="EB93" s="15"/>
      <c r="EC93" s="15"/>
      <c r="ED93" s="15"/>
      <c r="EE93" s="15"/>
      <c r="EF93" s="15"/>
      <c r="EG93" s="15"/>
      <c r="EH93" s="15"/>
      <c r="EI93" s="15"/>
      <c r="EJ93" s="15"/>
      <c r="EK93" s="15"/>
      <c r="EL93" s="15"/>
      <c r="EM93" s="15"/>
      <c r="EN93" s="15"/>
      <c r="EO93" s="15"/>
      <c r="EP93" s="15"/>
      <c r="EQ93" s="15"/>
      <c r="ER93" s="15"/>
      <c r="ES93" s="15"/>
      <c r="ET93" s="15"/>
      <c r="EU93" s="15"/>
      <c r="EV93" s="15"/>
      <c r="EW93" s="15"/>
      <c r="EX93" s="15"/>
      <c r="EY93" s="15"/>
      <c r="EZ93" s="15"/>
      <c r="FA93" s="15"/>
      <c r="FB93" s="15"/>
      <c r="FC93" s="15"/>
      <c r="FD93" s="15"/>
      <c r="FE93" s="15"/>
      <c r="FF93" s="15"/>
      <c r="FG93" s="15"/>
      <c r="FH93" s="15"/>
      <c r="FI93" s="15"/>
      <c r="FJ93" s="15"/>
      <c r="FK93" s="15"/>
      <c r="FL93" s="15"/>
      <c r="FM93" s="15"/>
      <c r="FY93" s="15"/>
      <c r="FZ93" s="15"/>
      <c r="GA93" s="15"/>
      <c r="GB93" s="15"/>
      <c r="GC93" s="15"/>
      <c r="GD93" s="15"/>
      <c r="GE93" s="15"/>
      <c r="GF93" s="15"/>
      <c r="GG93" s="15"/>
      <c r="GH93" s="15"/>
      <c r="GI93" s="15"/>
      <c r="GJ93" s="15"/>
      <c r="GK93" s="15"/>
      <c r="GL93" s="15"/>
      <c r="GM93" s="15"/>
      <c r="GN93" s="15"/>
      <c r="GO93" s="15"/>
      <c r="GP93" s="15"/>
      <c r="GQ93" s="15"/>
      <c r="GR93" s="15"/>
      <c r="HH93" s="15"/>
      <c r="HI93" s="15"/>
      <c r="HJ93" s="15"/>
      <c r="HK93" s="15"/>
      <c r="HL93" s="15"/>
      <c r="HM93" s="15"/>
      <c r="HN93" s="15"/>
      <c r="HO93" s="15"/>
      <c r="HP93" s="15"/>
      <c r="HQ93" s="15"/>
      <c r="HR93" s="15"/>
      <c r="HS93" s="15"/>
      <c r="HT93" s="15"/>
      <c r="HU93" s="15"/>
      <c r="HV93" s="15"/>
      <c r="HW93" s="15"/>
      <c r="HX93" s="15"/>
      <c r="HY93" s="15"/>
      <c r="HZ93" s="15"/>
      <c r="IQ93" s="15"/>
      <c r="IR93" s="15"/>
      <c r="IS93" s="15"/>
      <c r="IT93" s="15"/>
      <c r="IU93" s="15"/>
      <c r="IV93" s="15"/>
      <c r="IW93" s="15"/>
      <c r="IX93" s="15"/>
      <c r="IY93" s="15"/>
      <c r="IZ93" s="15"/>
      <c r="JA93" s="15"/>
      <c r="JB93" s="15"/>
      <c r="JC93" s="15"/>
      <c r="JD93" s="15"/>
      <c r="JE93" s="15"/>
      <c r="JF93" s="15"/>
      <c r="JZ93" s="15"/>
      <c r="KA93" s="15"/>
      <c r="KB93" s="15"/>
      <c r="KC93" s="15"/>
      <c r="KD93" s="15"/>
      <c r="KE93" s="15"/>
      <c r="KF93" s="15"/>
      <c r="KG93" s="15"/>
      <c r="KH93" s="15"/>
      <c r="KI93" s="15"/>
      <c r="KJ93" s="15"/>
      <c r="KK93" s="15"/>
      <c r="KL93" s="15"/>
      <c r="KM93" s="15"/>
      <c r="LI93" s="15"/>
      <c r="LJ93" s="15"/>
      <c r="LK93" s="15"/>
      <c r="LL93" s="15"/>
      <c r="LM93" s="15"/>
      <c r="LN93" s="15"/>
      <c r="LO93" s="15"/>
      <c r="LP93" s="15"/>
      <c r="LQ93" s="15"/>
      <c r="LR93" s="15"/>
    </row>
    <row r="94" spans="2:330">
      <c r="B94" s="15"/>
      <c r="C94" s="15"/>
      <c r="D94" s="15"/>
      <c r="E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X94" s="15"/>
      <c r="BY94" s="15"/>
      <c r="BZ94" s="15"/>
      <c r="CA94" s="15"/>
      <c r="CB94" s="15"/>
      <c r="CC94" s="15"/>
      <c r="CD94" s="15"/>
      <c r="CE94" s="15"/>
      <c r="DG94" s="15"/>
      <c r="DH94" s="15"/>
      <c r="DI94" s="15"/>
      <c r="DJ94" s="15"/>
      <c r="DK94" s="15"/>
      <c r="DL94" s="15"/>
      <c r="DM94" s="15"/>
      <c r="DN94" s="15"/>
      <c r="DO94" s="15"/>
      <c r="DP94" s="15"/>
      <c r="DQ94" s="15"/>
      <c r="DR94" s="15"/>
      <c r="DS94" s="15"/>
      <c r="DT94" s="15"/>
      <c r="DU94" s="15"/>
      <c r="DV94" s="15"/>
      <c r="DW94" s="15"/>
      <c r="DX94" s="15"/>
      <c r="DY94" s="15"/>
      <c r="DZ94" s="15"/>
      <c r="EA94" s="15"/>
      <c r="EB94" s="15"/>
      <c r="EC94" s="15"/>
      <c r="ED94" s="15"/>
      <c r="EE94" s="15"/>
      <c r="EF94" s="15"/>
      <c r="EG94" s="15"/>
      <c r="EH94" s="15"/>
      <c r="EI94" s="15"/>
      <c r="EJ94" s="15"/>
      <c r="EK94" s="15"/>
      <c r="EL94" s="15"/>
      <c r="EM94" s="15"/>
      <c r="EN94" s="15"/>
      <c r="EO94" s="15"/>
      <c r="EP94" s="15"/>
      <c r="EQ94" s="15"/>
      <c r="ER94" s="15"/>
      <c r="ES94" s="15"/>
      <c r="ET94" s="15"/>
      <c r="EU94" s="15"/>
      <c r="EV94" s="15"/>
      <c r="EW94" s="15"/>
      <c r="EX94" s="15"/>
      <c r="EY94" s="15"/>
      <c r="EZ94" s="15"/>
      <c r="FA94" s="15"/>
      <c r="FB94" s="15"/>
      <c r="FC94" s="15"/>
      <c r="FD94" s="15"/>
      <c r="FE94" s="15"/>
      <c r="FF94" s="15"/>
      <c r="FG94" s="15"/>
      <c r="FH94" s="15"/>
      <c r="FI94" s="15"/>
      <c r="FJ94" s="15"/>
      <c r="FK94" s="15"/>
      <c r="FL94" s="15"/>
      <c r="FM94" s="15"/>
      <c r="FY94" s="15"/>
      <c r="FZ94" s="15"/>
      <c r="GA94" s="15"/>
      <c r="GB94" s="15"/>
      <c r="GC94" s="15"/>
      <c r="GD94" s="15"/>
      <c r="GE94" s="15"/>
      <c r="GF94" s="15"/>
      <c r="GG94" s="15"/>
      <c r="GH94" s="15"/>
      <c r="GI94" s="15"/>
      <c r="GJ94" s="15"/>
      <c r="GK94" s="15"/>
      <c r="GL94" s="15"/>
      <c r="GM94" s="15"/>
      <c r="GN94" s="15"/>
      <c r="GO94" s="15"/>
      <c r="GP94" s="15"/>
      <c r="GQ94" s="15"/>
      <c r="GR94" s="15"/>
      <c r="HH94" s="15"/>
      <c r="HI94" s="15"/>
      <c r="HJ94" s="15"/>
      <c r="HK94" s="15"/>
      <c r="HL94" s="15"/>
      <c r="HM94" s="15"/>
      <c r="HN94" s="15"/>
      <c r="HO94" s="15"/>
      <c r="HP94" s="15"/>
      <c r="HQ94" s="15"/>
      <c r="HR94" s="15"/>
      <c r="HS94" s="15"/>
      <c r="HT94" s="15"/>
      <c r="HU94" s="15"/>
      <c r="HV94" s="15"/>
      <c r="HW94" s="15"/>
      <c r="HX94" s="15"/>
      <c r="HY94" s="15"/>
      <c r="HZ94" s="15"/>
      <c r="IQ94" s="15"/>
      <c r="IR94" s="15"/>
      <c r="IS94" s="15"/>
      <c r="IT94" s="15"/>
      <c r="IU94" s="15"/>
      <c r="IV94" s="15"/>
      <c r="IW94" s="15"/>
      <c r="IX94" s="15"/>
      <c r="IY94" s="15"/>
      <c r="IZ94" s="15"/>
      <c r="JA94" s="15"/>
      <c r="JB94" s="15"/>
      <c r="JC94" s="15"/>
      <c r="JD94" s="15"/>
      <c r="JE94" s="15"/>
      <c r="JZ94" s="15"/>
      <c r="KA94" s="15"/>
      <c r="KB94" s="15"/>
      <c r="KC94" s="15"/>
      <c r="KD94" s="15"/>
      <c r="KE94" s="15"/>
      <c r="KF94" s="15"/>
      <c r="KG94" s="15"/>
      <c r="KH94" s="15"/>
      <c r="KI94" s="15"/>
      <c r="KJ94" s="15"/>
      <c r="KK94" s="15"/>
      <c r="KL94" s="15"/>
      <c r="KM94" s="15"/>
      <c r="LI94" s="15"/>
      <c r="LJ94" s="15"/>
      <c r="LK94" s="15"/>
      <c r="LL94" s="15"/>
      <c r="LM94" s="15"/>
      <c r="LO94" s="15"/>
    </row>
    <row r="95" spans="2:330">
      <c r="B95" s="15"/>
      <c r="C95" s="15"/>
      <c r="D95" s="15"/>
      <c r="E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BA95" s="15"/>
      <c r="BB95" s="15"/>
      <c r="BC95" s="15"/>
      <c r="BD95" s="15"/>
      <c r="BE95" s="15"/>
      <c r="BF95" s="15"/>
      <c r="BG95" s="15"/>
      <c r="BX95" s="15"/>
      <c r="BY95" s="15"/>
      <c r="BZ95" s="15"/>
      <c r="CA95" s="15"/>
      <c r="CB95" s="15"/>
      <c r="CC95" s="15"/>
      <c r="CD95" s="15"/>
      <c r="CE95" s="15"/>
      <c r="DG95" s="15"/>
      <c r="DH95" s="15"/>
      <c r="DI95" s="15"/>
      <c r="DJ95" s="15"/>
      <c r="DK95" s="15"/>
      <c r="DL95" s="15"/>
      <c r="DM95" s="15"/>
      <c r="DN95" s="15"/>
      <c r="DO95" s="15"/>
      <c r="DP95" s="15"/>
      <c r="DQ95" s="15"/>
      <c r="DR95" s="15"/>
      <c r="DS95" s="15"/>
      <c r="DT95" s="15"/>
      <c r="DU95" s="15"/>
      <c r="DV95" s="15"/>
      <c r="DW95" s="15"/>
      <c r="DX95" s="15"/>
      <c r="DY95" s="15"/>
      <c r="DZ95" s="15"/>
      <c r="EA95" s="15"/>
      <c r="EB95" s="15"/>
      <c r="EC95" s="15"/>
      <c r="ED95" s="15"/>
      <c r="EE95" s="15"/>
      <c r="EF95" s="15"/>
      <c r="EG95" s="15"/>
      <c r="EP95" s="15"/>
      <c r="EQ95" s="15"/>
      <c r="ER95" s="15"/>
      <c r="ES95" s="15"/>
      <c r="ET95" s="15"/>
      <c r="EU95" s="15"/>
      <c r="EV95" s="15"/>
      <c r="EW95" s="15"/>
      <c r="EX95" s="15"/>
      <c r="EZ95" s="15"/>
      <c r="FB95" s="15"/>
      <c r="FY95" s="15"/>
      <c r="FZ95" s="15"/>
      <c r="GA95" s="15"/>
      <c r="GB95" s="15"/>
      <c r="GC95" s="15"/>
      <c r="GD95" s="15"/>
      <c r="GE95" s="15"/>
      <c r="GF95" s="15"/>
      <c r="GG95" s="15"/>
      <c r="GH95" s="15"/>
      <c r="GI95" s="15"/>
      <c r="GJ95" s="15"/>
      <c r="GK95" s="15"/>
      <c r="GL95" s="15"/>
      <c r="GM95" s="15"/>
      <c r="GN95" s="15"/>
      <c r="GO95" s="15"/>
      <c r="GP95" s="15"/>
      <c r="GR95" s="15"/>
      <c r="HH95" s="15"/>
      <c r="HI95" s="15"/>
      <c r="HJ95" s="15"/>
      <c r="HK95" s="15"/>
      <c r="HL95" s="15"/>
      <c r="HM95" s="15"/>
      <c r="HO95" s="15"/>
      <c r="HP95" s="15"/>
      <c r="HQ95" s="15"/>
      <c r="HR95" s="15"/>
      <c r="HS95" s="15"/>
      <c r="HU95" s="15"/>
      <c r="HV95" s="15"/>
      <c r="HZ95" s="15"/>
      <c r="IQ95" s="15"/>
      <c r="IR95" s="15"/>
      <c r="IS95" s="15"/>
      <c r="IT95" s="15"/>
      <c r="IU95" s="15"/>
      <c r="IV95" s="15"/>
      <c r="IW95" s="15"/>
      <c r="IX95" s="15"/>
      <c r="IY95" s="15"/>
      <c r="IZ95" s="15"/>
      <c r="JA95" s="15"/>
      <c r="JB95" s="15"/>
      <c r="JD95" s="15"/>
      <c r="JE95" s="15"/>
      <c r="JZ95" s="15"/>
      <c r="KA95" s="15"/>
      <c r="KB95" s="15"/>
      <c r="KC95" s="15"/>
      <c r="KD95" s="15"/>
      <c r="KE95" s="15"/>
      <c r="KF95" s="15"/>
      <c r="KG95" s="15"/>
      <c r="KH95" s="15"/>
      <c r="KI95" s="15"/>
      <c r="KJ95" s="15"/>
      <c r="KK95" s="15"/>
      <c r="KL95" s="15"/>
      <c r="KM95" s="15"/>
      <c r="LI95" s="15"/>
      <c r="LJ95" s="15"/>
      <c r="LK95" s="15"/>
      <c r="LL95" s="15"/>
      <c r="LM95" s="15"/>
      <c r="LN95" s="15"/>
    </row>
    <row r="96" spans="2:330">
      <c r="B96" s="15"/>
      <c r="C96" s="15"/>
      <c r="D96" s="15"/>
      <c r="E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I96" s="15"/>
      <c r="BJ96" s="15"/>
      <c r="BK96" s="15"/>
      <c r="BL96" s="15"/>
      <c r="BX96" s="15"/>
      <c r="BY96" s="15"/>
      <c r="BZ96" s="15"/>
      <c r="CA96" s="15"/>
      <c r="CB96" s="15"/>
      <c r="CC96" s="15"/>
      <c r="CD96" s="15"/>
      <c r="CE96" s="15"/>
      <c r="DG96" s="15"/>
      <c r="DH96" s="15"/>
      <c r="DI96" s="15"/>
      <c r="DJ96" s="15"/>
      <c r="DK96" s="15"/>
      <c r="DL96" s="15"/>
      <c r="DM96" s="15"/>
      <c r="DN96" s="15"/>
      <c r="DO96" s="15"/>
      <c r="DP96" s="15"/>
      <c r="DQ96" s="15"/>
      <c r="DR96" s="15"/>
      <c r="DS96" s="15"/>
      <c r="DT96" s="15"/>
      <c r="DU96" s="15"/>
      <c r="DV96" s="15"/>
      <c r="DW96" s="15"/>
      <c r="DX96" s="15"/>
      <c r="DY96" s="15"/>
      <c r="DZ96" s="15"/>
      <c r="EA96" s="15"/>
      <c r="EB96" s="15"/>
      <c r="EC96" s="15"/>
      <c r="ED96" s="15"/>
      <c r="EE96" s="15"/>
      <c r="EF96" s="15"/>
      <c r="EG96" s="15"/>
      <c r="EH96" s="15"/>
      <c r="EI96" s="15"/>
      <c r="EP96" s="15"/>
      <c r="EQ96" s="15"/>
      <c r="ER96" s="15"/>
      <c r="ET96" s="15"/>
      <c r="EU96" s="15"/>
      <c r="EV96" s="15"/>
      <c r="EW96" s="15"/>
      <c r="EX96" s="15"/>
      <c r="EZ96" s="15"/>
      <c r="FA96" s="15"/>
      <c r="FB96" s="15"/>
      <c r="FC96" s="15"/>
      <c r="FD96" s="15"/>
      <c r="FE96" s="15"/>
      <c r="FG96" s="15"/>
      <c r="FH96" s="15"/>
      <c r="FI96" s="15"/>
      <c r="FJ96" s="15"/>
      <c r="FY96" s="15"/>
      <c r="FZ96" s="15"/>
      <c r="GA96" s="15"/>
      <c r="GB96" s="15"/>
      <c r="GC96" s="15"/>
      <c r="GD96" s="15"/>
      <c r="GE96" s="15"/>
      <c r="GF96" s="15"/>
      <c r="GG96" s="15"/>
      <c r="GH96" s="15"/>
      <c r="GI96" s="15"/>
      <c r="GJ96" s="15"/>
      <c r="GK96" s="15"/>
      <c r="GL96" s="15"/>
      <c r="GM96" s="15"/>
      <c r="GN96" s="15"/>
      <c r="GO96" s="15"/>
      <c r="GP96" s="15"/>
      <c r="GQ96" s="15"/>
      <c r="GR96" s="15"/>
      <c r="HH96" s="15"/>
      <c r="HI96" s="15"/>
      <c r="HJ96" s="15"/>
      <c r="HK96" s="15"/>
      <c r="HL96" s="15"/>
      <c r="HM96" s="15"/>
      <c r="HN96" s="15"/>
      <c r="HO96" s="15"/>
      <c r="HP96" s="15"/>
      <c r="HQ96" s="15"/>
      <c r="HR96" s="15"/>
      <c r="HS96" s="15"/>
      <c r="HT96" s="15"/>
      <c r="HU96" s="15"/>
      <c r="HV96" s="15"/>
      <c r="HW96" s="15"/>
      <c r="HX96" s="15"/>
      <c r="HY96" s="15"/>
      <c r="HZ96" s="15"/>
      <c r="IQ96" s="15"/>
      <c r="IR96" s="15"/>
      <c r="IS96" s="15"/>
      <c r="IT96" s="15"/>
      <c r="IU96" s="15"/>
      <c r="IV96" s="15"/>
      <c r="IW96" s="15"/>
      <c r="IX96" s="15"/>
      <c r="IY96" s="15"/>
      <c r="IZ96" s="15"/>
      <c r="JA96" s="15"/>
      <c r="JB96" s="15"/>
      <c r="JC96" s="15"/>
      <c r="JD96" s="15"/>
      <c r="JE96" s="15"/>
      <c r="JF96" s="15"/>
      <c r="JZ96" s="15"/>
      <c r="KA96" s="15"/>
      <c r="KB96" s="15"/>
      <c r="KC96" s="15"/>
      <c r="KD96" s="15"/>
      <c r="KE96" s="15"/>
      <c r="KF96" s="15"/>
      <c r="KG96" s="15"/>
      <c r="KH96" s="15"/>
      <c r="KI96" s="15"/>
      <c r="KJ96" s="15"/>
      <c r="KK96" s="15"/>
      <c r="KL96" s="15"/>
      <c r="KM96" s="15"/>
      <c r="LI96" s="15"/>
      <c r="LJ96" s="15"/>
      <c r="LK96" s="15"/>
      <c r="LL96" s="15"/>
      <c r="LM96" s="15"/>
      <c r="LN96" s="15"/>
      <c r="LO96" s="15"/>
      <c r="LQ96" s="15"/>
      <c r="LR96" s="15"/>
    </row>
    <row r="97" spans="2:330">
      <c r="B97" s="15"/>
      <c r="C97" s="15"/>
      <c r="D97" s="15"/>
      <c r="E97" s="15"/>
      <c r="AO97" s="15"/>
      <c r="AP97" s="15"/>
      <c r="AQ97" s="15"/>
      <c r="AU97" s="15"/>
      <c r="AW97" s="15"/>
      <c r="BA97" s="15"/>
      <c r="BB97" s="15"/>
      <c r="BC97" s="15"/>
      <c r="BD97" s="15"/>
      <c r="BE97" s="15"/>
      <c r="BF97" s="15"/>
      <c r="BH97" s="15"/>
      <c r="BI97" s="15"/>
      <c r="BJ97" s="15"/>
      <c r="BK97" s="15"/>
      <c r="BL97" s="15"/>
      <c r="BX97" s="15"/>
      <c r="BY97" s="15"/>
      <c r="BZ97" s="15"/>
      <c r="CA97" s="15"/>
      <c r="CB97" s="15"/>
      <c r="CC97" s="15"/>
      <c r="CD97" s="15"/>
      <c r="CE97" s="15"/>
      <c r="DG97" s="15"/>
      <c r="DH97" s="15"/>
      <c r="DI97" s="15"/>
      <c r="DJ97" s="15"/>
      <c r="DK97" s="15"/>
      <c r="DL97" s="15"/>
      <c r="DM97" s="15"/>
      <c r="DN97" s="15"/>
      <c r="DO97" s="15"/>
      <c r="DP97" s="15"/>
      <c r="DQ97" s="15"/>
      <c r="DR97" s="15"/>
      <c r="DS97" s="15"/>
      <c r="DT97" s="15"/>
      <c r="DU97" s="15"/>
      <c r="DV97" s="15"/>
      <c r="DW97" s="15"/>
      <c r="DX97" s="15"/>
      <c r="DY97" s="15"/>
      <c r="DZ97" s="15"/>
      <c r="EA97" s="15"/>
      <c r="EB97" s="15"/>
      <c r="EC97" s="15"/>
      <c r="ED97" s="15"/>
      <c r="EE97" s="15"/>
      <c r="EF97" s="15"/>
      <c r="EG97" s="15"/>
      <c r="EH97" s="15"/>
      <c r="EI97" s="15"/>
      <c r="EJ97" s="15"/>
      <c r="EP97" s="15"/>
      <c r="EQ97" s="15"/>
      <c r="ER97" s="15"/>
      <c r="EY97" s="15"/>
      <c r="EZ97" s="15"/>
      <c r="FA97" s="15"/>
      <c r="FB97" s="15"/>
      <c r="FC97" s="15"/>
      <c r="FD97" s="15"/>
      <c r="FE97" s="15"/>
      <c r="FF97" s="15"/>
      <c r="FG97" s="15"/>
      <c r="FH97" s="15"/>
      <c r="FI97" s="15"/>
      <c r="FJ97" s="15"/>
      <c r="FK97" s="15"/>
      <c r="FL97" s="15"/>
      <c r="FY97" s="15"/>
      <c r="FZ97" s="15"/>
      <c r="GA97" s="15"/>
      <c r="GB97" s="15"/>
      <c r="GC97" s="15"/>
      <c r="GD97" s="15"/>
      <c r="GE97" s="15"/>
      <c r="GF97" s="15"/>
      <c r="GG97" s="15"/>
      <c r="GH97" s="15"/>
      <c r="GI97" s="15"/>
      <c r="GJ97" s="15"/>
      <c r="GK97" s="15"/>
      <c r="GL97" s="15"/>
      <c r="GM97" s="15"/>
      <c r="GN97" s="15"/>
      <c r="GO97" s="15"/>
      <c r="GP97" s="15"/>
      <c r="GQ97" s="15"/>
      <c r="GR97" s="15"/>
      <c r="HH97" s="15"/>
      <c r="HI97" s="15"/>
      <c r="HL97" s="15"/>
      <c r="HM97" s="15"/>
      <c r="HN97" s="15"/>
      <c r="HO97" s="15"/>
      <c r="HP97" s="15"/>
      <c r="HQ97" s="15"/>
      <c r="HR97" s="15"/>
      <c r="HS97" s="15"/>
      <c r="HU97" s="15"/>
      <c r="HV97" s="15"/>
      <c r="HX97" s="15"/>
      <c r="HY97" s="15"/>
      <c r="HZ97" s="15"/>
      <c r="IQ97" s="15"/>
      <c r="IR97" s="15"/>
      <c r="IS97" s="15"/>
      <c r="IT97" s="15"/>
      <c r="IU97" s="15"/>
      <c r="IV97" s="15"/>
      <c r="IW97" s="15"/>
      <c r="IX97" s="15"/>
      <c r="IY97" s="15"/>
      <c r="IZ97" s="15"/>
      <c r="JA97" s="15"/>
      <c r="JB97" s="15"/>
      <c r="JC97" s="15"/>
      <c r="JD97" s="15"/>
      <c r="JZ97" s="15"/>
      <c r="KA97" s="15"/>
      <c r="KB97" s="15"/>
      <c r="KC97" s="15"/>
      <c r="KD97" s="15"/>
      <c r="KE97" s="15"/>
      <c r="KF97" s="15"/>
      <c r="KG97" s="15"/>
      <c r="KH97" s="15"/>
      <c r="KI97" s="15"/>
      <c r="KJ97" s="15"/>
      <c r="KK97" s="15"/>
      <c r="KL97" s="15"/>
      <c r="KM97" s="15"/>
      <c r="LI97" s="15"/>
      <c r="LJ97" s="15"/>
      <c r="LK97" s="15"/>
      <c r="LL97" s="15"/>
      <c r="LM97" s="15"/>
      <c r="LN97" s="15"/>
      <c r="LO97" s="15"/>
      <c r="LP97" s="15"/>
      <c r="LQ97" s="15"/>
      <c r="LR97" s="15"/>
    </row>
    <row r="98" spans="2:330">
      <c r="B98" s="15"/>
      <c r="C98" s="15"/>
      <c r="D98" s="15"/>
      <c r="E98" s="15"/>
      <c r="AO98" s="15"/>
      <c r="AP98" s="15"/>
      <c r="AQ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H98" s="15"/>
      <c r="BI98" s="15"/>
      <c r="BX98" s="15"/>
      <c r="BY98" s="15"/>
      <c r="BZ98" s="15"/>
      <c r="CA98" s="15"/>
      <c r="CB98" s="15"/>
      <c r="CC98" s="15"/>
      <c r="CD98" s="15"/>
      <c r="CE98" s="15"/>
      <c r="DG98" s="15"/>
      <c r="DH98" s="15"/>
      <c r="DI98" s="15"/>
      <c r="DJ98" s="15"/>
      <c r="DK98" s="15"/>
      <c r="DL98" s="15"/>
      <c r="DM98" s="15"/>
      <c r="DN98" s="15"/>
      <c r="DO98" s="15"/>
      <c r="DP98" s="15"/>
      <c r="DQ98" s="15"/>
      <c r="DR98" s="15"/>
      <c r="DS98" s="15"/>
      <c r="DT98" s="15"/>
      <c r="DU98" s="15"/>
      <c r="DV98" s="15"/>
      <c r="DW98" s="15"/>
      <c r="DX98" s="15"/>
      <c r="DY98" s="15"/>
      <c r="DZ98" s="15"/>
      <c r="EA98" s="15"/>
      <c r="EB98" s="15"/>
      <c r="EC98" s="15"/>
      <c r="ED98" s="15"/>
      <c r="EE98" s="15"/>
      <c r="EF98" s="15"/>
      <c r="EG98" s="15"/>
      <c r="EH98" s="15"/>
      <c r="EI98" s="15"/>
      <c r="EM98" s="15"/>
      <c r="EP98" s="15"/>
      <c r="EQ98" s="15"/>
      <c r="ER98" s="15"/>
      <c r="ES98" s="15"/>
      <c r="EU98" s="15"/>
      <c r="EV98" s="15"/>
      <c r="EW98" s="15"/>
      <c r="EX98" s="15"/>
      <c r="EY98" s="15"/>
      <c r="EZ98" s="15"/>
      <c r="FA98" s="15"/>
      <c r="FB98" s="15"/>
      <c r="FC98" s="15"/>
      <c r="FD98" s="15"/>
      <c r="FE98" s="15"/>
      <c r="FF98" s="15"/>
      <c r="FG98" s="15"/>
      <c r="FH98" s="15"/>
      <c r="FI98" s="15"/>
      <c r="FJ98" s="15"/>
      <c r="FL98" s="15"/>
      <c r="FM98" s="15"/>
      <c r="FY98" s="15"/>
      <c r="FZ98" s="15"/>
      <c r="GA98" s="15"/>
      <c r="GB98" s="15"/>
      <c r="GC98" s="15"/>
      <c r="GD98" s="15"/>
      <c r="GE98" s="15"/>
      <c r="GF98" s="15"/>
      <c r="GG98" s="15"/>
      <c r="GH98" s="15"/>
      <c r="GI98" s="15"/>
      <c r="GJ98" s="15"/>
      <c r="GK98" s="15"/>
      <c r="GL98" s="15"/>
      <c r="GM98" s="15"/>
      <c r="GN98" s="15"/>
      <c r="GO98" s="15"/>
      <c r="GP98" s="15"/>
      <c r="GQ98" s="15"/>
      <c r="GR98" s="15"/>
      <c r="HH98" s="15"/>
      <c r="HI98" s="15"/>
      <c r="HJ98" s="15"/>
      <c r="HK98" s="15"/>
      <c r="HL98" s="15"/>
      <c r="HM98" s="15"/>
      <c r="HN98" s="15"/>
      <c r="HO98" s="15"/>
      <c r="HP98" s="15"/>
      <c r="HQ98" s="15"/>
      <c r="HR98" s="15"/>
      <c r="HS98" s="15"/>
      <c r="HT98" s="15"/>
      <c r="HU98" s="15"/>
      <c r="HV98" s="15"/>
      <c r="HZ98" s="15"/>
      <c r="IQ98" s="15"/>
      <c r="IR98" s="15"/>
      <c r="IS98" s="15"/>
      <c r="IT98" s="15"/>
      <c r="IU98" s="15"/>
      <c r="IV98" s="15"/>
      <c r="IW98" s="15"/>
      <c r="IX98" s="15"/>
      <c r="IY98" s="15"/>
      <c r="IZ98" s="15"/>
      <c r="JA98" s="15"/>
      <c r="JB98" s="15"/>
      <c r="JC98" s="15"/>
      <c r="JD98" s="15"/>
      <c r="JE98" s="15"/>
      <c r="JF98" s="15"/>
      <c r="JZ98" s="15"/>
      <c r="KA98" s="15"/>
      <c r="KB98" s="15"/>
      <c r="KC98" s="15"/>
      <c r="KD98" s="15"/>
      <c r="KE98" s="15"/>
      <c r="KF98" s="15"/>
      <c r="KG98" s="15"/>
      <c r="KH98" s="15"/>
      <c r="KI98" s="15"/>
      <c r="KL98" s="15"/>
      <c r="KM98" s="15"/>
      <c r="LI98" s="15"/>
      <c r="LJ98" s="15"/>
      <c r="LK98" s="15"/>
      <c r="LL98" s="15"/>
      <c r="LM98" s="15"/>
      <c r="LN98" s="15"/>
      <c r="LO98" s="15"/>
      <c r="LP98" s="15"/>
      <c r="LQ98" s="15"/>
      <c r="LR98" s="15"/>
    </row>
    <row r="99" spans="2:330">
      <c r="B99" s="15"/>
      <c r="C99" s="15"/>
      <c r="D99" s="15"/>
      <c r="E99" s="15"/>
      <c r="AP99" s="15"/>
      <c r="AQ99" s="15"/>
      <c r="AS99" s="15"/>
      <c r="AU99" s="15"/>
      <c r="AW99" s="15"/>
      <c r="AY99" s="15"/>
      <c r="AZ99" s="15"/>
      <c r="BX99" s="15"/>
      <c r="BY99" s="15"/>
      <c r="BZ99" s="15"/>
      <c r="CA99" s="15"/>
      <c r="CB99" s="15"/>
      <c r="CC99" s="15"/>
      <c r="CD99" s="15"/>
      <c r="CE99" s="15"/>
      <c r="DG99" s="15"/>
      <c r="DH99" s="15"/>
      <c r="DI99" s="15"/>
      <c r="DJ99" s="15"/>
      <c r="DK99" s="15"/>
      <c r="DL99" s="15"/>
      <c r="DM99" s="15"/>
      <c r="DN99" s="15"/>
      <c r="DP99" s="15"/>
      <c r="DQ99" s="15"/>
      <c r="DR99" s="15"/>
      <c r="DT99" s="15"/>
      <c r="DU99" s="15"/>
      <c r="DV99" s="15"/>
      <c r="DW99" s="15"/>
      <c r="DX99" s="15"/>
      <c r="DY99" s="15"/>
      <c r="DZ99" s="15"/>
      <c r="EB99" s="15"/>
      <c r="EC99" s="15"/>
      <c r="EE99" s="15"/>
      <c r="EF99" s="15"/>
      <c r="EH99" s="15"/>
      <c r="EI99" s="15"/>
      <c r="EJ99" s="15"/>
      <c r="EP99" s="15"/>
      <c r="EQ99" s="15"/>
      <c r="ER99" s="15"/>
      <c r="EW99" s="15"/>
      <c r="EY99" s="15"/>
      <c r="EZ99" s="15"/>
      <c r="FA99" s="15"/>
      <c r="FB99" s="15"/>
      <c r="FE99" s="15"/>
      <c r="FH99" s="15"/>
      <c r="FI99" s="15"/>
      <c r="FY99" s="15"/>
      <c r="FZ99" s="15"/>
      <c r="GA99" s="15"/>
      <c r="GB99" s="15"/>
      <c r="GC99" s="15"/>
      <c r="GD99" s="15"/>
      <c r="GE99" s="15"/>
      <c r="GF99" s="15"/>
      <c r="GG99" s="15"/>
      <c r="GH99" s="15"/>
      <c r="GI99" s="15"/>
      <c r="GJ99" s="15"/>
      <c r="GK99" s="15"/>
      <c r="GL99" s="15"/>
      <c r="GM99" s="15"/>
      <c r="GN99" s="15"/>
      <c r="GO99" s="15"/>
      <c r="GP99" s="15"/>
      <c r="GQ99" s="15"/>
      <c r="GR99" s="15"/>
      <c r="HH99" s="15"/>
      <c r="HI99" s="15"/>
      <c r="HL99" s="15"/>
      <c r="HM99" s="15"/>
      <c r="HN99" s="15"/>
      <c r="HO99" s="15"/>
      <c r="HP99" s="15"/>
      <c r="HQ99" s="15"/>
      <c r="IQ99" s="15"/>
      <c r="IR99" s="15"/>
      <c r="IS99" s="15"/>
      <c r="IT99" s="15"/>
      <c r="IU99" s="15"/>
      <c r="IV99" s="15"/>
      <c r="IW99" s="15"/>
      <c r="IX99" s="15"/>
      <c r="IY99" s="15"/>
      <c r="IZ99" s="15"/>
      <c r="JA99" s="15"/>
      <c r="JB99" s="15"/>
      <c r="JC99" s="15"/>
      <c r="JD99" s="15"/>
      <c r="JE99" s="15"/>
      <c r="JF99" s="15"/>
      <c r="JZ99" s="15"/>
      <c r="KC99" s="15"/>
      <c r="KD99" s="15"/>
      <c r="KE99" s="15"/>
      <c r="KF99" s="15"/>
      <c r="KG99" s="15"/>
      <c r="KH99" s="15"/>
      <c r="KI99" s="15"/>
      <c r="KL99" s="15"/>
      <c r="LI99" s="15"/>
      <c r="LJ99" s="15"/>
      <c r="LK99" s="15"/>
      <c r="LL99" s="15"/>
      <c r="LM99" s="15"/>
      <c r="LN99" s="15"/>
      <c r="LO99" s="15"/>
      <c r="LP99" s="15"/>
      <c r="LQ99" s="15"/>
      <c r="LR99" s="15"/>
    </row>
    <row r="100" spans="2:330">
      <c r="B100" s="15"/>
      <c r="C100" s="15"/>
      <c r="D100" s="15"/>
      <c r="E100" s="15"/>
      <c r="AO100" s="15"/>
      <c r="AP100" s="15"/>
      <c r="AQ100" s="15"/>
      <c r="AR100" s="15"/>
      <c r="AS100" s="15"/>
      <c r="AT100" s="15"/>
      <c r="AV100" s="15"/>
      <c r="AW100" s="15"/>
      <c r="AX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X100" s="15"/>
      <c r="BY100" s="15"/>
      <c r="BZ100" s="15"/>
      <c r="CA100" s="15"/>
      <c r="CB100" s="15"/>
      <c r="CC100" s="15"/>
      <c r="CD100" s="15"/>
      <c r="CE100" s="15"/>
      <c r="DG100" s="15"/>
      <c r="DH100" s="15"/>
      <c r="DI100" s="15"/>
      <c r="DJ100" s="15"/>
      <c r="DK100" s="15"/>
      <c r="DL100" s="15"/>
      <c r="DM100" s="15"/>
      <c r="DN100" s="15"/>
      <c r="DO100" s="15"/>
      <c r="DP100" s="15"/>
      <c r="DQ100" s="15"/>
      <c r="DR100" s="15"/>
      <c r="DS100" s="15"/>
      <c r="DT100" s="15"/>
      <c r="DU100" s="15"/>
      <c r="DV100" s="15"/>
      <c r="DW100" s="15"/>
      <c r="DX100" s="15"/>
      <c r="DY100" s="15"/>
      <c r="DZ100" s="15"/>
      <c r="EA100" s="15"/>
      <c r="EB100" s="15"/>
      <c r="EC100" s="15"/>
      <c r="ED100" s="15"/>
      <c r="EE100" s="15"/>
      <c r="EF100" s="15"/>
      <c r="EG100" s="15"/>
      <c r="EH100" s="15"/>
      <c r="EI100" s="15"/>
      <c r="EJ100" s="15"/>
      <c r="EK100" s="15"/>
      <c r="EL100" s="15"/>
      <c r="EM100" s="15"/>
      <c r="EP100" s="15"/>
      <c r="EQ100" s="15"/>
      <c r="ER100" s="15"/>
      <c r="ES100" s="15"/>
      <c r="ET100" s="15"/>
      <c r="EU100" s="15"/>
      <c r="EV100" s="15"/>
      <c r="EW100" s="15"/>
      <c r="EX100" s="15"/>
      <c r="EY100" s="15"/>
      <c r="EZ100" s="15"/>
      <c r="FA100" s="15"/>
      <c r="FB100" s="15"/>
      <c r="FC100" s="15"/>
      <c r="FD100" s="15"/>
      <c r="FE100" s="15"/>
      <c r="FF100" s="15"/>
      <c r="FG100" s="15"/>
      <c r="FH100" s="15"/>
      <c r="FI100" s="15"/>
      <c r="FJ100" s="15"/>
      <c r="FK100" s="15"/>
      <c r="FY100" s="15"/>
      <c r="FZ100" s="15"/>
      <c r="GA100" s="15"/>
      <c r="GB100" s="15"/>
      <c r="GC100" s="15"/>
      <c r="GD100" s="15"/>
      <c r="GE100" s="15"/>
      <c r="GF100" s="15"/>
      <c r="GG100" s="15"/>
      <c r="GH100" s="15"/>
      <c r="GI100" s="15"/>
      <c r="GJ100" s="15"/>
      <c r="GK100" s="15"/>
      <c r="GL100" s="15"/>
      <c r="GM100" s="15"/>
      <c r="GN100" s="15"/>
      <c r="GO100" s="15"/>
      <c r="GP100" s="15"/>
      <c r="GQ100" s="15"/>
      <c r="GR100" s="15"/>
      <c r="HH100" s="15"/>
      <c r="HI100" s="15"/>
      <c r="HJ100" s="15"/>
      <c r="HK100" s="15"/>
      <c r="HL100" s="15"/>
      <c r="HO100" s="15"/>
      <c r="HP100" s="15"/>
      <c r="HQ100" s="15"/>
      <c r="HR100" s="15"/>
      <c r="HS100" s="15"/>
      <c r="IQ100" s="15"/>
      <c r="IR100" s="15"/>
      <c r="IS100" s="15"/>
      <c r="IT100" s="15"/>
      <c r="IU100" s="15"/>
      <c r="IV100" s="15"/>
      <c r="IW100" s="15"/>
      <c r="IX100" s="15"/>
      <c r="IY100" s="15"/>
      <c r="IZ100" s="15"/>
      <c r="JA100" s="15"/>
      <c r="JB100" s="15"/>
      <c r="JC100" s="15"/>
      <c r="JD100" s="15"/>
      <c r="JE100" s="15"/>
      <c r="JF100" s="15"/>
      <c r="JZ100" s="15"/>
      <c r="KA100" s="15"/>
      <c r="KB100" s="15"/>
      <c r="KC100" s="15"/>
      <c r="KD100" s="15"/>
      <c r="KE100" s="15"/>
      <c r="KF100" s="15"/>
      <c r="KG100" s="15"/>
      <c r="KH100" s="15"/>
      <c r="KI100" s="15"/>
      <c r="KJ100" s="15"/>
      <c r="KK100" s="15"/>
      <c r="KL100" s="15"/>
      <c r="KM100" s="15"/>
      <c r="LI100" s="15"/>
      <c r="LJ100" s="15"/>
      <c r="LK100" s="15"/>
      <c r="LL100" s="15"/>
      <c r="LM100" s="15"/>
      <c r="LN100" s="15"/>
      <c r="LO100" s="15"/>
      <c r="LP100" s="15"/>
      <c r="LQ100" s="15"/>
      <c r="LR100" s="15"/>
    </row>
    <row r="101" spans="2:330">
      <c r="B101" s="15"/>
      <c r="C101" s="15"/>
      <c r="D101" s="15"/>
      <c r="E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X101" s="15"/>
      <c r="BY101" s="15"/>
      <c r="BZ101" s="15"/>
      <c r="CA101" s="15"/>
      <c r="CB101" s="15"/>
      <c r="CC101" s="15"/>
      <c r="CD101" s="15"/>
      <c r="CE101" s="15"/>
      <c r="DG101" s="15"/>
      <c r="DH101" s="15"/>
      <c r="DI101" s="15"/>
      <c r="DJ101" s="15"/>
      <c r="DK101" s="15"/>
      <c r="DL101" s="15"/>
      <c r="DM101" s="15"/>
      <c r="DN101" s="15"/>
      <c r="DO101" s="15"/>
      <c r="DP101" s="15"/>
      <c r="DQ101" s="15"/>
      <c r="DR101" s="15"/>
      <c r="DS101" s="15"/>
      <c r="DT101" s="15"/>
      <c r="DU101" s="15"/>
      <c r="DV101" s="15"/>
      <c r="DW101" s="15"/>
      <c r="DX101" s="15"/>
      <c r="DY101" s="15"/>
      <c r="DZ101" s="15"/>
      <c r="EA101" s="15"/>
      <c r="EB101" s="15"/>
      <c r="EC101" s="15"/>
      <c r="ED101" s="15"/>
      <c r="EE101" s="15"/>
      <c r="EF101" s="15"/>
      <c r="EG101" s="15"/>
      <c r="EH101" s="15"/>
      <c r="EI101" s="15"/>
      <c r="EJ101" s="15"/>
      <c r="EK101" s="15"/>
      <c r="EL101" s="15"/>
      <c r="EM101" s="15"/>
      <c r="EN101" s="15"/>
      <c r="EO101" s="15"/>
      <c r="EP101" s="15"/>
      <c r="EQ101" s="15"/>
      <c r="ER101" s="15"/>
      <c r="ES101" s="15"/>
      <c r="ET101" s="15"/>
      <c r="EU101" s="15"/>
      <c r="EV101" s="15"/>
      <c r="EW101" s="15"/>
      <c r="EX101" s="15"/>
      <c r="EY101" s="15"/>
      <c r="EZ101" s="15"/>
      <c r="FA101" s="15"/>
      <c r="FB101" s="15"/>
      <c r="FC101" s="15"/>
      <c r="FD101" s="15"/>
      <c r="FE101" s="15"/>
      <c r="FF101" s="15"/>
      <c r="FG101" s="15"/>
      <c r="FH101" s="15"/>
      <c r="FI101" s="15"/>
      <c r="FJ101" s="15"/>
      <c r="FK101" s="15"/>
      <c r="FL101" s="15"/>
      <c r="FM101" s="15"/>
      <c r="FY101" s="15"/>
      <c r="FZ101" s="15"/>
      <c r="GA101" s="15"/>
      <c r="GB101" s="15"/>
      <c r="GC101" s="15"/>
      <c r="GD101" s="15"/>
      <c r="GE101" s="15"/>
      <c r="GF101" s="15"/>
      <c r="GG101" s="15"/>
      <c r="GH101" s="15"/>
      <c r="GI101" s="15"/>
      <c r="GJ101" s="15"/>
      <c r="GK101" s="15"/>
      <c r="GL101" s="15"/>
      <c r="GM101" s="15"/>
      <c r="GN101" s="15"/>
      <c r="GO101" s="15"/>
      <c r="GP101" s="15"/>
      <c r="GQ101" s="15"/>
      <c r="GR101" s="15"/>
      <c r="HH101" s="15"/>
      <c r="HI101" s="15"/>
      <c r="HJ101" s="15"/>
      <c r="HK101" s="15"/>
      <c r="HL101" s="15"/>
      <c r="HM101" s="15"/>
      <c r="HN101" s="15"/>
      <c r="HO101" s="15"/>
      <c r="HP101" s="15"/>
      <c r="HQ101" s="15"/>
      <c r="HR101" s="15"/>
      <c r="HS101" s="15"/>
      <c r="HT101" s="15"/>
      <c r="HU101" s="15"/>
      <c r="HV101" s="15"/>
      <c r="HW101" s="15"/>
      <c r="HX101" s="15"/>
      <c r="HY101" s="15"/>
      <c r="HZ101" s="15"/>
      <c r="IQ101" s="15"/>
      <c r="IR101" s="15"/>
      <c r="IS101" s="15"/>
      <c r="IT101" s="15"/>
      <c r="IU101" s="15"/>
      <c r="IV101" s="15"/>
      <c r="IW101" s="15"/>
      <c r="IX101" s="15"/>
      <c r="IY101" s="15"/>
      <c r="IZ101" s="15"/>
      <c r="JA101" s="15"/>
      <c r="JB101" s="15"/>
      <c r="JC101" s="15"/>
      <c r="JD101" s="15"/>
      <c r="JE101" s="15"/>
      <c r="JF101" s="15"/>
      <c r="JZ101" s="15"/>
      <c r="KA101" s="15"/>
      <c r="KB101" s="15"/>
      <c r="KC101" s="15"/>
      <c r="KD101" s="15"/>
      <c r="KE101" s="15"/>
      <c r="KF101" s="15"/>
      <c r="KG101" s="15"/>
      <c r="KH101" s="15"/>
      <c r="KI101" s="15"/>
      <c r="KJ101" s="15"/>
      <c r="KK101" s="15"/>
      <c r="KL101" s="15"/>
      <c r="KM101" s="15"/>
      <c r="LI101" s="15"/>
      <c r="LJ101" s="15"/>
      <c r="LK101" s="15"/>
      <c r="LL101" s="15"/>
      <c r="LM101" s="15"/>
      <c r="LN101" s="15"/>
      <c r="LO101" s="15"/>
      <c r="LP101" s="15"/>
      <c r="LQ101" s="15"/>
      <c r="LR101" s="15"/>
    </row>
    <row r="102" spans="2:330">
      <c r="B102" s="15"/>
      <c r="C102" s="15"/>
      <c r="D102" s="15"/>
      <c r="E102" s="15"/>
      <c r="F102" s="15"/>
      <c r="G102" s="15"/>
      <c r="H102" s="15"/>
      <c r="I102" s="15"/>
      <c r="J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Z102" s="15"/>
      <c r="AA102" s="15"/>
      <c r="AB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  <c r="EP102" s="15"/>
      <c r="EQ102" s="15"/>
      <c r="ER102" s="15"/>
      <c r="ES102" s="15"/>
      <c r="ET102" s="15"/>
      <c r="EU102" s="15"/>
      <c r="EV102" s="15"/>
      <c r="EW102" s="15"/>
      <c r="EX102" s="15"/>
      <c r="EY102" s="15"/>
      <c r="EZ102" s="15"/>
      <c r="FA102" s="15"/>
      <c r="FB102" s="15"/>
      <c r="FC102" s="15"/>
      <c r="FD102" s="15"/>
      <c r="FE102" s="15"/>
      <c r="FF102" s="15"/>
      <c r="FG102" s="15"/>
      <c r="FH102" s="15"/>
      <c r="FI102" s="15"/>
      <c r="FJ102" s="15"/>
      <c r="FK102" s="15"/>
      <c r="FL102" s="15"/>
      <c r="FM102" s="15"/>
      <c r="FN102" s="15"/>
      <c r="FO102" s="15"/>
      <c r="FP102" s="15"/>
      <c r="FQ102" s="15"/>
      <c r="FR102" s="15"/>
      <c r="FS102" s="15"/>
      <c r="FU102" s="15"/>
      <c r="FY102" s="15"/>
      <c r="FZ102" s="15"/>
      <c r="GA102" s="15"/>
      <c r="GB102" s="15"/>
      <c r="GC102" s="15"/>
      <c r="GD102" s="15"/>
      <c r="GE102" s="15"/>
      <c r="GF102" s="15"/>
      <c r="HH102" s="15"/>
      <c r="HI102" s="15"/>
      <c r="HJ102" s="15"/>
      <c r="HK102" s="15"/>
      <c r="HL102" s="15"/>
      <c r="HM102" s="15"/>
      <c r="HN102" s="15"/>
      <c r="HO102" s="15"/>
      <c r="HP102" s="15"/>
      <c r="HQ102" s="15"/>
      <c r="HR102" s="15"/>
      <c r="HS102" s="15"/>
      <c r="HT102" s="15"/>
      <c r="HU102" s="15"/>
      <c r="HV102" s="15"/>
      <c r="HW102" s="15"/>
      <c r="HX102" s="15"/>
      <c r="HY102" s="15"/>
      <c r="HZ102" s="15"/>
      <c r="IQ102" s="15"/>
      <c r="IR102" s="15"/>
      <c r="IS102" s="15"/>
      <c r="IT102" s="15"/>
      <c r="IU102" s="15"/>
      <c r="IV102" s="15"/>
      <c r="IW102" s="15"/>
      <c r="IX102" s="15"/>
      <c r="IY102" s="15"/>
      <c r="IZ102" s="15"/>
      <c r="JA102" s="15"/>
      <c r="JB102" s="15"/>
      <c r="JC102" s="15"/>
      <c r="JD102" s="15"/>
      <c r="JE102" s="15"/>
      <c r="JF102" s="15"/>
      <c r="JZ102" s="15"/>
      <c r="KA102" s="15"/>
      <c r="KB102" s="15"/>
      <c r="KC102" s="15"/>
      <c r="KD102" s="15"/>
      <c r="KE102" s="15"/>
      <c r="KF102" s="15"/>
      <c r="KG102" s="15"/>
      <c r="KH102" s="15"/>
      <c r="KI102" s="15"/>
      <c r="KJ102" s="15"/>
      <c r="KK102" s="15"/>
      <c r="KL102" s="15"/>
      <c r="LI102" s="15"/>
      <c r="LJ102" s="15"/>
      <c r="LK102" s="15"/>
      <c r="LL102" s="15"/>
      <c r="LM102" s="15"/>
      <c r="LN102" s="15"/>
      <c r="LO102" s="15"/>
      <c r="LP102" s="15"/>
      <c r="LQ102" s="15"/>
      <c r="LR102" s="15"/>
    </row>
    <row r="103" spans="2:330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X103" s="15"/>
      <c r="BY103" s="15"/>
      <c r="BZ103" s="15"/>
      <c r="CA103" s="15"/>
      <c r="CB103" s="15"/>
      <c r="CC103" s="15"/>
      <c r="CD103" s="15"/>
      <c r="CE103" s="15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  <c r="EP103" s="15"/>
      <c r="EQ103" s="15"/>
      <c r="ER103" s="15"/>
      <c r="ES103" s="15"/>
      <c r="ET103" s="15"/>
      <c r="EU103" s="15"/>
      <c r="EV103" s="15"/>
      <c r="EW103" s="15"/>
      <c r="EX103" s="15"/>
      <c r="EY103" s="15"/>
      <c r="EZ103" s="15"/>
      <c r="FA103" s="15"/>
      <c r="FB103" s="15"/>
      <c r="FC103" s="15"/>
      <c r="FD103" s="15"/>
      <c r="FE103" s="15"/>
      <c r="FF103" s="15"/>
      <c r="FG103" s="15"/>
      <c r="FH103" s="15"/>
      <c r="FI103" s="15"/>
      <c r="FJ103" s="15"/>
      <c r="FK103" s="15"/>
      <c r="FL103" s="15"/>
      <c r="FM103" s="15"/>
      <c r="FN103" s="15"/>
      <c r="FO103" s="15"/>
      <c r="FP103" s="15"/>
      <c r="FQ103" s="15"/>
      <c r="FR103" s="15"/>
      <c r="FS103" s="15"/>
      <c r="FT103" s="15"/>
      <c r="FU103" s="15"/>
      <c r="FV103" s="15"/>
      <c r="FW103" s="15"/>
      <c r="FX103" s="15"/>
      <c r="FY103" s="15"/>
      <c r="FZ103" s="15"/>
      <c r="GA103" s="15"/>
      <c r="GB103" s="15"/>
      <c r="GC103" s="15"/>
      <c r="GD103" s="15"/>
      <c r="GE103" s="15"/>
      <c r="GF103" s="15"/>
      <c r="HH103" s="15"/>
      <c r="HI103" s="15"/>
      <c r="HJ103" s="15"/>
      <c r="HK103" s="15"/>
      <c r="HL103" s="15"/>
      <c r="HM103" s="15"/>
      <c r="HN103" s="15"/>
      <c r="HO103" s="15"/>
      <c r="HP103" s="15"/>
      <c r="HQ103" s="15"/>
      <c r="HR103" s="15"/>
      <c r="HS103" s="15"/>
      <c r="HT103" s="15"/>
      <c r="HU103" s="15"/>
      <c r="HV103" s="15"/>
      <c r="HW103" s="15"/>
      <c r="HX103" s="15"/>
      <c r="HY103" s="15"/>
      <c r="HZ103" s="15"/>
      <c r="IQ103" s="15"/>
      <c r="IR103" s="15"/>
      <c r="IS103" s="15"/>
      <c r="IT103" s="15"/>
      <c r="IU103" s="15"/>
      <c r="IV103" s="15"/>
      <c r="IW103" s="15"/>
      <c r="IX103" s="15"/>
      <c r="IY103" s="15"/>
      <c r="IZ103" s="15"/>
      <c r="JA103" s="15"/>
      <c r="JB103" s="15"/>
      <c r="JC103" s="15"/>
      <c r="JD103" s="15"/>
      <c r="JE103" s="15"/>
      <c r="JF103" s="15"/>
      <c r="JZ103" s="15"/>
      <c r="KA103" s="15"/>
      <c r="KB103" s="15"/>
      <c r="KC103" s="15"/>
      <c r="KD103" s="15"/>
      <c r="KE103" s="15"/>
      <c r="KF103" s="15"/>
      <c r="KG103" s="15"/>
      <c r="KH103" s="15"/>
      <c r="KI103" s="15"/>
      <c r="KJ103" s="15"/>
      <c r="KK103" s="15"/>
      <c r="KL103" s="15"/>
      <c r="KM103" s="15"/>
      <c r="LI103" s="15"/>
      <c r="LJ103" s="15"/>
      <c r="LK103" s="15"/>
      <c r="LL103" s="15"/>
      <c r="LN103" s="15"/>
      <c r="LO103" s="15"/>
      <c r="LP103" s="15"/>
      <c r="LQ103" s="15"/>
      <c r="LR103" s="15"/>
    </row>
    <row r="104" spans="2:330">
      <c r="B104" s="15"/>
      <c r="C104" s="15"/>
      <c r="D104" s="15"/>
      <c r="E104" s="15"/>
      <c r="F104" s="15"/>
      <c r="G104" s="15"/>
      <c r="H104" s="15"/>
      <c r="J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AA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G104" s="15"/>
      <c r="BZ104" s="15"/>
      <c r="CA104" s="15"/>
      <c r="CB104" s="15"/>
      <c r="CC104" s="15"/>
      <c r="CD104" s="15"/>
      <c r="CE104" s="15"/>
      <c r="CG104" s="15"/>
      <c r="CH104" s="15"/>
      <c r="CI104" s="15"/>
      <c r="CJ104" s="15"/>
      <c r="CK104" s="15"/>
      <c r="CL104" s="15"/>
      <c r="CN104" s="15"/>
      <c r="CO104" s="15"/>
      <c r="CP104" s="15"/>
      <c r="CR104" s="15"/>
      <c r="EP104" s="15"/>
      <c r="EQ104" s="15"/>
      <c r="ER104" s="15"/>
      <c r="ES104" s="15"/>
      <c r="ET104" s="15"/>
      <c r="EU104" s="15"/>
      <c r="EV104" s="15"/>
      <c r="EW104" s="15"/>
      <c r="EX104" s="15"/>
      <c r="EY104" s="15"/>
      <c r="EZ104" s="15"/>
      <c r="FA104" s="15"/>
      <c r="FB104" s="15"/>
      <c r="FC104" s="15"/>
      <c r="FD104" s="15"/>
      <c r="FE104" s="15"/>
      <c r="FF104" s="15"/>
      <c r="FG104" s="15"/>
      <c r="FH104" s="15"/>
      <c r="FI104" s="15"/>
      <c r="FJ104" s="15"/>
      <c r="FK104" s="15"/>
      <c r="FL104" s="15"/>
      <c r="FM104" s="15"/>
      <c r="FN104" s="15"/>
      <c r="FO104" s="15"/>
      <c r="FP104" s="15"/>
      <c r="FQ104" s="15"/>
      <c r="FR104" s="15"/>
      <c r="FS104" s="15"/>
      <c r="FT104" s="15"/>
      <c r="FU104" s="15"/>
      <c r="FV104" s="15"/>
      <c r="FW104" s="15"/>
      <c r="FX104" s="15"/>
      <c r="FY104" s="15"/>
      <c r="FZ104" s="15"/>
      <c r="GA104" s="15"/>
      <c r="GB104" s="15"/>
      <c r="GC104" s="15"/>
      <c r="GD104" s="15"/>
      <c r="GE104" s="15"/>
      <c r="GF104" s="15"/>
      <c r="HH104" s="15"/>
      <c r="HI104" s="15"/>
      <c r="HJ104" s="15"/>
      <c r="HL104" s="15"/>
      <c r="HN104" s="15"/>
      <c r="HO104" s="15"/>
      <c r="HP104" s="15"/>
      <c r="HQ104" s="15"/>
      <c r="HR104" s="15"/>
      <c r="HS104" s="15"/>
      <c r="HT104" s="15"/>
      <c r="HU104" s="15"/>
      <c r="HV104" s="15"/>
      <c r="HW104" s="15"/>
      <c r="HX104" s="15"/>
      <c r="HY104" s="15"/>
      <c r="HZ104" s="15"/>
      <c r="IQ104" s="15"/>
      <c r="IR104" s="15"/>
      <c r="IS104" s="15"/>
      <c r="IT104" s="15"/>
      <c r="IU104" s="15"/>
      <c r="IV104" s="15"/>
      <c r="IW104" s="15"/>
      <c r="IX104" s="15"/>
      <c r="IY104" s="15"/>
      <c r="JA104" s="15"/>
      <c r="JB104" s="15"/>
      <c r="JC104" s="15"/>
      <c r="JE104" s="15"/>
      <c r="JZ104" s="15"/>
      <c r="KA104" s="15"/>
      <c r="KB104" s="15"/>
      <c r="KC104" s="15"/>
      <c r="KD104" s="15"/>
      <c r="KE104" s="15"/>
      <c r="KF104" s="15"/>
      <c r="KG104" s="15"/>
      <c r="KH104" s="15"/>
      <c r="KI104" s="15"/>
      <c r="KJ104" s="15"/>
      <c r="KK104" s="15"/>
      <c r="KL104" s="15"/>
      <c r="KM104" s="15"/>
      <c r="LI104" s="15"/>
      <c r="LJ104" s="15"/>
      <c r="LK104" s="15"/>
      <c r="LL104" s="15"/>
      <c r="LM104" s="15"/>
    </row>
    <row r="105" spans="2:330">
      <c r="B105" s="15"/>
      <c r="C105" s="15"/>
      <c r="D105" s="15"/>
      <c r="E105" s="15"/>
      <c r="F105" s="15"/>
      <c r="G105" s="15"/>
      <c r="I105" s="15"/>
      <c r="J105" s="15"/>
      <c r="L105" s="15"/>
      <c r="M105" s="15"/>
      <c r="R105" s="15"/>
      <c r="S105" s="15"/>
      <c r="T105" s="15"/>
      <c r="U105" s="15"/>
      <c r="V105" s="15"/>
      <c r="W105" s="15"/>
      <c r="X105" s="15"/>
      <c r="Y105" s="15"/>
      <c r="AA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X105" s="15"/>
      <c r="BY105" s="15"/>
      <c r="BZ105" s="15"/>
      <c r="CA105" s="15"/>
      <c r="CB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EP105" s="15"/>
      <c r="EQ105" s="15"/>
      <c r="ER105" s="15"/>
      <c r="ES105" s="15"/>
      <c r="ET105" s="15"/>
      <c r="EU105" s="15"/>
      <c r="EV105" s="15"/>
      <c r="EW105" s="15"/>
      <c r="EY105" s="15"/>
      <c r="EZ105" s="15"/>
      <c r="FA105" s="15"/>
      <c r="FB105" s="15"/>
      <c r="FC105" s="15"/>
      <c r="FD105" s="15"/>
      <c r="FE105" s="15"/>
      <c r="FF105" s="15"/>
      <c r="FG105" s="15"/>
      <c r="FH105" s="15"/>
      <c r="FI105" s="15"/>
      <c r="FJ105" s="15"/>
      <c r="FK105" s="15"/>
      <c r="FL105" s="15"/>
      <c r="FM105" s="15"/>
      <c r="FN105" s="15"/>
      <c r="FO105" s="15"/>
      <c r="FP105" s="15"/>
      <c r="FQ105" s="15"/>
      <c r="FR105" s="15"/>
      <c r="FS105" s="15"/>
      <c r="FT105" s="15"/>
      <c r="FU105" s="15"/>
      <c r="FV105" s="15"/>
      <c r="FW105" s="15"/>
      <c r="FX105" s="15"/>
      <c r="FY105" s="15"/>
      <c r="FZ105" s="15"/>
      <c r="GA105" s="15"/>
      <c r="GB105" s="15"/>
      <c r="GC105" s="15"/>
      <c r="GD105" s="15"/>
      <c r="GE105" s="15"/>
      <c r="GF105" s="15"/>
      <c r="HH105" s="15"/>
      <c r="HI105" s="15"/>
      <c r="HJ105" s="15"/>
      <c r="HL105" s="15"/>
      <c r="HM105" s="15"/>
      <c r="HN105" s="15"/>
      <c r="HO105" s="15"/>
      <c r="HQ105" s="15"/>
      <c r="HR105" s="15"/>
      <c r="HS105" s="15"/>
      <c r="HT105" s="15"/>
      <c r="HU105" s="15"/>
      <c r="HV105" s="15"/>
      <c r="HW105" s="15"/>
      <c r="HX105" s="15"/>
      <c r="HZ105" s="15"/>
      <c r="IQ105" s="15"/>
      <c r="IR105" s="15"/>
      <c r="IS105" s="15"/>
      <c r="IT105" s="15"/>
      <c r="IU105" s="15"/>
      <c r="IV105" s="15"/>
      <c r="IW105" s="15"/>
      <c r="IX105" s="15"/>
      <c r="IY105" s="15"/>
      <c r="IZ105" s="15"/>
      <c r="JA105" s="15"/>
      <c r="JB105" s="15"/>
      <c r="JC105" s="15"/>
      <c r="JD105" s="15"/>
      <c r="JE105" s="15"/>
      <c r="JF105" s="15"/>
      <c r="JZ105" s="15"/>
      <c r="KA105" s="15"/>
      <c r="KB105" s="15"/>
      <c r="KC105" s="15"/>
      <c r="KD105" s="15"/>
      <c r="KE105" s="15"/>
      <c r="KF105" s="15"/>
      <c r="KG105" s="15"/>
      <c r="KH105" s="15"/>
      <c r="KI105" s="15"/>
      <c r="KJ105" s="15"/>
      <c r="KK105" s="15"/>
      <c r="KL105" s="15"/>
      <c r="LI105" s="15"/>
      <c r="LJ105" s="15"/>
      <c r="LK105" s="15"/>
      <c r="LL105" s="15"/>
      <c r="LM105" s="15"/>
      <c r="LN105" s="15"/>
      <c r="LO105" s="15"/>
      <c r="LP105" s="15"/>
      <c r="LQ105" s="15"/>
      <c r="LR105" s="15"/>
    </row>
    <row r="106" spans="2:330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B106" s="15"/>
      <c r="BD106" s="15"/>
      <c r="BE106" s="15"/>
      <c r="BF106" s="15"/>
      <c r="BG106" s="15"/>
      <c r="BH106" s="15"/>
      <c r="BX106" s="15"/>
      <c r="BY106" s="15"/>
      <c r="BZ106" s="15"/>
      <c r="CB106" s="15"/>
      <c r="CC106" s="15"/>
      <c r="CD106" s="15"/>
      <c r="CE106" s="15"/>
      <c r="CF106" s="15"/>
      <c r="CG106" s="15"/>
      <c r="CH106" s="15"/>
      <c r="CI106" s="15"/>
      <c r="CJ106" s="15"/>
      <c r="CK106" s="15"/>
      <c r="CL106" s="15"/>
      <c r="CM106" s="15"/>
      <c r="CN106" s="15"/>
      <c r="CP106" s="15"/>
      <c r="CQ106" s="15"/>
      <c r="CR106" s="15"/>
      <c r="CS106" s="15"/>
      <c r="CU106" s="15"/>
      <c r="EP106" s="15"/>
      <c r="EQ106" s="15"/>
      <c r="ER106" s="15"/>
      <c r="ES106" s="15"/>
      <c r="ET106" s="15"/>
      <c r="EU106" s="15"/>
      <c r="EV106" s="15"/>
      <c r="EW106" s="15"/>
      <c r="EX106" s="15"/>
      <c r="EY106" s="15"/>
      <c r="FA106" s="15"/>
      <c r="FB106" s="15"/>
      <c r="FC106" s="15"/>
      <c r="FD106" s="15"/>
      <c r="FE106" s="15"/>
      <c r="FG106" s="15"/>
      <c r="FH106" s="15"/>
      <c r="FI106" s="15"/>
      <c r="FJ106" s="15"/>
      <c r="FK106" s="15"/>
      <c r="FL106" s="15"/>
      <c r="FM106" s="15"/>
      <c r="FO106" s="15"/>
      <c r="FP106" s="15"/>
      <c r="FQ106" s="15"/>
      <c r="FR106" s="15"/>
      <c r="FT106" s="15"/>
      <c r="FU106" s="15"/>
      <c r="FW106" s="15"/>
      <c r="FY106" s="15"/>
      <c r="FZ106" s="15"/>
      <c r="GA106" s="15"/>
      <c r="GB106" s="15"/>
      <c r="GC106" s="15"/>
      <c r="GD106" s="15"/>
      <c r="GE106" s="15"/>
      <c r="GF106" s="15"/>
      <c r="HH106" s="15"/>
      <c r="HI106" s="15"/>
      <c r="HJ106" s="15"/>
      <c r="HK106" s="15"/>
      <c r="HL106" s="15"/>
      <c r="HN106" s="15"/>
      <c r="HO106" s="15"/>
      <c r="HP106" s="15"/>
      <c r="HQ106" s="15"/>
      <c r="HR106" s="15"/>
      <c r="HS106" s="15"/>
      <c r="HT106" s="15"/>
      <c r="HU106" s="15"/>
      <c r="HW106" s="15"/>
      <c r="IQ106" s="15"/>
      <c r="IR106" s="15"/>
      <c r="IS106" s="15"/>
      <c r="IT106" s="15"/>
      <c r="IU106" s="15"/>
      <c r="IV106" s="15"/>
      <c r="IW106" s="15"/>
      <c r="IX106" s="15"/>
      <c r="IY106" s="15"/>
      <c r="IZ106" s="15"/>
      <c r="JA106" s="15"/>
      <c r="JB106" s="15"/>
      <c r="JC106" s="15"/>
      <c r="JE106" s="15"/>
      <c r="JF106" s="15"/>
      <c r="JZ106" s="15"/>
      <c r="KA106" s="15"/>
      <c r="KB106" s="15"/>
      <c r="KC106" s="15"/>
      <c r="KD106" s="15"/>
      <c r="KE106" s="15"/>
      <c r="KF106" s="15"/>
      <c r="KG106" s="15"/>
      <c r="KH106" s="15"/>
      <c r="KI106" s="15"/>
      <c r="KJ106" s="15"/>
      <c r="KK106" s="15"/>
      <c r="KL106" s="15"/>
      <c r="KM106" s="15"/>
      <c r="LI106" s="15"/>
      <c r="LJ106" s="15"/>
      <c r="LK106" s="15"/>
      <c r="LL106" s="15"/>
      <c r="LM106" s="15"/>
      <c r="LN106" s="15"/>
      <c r="LO106" s="15"/>
      <c r="LP106" s="15"/>
      <c r="LQ106" s="15"/>
      <c r="LR106" s="15"/>
    </row>
    <row r="107" spans="2:330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F107" s="15"/>
      <c r="BG107" s="15"/>
      <c r="BH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EP107" s="15"/>
      <c r="EQ107" s="15"/>
      <c r="ER107" s="15"/>
      <c r="ES107" s="15"/>
      <c r="ET107" s="15"/>
      <c r="EU107" s="15"/>
      <c r="EV107" s="15"/>
      <c r="EW107" s="15"/>
      <c r="EX107" s="15"/>
      <c r="EY107" s="15"/>
      <c r="EZ107" s="15"/>
      <c r="FA107" s="15"/>
      <c r="FB107" s="15"/>
      <c r="FC107" s="15"/>
      <c r="FD107" s="15"/>
      <c r="FE107" s="15"/>
      <c r="FF107" s="15"/>
      <c r="FG107" s="15"/>
      <c r="FH107" s="15"/>
      <c r="FI107" s="15"/>
      <c r="FJ107" s="15"/>
      <c r="FK107" s="15"/>
      <c r="FL107" s="15"/>
      <c r="FM107" s="15"/>
      <c r="FN107" s="15"/>
      <c r="FO107" s="15"/>
      <c r="FP107" s="15"/>
      <c r="FQ107" s="15"/>
      <c r="FR107" s="15"/>
      <c r="FS107" s="15"/>
      <c r="FT107" s="15"/>
      <c r="FU107" s="15"/>
      <c r="FV107" s="15"/>
      <c r="FW107" s="15"/>
      <c r="FX107" s="15"/>
      <c r="FY107" s="15"/>
      <c r="FZ107" s="15"/>
      <c r="GA107" s="15"/>
      <c r="GB107" s="15"/>
      <c r="GC107" s="15"/>
      <c r="GD107" s="15"/>
      <c r="GE107" s="15"/>
      <c r="GF107" s="15"/>
      <c r="HH107" s="15"/>
      <c r="HI107" s="15"/>
      <c r="HJ107" s="15"/>
      <c r="HK107" s="15"/>
      <c r="HL107" s="15"/>
      <c r="HM107" s="15"/>
      <c r="HN107" s="15"/>
      <c r="HO107" s="15"/>
      <c r="HP107" s="15"/>
      <c r="HQ107" s="15"/>
      <c r="HR107" s="15"/>
      <c r="HS107" s="15"/>
      <c r="HT107" s="15"/>
      <c r="HU107" s="15"/>
      <c r="HV107" s="15"/>
      <c r="HW107" s="15"/>
      <c r="HX107" s="15"/>
      <c r="HY107" s="15"/>
      <c r="HZ107" s="15"/>
      <c r="IQ107" s="15"/>
      <c r="IR107" s="15"/>
      <c r="IS107" s="15"/>
      <c r="IT107" s="15"/>
      <c r="IU107" s="15"/>
      <c r="IV107" s="15"/>
      <c r="IW107" s="15"/>
      <c r="IX107" s="15"/>
      <c r="IY107" s="15"/>
      <c r="IZ107" s="15"/>
      <c r="JA107" s="15"/>
      <c r="JB107" s="15"/>
      <c r="JC107" s="15"/>
      <c r="JD107" s="15"/>
      <c r="JE107" s="15"/>
      <c r="JF107" s="15"/>
      <c r="JZ107" s="15"/>
      <c r="KA107" s="15"/>
      <c r="KB107" s="15"/>
      <c r="KC107" s="15"/>
      <c r="KD107" s="15"/>
      <c r="KE107" s="15"/>
      <c r="KF107" s="15"/>
      <c r="KG107" s="15"/>
      <c r="KH107" s="15"/>
      <c r="KI107" s="15"/>
      <c r="KJ107" s="15"/>
      <c r="KK107" s="15"/>
      <c r="KL107" s="15"/>
      <c r="KM107" s="15"/>
      <c r="LI107" s="15"/>
      <c r="LJ107" s="15"/>
      <c r="LK107" s="15"/>
      <c r="LL107" s="15"/>
      <c r="LM107" s="15"/>
      <c r="LN107" s="15"/>
      <c r="LO107" s="15"/>
      <c r="LP107" s="15"/>
      <c r="LQ107" s="15"/>
      <c r="LR107" s="15"/>
    </row>
    <row r="108" spans="2:330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R108" s="15"/>
      <c r="T108" s="15"/>
      <c r="U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X108" s="15"/>
      <c r="BY108" s="15"/>
      <c r="BZ108" s="15"/>
      <c r="CB108" s="15"/>
      <c r="CC108" s="15"/>
      <c r="CD108" s="15"/>
      <c r="CE108" s="15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EP108" s="15"/>
      <c r="EQ108" s="15"/>
      <c r="ER108" s="15"/>
      <c r="ES108" s="15"/>
      <c r="ET108" s="15"/>
      <c r="EU108" s="15"/>
      <c r="EV108" s="15"/>
      <c r="EW108" s="15"/>
      <c r="EX108" s="15"/>
      <c r="EY108" s="15"/>
      <c r="EZ108" s="15"/>
      <c r="FA108" s="15"/>
      <c r="FB108" s="15"/>
      <c r="FC108" s="15"/>
      <c r="FD108" s="15"/>
      <c r="FE108" s="15"/>
      <c r="FF108" s="15"/>
      <c r="FG108" s="15"/>
      <c r="FH108" s="15"/>
      <c r="FI108" s="15"/>
      <c r="FJ108" s="15"/>
      <c r="FK108" s="15"/>
      <c r="FL108" s="15"/>
      <c r="FM108" s="15"/>
      <c r="FN108" s="15"/>
      <c r="FO108" s="15"/>
      <c r="FP108" s="15"/>
      <c r="FQ108" s="15"/>
      <c r="FR108" s="15"/>
      <c r="FS108" s="15"/>
      <c r="FU108" s="15"/>
      <c r="FY108" s="15"/>
      <c r="FZ108" s="15"/>
      <c r="GA108" s="15"/>
      <c r="GB108" s="15"/>
      <c r="GC108" s="15"/>
      <c r="GD108" s="15"/>
      <c r="GE108" s="15"/>
      <c r="GF108" s="15"/>
      <c r="HH108" s="15"/>
      <c r="HI108" s="15"/>
      <c r="HJ108" s="15"/>
      <c r="HK108" s="15"/>
      <c r="HL108" s="15"/>
      <c r="HM108" s="15"/>
      <c r="HN108" s="15"/>
      <c r="HO108" s="15"/>
      <c r="HP108" s="15"/>
      <c r="HQ108" s="15"/>
      <c r="HR108" s="15"/>
      <c r="HS108" s="15"/>
      <c r="HT108" s="15"/>
      <c r="HU108" s="15"/>
      <c r="HV108" s="15"/>
      <c r="IQ108" s="15"/>
      <c r="IR108" s="15"/>
      <c r="IS108" s="15"/>
      <c r="IT108" s="15"/>
      <c r="IU108" s="15"/>
      <c r="IV108" s="15"/>
      <c r="IW108" s="15"/>
      <c r="IX108" s="15"/>
      <c r="IY108" s="15"/>
      <c r="IZ108" s="15"/>
      <c r="JA108" s="15"/>
      <c r="JB108" s="15"/>
      <c r="JC108" s="15"/>
      <c r="JD108" s="15"/>
      <c r="JE108" s="15"/>
      <c r="JF108" s="15"/>
      <c r="JZ108" s="15"/>
      <c r="KA108" s="15"/>
      <c r="KB108" s="15"/>
      <c r="KC108" s="15"/>
      <c r="KD108" s="15"/>
      <c r="KE108" s="15"/>
      <c r="KF108" s="15"/>
      <c r="KG108" s="15"/>
      <c r="KH108" s="15"/>
      <c r="KI108" s="15"/>
      <c r="KJ108" s="15"/>
      <c r="KK108" s="15"/>
      <c r="KL108" s="15"/>
      <c r="LI108" s="15"/>
      <c r="LJ108" s="15"/>
      <c r="LK108" s="15"/>
      <c r="LL108" s="15"/>
      <c r="LM108" s="15"/>
      <c r="LN108" s="15"/>
      <c r="LO108" s="15"/>
      <c r="LP108" s="15"/>
      <c r="LQ108" s="15"/>
      <c r="LR108" s="15"/>
    </row>
    <row r="109" spans="2:330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X109" s="15"/>
      <c r="BY109" s="15"/>
      <c r="BZ109" s="15"/>
      <c r="CA109" s="15"/>
      <c r="CB109" s="15"/>
      <c r="CC109" s="15"/>
      <c r="CD109" s="15"/>
      <c r="CE109" s="15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  <c r="EP109" s="15"/>
      <c r="EQ109" s="15"/>
      <c r="ER109" s="15"/>
      <c r="ES109" s="15"/>
      <c r="ET109" s="15"/>
      <c r="EU109" s="15"/>
      <c r="EV109" s="15"/>
      <c r="EW109" s="15"/>
      <c r="EX109" s="15"/>
      <c r="EY109" s="15"/>
      <c r="EZ109" s="15"/>
      <c r="FA109" s="15"/>
      <c r="FB109" s="15"/>
      <c r="FC109" s="15"/>
      <c r="FD109" s="15"/>
      <c r="FE109" s="15"/>
      <c r="FF109" s="15"/>
      <c r="FG109" s="15"/>
      <c r="FH109" s="15"/>
      <c r="FI109" s="15"/>
      <c r="FJ109" s="15"/>
      <c r="FK109" s="15"/>
      <c r="FL109" s="15"/>
      <c r="FM109" s="15"/>
      <c r="FN109" s="15"/>
      <c r="FO109" s="15"/>
      <c r="FP109" s="15"/>
      <c r="FQ109" s="15"/>
      <c r="FR109" s="15"/>
      <c r="FS109" s="15"/>
      <c r="FT109" s="15"/>
      <c r="FU109" s="15"/>
      <c r="FV109" s="15"/>
      <c r="FW109" s="15"/>
      <c r="FX109" s="15"/>
      <c r="FY109" s="15"/>
      <c r="FZ109" s="15"/>
      <c r="GA109" s="15"/>
      <c r="GB109" s="15"/>
      <c r="GC109" s="15"/>
      <c r="GD109" s="15"/>
      <c r="GE109" s="15"/>
      <c r="GF109" s="15"/>
      <c r="HH109" s="15"/>
      <c r="HI109" s="15"/>
      <c r="HJ109" s="15"/>
      <c r="HK109" s="15"/>
      <c r="HL109" s="15"/>
      <c r="HM109" s="15"/>
      <c r="HN109" s="15"/>
      <c r="HO109" s="15"/>
      <c r="HP109" s="15"/>
      <c r="HQ109" s="15"/>
      <c r="HR109" s="15"/>
      <c r="HS109" s="15"/>
      <c r="HT109" s="15"/>
      <c r="HU109" s="15"/>
      <c r="HV109" s="15"/>
      <c r="HW109" s="15"/>
      <c r="HX109" s="15"/>
      <c r="HY109" s="15"/>
      <c r="HZ109" s="15"/>
      <c r="IQ109" s="15"/>
      <c r="IR109" s="15"/>
      <c r="IS109" s="15"/>
      <c r="IT109" s="15"/>
      <c r="IU109" s="15"/>
      <c r="IV109" s="15"/>
      <c r="IW109" s="15"/>
      <c r="IX109" s="15"/>
      <c r="IY109" s="15"/>
      <c r="IZ109" s="15"/>
      <c r="JA109" s="15"/>
      <c r="JB109" s="15"/>
      <c r="JC109" s="15"/>
      <c r="JD109" s="15"/>
      <c r="JE109" s="15"/>
      <c r="JF109" s="15"/>
      <c r="JZ109" s="15"/>
      <c r="KA109" s="15"/>
      <c r="KB109" s="15"/>
      <c r="KC109" s="15"/>
      <c r="KD109" s="15"/>
      <c r="KE109" s="15"/>
      <c r="KF109" s="15"/>
      <c r="KG109" s="15"/>
      <c r="KH109" s="15"/>
      <c r="KI109" s="15"/>
      <c r="KJ109" s="15"/>
      <c r="KK109" s="15"/>
      <c r="KL109" s="15"/>
      <c r="KM109" s="15"/>
      <c r="LI109" s="15"/>
      <c r="LJ109" s="15"/>
      <c r="LK109" s="15"/>
      <c r="LL109" s="15"/>
      <c r="LM109" s="15"/>
      <c r="LN109" s="15"/>
      <c r="LO109" s="15"/>
      <c r="LP109" s="15"/>
      <c r="LQ109" s="15"/>
      <c r="LR109" s="15"/>
    </row>
    <row r="110" spans="2:330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EP110" s="15"/>
      <c r="EQ110" s="15"/>
      <c r="ER110" s="15"/>
      <c r="ES110" s="15"/>
      <c r="ET110" s="15"/>
      <c r="EU110" s="15"/>
      <c r="EV110" s="15"/>
      <c r="EW110" s="15"/>
      <c r="EX110" s="15"/>
      <c r="EY110" s="15"/>
      <c r="EZ110" s="15"/>
      <c r="FA110" s="15"/>
      <c r="FB110" s="15"/>
      <c r="FC110" s="15"/>
      <c r="FD110" s="15"/>
      <c r="FE110" s="15"/>
      <c r="FF110" s="15"/>
      <c r="FG110" s="15"/>
      <c r="FH110" s="15"/>
      <c r="FI110" s="15"/>
      <c r="FJ110" s="15"/>
      <c r="FK110" s="15"/>
      <c r="FL110" s="15"/>
      <c r="FM110" s="15"/>
      <c r="FN110" s="15"/>
      <c r="FO110" s="15"/>
      <c r="FP110" s="15"/>
      <c r="FQ110" s="15"/>
      <c r="FR110" s="15"/>
      <c r="FS110" s="15"/>
      <c r="FT110" s="15"/>
      <c r="FU110" s="15"/>
      <c r="FV110" s="15"/>
      <c r="FW110" s="15"/>
      <c r="FX110" s="15"/>
      <c r="FY110" s="15"/>
      <c r="FZ110" s="15"/>
      <c r="GA110" s="15"/>
      <c r="GB110" s="15"/>
      <c r="GC110" s="15"/>
      <c r="GD110" s="15"/>
      <c r="GE110" s="15"/>
      <c r="GF110" s="15"/>
      <c r="HH110" s="15"/>
      <c r="HI110" s="15"/>
      <c r="HJ110" s="15"/>
      <c r="HK110" s="15"/>
      <c r="HL110" s="15"/>
      <c r="HM110" s="15"/>
      <c r="HN110" s="15"/>
      <c r="HO110" s="15"/>
      <c r="HP110" s="15"/>
      <c r="HQ110" s="15"/>
      <c r="HR110" s="15"/>
      <c r="HS110" s="15"/>
      <c r="HT110" s="15"/>
      <c r="HU110" s="15"/>
      <c r="HV110" s="15"/>
      <c r="HW110" s="15"/>
      <c r="HX110" s="15"/>
      <c r="HY110" s="15"/>
      <c r="HZ110" s="15"/>
      <c r="IQ110" s="15"/>
      <c r="IR110" s="15"/>
      <c r="IS110" s="15"/>
      <c r="IT110" s="15"/>
      <c r="IU110" s="15"/>
      <c r="IV110" s="15"/>
      <c r="IW110" s="15"/>
      <c r="IX110" s="15"/>
      <c r="IY110" s="15"/>
      <c r="IZ110" s="15"/>
      <c r="JA110" s="15"/>
      <c r="JB110" s="15"/>
      <c r="JC110" s="15"/>
      <c r="JD110" s="15"/>
      <c r="JE110" s="15"/>
      <c r="JF110" s="15"/>
      <c r="JZ110" s="15"/>
      <c r="KA110" s="15"/>
      <c r="KB110" s="15"/>
      <c r="KC110" s="15"/>
      <c r="KD110" s="15"/>
      <c r="KE110" s="15"/>
      <c r="KF110" s="15"/>
      <c r="KG110" s="15"/>
      <c r="KH110" s="15"/>
      <c r="KI110" s="15"/>
      <c r="KJ110" s="15"/>
      <c r="KK110" s="15"/>
      <c r="KL110" s="15"/>
      <c r="KM110" s="15"/>
      <c r="LI110" s="15"/>
      <c r="LJ110" s="15"/>
      <c r="LK110" s="15"/>
      <c r="LL110" s="15"/>
      <c r="LM110" s="15"/>
      <c r="LN110" s="15"/>
      <c r="LO110" s="15"/>
      <c r="LP110" s="15"/>
      <c r="LQ110" s="15"/>
      <c r="LR110" s="15"/>
    </row>
    <row r="111" spans="2:330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H111" s="15"/>
      <c r="BX111" s="15"/>
      <c r="BY111" s="15"/>
      <c r="BZ111" s="15"/>
      <c r="CA111" s="15"/>
      <c r="CB111" s="15"/>
      <c r="CC111" s="15"/>
      <c r="CD111" s="15"/>
      <c r="CE111" s="15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  <c r="EP111" s="15"/>
      <c r="EQ111" s="15"/>
      <c r="ER111" s="15"/>
      <c r="ES111" s="15"/>
      <c r="ET111" s="15"/>
      <c r="EU111" s="15"/>
      <c r="EV111" s="15"/>
      <c r="EW111" s="15"/>
      <c r="EX111" s="15"/>
      <c r="EY111" s="15"/>
      <c r="EZ111" s="15"/>
      <c r="FA111" s="15"/>
      <c r="FB111" s="15"/>
      <c r="FC111" s="15"/>
      <c r="FD111" s="15"/>
      <c r="FE111" s="15"/>
      <c r="FF111" s="15"/>
      <c r="FG111" s="15"/>
      <c r="FH111" s="15"/>
      <c r="FI111" s="15"/>
      <c r="FJ111" s="15"/>
      <c r="FK111" s="15"/>
      <c r="FL111" s="15"/>
      <c r="FM111" s="15"/>
      <c r="FN111" s="15"/>
      <c r="FO111" s="15"/>
      <c r="FP111" s="15"/>
      <c r="FQ111" s="15"/>
      <c r="FR111" s="15"/>
      <c r="FS111" s="15"/>
      <c r="FT111" s="15"/>
      <c r="FU111" s="15"/>
      <c r="FV111" s="15"/>
      <c r="FW111" s="15"/>
      <c r="FX111" s="15"/>
      <c r="FY111" s="15"/>
      <c r="FZ111" s="15"/>
      <c r="GA111" s="15"/>
      <c r="GB111" s="15"/>
      <c r="GC111" s="15"/>
      <c r="GD111" s="15"/>
      <c r="GE111" s="15"/>
      <c r="GF111" s="15"/>
      <c r="HH111" s="15"/>
      <c r="HI111" s="15"/>
      <c r="HJ111" s="15"/>
      <c r="HK111" s="15"/>
      <c r="HL111" s="15"/>
      <c r="HM111" s="15"/>
      <c r="HN111" s="15"/>
      <c r="HO111" s="15"/>
      <c r="HP111" s="15"/>
      <c r="HQ111" s="15"/>
      <c r="HR111" s="15"/>
      <c r="HS111" s="15"/>
      <c r="HT111" s="15"/>
      <c r="HU111" s="15"/>
      <c r="HV111" s="15"/>
      <c r="HW111" s="15"/>
      <c r="HX111" s="15"/>
      <c r="HY111" s="15"/>
      <c r="HZ111" s="15"/>
      <c r="IQ111" s="15"/>
      <c r="IS111" s="15"/>
      <c r="IT111" s="15"/>
      <c r="IU111" s="15"/>
      <c r="IV111" s="15"/>
      <c r="IW111" s="15"/>
      <c r="IX111" s="15"/>
      <c r="IY111" s="15"/>
      <c r="IZ111" s="15"/>
      <c r="JA111" s="15"/>
      <c r="JC111" s="15"/>
      <c r="JZ111" s="15"/>
      <c r="KA111" s="15"/>
      <c r="KB111" s="15"/>
      <c r="KC111" s="15"/>
      <c r="KD111" s="15"/>
      <c r="KE111" s="15"/>
      <c r="KF111" s="15"/>
      <c r="KG111" s="15"/>
      <c r="KH111" s="15"/>
      <c r="KI111" s="15"/>
      <c r="KJ111" s="15"/>
      <c r="KK111" s="15"/>
      <c r="KL111" s="15"/>
      <c r="KM111" s="15"/>
      <c r="LI111" s="15"/>
      <c r="LJ111" s="15"/>
      <c r="LK111" s="15"/>
      <c r="LM111" s="15"/>
      <c r="LO111" s="15"/>
      <c r="LP111" s="15"/>
      <c r="LR111" s="15"/>
    </row>
    <row r="112" spans="2:330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Z112" s="15"/>
      <c r="AA112" s="15"/>
      <c r="AB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X112" s="15"/>
      <c r="BY112" s="15"/>
      <c r="BZ112" s="15"/>
      <c r="CA112" s="15"/>
      <c r="CB112" s="15"/>
      <c r="CC112" s="15"/>
      <c r="CD112" s="15"/>
      <c r="CE112" s="15"/>
      <c r="CF112" s="15"/>
      <c r="CG112" s="15"/>
      <c r="CH112" s="15"/>
      <c r="CI112" s="15"/>
      <c r="CJ112" s="15"/>
      <c r="CK112" s="15"/>
      <c r="CM112" s="15"/>
      <c r="CN112" s="15"/>
      <c r="CO112" s="15"/>
      <c r="CP112" s="15"/>
      <c r="CR112" s="15"/>
      <c r="CT112" s="15"/>
      <c r="CU112" s="15"/>
      <c r="EP112" s="15"/>
      <c r="EQ112" s="15"/>
      <c r="ER112" s="15"/>
      <c r="ES112" s="15"/>
      <c r="ET112" s="15"/>
      <c r="EU112" s="15"/>
      <c r="EV112" s="15"/>
      <c r="EW112" s="15"/>
      <c r="EX112" s="15"/>
      <c r="EY112" s="15"/>
      <c r="EZ112" s="15"/>
      <c r="FA112" s="15"/>
      <c r="FB112" s="15"/>
      <c r="FC112" s="15"/>
      <c r="FD112" s="15"/>
      <c r="FE112" s="15"/>
      <c r="FF112" s="15"/>
      <c r="FG112" s="15"/>
      <c r="FH112" s="15"/>
      <c r="FI112" s="15"/>
      <c r="FJ112" s="15"/>
      <c r="FK112" s="15"/>
      <c r="FL112" s="15"/>
      <c r="FM112" s="15"/>
      <c r="FN112" s="15"/>
      <c r="FO112" s="15"/>
      <c r="FP112" s="15"/>
      <c r="FQ112" s="15"/>
      <c r="FR112" s="15"/>
      <c r="FS112" s="15"/>
      <c r="FT112" s="15"/>
      <c r="FU112" s="15"/>
      <c r="FV112" s="15"/>
      <c r="FY112" s="15"/>
      <c r="FZ112" s="15"/>
      <c r="GA112" s="15"/>
      <c r="GC112" s="15"/>
      <c r="GD112" s="15"/>
      <c r="GE112" s="15"/>
      <c r="GF112" s="15"/>
      <c r="HH112" s="15"/>
      <c r="HI112" s="15"/>
      <c r="HJ112" s="15"/>
      <c r="HK112" s="15"/>
      <c r="HL112" s="15"/>
      <c r="HM112" s="15"/>
      <c r="HN112" s="15"/>
      <c r="HO112" s="15"/>
      <c r="HP112" s="15"/>
      <c r="HQ112" s="15"/>
      <c r="HR112" s="15"/>
      <c r="HS112" s="15"/>
      <c r="HT112" s="15"/>
      <c r="HU112" s="15"/>
      <c r="HV112" s="15"/>
      <c r="HW112" s="15"/>
      <c r="HX112" s="15"/>
      <c r="HY112" s="15"/>
      <c r="HZ112" s="15"/>
      <c r="IQ112" s="15"/>
      <c r="IR112" s="15"/>
      <c r="IS112" s="15"/>
      <c r="IT112" s="15"/>
      <c r="IU112" s="15"/>
      <c r="IV112" s="15"/>
      <c r="IW112" s="15"/>
      <c r="IX112" s="15"/>
      <c r="IY112" s="15"/>
      <c r="IZ112" s="15"/>
      <c r="JA112" s="15"/>
      <c r="JB112" s="15"/>
      <c r="JC112" s="15"/>
      <c r="JD112" s="15"/>
      <c r="JE112" s="15"/>
      <c r="JZ112" s="15"/>
      <c r="KA112" s="15"/>
      <c r="KB112" s="15"/>
      <c r="KC112" s="15"/>
      <c r="KD112" s="15"/>
      <c r="KE112" s="15"/>
      <c r="KF112" s="15"/>
      <c r="KG112" s="15"/>
      <c r="KH112" s="15"/>
      <c r="KI112" s="15"/>
      <c r="KJ112" s="15"/>
      <c r="KK112" s="15"/>
      <c r="KL112" s="15"/>
      <c r="LI112" s="15"/>
      <c r="LJ112" s="15"/>
      <c r="LK112" s="15"/>
      <c r="LL112" s="15"/>
      <c r="LM112" s="15"/>
      <c r="LN112" s="15"/>
      <c r="LO112" s="15"/>
      <c r="LP112" s="15"/>
      <c r="LQ112" s="15"/>
    </row>
    <row r="113" spans="2:330">
      <c r="B113" s="15"/>
      <c r="C113" s="15"/>
      <c r="D113" s="15"/>
      <c r="E113" s="15"/>
      <c r="F113" s="15"/>
      <c r="G113" s="15"/>
      <c r="H113" s="15"/>
      <c r="I113" s="15"/>
      <c r="L113" s="15"/>
      <c r="M113" s="15"/>
      <c r="N113" s="15"/>
      <c r="O113" s="15"/>
      <c r="P113" s="15"/>
      <c r="Q113" s="15"/>
      <c r="R113" s="15"/>
      <c r="V113" s="15"/>
      <c r="W113" s="15"/>
      <c r="X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X113" s="15"/>
      <c r="BY113" s="15"/>
      <c r="CA113" s="15"/>
      <c r="CB113" s="15"/>
      <c r="CC113" s="15"/>
      <c r="CD113" s="15"/>
      <c r="CE113" s="15"/>
      <c r="CG113" s="15"/>
      <c r="CH113" s="15"/>
      <c r="CI113" s="15"/>
      <c r="CJ113" s="15"/>
      <c r="CK113" s="15"/>
      <c r="CL113" s="15"/>
      <c r="CO113" s="15"/>
      <c r="CP113" s="15"/>
      <c r="CQ113" s="15"/>
      <c r="EP113" s="15"/>
      <c r="EQ113" s="15"/>
      <c r="ER113" s="15"/>
      <c r="ES113" s="15"/>
      <c r="ET113" s="15"/>
      <c r="EU113" s="15"/>
      <c r="EV113" s="15"/>
      <c r="EW113" s="15"/>
      <c r="EX113" s="15"/>
      <c r="EY113" s="15"/>
      <c r="EZ113" s="15"/>
      <c r="FA113" s="15"/>
      <c r="FB113" s="15"/>
      <c r="FC113" s="15"/>
      <c r="FD113" s="15"/>
      <c r="FE113" s="15"/>
      <c r="FF113" s="15"/>
      <c r="FG113" s="15"/>
      <c r="FH113" s="15"/>
      <c r="FI113" s="15"/>
      <c r="FJ113" s="15"/>
      <c r="FK113" s="15"/>
      <c r="FL113" s="15"/>
      <c r="FM113" s="15"/>
      <c r="FN113" s="15"/>
      <c r="FO113" s="15"/>
      <c r="FP113" s="15"/>
      <c r="FQ113" s="15"/>
      <c r="FR113" s="15"/>
      <c r="FS113" s="15"/>
      <c r="FT113" s="15"/>
      <c r="FU113" s="15"/>
      <c r="FV113" s="15"/>
      <c r="FW113" s="15"/>
      <c r="FY113" s="15"/>
      <c r="FZ113" s="15"/>
      <c r="GA113" s="15"/>
      <c r="GC113" s="15"/>
      <c r="GD113" s="15"/>
      <c r="GE113" s="15"/>
      <c r="HH113" s="15"/>
      <c r="HI113" s="15"/>
      <c r="HK113" s="15"/>
      <c r="HM113" s="15"/>
      <c r="HN113" s="15"/>
      <c r="HO113" s="15"/>
      <c r="HP113" s="15"/>
      <c r="HR113" s="15"/>
      <c r="HS113" s="15"/>
      <c r="HT113" s="15"/>
      <c r="HU113" s="15"/>
      <c r="IQ113" s="15"/>
      <c r="IR113" s="15"/>
      <c r="IS113" s="15"/>
      <c r="IT113" s="15"/>
      <c r="IU113" s="15"/>
      <c r="IV113" s="15"/>
      <c r="IW113" s="15"/>
      <c r="IX113" s="15"/>
      <c r="IY113" s="15"/>
      <c r="IZ113" s="15"/>
      <c r="JA113" s="15"/>
      <c r="JB113" s="15"/>
      <c r="JC113" s="15"/>
      <c r="JE113" s="15"/>
      <c r="JF113" s="15"/>
      <c r="JZ113" s="15"/>
      <c r="KA113" s="15"/>
      <c r="KB113" s="15"/>
      <c r="KC113" s="15"/>
      <c r="KD113" s="15"/>
      <c r="KE113" s="15"/>
      <c r="KF113" s="15"/>
      <c r="KG113" s="15"/>
      <c r="KH113" s="15"/>
      <c r="KI113" s="15"/>
      <c r="KJ113" s="15"/>
      <c r="KK113" s="15"/>
      <c r="KL113" s="15"/>
      <c r="LI113" s="15"/>
      <c r="LJ113" s="15"/>
      <c r="LK113" s="15"/>
      <c r="LL113" s="15"/>
      <c r="LM113" s="15"/>
      <c r="LN113" s="15"/>
      <c r="LO113" s="15"/>
      <c r="LP113" s="15"/>
      <c r="LQ113" s="15"/>
      <c r="LR113" s="15"/>
    </row>
    <row r="114" spans="2:330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T114" s="15"/>
      <c r="U114" s="15"/>
      <c r="V114" s="15"/>
      <c r="W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X114" s="15"/>
      <c r="BY114" s="15"/>
      <c r="BZ114" s="15"/>
      <c r="CA114" s="15"/>
      <c r="CB114" s="15"/>
      <c r="CC114" s="15"/>
      <c r="CD114" s="15"/>
      <c r="CE114" s="15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U114" s="15"/>
      <c r="EP114" s="15"/>
      <c r="EQ114" s="15"/>
      <c r="ER114" s="15"/>
      <c r="ES114" s="15"/>
      <c r="ET114" s="15"/>
      <c r="EU114" s="15"/>
      <c r="EV114" s="15"/>
      <c r="EW114" s="15"/>
      <c r="EX114" s="15"/>
      <c r="EY114" s="15"/>
      <c r="EZ114" s="15"/>
      <c r="FA114" s="15"/>
      <c r="FB114" s="15"/>
      <c r="FC114" s="15"/>
      <c r="FD114" s="15"/>
      <c r="FE114" s="15"/>
      <c r="FF114" s="15"/>
      <c r="FG114" s="15"/>
      <c r="FH114" s="15"/>
      <c r="FI114" s="15"/>
      <c r="FJ114" s="15"/>
      <c r="FK114" s="15"/>
      <c r="FL114" s="15"/>
      <c r="FM114" s="15"/>
      <c r="FN114" s="15"/>
      <c r="FO114" s="15"/>
      <c r="FP114" s="15"/>
      <c r="FQ114" s="15"/>
      <c r="FR114" s="15"/>
      <c r="FS114" s="15"/>
      <c r="FT114" s="15"/>
      <c r="FU114" s="15"/>
      <c r="FV114" s="15"/>
      <c r="FW114" s="15"/>
      <c r="FX114" s="15"/>
      <c r="FY114" s="15"/>
      <c r="FZ114" s="15"/>
      <c r="GA114" s="15"/>
      <c r="GB114" s="15"/>
      <c r="GC114" s="15"/>
      <c r="GD114" s="15"/>
      <c r="GE114" s="15"/>
      <c r="GF114" s="15"/>
      <c r="HH114" s="15"/>
      <c r="HI114" s="15"/>
      <c r="HJ114" s="15"/>
      <c r="HM114" s="15"/>
      <c r="HN114" s="15"/>
      <c r="HO114" s="15"/>
      <c r="HP114" s="15"/>
      <c r="HQ114" s="15"/>
      <c r="HR114" s="15"/>
      <c r="HS114" s="15"/>
      <c r="HT114" s="15"/>
      <c r="HU114" s="15"/>
      <c r="HV114" s="15"/>
      <c r="HW114" s="15"/>
      <c r="HX114" s="15"/>
      <c r="HY114" s="15"/>
      <c r="HZ114" s="15"/>
      <c r="IQ114" s="15"/>
      <c r="IR114" s="15"/>
      <c r="IS114" s="15"/>
      <c r="IT114" s="15"/>
      <c r="IU114" s="15"/>
      <c r="IV114" s="15"/>
      <c r="IW114" s="15"/>
      <c r="IX114" s="15"/>
      <c r="IY114" s="15"/>
      <c r="IZ114" s="15"/>
      <c r="JA114" s="15"/>
      <c r="JB114" s="15"/>
      <c r="JC114" s="15"/>
      <c r="JD114" s="15"/>
      <c r="JE114" s="15"/>
      <c r="JF114" s="15"/>
      <c r="JZ114" s="15"/>
      <c r="KA114" s="15"/>
      <c r="KB114" s="15"/>
      <c r="KC114" s="15"/>
      <c r="KD114" s="15"/>
      <c r="KE114" s="15"/>
      <c r="KF114" s="15"/>
      <c r="KG114" s="15"/>
      <c r="KH114" s="15"/>
      <c r="KI114" s="15"/>
      <c r="KJ114" s="15"/>
      <c r="KK114" s="15"/>
      <c r="KL114" s="15"/>
      <c r="LI114" s="15"/>
      <c r="LJ114" s="15"/>
      <c r="LK114" s="15"/>
      <c r="LL114" s="15"/>
      <c r="LM114" s="15"/>
      <c r="LN114" s="15"/>
      <c r="LO114" s="15"/>
      <c r="LP114" s="15"/>
      <c r="LQ114" s="15"/>
      <c r="LR114" s="15"/>
    </row>
    <row r="115" spans="2:330">
      <c r="B115" s="15"/>
      <c r="C115" s="15"/>
      <c r="D115" s="15"/>
      <c r="E115" s="15"/>
      <c r="F115" s="15"/>
      <c r="G115" s="15"/>
      <c r="H115" s="15"/>
      <c r="I115" s="15"/>
      <c r="K115" s="15"/>
      <c r="L115" s="15"/>
      <c r="M115" s="15"/>
      <c r="N115" s="15"/>
      <c r="O115" s="15"/>
      <c r="P115" s="15"/>
      <c r="Q115" s="15"/>
      <c r="R115" s="15"/>
      <c r="T115" s="15"/>
      <c r="U115" s="15"/>
      <c r="V115" s="15"/>
      <c r="W115" s="15"/>
      <c r="X115" s="15"/>
      <c r="Y115" s="15"/>
      <c r="Z115" s="15"/>
      <c r="AA115" s="15"/>
      <c r="AO115" s="15"/>
      <c r="AP115" s="15"/>
      <c r="AQ115" s="15"/>
      <c r="AR115" s="15"/>
      <c r="AS115" s="15"/>
      <c r="AT115" s="15"/>
      <c r="AU115" s="15"/>
      <c r="AV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X115" s="15"/>
      <c r="BY115" s="15"/>
      <c r="BZ115" s="15"/>
      <c r="CA115" s="15"/>
      <c r="CB115" s="15"/>
      <c r="CC115" s="15"/>
      <c r="CD115" s="15"/>
      <c r="CE115" s="15"/>
      <c r="CF115" s="15"/>
      <c r="CG115" s="15"/>
      <c r="CH115" s="15"/>
      <c r="CI115" s="15"/>
      <c r="CJ115" s="15"/>
      <c r="CK115" s="15"/>
      <c r="CL115" s="15"/>
      <c r="CM115" s="15"/>
      <c r="CN115" s="15"/>
      <c r="EP115" s="15"/>
      <c r="EQ115" s="15"/>
      <c r="ER115" s="15"/>
      <c r="ES115" s="15"/>
      <c r="ET115" s="15"/>
      <c r="EU115" s="15"/>
      <c r="EV115" s="15"/>
      <c r="EW115" s="15"/>
      <c r="EX115" s="15"/>
      <c r="EY115" s="15"/>
      <c r="EZ115" s="15"/>
      <c r="FA115" s="15"/>
      <c r="FB115" s="15"/>
      <c r="FC115" s="15"/>
      <c r="FD115" s="15"/>
      <c r="FE115" s="15"/>
      <c r="FF115" s="15"/>
      <c r="FG115" s="15"/>
      <c r="FH115" s="15"/>
      <c r="FI115" s="15"/>
      <c r="FJ115" s="15"/>
      <c r="FK115" s="15"/>
      <c r="FL115" s="15"/>
      <c r="FM115" s="15"/>
      <c r="FN115" s="15"/>
      <c r="FO115" s="15"/>
      <c r="FP115" s="15"/>
      <c r="FQ115" s="15"/>
      <c r="FR115" s="15"/>
      <c r="FY115" s="15"/>
      <c r="FZ115" s="15"/>
      <c r="GA115" s="15"/>
      <c r="GB115" s="15"/>
      <c r="GC115" s="15"/>
      <c r="GD115" s="15"/>
      <c r="GE115" s="15"/>
      <c r="GF115" s="15"/>
      <c r="HH115" s="15"/>
      <c r="HI115" s="15"/>
      <c r="HJ115" s="15"/>
      <c r="HN115" s="15"/>
      <c r="HO115" s="15"/>
      <c r="HP115" s="15"/>
      <c r="HR115" s="15"/>
      <c r="HS115" s="15"/>
      <c r="HT115" s="15"/>
      <c r="HU115" s="15"/>
      <c r="HV115" s="15"/>
      <c r="HW115" s="15"/>
      <c r="HX115" s="15"/>
      <c r="HZ115" s="15"/>
      <c r="IQ115" s="15"/>
      <c r="IR115" s="15"/>
      <c r="IS115" s="15"/>
      <c r="IU115" s="15"/>
      <c r="IV115" s="15"/>
      <c r="IW115" s="15"/>
      <c r="IX115" s="15"/>
      <c r="IY115" s="15"/>
      <c r="IZ115" s="15"/>
      <c r="JA115" s="15"/>
      <c r="JB115" s="15"/>
      <c r="JC115" s="15"/>
      <c r="JD115" s="15"/>
      <c r="JE115" s="15"/>
      <c r="JF115" s="15"/>
      <c r="JZ115" s="15"/>
      <c r="KA115" s="15"/>
      <c r="KB115" s="15"/>
      <c r="KC115" s="15"/>
      <c r="KD115" s="15"/>
      <c r="KE115" s="15"/>
      <c r="KF115" s="15"/>
      <c r="KG115" s="15"/>
      <c r="KH115" s="15"/>
      <c r="KI115" s="15"/>
      <c r="KJ115" s="15"/>
      <c r="KK115" s="15"/>
      <c r="KL115" s="15"/>
      <c r="LI115" s="15"/>
      <c r="LJ115" s="15"/>
      <c r="LK115" s="15"/>
      <c r="LL115" s="15"/>
      <c r="LM115" s="15"/>
      <c r="LN115" s="15"/>
      <c r="LO115" s="15"/>
      <c r="LP115" s="15"/>
      <c r="LQ115" s="15"/>
      <c r="LR115" s="15"/>
    </row>
    <row r="116" spans="2:330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X116" s="15"/>
      <c r="BY116" s="15"/>
      <c r="BZ116" s="15"/>
      <c r="CA116" s="15"/>
      <c r="CB116" s="15"/>
      <c r="CC116" s="15"/>
      <c r="CD116" s="15"/>
      <c r="CE116" s="15"/>
      <c r="CF116" s="15"/>
      <c r="CG116" s="15"/>
      <c r="CH116" s="15"/>
      <c r="CI116" s="15"/>
      <c r="CJ116" s="15"/>
      <c r="CK116" s="15"/>
      <c r="CL116" s="15"/>
      <c r="CN116" s="15"/>
      <c r="CO116" s="15"/>
      <c r="CP116" s="15"/>
      <c r="CQ116" s="15"/>
      <c r="EP116" s="15"/>
      <c r="EQ116" s="15"/>
      <c r="ER116" s="15"/>
      <c r="ES116" s="15"/>
      <c r="ET116" s="15"/>
      <c r="EU116" s="15"/>
      <c r="EV116" s="15"/>
      <c r="EW116" s="15"/>
      <c r="EX116" s="15"/>
      <c r="EY116" s="15"/>
      <c r="EZ116" s="15"/>
      <c r="FA116" s="15"/>
      <c r="FB116" s="15"/>
      <c r="FC116" s="15"/>
      <c r="FD116" s="15"/>
      <c r="FE116" s="15"/>
      <c r="FF116" s="15"/>
      <c r="FG116" s="15"/>
      <c r="FH116" s="15"/>
      <c r="FI116" s="15"/>
      <c r="FJ116" s="15"/>
      <c r="FK116" s="15"/>
      <c r="FL116" s="15"/>
      <c r="FM116" s="15"/>
      <c r="FN116" s="15"/>
      <c r="FO116" s="15"/>
      <c r="FP116" s="15"/>
      <c r="FQ116" s="15"/>
      <c r="FR116" s="15"/>
      <c r="FS116" s="15"/>
      <c r="FT116" s="15"/>
      <c r="FU116" s="15"/>
      <c r="FV116" s="15"/>
      <c r="FW116" s="15"/>
      <c r="FX116" s="15"/>
      <c r="FY116" s="15"/>
      <c r="FZ116" s="15"/>
      <c r="GA116" s="15"/>
      <c r="GB116" s="15"/>
      <c r="GC116" s="15"/>
      <c r="GD116" s="15"/>
      <c r="GE116" s="15"/>
      <c r="GF116" s="15"/>
      <c r="HH116" s="15"/>
      <c r="HI116" s="15"/>
      <c r="HJ116" s="15"/>
      <c r="HL116" s="15"/>
      <c r="HM116" s="15"/>
      <c r="HN116" s="15"/>
      <c r="HO116" s="15"/>
      <c r="HP116" s="15"/>
      <c r="HQ116" s="15"/>
      <c r="HR116" s="15"/>
      <c r="HS116" s="15"/>
      <c r="HT116" s="15"/>
      <c r="HU116" s="15"/>
      <c r="HV116" s="15"/>
      <c r="HW116" s="15"/>
      <c r="HX116" s="15"/>
      <c r="HY116" s="15"/>
      <c r="HZ116" s="15"/>
      <c r="IQ116" s="15"/>
      <c r="IR116" s="15"/>
      <c r="IS116" s="15"/>
      <c r="IT116" s="15"/>
      <c r="IU116" s="15"/>
      <c r="IV116" s="15"/>
      <c r="IW116" s="15"/>
      <c r="IX116" s="15"/>
      <c r="IY116" s="15"/>
      <c r="IZ116" s="15"/>
      <c r="JA116" s="15"/>
      <c r="JB116" s="15"/>
      <c r="JC116" s="15"/>
      <c r="JD116" s="15"/>
      <c r="JE116" s="15"/>
      <c r="JF116" s="15"/>
      <c r="JZ116" s="15"/>
      <c r="KA116" s="15"/>
      <c r="KB116" s="15"/>
      <c r="KC116" s="15"/>
      <c r="KD116" s="15"/>
      <c r="KE116" s="15"/>
      <c r="KF116" s="15"/>
      <c r="KG116" s="15"/>
      <c r="KH116" s="15"/>
      <c r="KI116" s="15"/>
      <c r="KJ116" s="15"/>
      <c r="KK116" s="15"/>
      <c r="KL116" s="15"/>
      <c r="LI116" s="15"/>
      <c r="LJ116" s="15"/>
      <c r="LK116" s="15"/>
      <c r="LL116" s="15"/>
      <c r="LM116" s="15"/>
      <c r="LN116" s="15"/>
      <c r="LO116" s="15"/>
      <c r="LP116" s="15"/>
      <c r="LQ116" s="15"/>
      <c r="LR116" s="15"/>
    </row>
    <row r="117" spans="2:330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X117" s="15"/>
      <c r="BY117" s="15"/>
      <c r="BZ117" s="15"/>
      <c r="CA117" s="15"/>
      <c r="CB117" s="15"/>
      <c r="CC117" s="15"/>
      <c r="CD117" s="15"/>
      <c r="CE117" s="15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  <c r="EP117" s="15"/>
      <c r="EQ117" s="15"/>
      <c r="ER117" s="15"/>
      <c r="ES117" s="15"/>
      <c r="ET117" s="15"/>
      <c r="EU117" s="15"/>
      <c r="EV117" s="15"/>
      <c r="EW117" s="15"/>
      <c r="EX117" s="15"/>
      <c r="EY117" s="15"/>
      <c r="EZ117" s="15"/>
      <c r="FA117" s="15"/>
      <c r="FB117" s="15"/>
      <c r="FC117" s="15"/>
      <c r="FD117" s="15"/>
      <c r="FE117" s="15"/>
      <c r="FF117" s="15"/>
      <c r="FG117" s="15"/>
      <c r="FH117" s="15"/>
      <c r="FI117" s="15"/>
      <c r="FJ117" s="15"/>
      <c r="FK117" s="15"/>
      <c r="FL117" s="15"/>
      <c r="FM117" s="15"/>
      <c r="FN117" s="15"/>
      <c r="FO117" s="15"/>
      <c r="FP117" s="15"/>
      <c r="FQ117" s="15"/>
      <c r="FR117" s="15"/>
      <c r="FS117" s="15"/>
      <c r="FT117" s="15"/>
      <c r="FU117" s="15"/>
      <c r="FV117" s="15"/>
      <c r="FW117" s="15"/>
      <c r="FX117" s="15"/>
      <c r="FY117" s="15"/>
      <c r="FZ117" s="15"/>
      <c r="GA117" s="15"/>
      <c r="GB117" s="15"/>
      <c r="GC117" s="15"/>
      <c r="GD117" s="15"/>
      <c r="GE117" s="15"/>
      <c r="GF117" s="15"/>
      <c r="HH117" s="15"/>
      <c r="HI117" s="15"/>
      <c r="HJ117" s="15"/>
      <c r="HK117" s="15"/>
      <c r="HL117" s="15"/>
      <c r="HM117" s="15"/>
      <c r="HN117" s="15"/>
      <c r="HO117" s="15"/>
      <c r="HP117" s="15"/>
      <c r="HQ117" s="15"/>
      <c r="HR117" s="15"/>
      <c r="HS117" s="15"/>
      <c r="HT117" s="15"/>
      <c r="HU117" s="15"/>
      <c r="HV117" s="15"/>
      <c r="HW117" s="15"/>
      <c r="HX117" s="15"/>
      <c r="HY117" s="15"/>
      <c r="HZ117" s="15"/>
      <c r="IQ117" s="15"/>
      <c r="IR117" s="15"/>
      <c r="IS117" s="15"/>
      <c r="IT117" s="15"/>
      <c r="IU117" s="15"/>
      <c r="IV117" s="15"/>
      <c r="IW117" s="15"/>
      <c r="IX117" s="15"/>
      <c r="IY117" s="15"/>
      <c r="IZ117" s="15"/>
      <c r="JA117" s="15"/>
      <c r="JB117" s="15"/>
      <c r="JC117" s="15"/>
      <c r="JD117" s="15"/>
      <c r="JE117" s="15"/>
      <c r="JF117" s="15"/>
      <c r="JZ117" s="15"/>
      <c r="KA117" s="15"/>
      <c r="KB117" s="15"/>
      <c r="KC117" s="15"/>
      <c r="KD117" s="15"/>
      <c r="KE117" s="15"/>
      <c r="KF117" s="15"/>
      <c r="KG117" s="15"/>
      <c r="KH117" s="15"/>
      <c r="KI117" s="15"/>
      <c r="KJ117" s="15"/>
      <c r="KK117" s="15"/>
      <c r="KL117" s="15"/>
      <c r="KM117" s="15"/>
      <c r="LI117" s="15"/>
      <c r="LJ117" s="15"/>
      <c r="LK117" s="15"/>
      <c r="LL117" s="15"/>
      <c r="LM117" s="15"/>
      <c r="LN117" s="15"/>
      <c r="LO117" s="15"/>
      <c r="LP117" s="15"/>
      <c r="LQ117" s="15"/>
      <c r="LR117" s="15"/>
    </row>
    <row r="118" spans="2:330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X118" s="15"/>
      <c r="BY118" s="15"/>
      <c r="BZ118" s="15"/>
      <c r="CA118" s="15"/>
      <c r="CB118" s="15"/>
      <c r="CC118" s="15"/>
      <c r="CD118" s="15"/>
      <c r="CE118" s="15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  <c r="EP118" s="15"/>
      <c r="EQ118" s="15"/>
      <c r="ER118" s="15"/>
      <c r="ES118" s="15"/>
      <c r="ET118" s="15"/>
      <c r="EU118" s="15"/>
      <c r="EV118" s="15"/>
      <c r="EW118" s="15"/>
      <c r="EX118" s="15"/>
      <c r="EY118" s="15"/>
      <c r="EZ118" s="15"/>
      <c r="FA118" s="15"/>
      <c r="FB118" s="15"/>
      <c r="FC118" s="15"/>
      <c r="FD118" s="15"/>
      <c r="FE118" s="15"/>
      <c r="FF118" s="15"/>
      <c r="FG118" s="15"/>
      <c r="FH118" s="15"/>
      <c r="FI118" s="15"/>
      <c r="FJ118" s="15"/>
      <c r="FK118" s="15"/>
      <c r="FL118" s="15"/>
      <c r="FM118" s="15"/>
      <c r="FN118" s="15"/>
      <c r="FO118" s="15"/>
      <c r="FP118" s="15"/>
      <c r="FQ118" s="15"/>
      <c r="FR118" s="15"/>
      <c r="FS118" s="15"/>
      <c r="FT118" s="15"/>
      <c r="FU118" s="15"/>
      <c r="FV118" s="15"/>
      <c r="FW118" s="15"/>
      <c r="FX118" s="15"/>
      <c r="FY118" s="15"/>
      <c r="FZ118" s="15"/>
      <c r="GA118" s="15"/>
      <c r="GB118" s="15"/>
      <c r="GC118" s="15"/>
      <c r="GD118" s="15"/>
      <c r="GE118" s="15"/>
      <c r="GF118" s="15"/>
      <c r="HH118" s="15"/>
      <c r="HI118" s="15"/>
      <c r="HJ118" s="15"/>
      <c r="HK118" s="15"/>
      <c r="HL118" s="15"/>
      <c r="HM118" s="15"/>
      <c r="HN118" s="15"/>
      <c r="HO118" s="15"/>
      <c r="HP118" s="15"/>
      <c r="HQ118" s="15"/>
      <c r="HR118" s="15"/>
      <c r="HS118" s="15"/>
      <c r="HT118" s="15"/>
      <c r="HU118" s="15"/>
      <c r="HV118" s="15"/>
      <c r="HW118" s="15"/>
      <c r="HX118" s="15"/>
      <c r="IQ118" s="15"/>
      <c r="IR118" s="15"/>
      <c r="IS118" s="15"/>
      <c r="IT118" s="15"/>
      <c r="IU118" s="15"/>
      <c r="IV118" s="15"/>
      <c r="IW118" s="15"/>
      <c r="IX118" s="15"/>
      <c r="IY118" s="15"/>
      <c r="IZ118" s="15"/>
      <c r="JA118" s="15"/>
      <c r="JB118" s="15"/>
      <c r="JC118" s="15"/>
      <c r="JD118" s="15"/>
      <c r="JE118" s="15"/>
      <c r="JF118" s="15"/>
      <c r="JZ118" s="15"/>
      <c r="KA118" s="15"/>
      <c r="KB118" s="15"/>
      <c r="KC118" s="15"/>
      <c r="KD118" s="15"/>
      <c r="KE118" s="15"/>
      <c r="KF118" s="15"/>
      <c r="KG118" s="15"/>
      <c r="KH118" s="15"/>
      <c r="KI118" s="15"/>
      <c r="KJ118" s="15"/>
      <c r="KK118" s="15"/>
      <c r="KL118" s="15"/>
      <c r="KM118" s="15"/>
      <c r="LI118" s="15"/>
      <c r="LJ118" s="15"/>
      <c r="LK118" s="15"/>
      <c r="LL118" s="15"/>
      <c r="LM118" s="15"/>
      <c r="LN118" s="15"/>
      <c r="LO118" s="15"/>
      <c r="LP118" s="15"/>
      <c r="LQ118" s="15"/>
      <c r="LR118" s="15"/>
    </row>
    <row r="119" spans="2:330">
      <c r="B119" s="15"/>
      <c r="C119" s="15"/>
      <c r="D119" s="15"/>
      <c r="E119" s="15"/>
      <c r="F119" s="15"/>
      <c r="G119" s="15"/>
      <c r="H119" s="15"/>
      <c r="I119" s="15"/>
      <c r="L119" s="15"/>
      <c r="M119" s="15"/>
      <c r="O119" s="15"/>
      <c r="Q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X119" s="15"/>
      <c r="BY119" s="15"/>
      <c r="CA119" s="15"/>
      <c r="CB119" s="15"/>
      <c r="CC119" s="15"/>
      <c r="CD119" s="15"/>
      <c r="CE119" s="15"/>
      <c r="CG119" s="15"/>
      <c r="CH119" s="15"/>
      <c r="CJ119" s="15"/>
      <c r="CN119" s="15"/>
      <c r="EP119" s="15"/>
      <c r="EQ119" s="15"/>
      <c r="ER119" s="15"/>
      <c r="ES119" s="15"/>
      <c r="ET119" s="15"/>
      <c r="EU119" s="15"/>
      <c r="EV119" s="15"/>
      <c r="EW119" s="15"/>
      <c r="EY119" s="15"/>
      <c r="FA119" s="15"/>
      <c r="FB119" s="15"/>
      <c r="FC119" s="15"/>
      <c r="FD119" s="15"/>
      <c r="FE119" s="15"/>
      <c r="FF119" s="15"/>
      <c r="FG119" s="15"/>
      <c r="FH119" s="15"/>
      <c r="FI119" s="15"/>
      <c r="FJ119" s="15"/>
      <c r="FK119" s="15"/>
      <c r="FL119" s="15"/>
      <c r="FM119" s="15"/>
      <c r="FN119" s="15"/>
      <c r="FO119" s="15"/>
      <c r="FP119" s="15"/>
      <c r="FQ119" s="15"/>
      <c r="FR119" s="15"/>
      <c r="FS119" s="15"/>
      <c r="FT119" s="15"/>
      <c r="FV119" s="15"/>
      <c r="FY119" s="15"/>
      <c r="FZ119" s="15"/>
      <c r="GA119" s="15"/>
      <c r="GC119" s="15"/>
      <c r="GD119" s="15"/>
      <c r="GE119" s="15"/>
      <c r="GF119" s="15"/>
      <c r="HH119" s="15"/>
      <c r="HI119" s="15"/>
      <c r="HJ119" s="15"/>
      <c r="HN119" s="15"/>
      <c r="HO119" s="15"/>
      <c r="HP119" s="15"/>
      <c r="HS119" s="15"/>
      <c r="HU119" s="15"/>
      <c r="HZ119" s="15"/>
      <c r="IQ119" s="15"/>
      <c r="IR119" s="15"/>
      <c r="IS119" s="15"/>
      <c r="IT119" s="15"/>
      <c r="IU119" s="15"/>
      <c r="IV119" s="15"/>
      <c r="IW119" s="15"/>
      <c r="IX119" s="15"/>
      <c r="IY119" s="15"/>
      <c r="IZ119" s="15"/>
      <c r="JA119" s="15"/>
      <c r="JB119" s="15"/>
      <c r="JC119" s="15"/>
      <c r="JD119" s="15"/>
      <c r="JE119" s="15"/>
      <c r="JF119" s="15"/>
      <c r="JZ119" s="15"/>
      <c r="KA119" s="15"/>
      <c r="KB119" s="15"/>
      <c r="KC119" s="15"/>
      <c r="KD119" s="15"/>
      <c r="KE119" s="15"/>
      <c r="KG119" s="15"/>
      <c r="KH119" s="15"/>
      <c r="KJ119" s="15"/>
      <c r="KK119" s="15"/>
      <c r="KL119" s="15"/>
      <c r="KM119" s="15"/>
      <c r="LI119" s="15"/>
      <c r="LJ119" s="15"/>
      <c r="LK119" s="15"/>
      <c r="LL119" s="15"/>
      <c r="LM119" s="15"/>
      <c r="LN119" s="15"/>
      <c r="LO119" s="15"/>
      <c r="LP119" s="15"/>
      <c r="LQ119" s="15"/>
      <c r="LR119" s="15"/>
    </row>
    <row r="120" spans="2:330">
      <c r="B120" s="15"/>
      <c r="C120" s="15"/>
      <c r="D120" s="15"/>
      <c r="E120" s="15"/>
      <c r="F120" s="15"/>
      <c r="G120" s="15"/>
      <c r="H120" s="15"/>
      <c r="I120" s="15"/>
      <c r="K120" s="15"/>
      <c r="L120" s="15"/>
      <c r="M120" s="15"/>
      <c r="N120" s="15"/>
      <c r="O120" s="15"/>
      <c r="P120" s="15"/>
      <c r="Q120" s="15"/>
      <c r="X120" s="15"/>
      <c r="AA120" s="15"/>
      <c r="AO120" s="15"/>
      <c r="AP120" s="15"/>
      <c r="AQ120" s="15"/>
      <c r="AR120" s="15"/>
      <c r="AS120" s="15"/>
      <c r="AT120" s="15"/>
      <c r="AU120" s="15"/>
      <c r="AV120" s="15"/>
      <c r="AW120" s="15"/>
      <c r="AY120" s="15"/>
      <c r="AZ120" s="15"/>
      <c r="BA120" s="15"/>
      <c r="BC120" s="15"/>
      <c r="BE120" s="15"/>
      <c r="BG120" s="15"/>
      <c r="BH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Y120" s="15"/>
      <c r="FZ120" s="15"/>
      <c r="GA120" s="15"/>
      <c r="GB120" s="15"/>
      <c r="GC120" s="15"/>
      <c r="GD120" s="15"/>
      <c r="GE120" s="15"/>
      <c r="GF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</row>
    <row r="121" spans="2:330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Z121" s="15"/>
      <c r="AA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Y121" s="15"/>
      <c r="FZ121" s="15"/>
      <c r="GA121" s="15"/>
      <c r="GB121" s="15"/>
      <c r="GC121" s="15"/>
      <c r="GD121" s="15"/>
      <c r="GE121" s="15"/>
      <c r="GF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</row>
    <row r="122" spans="2:330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H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Q122" s="15"/>
      <c r="IR122" s="15"/>
      <c r="IS122" s="15"/>
      <c r="IT122" s="15"/>
      <c r="IU122" s="15"/>
      <c r="IV122" s="15"/>
      <c r="IW122" s="15"/>
      <c r="IY122" s="15"/>
      <c r="IZ122" s="15"/>
      <c r="JA122" s="15"/>
      <c r="JB122" s="15"/>
      <c r="JC122" s="15"/>
      <c r="JD122" s="15"/>
      <c r="JE122" s="15"/>
      <c r="JF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</row>
    <row r="123" spans="2:330">
      <c r="B123" s="15"/>
      <c r="C123" s="15"/>
      <c r="D123" s="15"/>
      <c r="E123" s="15"/>
      <c r="F123" s="15"/>
      <c r="G123" s="15"/>
      <c r="H123" s="15"/>
      <c r="I123" s="15"/>
      <c r="K123" s="15"/>
      <c r="L123" s="15"/>
      <c r="M123" s="15"/>
      <c r="R123" s="15"/>
      <c r="S123" s="15"/>
      <c r="T123" s="15"/>
      <c r="V123" s="15"/>
      <c r="W123" s="15"/>
      <c r="X123" s="15"/>
      <c r="Y123" s="15"/>
      <c r="Z123" s="15"/>
      <c r="AA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X123" s="15"/>
      <c r="BY123" s="15"/>
      <c r="BZ123" s="15"/>
      <c r="CB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U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HH123" s="15"/>
      <c r="HI123" s="15"/>
      <c r="HJ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W123" s="15"/>
      <c r="HX123" s="15"/>
      <c r="HZ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</row>
    <row r="124" spans="2:330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</row>
    <row r="125" spans="2:330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AO125" s="15"/>
      <c r="AP125" s="15"/>
      <c r="AQ125" s="15"/>
      <c r="AR125" s="15"/>
      <c r="AS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DG125" s="15"/>
      <c r="DH125" s="15"/>
      <c r="DI125" s="15"/>
      <c r="DJ125" s="15"/>
      <c r="DK125" s="15"/>
      <c r="DL125" s="15"/>
      <c r="DM125" s="15"/>
      <c r="DN125" s="15"/>
      <c r="DO125" s="15"/>
      <c r="DP125" s="15"/>
      <c r="DQ125" s="15"/>
      <c r="DR125" s="15"/>
      <c r="DS125" s="15"/>
      <c r="DT125" s="15"/>
      <c r="DU125" s="15"/>
      <c r="DV125" s="15"/>
      <c r="DW125" s="15"/>
      <c r="DX125" s="15"/>
      <c r="DY125" s="15"/>
      <c r="DZ125" s="15"/>
      <c r="EA125" s="15"/>
      <c r="EB125" s="15"/>
      <c r="EC125" s="15"/>
      <c r="ED125" s="15"/>
      <c r="EE125" s="15"/>
      <c r="EF125" s="15"/>
      <c r="EG125" s="15"/>
      <c r="EH125" s="15"/>
      <c r="EI125" s="15"/>
      <c r="EJ125" s="15"/>
      <c r="EK125" s="15"/>
      <c r="EL125" s="15"/>
      <c r="EM125" s="15"/>
      <c r="EN125" s="15"/>
      <c r="EO125" s="15"/>
      <c r="EP125" s="15"/>
      <c r="EQ125" s="15"/>
      <c r="ER125" s="15"/>
      <c r="ES125" s="15"/>
      <c r="ET125" s="15"/>
      <c r="EU125" s="15"/>
      <c r="EV125" s="15"/>
      <c r="EW125" s="15"/>
      <c r="FY125" s="15"/>
      <c r="FZ125" s="15"/>
      <c r="GA125" s="15"/>
      <c r="GB125" s="15"/>
      <c r="GC125" s="15"/>
      <c r="GD125" s="15"/>
      <c r="GE125" s="15"/>
      <c r="GF125" s="15"/>
      <c r="GG125" s="15"/>
      <c r="GH125" s="15"/>
      <c r="GI125" s="15"/>
      <c r="GJ125" s="15"/>
      <c r="GK125" s="15"/>
      <c r="GL125" s="15"/>
      <c r="GM125" s="15"/>
      <c r="GN125" s="15"/>
      <c r="GO125" s="15"/>
      <c r="GP125" s="15"/>
      <c r="GQ125" s="15"/>
      <c r="GR125" s="15"/>
      <c r="GT125" s="15"/>
      <c r="GU125" s="15"/>
      <c r="GV125" s="15"/>
      <c r="HH125" s="15"/>
      <c r="HI125" s="15"/>
      <c r="HJ125" s="15"/>
      <c r="HK125" s="15"/>
      <c r="HL125" s="15"/>
      <c r="HN125" s="15"/>
      <c r="HO125" s="15"/>
      <c r="HP125" s="15"/>
      <c r="HQ125" s="15"/>
      <c r="HR125" s="15"/>
      <c r="HS125" s="15"/>
      <c r="HT125" s="15"/>
      <c r="HU125" s="15"/>
      <c r="HV125" s="15"/>
      <c r="HW125" s="15"/>
      <c r="HX125" s="15"/>
      <c r="HY125" s="15"/>
      <c r="HZ125" s="15"/>
      <c r="IC125" s="15"/>
      <c r="ID125" s="15"/>
      <c r="IE125" s="15"/>
      <c r="IQ125" s="15"/>
      <c r="IR125" s="15"/>
      <c r="IS125" s="15"/>
      <c r="IT125" s="15"/>
      <c r="IU125" s="15"/>
      <c r="IV125" s="15"/>
      <c r="IW125" s="15"/>
      <c r="IX125" s="15"/>
      <c r="IY125" s="15"/>
      <c r="IZ125" s="15"/>
      <c r="JA125" s="15"/>
      <c r="JB125" s="15"/>
      <c r="JC125" s="15"/>
      <c r="JD125" s="15"/>
      <c r="JE125" s="15"/>
      <c r="JF125" s="15"/>
      <c r="JZ125" s="15"/>
      <c r="KA125" s="15"/>
      <c r="KB125" s="15"/>
      <c r="KC125" s="15"/>
      <c r="KD125" s="15"/>
      <c r="KE125" s="15"/>
      <c r="KF125" s="15"/>
      <c r="KG125" s="15"/>
      <c r="KH125" s="15"/>
      <c r="KI125" s="15"/>
      <c r="KJ125" s="15"/>
      <c r="KK125" s="15"/>
      <c r="KL125" s="15"/>
      <c r="KM125" s="15"/>
      <c r="LI125" s="15"/>
      <c r="LJ125" s="15"/>
      <c r="LL125" s="15"/>
      <c r="LM125" s="15"/>
      <c r="LN125" s="15"/>
      <c r="LP125" s="15"/>
      <c r="LQ125" s="15"/>
      <c r="LR125" s="15"/>
    </row>
    <row r="126" spans="2:330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DG126" s="15"/>
      <c r="DH126" s="15"/>
      <c r="DI126" s="15"/>
      <c r="DJ126" s="15"/>
      <c r="DK126" s="15"/>
      <c r="DL126" s="15"/>
      <c r="DM126" s="15"/>
      <c r="DN126" s="15"/>
      <c r="DO126" s="15"/>
      <c r="DP126" s="15"/>
      <c r="DQ126" s="15"/>
      <c r="DR126" s="15"/>
      <c r="DS126" s="15"/>
      <c r="DT126" s="15"/>
      <c r="DU126" s="15"/>
      <c r="DV126" s="15"/>
      <c r="DW126" s="15"/>
      <c r="DX126" s="15"/>
      <c r="DY126" s="15"/>
      <c r="DZ126" s="15"/>
      <c r="EA126" s="15"/>
      <c r="EB126" s="15"/>
      <c r="EC126" s="15"/>
      <c r="ED126" s="15"/>
      <c r="EE126" s="15"/>
      <c r="EF126" s="15"/>
      <c r="EG126" s="15"/>
      <c r="EH126" s="15"/>
      <c r="EI126" s="15"/>
      <c r="EJ126" s="15"/>
      <c r="EK126" s="15"/>
      <c r="EL126" s="15"/>
      <c r="EO126" s="15"/>
      <c r="EP126" s="15"/>
      <c r="EQ126" s="15"/>
      <c r="ER126" s="15"/>
      <c r="ES126" s="15"/>
      <c r="ET126" s="15"/>
      <c r="EU126" s="15"/>
      <c r="EV126" s="15"/>
      <c r="EW126" s="15"/>
      <c r="FY126" s="15"/>
      <c r="FZ126" s="15"/>
      <c r="GA126" s="15"/>
      <c r="GB126" s="15"/>
      <c r="GC126" s="15"/>
      <c r="GD126" s="15"/>
      <c r="GE126" s="15"/>
      <c r="GF126" s="15"/>
      <c r="GG126" s="15"/>
      <c r="GH126" s="15"/>
      <c r="GI126" s="15"/>
      <c r="GJ126" s="15"/>
      <c r="GK126" s="15"/>
      <c r="GL126" s="15"/>
      <c r="GM126" s="15"/>
      <c r="GN126" s="15"/>
      <c r="GO126" s="15"/>
      <c r="GP126" s="15"/>
      <c r="GQ126" s="15"/>
      <c r="GR126" s="15"/>
      <c r="GS126" s="15"/>
      <c r="GT126" s="15"/>
      <c r="GU126" s="15"/>
      <c r="GV126" s="15"/>
      <c r="HH126" s="15"/>
      <c r="HI126" s="15"/>
      <c r="HJ126" s="15"/>
      <c r="HK126" s="15"/>
      <c r="HL126" s="15"/>
      <c r="HM126" s="15"/>
      <c r="HN126" s="15"/>
      <c r="HO126" s="15"/>
      <c r="HP126" s="15"/>
      <c r="HQ126" s="15"/>
      <c r="HR126" s="15"/>
      <c r="HS126" s="15"/>
      <c r="HT126" s="15"/>
      <c r="HU126" s="15"/>
      <c r="HV126" s="15"/>
      <c r="HW126" s="15"/>
      <c r="HX126" s="15"/>
      <c r="HY126" s="15"/>
      <c r="IQ126" s="15"/>
      <c r="IR126" s="15"/>
      <c r="IS126" s="15"/>
      <c r="IT126" s="15"/>
      <c r="IU126" s="15"/>
      <c r="IV126" s="15"/>
      <c r="IW126" s="15"/>
      <c r="IX126" s="15"/>
      <c r="IY126" s="15"/>
      <c r="IZ126" s="15"/>
      <c r="JA126" s="15"/>
      <c r="JB126" s="15"/>
      <c r="JC126" s="15"/>
      <c r="JD126" s="15"/>
      <c r="JE126" s="15"/>
      <c r="JF126" s="15"/>
      <c r="JZ126" s="15"/>
      <c r="KA126" s="15"/>
      <c r="KB126" s="15"/>
      <c r="KC126" s="15"/>
      <c r="KD126" s="15"/>
      <c r="KE126" s="15"/>
      <c r="KF126" s="15"/>
      <c r="KH126" s="15"/>
      <c r="KI126" s="15"/>
      <c r="KJ126" s="15"/>
      <c r="KK126" s="15"/>
      <c r="KL126" s="15"/>
      <c r="KM126" s="15"/>
      <c r="LI126" s="15"/>
      <c r="LJ126" s="15"/>
      <c r="LK126" s="15"/>
      <c r="LL126" s="15"/>
      <c r="LM126" s="15"/>
      <c r="LN126" s="15"/>
      <c r="LO126" s="15"/>
      <c r="LP126" s="15"/>
      <c r="LQ126" s="15"/>
      <c r="LR126" s="15"/>
    </row>
    <row r="127" spans="2:330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AO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DG127" s="15"/>
      <c r="DH127" s="15"/>
      <c r="DI127" s="15"/>
      <c r="DJ127" s="15"/>
      <c r="DK127" s="15"/>
      <c r="DL127" s="15"/>
      <c r="DN127" s="15"/>
      <c r="DO127" s="15"/>
      <c r="DP127" s="15"/>
      <c r="DQ127" s="15"/>
      <c r="DR127" s="15"/>
      <c r="DS127" s="15"/>
      <c r="DT127" s="15"/>
      <c r="DU127" s="15"/>
      <c r="DV127" s="15"/>
      <c r="DW127" s="15"/>
      <c r="DX127" s="15"/>
      <c r="DY127" s="15"/>
      <c r="DZ127" s="15"/>
      <c r="EA127" s="15"/>
      <c r="EB127" s="15"/>
      <c r="EC127" s="15"/>
      <c r="ED127" s="15"/>
      <c r="EE127" s="15"/>
      <c r="EF127" s="15"/>
      <c r="EG127" s="15"/>
      <c r="EH127" s="15"/>
      <c r="EI127" s="15"/>
      <c r="EJ127" s="15"/>
      <c r="EK127" s="15"/>
      <c r="EL127" s="15"/>
      <c r="EP127" s="15"/>
      <c r="EQ127" s="15"/>
      <c r="ER127" s="15"/>
      <c r="EU127" s="15"/>
      <c r="EV127" s="15"/>
      <c r="FY127" s="15"/>
      <c r="FZ127" s="15"/>
      <c r="GA127" s="15"/>
      <c r="GB127" s="15"/>
      <c r="GC127" s="15"/>
      <c r="GD127" s="15"/>
      <c r="GE127" s="15"/>
      <c r="GF127" s="15"/>
      <c r="GG127" s="15"/>
      <c r="GH127" s="15"/>
      <c r="GI127" s="15"/>
      <c r="GJ127" s="15"/>
      <c r="GK127" s="15"/>
      <c r="GL127" s="15"/>
      <c r="GM127" s="15"/>
      <c r="GN127" s="15"/>
      <c r="GO127" s="15"/>
      <c r="GP127" s="15"/>
      <c r="GQ127" s="15"/>
      <c r="GR127" s="15"/>
      <c r="GS127" s="15"/>
      <c r="GT127" s="15"/>
      <c r="GU127" s="15"/>
      <c r="GV127" s="15"/>
      <c r="HN127" s="15"/>
      <c r="HO127" s="15"/>
      <c r="HP127" s="15"/>
      <c r="HQ127" s="15"/>
      <c r="HR127" s="15"/>
      <c r="HS127" s="15"/>
      <c r="HT127" s="15"/>
      <c r="HU127" s="15"/>
      <c r="HV127" s="15"/>
      <c r="HW127" s="15"/>
      <c r="HX127" s="15"/>
      <c r="HY127" s="15"/>
      <c r="HZ127" s="15"/>
      <c r="IQ127" s="15"/>
      <c r="IR127" s="15"/>
      <c r="IS127" s="15"/>
      <c r="IT127" s="15"/>
      <c r="IU127" s="15"/>
      <c r="IV127" s="15"/>
      <c r="IW127" s="15"/>
      <c r="IX127" s="15"/>
      <c r="IY127" s="15"/>
      <c r="IZ127" s="15"/>
      <c r="JA127" s="15"/>
      <c r="JB127" s="15"/>
      <c r="JC127" s="15"/>
      <c r="JD127" s="15"/>
      <c r="JZ127" s="15"/>
      <c r="KA127" s="15"/>
      <c r="KB127" s="15"/>
      <c r="KC127" s="15"/>
      <c r="KD127" s="15"/>
      <c r="KE127" s="15"/>
      <c r="KF127" s="15"/>
      <c r="KG127" s="15"/>
      <c r="KH127" s="15"/>
      <c r="KI127" s="15"/>
      <c r="KJ127" s="15"/>
      <c r="KK127" s="15"/>
      <c r="KL127" s="15"/>
      <c r="KM127" s="15"/>
      <c r="LI127" s="15"/>
      <c r="LJ127" s="15"/>
      <c r="LK127" s="15"/>
      <c r="LL127" s="15"/>
      <c r="LN127" s="15"/>
      <c r="LO127" s="15"/>
    </row>
    <row r="128" spans="2:330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AO128" s="15"/>
      <c r="AQ128" s="15"/>
      <c r="AR128" s="15"/>
      <c r="AS128" s="15"/>
      <c r="AT128" s="15"/>
      <c r="AU128" s="15"/>
      <c r="AW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K128" s="15"/>
      <c r="BL128" s="15"/>
      <c r="DG128" s="15"/>
      <c r="DH128" s="15"/>
      <c r="DI128" s="15"/>
      <c r="DJ128" s="15"/>
      <c r="DK128" s="15"/>
      <c r="DL128" s="15"/>
      <c r="DM128" s="15"/>
      <c r="DN128" s="15"/>
      <c r="DO128" s="15"/>
      <c r="DP128" s="15"/>
      <c r="DQ128" s="15"/>
      <c r="DR128" s="15"/>
      <c r="DS128" s="15"/>
      <c r="DT128" s="15"/>
      <c r="DU128" s="15"/>
      <c r="DV128" s="15"/>
      <c r="DW128" s="15"/>
      <c r="DX128" s="15"/>
      <c r="DY128" s="15"/>
      <c r="DZ128" s="15"/>
      <c r="EA128" s="15"/>
      <c r="EB128" s="15"/>
      <c r="EC128" s="15"/>
      <c r="ED128" s="15"/>
      <c r="EE128" s="15"/>
      <c r="EF128" s="15"/>
      <c r="EG128" s="15"/>
      <c r="EH128" s="15"/>
      <c r="EI128" s="15"/>
      <c r="EJ128" s="15"/>
      <c r="EP128" s="15"/>
      <c r="EQ128" s="15"/>
      <c r="ER128" s="15"/>
      <c r="ES128" s="15"/>
      <c r="ET128" s="15"/>
      <c r="EU128" s="15"/>
      <c r="EV128" s="15"/>
      <c r="EW128" s="15"/>
      <c r="FY128" s="15"/>
      <c r="FZ128" s="15"/>
      <c r="GA128" s="15"/>
      <c r="GB128" s="15"/>
      <c r="GC128" s="15"/>
      <c r="GD128" s="15"/>
      <c r="GE128" s="15"/>
      <c r="GF128" s="15"/>
      <c r="GG128" s="15"/>
      <c r="GI128" s="15"/>
      <c r="GJ128" s="15"/>
      <c r="GK128" s="15"/>
      <c r="GO128" s="15"/>
      <c r="GP128" s="15"/>
      <c r="GQ128" s="15"/>
      <c r="GR128" s="15"/>
      <c r="GS128" s="15"/>
      <c r="GU128" s="15"/>
      <c r="GV128" s="15"/>
      <c r="HH128" s="15"/>
      <c r="HI128" s="15"/>
      <c r="HJ128" s="15"/>
      <c r="HL128" s="15"/>
      <c r="HM128" s="15"/>
      <c r="HN128" s="15"/>
      <c r="HO128" s="15"/>
      <c r="HP128" s="15"/>
      <c r="HQ128" s="15"/>
      <c r="HR128" s="15"/>
      <c r="HS128" s="15"/>
      <c r="HT128" s="15"/>
      <c r="HV128" s="15"/>
      <c r="HW128" s="15"/>
      <c r="HX128" s="15"/>
      <c r="HY128" s="15"/>
      <c r="HZ128" s="15"/>
      <c r="IQ128" s="15"/>
      <c r="IR128" s="15"/>
      <c r="IS128" s="15"/>
      <c r="IT128" s="15"/>
      <c r="IU128" s="15"/>
      <c r="IV128" s="15"/>
      <c r="IW128" s="15"/>
      <c r="IX128" s="15"/>
      <c r="IY128" s="15"/>
      <c r="IZ128" s="15"/>
      <c r="JA128" s="15"/>
      <c r="JB128" s="15"/>
      <c r="JC128" s="15"/>
      <c r="JD128" s="15"/>
      <c r="JE128" s="15"/>
      <c r="JF128" s="15"/>
      <c r="JZ128" s="15"/>
      <c r="KA128" s="15"/>
      <c r="KB128" s="15"/>
      <c r="KC128" s="15"/>
      <c r="KD128" s="15"/>
      <c r="KE128" s="15"/>
      <c r="KF128" s="15"/>
      <c r="KG128" s="15"/>
      <c r="KH128" s="15"/>
      <c r="KI128" s="15"/>
      <c r="KJ128" s="15"/>
      <c r="KK128" s="15"/>
      <c r="KL128" s="15"/>
      <c r="KM128" s="15"/>
      <c r="LI128" s="15"/>
      <c r="LJ128" s="15"/>
      <c r="LK128" s="15"/>
      <c r="LL128" s="15"/>
      <c r="LM128" s="15"/>
      <c r="LN128" s="15"/>
      <c r="LO128" s="15"/>
      <c r="LP128" s="15"/>
      <c r="LQ128" s="15"/>
      <c r="LR128" s="15"/>
    </row>
    <row r="129" spans="2:330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AO129" s="15"/>
      <c r="AP129" s="15"/>
      <c r="AQ129" s="15"/>
      <c r="AR129" s="15"/>
      <c r="AW129" s="15"/>
      <c r="BA129" s="15"/>
      <c r="BB129" s="15"/>
      <c r="BC129" s="15"/>
      <c r="BD129" s="15"/>
      <c r="BE129" s="15"/>
      <c r="BF129" s="15"/>
      <c r="BG129" s="15"/>
      <c r="BH129" s="15"/>
      <c r="BJ129" s="15"/>
      <c r="BK129" s="15"/>
      <c r="BL129" s="15"/>
      <c r="DG129" s="15"/>
      <c r="DH129" s="15"/>
      <c r="DI129" s="15"/>
      <c r="DJ129" s="15"/>
      <c r="DL129" s="15"/>
      <c r="DM129" s="15"/>
      <c r="DN129" s="15"/>
      <c r="DO129" s="15"/>
      <c r="DP129" s="15"/>
      <c r="DQ129" s="15"/>
      <c r="DR129" s="15"/>
      <c r="DS129" s="15"/>
      <c r="DT129" s="15"/>
      <c r="DU129" s="15"/>
      <c r="DV129" s="15"/>
      <c r="DW129" s="15"/>
      <c r="DX129" s="15"/>
      <c r="DY129" s="15"/>
      <c r="DZ129" s="15"/>
      <c r="EA129" s="15"/>
      <c r="EB129" s="15"/>
      <c r="EC129" s="15"/>
      <c r="ED129" s="15"/>
      <c r="EE129" s="15"/>
      <c r="EF129" s="15"/>
      <c r="EG129" s="15"/>
      <c r="EH129" s="15"/>
      <c r="EI129" s="15"/>
      <c r="EJ129" s="15"/>
      <c r="EL129" s="15"/>
      <c r="EM129" s="15"/>
      <c r="EN129" s="15"/>
      <c r="EO129" s="15"/>
      <c r="EP129" s="15"/>
      <c r="EQ129" s="15"/>
      <c r="ER129" s="15"/>
      <c r="ET129" s="15"/>
      <c r="EU129" s="15"/>
      <c r="EV129" s="15"/>
      <c r="EW129" s="15"/>
      <c r="FY129" s="15"/>
      <c r="FZ129" s="15"/>
      <c r="GA129" s="15"/>
      <c r="GB129" s="15"/>
      <c r="GH129" s="15"/>
      <c r="GI129" s="15"/>
      <c r="GJ129" s="15"/>
      <c r="GK129" s="15"/>
      <c r="GM129" s="15"/>
      <c r="GN129" s="15"/>
      <c r="GO129" s="15"/>
      <c r="GP129" s="15"/>
      <c r="GQ129" s="15"/>
      <c r="GR129" s="15"/>
      <c r="GS129" s="15"/>
      <c r="GU129" s="15"/>
      <c r="GV129" s="15"/>
      <c r="HH129" s="15"/>
      <c r="HI129" s="15"/>
      <c r="HJ129" s="15"/>
      <c r="HK129" s="15"/>
      <c r="HL129" s="15"/>
      <c r="HM129" s="15"/>
      <c r="HN129" s="15"/>
      <c r="HO129" s="15"/>
      <c r="HQ129" s="15"/>
      <c r="HR129" s="15"/>
      <c r="HT129" s="15"/>
      <c r="HU129" s="15"/>
      <c r="HV129" s="15"/>
      <c r="HW129" s="15"/>
      <c r="HX129" s="15"/>
      <c r="HZ129" s="15"/>
      <c r="IQ129" s="15"/>
      <c r="IR129" s="15"/>
      <c r="IS129" s="15"/>
      <c r="IT129" s="15"/>
      <c r="IU129" s="15"/>
      <c r="IV129" s="15"/>
      <c r="IW129" s="15"/>
      <c r="IX129" s="15"/>
      <c r="IY129" s="15"/>
      <c r="IZ129" s="15"/>
      <c r="JA129" s="15"/>
      <c r="JB129" s="15"/>
      <c r="JC129" s="15"/>
      <c r="JD129" s="15"/>
      <c r="JE129" s="15"/>
      <c r="JF129" s="15"/>
      <c r="JZ129" s="15"/>
      <c r="KA129" s="15"/>
      <c r="KB129" s="15"/>
      <c r="KC129" s="15"/>
      <c r="KE129" s="15"/>
      <c r="KF129" s="15"/>
      <c r="KG129" s="15"/>
      <c r="KH129" s="15"/>
      <c r="KI129" s="15"/>
      <c r="KJ129" s="15"/>
      <c r="KK129" s="15"/>
      <c r="KL129" s="15"/>
      <c r="KM129" s="15"/>
      <c r="LI129" s="15"/>
      <c r="LJ129" s="15"/>
      <c r="LK129" s="15"/>
      <c r="LL129" s="15"/>
      <c r="LM129" s="15"/>
      <c r="LN129" s="15"/>
      <c r="LO129" s="15"/>
      <c r="LP129" s="15"/>
      <c r="LQ129" s="15"/>
      <c r="LR129" s="15"/>
    </row>
    <row r="130" spans="2:330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P130" s="15"/>
      <c r="Q130" s="15"/>
      <c r="R130" s="15"/>
      <c r="S130" s="15"/>
      <c r="T130" s="15"/>
      <c r="U130" s="15"/>
      <c r="W130" s="15"/>
      <c r="X130" s="15"/>
      <c r="Y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DG130" s="15"/>
      <c r="DH130" s="15"/>
      <c r="DI130" s="15"/>
      <c r="DJ130" s="15"/>
      <c r="DK130" s="15"/>
      <c r="DL130" s="15"/>
      <c r="DM130" s="15"/>
      <c r="DN130" s="15"/>
      <c r="DO130" s="15"/>
      <c r="DP130" s="15"/>
      <c r="DQ130" s="15"/>
      <c r="DR130" s="15"/>
      <c r="DS130" s="15"/>
      <c r="DT130" s="15"/>
      <c r="DU130" s="15"/>
      <c r="DV130" s="15"/>
      <c r="DW130" s="15"/>
      <c r="DX130" s="15"/>
      <c r="DY130" s="15"/>
      <c r="DZ130" s="15"/>
      <c r="EA130" s="15"/>
      <c r="EB130" s="15"/>
      <c r="EC130" s="15"/>
      <c r="ED130" s="15"/>
      <c r="EE130" s="15"/>
      <c r="EF130" s="15"/>
      <c r="EG130" s="15"/>
      <c r="EH130" s="15"/>
      <c r="EI130" s="15"/>
      <c r="EJ130" s="15"/>
      <c r="EK130" s="15"/>
      <c r="EL130" s="15"/>
      <c r="EM130" s="15"/>
      <c r="EN130" s="15"/>
      <c r="EO130" s="15"/>
      <c r="EP130" s="15"/>
      <c r="EQ130" s="15"/>
      <c r="ER130" s="15"/>
      <c r="ES130" s="15"/>
      <c r="ET130" s="15"/>
      <c r="EU130" s="15"/>
      <c r="EW130" s="15"/>
      <c r="FY130" s="15"/>
      <c r="FZ130" s="15"/>
      <c r="GA130" s="15"/>
      <c r="GB130" s="15"/>
      <c r="GC130" s="15"/>
      <c r="GD130" s="15"/>
      <c r="GE130" s="15"/>
      <c r="GF130" s="15"/>
      <c r="GG130" s="15"/>
      <c r="GH130" s="15"/>
      <c r="GI130" s="15"/>
      <c r="GJ130" s="15"/>
      <c r="GK130" s="15"/>
      <c r="GL130" s="15"/>
      <c r="GM130" s="15"/>
      <c r="GN130" s="15"/>
      <c r="GO130" s="15"/>
      <c r="GP130" s="15"/>
      <c r="GQ130" s="15"/>
      <c r="GR130" s="15"/>
      <c r="GS130" s="15"/>
      <c r="GT130" s="15"/>
      <c r="GU130" s="15"/>
      <c r="GV130" s="15"/>
      <c r="HH130" s="15"/>
      <c r="HI130" s="15"/>
      <c r="HJ130" s="15"/>
      <c r="HK130" s="15"/>
      <c r="HL130" s="15"/>
      <c r="HN130" s="15"/>
      <c r="HO130" s="15"/>
      <c r="HP130" s="15"/>
      <c r="HQ130" s="15"/>
      <c r="HR130" s="15"/>
      <c r="HS130" s="15"/>
      <c r="HT130" s="15"/>
      <c r="HU130" s="15"/>
      <c r="HV130" s="15"/>
      <c r="HW130" s="15"/>
      <c r="HX130" s="15"/>
      <c r="HY130" s="15"/>
      <c r="HZ130" s="15"/>
      <c r="IQ130" s="15"/>
      <c r="IR130" s="15"/>
      <c r="IS130" s="15"/>
      <c r="IT130" s="15"/>
      <c r="IU130" s="15"/>
      <c r="IV130" s="15"/>
      <c r="IW130" s="15"/>
      <c r="IX130" s="15"/>
      <c r="IY130" s="15"/>
      <c r="IZ130" s="15"/>
      <c r="JA130" s="15"/>
      <c r="JC130" s="15"/>
      <c r="JD130" s="15"/>
      <c r="JE130" s="15"/>
      <c r="JF130" s="15"/>
      <c r="JZ130" s="15"/>
      <c r="KA130" s="15"/>
      <c r="KB130" s="15"/>
      <c r="KC130" s="15"/>
      <c r="KD130" s="15"/>
      <c r="KE130" s="15"/>
      <c r="KF130" s="15"/>
      <c r="KG130" s="15"/>
      <c r="KH130" s="15"/>
      <c r="KI130" s="15"/>
      <c r="KJ130" s="15"/>
      <c r="KK130" s="15"/>
      <c r="KL130" s="15"/>
      <c r="KM130" s="15"/>
      <c r="LI130" s="15"/>
      <c r="LJ130" s="15"/>
      <c r="LK130" s="15"/>
      <c r="LL130" s="15"/>
      <c r="LM130" s="15"/>
      <c r="LN130" s="15"/>
      <c r="LO130" s="15"/>
      <c r="LP130" s="15"/>
      <c r="LQ130" s="15"/>
    </row>
    <row r="131" spans="2:330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DG131" s="15"/>
      <c r="DH131" s="15"/>
      <c r="DI131" s="15"/>
      <c r="DJ131" s="15"/>
      <c r="DK131" s="15"/>
      <c r="DL131" s="15"/>
      <c r="DM131" s="15"/>
      <c r="DN131" s="15"/>
      <c r="DO131" s="15"/>
      <c r="DP131" s="15"/>
      <c r="DQ131" s="15"/>
      <c r="DR131" s="15"/>
      <c r="DS131" s="15"/>
      <c r="DT131" s="15"/>
      <c r="DU131" s="15"/>
      <c r="DV131" s="15"/>
      <c r="DW131" s="15"/>
      <c r="DX131" s="15"/>
      <c r="DY131" s="15"/>
      <c r="DZ131" s="15"/>
      <c r="EA131" s="15"/>
      <c r="EB131" s="15"/>
      <c r="EC131" s="15"/>
      <c r="ED131" s="15"/>
      <c r="EE131" s="15"/>
      <c r="EF131" s="15"/>
      <c r="EG131" s="15"/>
      <c r="EH131" s="15"/>
      <c r="EI131" s="15"/>
      <c r="EJ131" s="15"/>
      <c r="EK131" s="15"/>
      <c r="EL131" s="15"/>
      <c r="EM131" s="15"/>
      <c r="EN131" s="15"/>
      <c r="EO131" s="15"/>
      <c r="EP131" s="15"/>
      <c r="EQ131" s="15"/>
      <c r="ER131" s="15"/>
      <c r="ES131" s="15"/>
      <c r="ET131" s="15"/>
      <c r="EU131" s="15"/>
      <c r="EV131" s="15"/>
      <c r="EW131" s="15"/>
      <c r="FY131" s="15"/>
      <c r="FZ131" s="15"/>
      <c r="GA131" s="15"/>
      <c r="GB131" s="15"/>
      <c r="GC131" s="15"/>
      <c r="GD131" s="15"/>
      <c r="GE131" s="15"/>
      <c r="GF131" s="15"/>
      <c r="GG131" s="15"/>
      <c r="GH131" s="15"/>
      <c r="GI131" s="15"/>
      <c r="GJ131" s="15"/>
      <c r="GK131" s="15"/>
      <c r="GM131" s="15"/>
      <c r="GN131" s="15"/>
      <c r="GO131" s="15"/>
      <c r="GQ131" s="15"/>
      <c r="GR131" s="15"/>
      <c r="GS131" s="15"/>
      <c r="GT131" s="15"/>
      <c r="GU131" s="15"/>
      <c r="GV131" s="15"/>
      <c r="HH131" s="15"/>
      <c r="HI131" s="15"/>
      <c r="HJ131" s="15"/>
      <c r="HK131" s="15"/>
      <c r="HL131" s="15"/>
      <c r="HM131" s="15"/>
      <c r="HN131" s="15"/>
      <c r="HO131" s="15"/>
      <c r="HP131" s="15"/>
      <c r="HQ131" s="15"/>
      <c r="HR131" s="15"/>
      <c r="HT131" s="15"/>
      <c r="HU131" s="15"/>
      <c r="HV131" s="15"/>
      <c r="HW131" s="15"/>
      <c r="HX131" s="15"/>
      <c r="HY131" s="15"/>
      <c r="HZ131" s="15"/>
      <c r="IQ131" s="15"/>
      <c r="IR131" s="15"/>
      <c r="IS131" s="15"/>
      <c r="IT131" s="15"/>
      <c r="IU131" s="15"/>
      <c r="IV131" s="15"/>
      <c r="IW131" s="15"/>
      <c r="IX131" s="15"/>
      <c r="IY131" s="15"/>
      <c r="IZ131" s="15"/>
      <c r="JA131" s="15"/>
      <c r="JB131" s="15"/>
      <c r="JC131" s="15"/>
      <c r="JD131" s="15"/>
      <c r="JE131" s="15"/>
      <c r="JF131" s="15"/>
      <c r="JZ131" s="15"/>
      <c r="KA131" s="15"/>
      <c r="KB131" s="15"/>
      <c r="KC131" s="15"/>
      <c r="KD131" s="15"/>
      <c r="KE131" s="15"/>
      <c r="KF131" s="15"/>
      <c r="KG131" s="15"/>
      <c r="KH131" s="15"/>
      <c r="KI131" s="15"/>
      <c r="KJ131" s="15"/>
      <c r="KK131" s="15"/>
      <c r="KL131" s="15"/>
      <c r="KM131" s="15"/>
      <c r="LI131" s="15"/>
      <c r="LJ131" s="15"/>
      <c r="LK131" s="15"/>
      <c r="LL131" s="15"/>
      <c r="LM131" s="15"/>
      <c r="LN131" s="15"/>
      <c r="LO131" s="15"/>
      <c r="LP131" s="15"/>
      <c r="LQ131" s="15"/>
      <c r="LR131" s="15"/>
    </row>
    <row r="132" spans="2:330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DG132" s="15"/>
      <c r="DH132" s="15"/>
      <c r="DI132" s="15"/>
      <c r="DJ132" s="15"/>
      <c r="DK132" s="15"/>
      <c r="DL132" s="15"/>
      <c r="DM132" s="15"/>
      <c r="DN132" s="15"/>
      <c r="DO132" s="15"/>
      <c r="DP132" s="15"/>
      <c r="DQ132" s="15"/>
      <c r="DR132" s="15"/>
      <c r="DS132" s="15"/>
      <c r="DT132" s="15"/>
      <c r="DU132" s="15"/>
      <c r="DX132" s="15"/>
      <c r="DZ132" s="15"/>
      <c r="EA132" s="15"/>
      <c r="EB132" s="15"/>
      <c r="EC132" s="15"/>
      <c r="ED132" s="15"/>
      <c r="EF132" s="15"/>
      <c r="EG132" s="15"/>
      <c r="EH132" s="15"/>
      <c r="EJ132" s="15"/>
      <c r="EK132" s="15"/>
      <c r="EL132" s="15"/>
      <c r="EO132" s="15"/>
      <c r="EP132" s="15"/>
      <c r="EQ132" s="15"/>
      <c r="ER132" s="15"/>
      <c r="ES132" s="15"/>
      <c r="ET132" s="15"/>
      <c r="EU132" s="15"/>
      <c r="EV132" s="15"/>
      <c r="EW132" s="15"/>
      <c r="FY132" s="15"/>
      <c r="FZ132" s="15"/>
      <c r="GA132" s="15"/>
      <c r="GB132" s="15"/>
      <c r="GC132" s="15"/>
      <c r="GD132" s="15"/>
      <c r="GE132" s="15"/>
      <c r="GF132" s="15"/>
      <c r="GG132" s="15"/>
      <c r="GH132" s="15"/>
      <c r="GI132" s="15"/>
      <c r="GJ132" s="15"/>
      <c r="GL132" s="15"/>
      <c r="GM132" s="15"/>
      <c r="GN132" s="15"/>
      <c r="GO132" s="15"/>
      <c r="GP132" s="15"/>
      <c r="GQ132" s="15"/>
      <c r="GR132" s="15"/>
      <c r="GS132" s="15"/>
      <c r="GT132" s="15"/>
      <c r="GU132" s="15"/>
      <c r="GV132" s="15"/>
      <c r="HH132" s="15"/>
      <c r="HI132" s="15"/>
      <c r="HJ132" s="15"/>
      <c r="HL132" s="15"/>
      <c r="HN132" s="15"/>
      <c r="HO132" s="15"/>
      <c r="HP132" s="15"/>
      <c r="HQ132" s="15"/>
      <c r="HR132" s="15"/>
      <c r="HS132" s="15"/>
      <c r="HT132" s="15"/>
      <c r="HV132" s="15"/>
      <c r="HW132" s="15"/>
      <c r="HX132" s="15"/>
      <c r="IQ132" s="15"/>
      <c r="IR132" s="15"/>
      <c r="IS132" s="15"/>
      <c r="IT132" s="15"/>
      <c r="IV132" s="15"/>
      <c r="IW132" s="15"/>
      <c r="IX132" s="15"/>
      <c r="IY132" s="15"/>
      <c r="IZ132" s="15"/>
      <c r="JA132" s="15"/>
      <c r="JB132" s="15"/>
      <c r="JC132" s="15"/>
      <c r="JE132" s="15"/>
      <c r="JZ132" s="15"/>
      <c r="KA132" s="15"/>
      <c r="KB132" s="15"/>
      <c r="KD132" s="15"/>
      <c r="KE132" s="15"/>
      <c r="KG132" s="15"/>
      <c r="KH132" s="15"/>
      <c r="KI132" s="15"/>
      <c r="KL132" s="15"/>
      <c r="LI132" s="15"/>
      <c r="LJ132" s="15"/>
      <c r="LK132" s="15"/>
      <c r="LL132" s="15"/>
      <c r="LM132" s="15"/>
      <c r="LN132" s="15"/>
      <c r="LO132" s="15"/>
      <c r="LP132" s="15"/>
      <c r="LQ132" s="15"/>
      <c r="LR132" s="15"/>
    </row>
    <row r="133" spans="2:330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DG133" s="15"/>
      <c r="DH133" s="15"/>
      <c r="DI133" s="15"/>
      <c r="DJ133" s="15"/>
      <c r="DK133" s="15"/>
      <c r="DL133" s="15"/>
      <c r="DM133" s="15"/>
      <c r="DN133" s="15"/>
      <c r="DO133" s="15"/>
      <c r="DP133" s="15"/>
      <c r="DQ133" s="15"/>
      <c r="DR133" s="15"/>
      <c r="DS133" s="15"/>
      <c r="DT133" s="15"/>
      <c r="DU133" s="15"/>
      <c r="DV133" s="15"/>
      <c r="DW133" s="15"/>
      <c r="DX133" s="15"/>
      <c r="DY133" s="15"/>
      <c r="DZ133" s="15"/>
      <c r="EA133" s="15"/>
      <c r="EB133" s="15"/>
      <c r="EC133" s="15"/>
      <c r="ED133" s="15"/>
      <c r="EE133" s="15"/>
      <c r="EF133" s="15"/>
      <c r="EG133" s="15"/>
      <c r="EH133" s="15"/>
      <c r="EI133" s="15"/>
      <c r="EJ133" s="15"/>
      <c r="EK133" s="15"/>
      <c r="EL133" s="15"/>
      <c r="EM133" s="15"/>
      <c r="EN133" s="15"/>
      <c r="EO133" s="15"/>
      <c r="EP133" s="15"/>
      <c r="EQ133" s="15"/>
      <c r="ER133" s="15"/>
      <c r="ES133" s="15"/>
      <c r="ET133" s="15"/>
      <c r="EU133" s="15"/>
      <c r="EV133" s="15"/>
      <c r="EW133" s="15"/>
      <c r="FY133" s="15"/>
      <c r="FZ133" s="15"/>
      <c r="GA133" s="15"/>
      <c r="GB133" s="15"/>
      <c r="GC133" s="15"/>
      <c r="GD133" s="15"/>
      <c r="GE133" s="15"/>
      <c r="GF133" s="15"/>
      <c r="GG133" s="15"/>
      <c r="GH133" s="15"/>
      <c r="GI133" s="15"/>
      <c r="GJ133" s="15"/>
      <c r="GK133" s="15"/>
      <c r="GL133" s="15"/>
      <c r="GM133" s="15"/>
      <c r="GN133" s="15"/>
      <c r="GO133" s="15"/>
      <c r="GP133" s="15"/>
      <c r="GQ133" s="15"/>
      <c r="GR133" s="15"/>
      <c r="GS133" s="15"/>
      <c r="GT133" s="15"/>
      <c r="GU133" s="15"/>
      <c r="GV133" s="15"/>
      <c r="HH133" s="15"/>
      <c r="HI133" s="15"/>
      <c r="HJ133" s="15"/>
      <c r="HK133" s="15"/>
      <c r="HL133" s="15"/>
      <c r="HM133" s="15"/>
      <c r="HN133" s="15"/>
      <c r="HO133" s="15"/>
      <c r="HP133" s="15"/>
      <c r="HQ133" s="15"/>
      <c r="HR133" s="15"/>
      <c r="HS133" s="15"/>
      <c r="HT133" s="15"/>
      <c r="HU133" s="15"/>
      <c r="HV133" s="15"/>
      <c r="HW133" s="15"/>
      <c r="HX133" s="15"/>
      <c r="HY133" s="15"/>
      <c r="HZ133" s="15"/>
      <c r="IQ133" s="15"/>
      <c r="IR133" s="15"/>
      <c r="IS133" s="15"/>
      <c r="IT133" s="15"/>
      <c r="IU133" s="15"/>
      <c r="IV133" s="15"/>
      <c r="IW133" s="15"/>
      <c r="IX133" s="15"/>
      <c r="IY133" s="15"/>
      <c r="IZ133" s="15"/>
      <c r="JA133" s="15"/>
      <c r="JB133" s="15"/>
      <c r="JC133" s="15"/>
      <c r="JD133" s="15"/>
      <c r="JE133" s="15"/>
      <c r="JF133" s="15"/>
      <c r="JZ133" s="15"/>
      <c r="KA133" s="15"/>
      <c r="KB133" s="15"/>
      <c r="KC133" s="15"/>
      <c r="KD133" s="15"/>
      <c r="KE133" s="15"/>
      <c r="KF133" s="15"/>
      <c r="KG133" s="15"/>
      <c r="KH133" s="15"/>
      <c r="KI133" s="15"/>
      <c r="KJ133" s="15"/>
      <c r="KK133" s="15"/>
      <c r="KL133" s="15"/>
      <c r="KM133" s="15"/>
      <c r="LI133" s="15"/>
      <c r="LJ133" s="15"/>
      <c r="LK133" s="15"/>
      <c r="LL133" s="15"/>
      <c r="LM133" s="15"/>
      <c r="LN133" s="15"/>
      <c r="LO133" s="15"/>
      <c r="LP133" s="15"/>
      <c r="LQ133" s="15"/>
      <c r="LR133" s="15"/>
    </row>
    <row r="134" spans="2:330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DG134" s="15"/>
      <c r="DH134" s="15"/>
      <c r="DI134" s="15"/>
      <c r="DJ134" s="15"/>
      <c r="DK134" s="15"/>
      <c r="DL134" s="15"/>
      <c r="DM134" s="15"/>
      <c r="DN134" s="15"/>
      <c r="DO134" s="15"/>
      <c r="DP134" s="15"/>
      <c r="DQ134" s="15"/>
      <c r="DR134" s="15"/>
      <c r="DS134" s="15"/>
      <c r="DT134" s="15"/>
      <c r="DU134" s="15"/>
      <c r="DV134" s="15"/>
      <c r="DW134" s="15"/>
      <c r="DX134" s="15"/>
      <c r="DY134" s="15"/>
      <c r="DZ134" s="15"/>
      <c r="EA134" s="15"/>
      <c r="EB134" s="15"/>
      <c r="EC134" s="15"/>
      <c r="ED134" s="15"/>
      <c r="EE134" s="15"/>
      <c r="EF134" s="15"/>
      <c r="EG134" s="15"/>
      <c r="EH134" s="15"/>
      <c r="EI134" s="15"/>
      <c r="EJ134" s="15"/>
      <c r="EK134" s="15"/>
      <c r="EL134" s="15"/>
      <c r="EM134" s="15"/>
      <c r="EN134" s="15"/>
      <c r="EO134" s="15"/>
      <c r="EP134" s="15"/>
      <c r="EQ134" s="15"/>
      <c r="ER134" s="15"/>
      <c r="ES134" s="15"/>
      <c r="ET134" s="15"/>
      <c r="EU134" s="15"/>
      <c r="EV134" s="15"/>
      <c r="EW134" s="15"/>
      <c r="FY134" s="15"/>
      <c r="FZ134" s="15"/>
      <c r="GA134" s="15"/>
      <c r="GB134" s="15"/>
      <c r="GC134" s="15"/>
      <c r="GD134" s="15"/>
      <c r="GE134" s="15"/>
      <c r="GF134" s="15"/>
      <c r="GG134" s="15"/>
      <c r="GH134" s="15"/>
      <c r="GI134" s="15"/>
      <c r="GJ134" s="15"/>
      <c r="GK134" s="15"/>
      <c r="GL134" s="15"/>
      <c r="GM134" s="15"/>
      <c r="GN134" s="15"/>
      <c r="GO134" s="15"/>
      <c r="GP134" s="15"/>
      <c r="GQ134" s="15"/>
      <c r="GR134" s="15"/>
      <c r="GS134" s="15"/>
      <c r="GT134" s="15"/>
      <c r="GU134" s="15"/>
      <c r="GV134" s="15"/>
      <c r="HH134" s="15"/>
      <c r="HI134" s="15"/>
      <c r="HJ134" s="15"/>
      <c r="HK134" s="15"/>
      <c r="HL134" s="15"/>
      <c r="HM134" s="15"/>
      <c r="HN134" s="15"/>
      <c r="HO134" s="15"/>
      <c r="HP134" s="15"/>
      <c r="HQ134" s="15"/>
      <c r="HR134" s="15"/>
      <c r="HS134" s="15"/>
      <c r="HT134" s="15"/>
      <c r="HU134" s="15"/>
      <c r="HV134" s="15"/>
      <c r="HW134" s="15"/>
      <c r="HX134" s="15"/>
      <c r="HY134" s="15"/>
      <c r="HZ134" s="15"/>
      <c r="IQ134" s="15"/>
      <c r="IR134" s="15"/>
      <c r="IS134" s="15"/>
      <c r="IT134" s="15"/>
      <c r="IU134" s="15"/>
      <c r="IV134" s="15"/>
      <c r="IW134" s="15"/>
      <c r="IX134" s="15"/>
      <c r="IY134" s="15"/>
      <c r="IZ134" s="15"/>
      <c r="JA134" s="15"/>
      <c r="JB134" s="15"/>
      <c r="JC134" s="15"/>
      <c r="JD134" s="15"/>
      <c r="JE134" s="15"/>
      <c r="JF134" s="15"/>
      <c r="JZ134" s="15"/>
      <c r="KA134" s="15"/>
      <c r="KB134" s="15"/>
      <c r="KC134" s="15"/>
      <c r="KD134" s="15"/>
      <c r="KE134" s="15"/>
      <c r="KF134" s="15"/>
      <c r="KG134" s="15"/>
      <c r="KH134" s="15"/>
      <c r="KI134" s="15"/>
      <c r="KJ134" s="15"/>
      <c r="KK134" s="15"/>
      <c r="KL134" s="15"/>
      <c r="KM134" s="15"/>
      <c r="LI134" s="15"/>
      <c r="LJ134" s="15"/>
      <c r="LK134" s="15"/>
      <c r="LL134" s="15"/>
      <c r="LM134" s="15"/>
      <c r="LN134" s="15"/>
      <c r="LO134" s="15"/>
      <c r="LQ134" s="15"/>
      <c r="LR134" s="15"/>
    </row>
    <row r="135" spans="2:330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T135" s="15"/>
      <c r="U135" s="15"/>
      <c r="V135" s="15"/>
      <c r="W135" s="15"/>
      <c r="X135" s="15"/>
      <c r="Y135" s="15"/>
      <c r="AO135" s="15"/>
      <c r="AP135" s="15"/>
      <c r="AQ135" s="15"/>
      <c r="AR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DG135" s="15"/>
      <c r="DH135" s="15"/>
      <c r="DI135" s="15"/>
      <c r="DJ135" s="15"/>
      <c r="DK135" s="15"/>
      <c r="DL135" s="15"/>
      <c r="DM135" s="15"/>
      <c r="DN135" s="15"/>
      <c r="DO135" s="15"/>
      <c r="DP135" s="15"/>
      <c r="DQ135" s="15"/>
      <c r="DR135" s="15"/>
      <c r="DS135" s="15"/>
      <c r="DT135" s="15"/>
      <c r="DU135" s="15"/>
      <c r="DV135" s="15"/>
      <c r="DW135" s="15"/>
      <c r="DX135" s="15"/>
      <c r="DY135" s="15"/>
      <c r="DZ135" s="15"/>
      <c r="EA135" s="15"/>
      <c r="EB135" s="15"/>
      <c r="EC135" s="15"/>
      <c r="ED135" s="15"/>
      <c r="EE135" s="15"/>
      <c r="EF135" s="15"/>
      <c r="EG135" s="15"/>
      <c r="EH135" s="15"/>
      <c r="EI135" s="15"/>
      <c r="EP135" s="15"/>
      <c r="EQ135" s="15"/>
      <c r="ER135" s="15"/>
      <c r="ES135" s="15"/>
      <c r="ET135" s="15"/>
      <c r="EU135" s="15"/>
      <c r="EV135" s="15"/>
      <c r="EW135" s="15"/>
      <c r="FY135" s="15"/>
      <c r="FZ135" s="15"/>
      <c r="GA135" s="15"/>
      <c r="GB135" s="15"/>
      <c r="GC135" s="15"/>
      <c r="GD135" s="15"/>
      <c r="GE135" s="15"/>
      <c r="GF135" s="15"/>
      <c r="GG135" s="15"/>
      <c r="GH135" s="15"/>
      <c r="GI135" s="15"/>
      <c r="GJ135" s="15"/>
      <c r="GK135" s="15"/>
      <c r="GL135" s="15"/>
      <c r="GM135" s="15"/>
      <c r="GN135" s="15"/>
      <c r="GO135" s="15"/>
      <c r="GP135" s="15"/>
      <c r="GQ135" s="15"/>
      <c r="GS135" s="15"/>
      <c r="GT135" s="15"/>
      <c r="GU135" s="15"/>
      <c r="GV135" s="15"/>
      <c r="HH135" s="15"/>
      <c r="HI135" s="15"/>
      <c r="HJ135" s="15"/>
      <c r="HK135" s="15"/>
      <c r="HL135" s="15"/>
      <c r="HM135" s="15"/>
      <c r="HN135" s="15"/>
      <c r="HO135" s="15"/>
      <c r="HP135" s="15"/>
      <c r="HQ135" s="15"/>
      <c r="HR135" s="15"/>
      <c r="HS135" s="15"/>
      <c r="IQ135" s="15"/>
      <c r="IR135" s="15"/>
      <c r="IS135" s="15"/>
      <c r="IT135" s="15"/>
      <c r="IU135" s="15"/>
      <c r="IV135" s="15"/>
      <c r="IW135" s="15"/>
      <c r="IX135" s="15"/>
      <c r="IY135" s="15"/>
      <c r="IZ135" s="15"/>
      <c r="JA135" s="15"/>
      <c r="JB135" s="15"/>
      <c r="JC135" s="15"/>
      <c r="JD135" s="15"/>
      <c r="JE135" s="15"/>
      <c r="JF135" s="15"/>
      <c r="JZ135" s="15"/>
      <c r="KA135" s="15"/>
      <c r="KB135" s="15"/>
      <c r="KC135" s="15"/>
      <c r="KD135" s="15"/>
      <c r="KE135" s="15"/>
      <c r="KF135" s="15"/>
      <c r="KG135" s="15"/>
      <c r="KH135" s="15"/>
      <c r="KI135" s="15"/>
      <c r="KJ135" s="15"/>
      <c r="KK135" s="15"/>
      <c r="KL135" s="15"/>
      <c r="KM135" s="15"/>
      <c r="LI135" s="15"/>
      <c r="LJ135" s="15"/>
      <c r="LK135" s="15"/>
      <c r="LL135" s="15"/>
      <c r="LM135" s="15"/>
      <c r="LN135" s="15"/>
      <c r="LO135" s="15"/>
      <c r="LP135" s="15"/>
      <c r="LQ135" s="15"/>
      <c r="LR135" s="15"/>
    </row>
    <row r="136" spans="2:330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DG136" s="15"/>
      <c r="DH136" s="15"/>
      <c r="DI136" s="15"/>
      <c r="DJ136" s="15"/>
      <c r="DK136" s="15"/>
      <c r="DL136" s="15"/>
      <c r="DM136" s="15"/>
      <c r="DN136" s="15"/>
      <c r="DO136" s="15"/>
      <c r="DP136" s="15"/>
      <c r="DQ136" s="15"/>
      <c r="DR136" s="15"/>
      <c r="DS136" s="15"/>
      <c r="DT136" s="15"/>
      <c r="DU136" s="15"/>
      <c r="DW136" s="15"/>
      <c r="DX136" s="15"/>
      <c r="DY136" s="15"/>
      <c r="DZ136" s="15"/>
      <c r="EA136" s="15"/>
      <c r="EB136" s="15"/>
      <c r="EC136" s="15"/>
      <c r="ED136" s="15"/>
      <c r="EE136" s="15"/>
      <c r="EF136" s="15"/>
      <c r="EG136" s="15"/>
      <c r="EH136" s="15"/>
      <c r="EI136" s="15"/>
      <c r="EJ136" s="15"/>
      <c r="EK136" s="15"/>
      <c r="EL136" s="15"/>
      <c r="EM136" s="15"/>
      <c r="EN136" s="15"/>
      <c r="EO136" s="15"/>
      <c r="EP136" s="15"/>
      <c r="EQ136" s="15"/>
      <c r="ER136" s="15"/>
      <c r="ES136" s="15"/>
      <c r="ET136" s="15"/>
      <c r="EU136" s="15"/>
      <c r="EV136" s="15"/>
      <c r="FY136" s="15"/>
      <c r="FZ136" s="15"/>
      <c r="GA136" s="15"/>
      <c r="GB136" s="15"/>
      <c r="GC136" s="15"/>
      <c r="GD136" s="15"/>
      <c r="GE136" s="15"/>
      <c r="GF136" s="15"/>
      <c r="GG136" s="15"/>
      <c r="GH136" s="15"/>
      <c r="GI136" s="15"/>
      <c r="GJ136" s="15"/>
      <c r="GK136" s="15"/>
      <c r="GL136" s="15"/>
      <c r="GM136" s="15"/>
      <c r="GN136" s="15"/>
      <c r="GO136" s="15"/>
      <c r="GP136" s="15"/>
      <c r="GQ136" s="15"/>
      <c r="GR136" s="15"/>
      <c r="GS136" s="15"/>
      <c r="GT136" s="15"/>
      <c r="GU136" s="15"/>
      <c r="GV136" s="15"/>
      <c r="HH136" s="15"/>
      <c r="HI136" s="15"/>
      <c r="HJ136" s="15"/>
      <c r="HK136" s="15"/>
      <c r="HL136" s="15"/>
      <c r="HM136" s="15"/>
      <c r="HN136" s="15"/>
      <c r="HO136" s="15"/>
      <c r="HP136" s="15"/>
      <c r="HQ136" s="15"/>
      <c r="HR136" s="15"/>
      <c r="HS136" s="15"/>
      <c r="HT136" s="15"/>
      <c r="HU136" s="15"/>
      <c r="HV136" s="15"/>
      <c r="HW136" s="15"/>
      <c r="HX136" s="15"/>
      <c r="HY136" s="15"/>
      <c r="HZ136" s="15"/>
      <c r="IQ136" s="15"/>
      <c r="IR136" s="15"/>
      <c r="IS136" s="15"/>
      <c r="IT136" s="15"/>
      <c r="IU136" s="15"/>
      <c r="IV136" s="15"/>
      <c r="IW136" s="15"/>
      <c r="IX136" s="15"/>
      <c r="IY136" s="15"/>
      <c r="IZ136" s="15"/>
      <c r="JA136" s="15"/>
      <c r="JB136" s="15"/>
      <c r="JC136" s="15"/>
      <c r="JD136" s="15"/>
      <c r="JE136" s="15"/>
      <c r="JF136" s="15"/>
      <c r="JZ136" s="15"/>
      <c r="KA136" s="15"/>
      <c r="KB136" s="15"/>
      <c r="KC136" s="15"/>
      <c r="KD136" s="15"/>
      <c r="KE136" s="15"/>
      <c r="KF136" s="15"/>
      <c r="KG136" s="15"/>
      <c r="KH136" s="15"/>
      <c r="KI136" s="15"/>
      <c r="KJ136" s="15"/>
      <c r="KK136" s="15"/>
      <c r="KL136" s="15"/>
      <c r="KM136" s="15"/>
      <c r="LI136" s="15"/>
      <c r="LJ136" s="15"/>
      <c r="LK136" s="15"/>
      <c r="LL136" s="15"/>
      <c r="LM136" s="15"/>
      <c r="LN136" s="15"/>
      <c r="LO136" s="15"/>
      <c r="LP136" s="15"/>
      <c r="LQ136" s="15"/>
      <c r="LR136" s="15"/>
    </row>
    <row r="137" spans="2:330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AO137" s="15"/>
      <c r="AP137" s="15"/>
      <c r="AQ137" s="15"/>
      <c r="AR137" s="15"/>
      <c r="AS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DG137" s="15"/>
      <c r="DH137" s="15"/>
      <c r="DI137" s="15"/>
      <c r="DJ137" s="15"/>
      <c r="DK137" s="15"/>
      <c r="DL137" s="15"/>
      <c r="DM137" s="15"/>
      <c r="DN137" s="15"/>
      <c r="DO137" s="15"/>
      <c r="DP137" s="15"/>
      <c r="DQ137" s="15"/>
      <c r="DR137" s="15"/>
      <c r="DS137" s="15"/>
      <c r="DT137" s="15"/>
      <c r="DU137" s="15"/>
      <c r="DV137" s="15"/>
      <c r="DW137" s="15"/>
      <c r="DX137" s="15"/>
      <c r="DY137" s="15"/>
      <c r="DZ137" s="15"/>
      <c r="EA137" s="15"/>
      <c r="EB137" s="15"/>
      <c r="EC137" s="15"/>
      <c r="ED137" s="15"/>
      <c r="EE137" s="15"/>
      <c r="EF137" s="15"/>
      <c r="EG137" s="15"/>
      <c r="EH137" s="15"/>
      <c r="EI137" s="15"/>
      <c r="EJ137" s="15"/>
      <c r="EP137" s="15"/>
      <c r="EQ137" s="15"/>
      <c r="ER137" s="15"/>
      <c r="ES137" s="15"/>
      <c r="ET137" s="15"/>
      <c r="EU137" s="15"/>
      <c r="EV137" s="15"/>
      <c r="EW137" s="15"/>
      <c r="FY137" s="15"/>
      <c r="FZ137" s="15"/>
      <c r="GA137" s="15"/>
      <c r="GB137" s="15"/>
      <c r="GC137" s="15"/>
      <c r="GD137" s="15"/>
      <c r="GE137" s="15"/>
      <c r="GF137" s="15"/>
      <c r="GG137" s="15"/>
      <c r="GH137" s="15"/>
      <c r="GI137" s="15"/>
      <c r="GJ137" s="15"/>
      <c r="GK137" s="15"/>
      <c r="GL137" s="15"/>
      <c r="GM137" s="15"/>
      <c r="GN137" s="15"/>
      <c r="GO137" s="15"/>
      <c r="GP137" s="15"/>
      <c r="GQ137" s="15"/>
      <c r="GR137" s="15"/>
      <c r="GS137" s="15"/>
      <c r="GT137" s="15"/>
      <c r="GU137" s="15"/>
      <c r="GV137" s="15"/>
      <c r="HH137" s="15"/>
      <c r="HI137" s="15"/>
      <c r="HJ137" s="15"/>
      <c r="HL137" s="15"/>
      <c r="HM137" s="15"/>
      <c r="HN137" s="15"/>
      <c r="HO137" s="15"/>
      <c r="HP137" s="15"/>
      <c r="HQ137" s="15"/>
      <c r="HR137" s="15"/>
      <c r="HS137" s="15"/>
      <c r="HT137" s="15"/>
      <c r="HU137" s="15"/>
      <c r="HV137" s="15"/>
      <c r="HW137" s="15"/>
      <c r="HX137" s="15"/>
      <c r="HY137" s="15"/>
      <c r="HZ137" s="15"/>
      <c r="IQ137" s="15"/>
      <c r="IR137" s="15"/>
      <c r="IS137" s="15"/>
      <c r="IT137" s="15"/>
      <c r="IU137" s="15"/>
      <c r="IV137" s="15"/>
      <c r="IW137" s="15"/>
      <c r="IX137" s="15"/>
      <c r="IY137" s="15"/>
      <c r="IZ137" s="15"/>
      <c r="JA137" s="15"/>
      <c r="JB137" s="15"/>
      <c r="JC137" s="15"/>
      <c r="JD137" s="15"/>
      <c r="JE137" s="15"/>
      <c r="JF137" s="15"/>
      <c r="JZ137" s="15"/>
      <c r="KA137" s="15"/>
      <c r="KB137" s="15"/>
      <c r="KC137" s="15"/>
      <c r="KD137" s="15"/>
      <c r="KE137" s="15"/>
      <c r="KF137" s="15"/>
      <c r="KG137" s="15"/>
      <c r="KH137" s="15"/>
      <c r="KI137" s="15"/>
      <c r="KJ137" s="15"/>
      <c r="KK137" s="15"/>
      <c r="KL137" s="15"/>
      <c r="KM137" s="15"/>
      <c r="LI137" s="15"/>
      <c r="LJ137" s="15"/>
      <c r="LK137" s="15"/>
      <c r="LL137" s="15"/>
      <c r="LM137" s="15"/>
      <c r="LN137" s="15"/>
      <c r="LO137" s="15"/>
      <c r="LP137" s="15"/>
      <c r="LQ137" s="15"/>
      <c r="LR137" s="15"/>
    </row>
    <row r="138" spans="2:330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DG138" s="15"/>
      <c r="DH138" s="15"/>
      <c r="DI138" s="15"/>
      <c r="DJ138" s="15"/>
      <c r="DK138" s="15"/>
      <c r="DL138" s="15"/>
      <c r="DM138" s="15"/>
      <c r="DN138" s="15"/>
      <c r="DO138" s="15"/>
      <c r="DP138" s="15"/>
      <c r="DQ138" s="15"/>
      <c r="DR138" s="15"/>
      <c r="DS138" s="15"/>
      <c r="DT138" s="15"/>
      <c r="DU138" s="15"/>
      <c r="DV138" s="15"/>
      <c r="DW138" s="15"/>
      <c r="DX138" s="15"/>
      <c r="DY138" s="15"/>
      <c r="DZ138" s="15"/>
      <c r="EA138" s="15"/>
      <c r="EB138" s="15"/>
      <c r="EC138" s="15"/>
      <c r="ED138" s="15"/>
      <c r="EE138" s="15"/>
      <c r="EF138" s="15"/>
      <c r="EG138" s="15"/>
      <c r="EH138" s="15"/>
      <c r="EI138" s="15"/>
      <c r="EJ138" s="15"/>
      <c r="EK138" s="15"/>
      <c r="EL138" s="15"/>
      <c r="EM138" s="15"/>
      <c r="EN138" s="15"/>
      <c r="EO138" s="15"/>
      <c r="EP138" s="15"/>
      <c r="EQ138" s="15"/>
      <c r="ER138" s="15"/>
      <c r="ES138" s="15"/>
      <c r="ET138" s="15"/>
      <c r="EU138" s="15"/>
      <c r="EV138" s="15"/>
      <c r="EW138" s="15"/>
      <c r="FY138" s="15"/>
      <c r="FZ138" s="15"/>
      <c r="GA138" s="15"/>
      <c r="GB138" s="15"/>
      <c r="GC138" s="15"/>
      <c r="GD138" s="15"/>
      <c r="GE138" s="15"/>
      <c r="GF138" s="15"/>
      <c r="GG138" s="15"/>
      <c r="GH138" s="15"/>
      <c r="GI138" s="15"/>
      <c r="GJ138" s="15"/>
      <c r="GK138" s="15"/>
      <c r="GL138" s="15"/>
      <c r="GM138" s="15"/>
      <c r="GN138" s="15"/>
      <c r="GO138" s="15"/>
      <c r="GP138" s="15"/>
      <c r="GQ138" s="15"/>
      <c r="GR138" s="15"/>
      <c r="GS138" s="15"/>
      <c r="GT138" s="15"/>
      <c r="GU138" s="15"/>
      <c r="GV138" s="15"/>
      <c r="HH138" s="15"/>
      <c r="HI138" s="15"/>
      <c r="HJ138" s="15"/>
      <c r="HK138" s="15"/>
      <c r="HL138" s="15"/>
      <c r="HM138" s="15"/>
      <c r="HN138" s="15"/>
      <c r="HO138" s="15"/>
      <c r="HP138" s="15"/>
      <c r="HQ138" s="15"/>
      <c r="HR138" s="15"/>
      <c r="HS138" s="15"/>
      <c r="HT138" s="15"/>
      <c r="HU138" s="15"/>
      <c r="HV138" s="15"/>
      <c r="HW138" s="15"/>
      <c r="HX138" s="15"/>
      <c r="HY138" s="15"/>
      <c r="HZ138" s="15"/>
      <c r="IQ138" s="15"/>
      <c r="IR138" s="15"/>
      <c r="IS138" s="15"/>
      <c r="IT138" s="15"/>
      <c r="IU138" s="15"/>
      <c r="IV138" s="15"/>
      <c r="IW138" s="15"/>
      <c r="IX138" s="15"/>
      <c r="IY138" s="15"/>
      <c r="IZ138" s="15"/>
      <c r="JA138" s="15"/>
      <c r="JB138" s="15"/>
      <c r="JC138" s="15"/>
      <c r="JD138" s="15"/>
      <c r="JE138" s="15"/>
      <c r="JF138" s="15"/>
      <c r="JZ138" s="15"/>
      <c r="KA138" s="15"/>
      <c r="KB138" s="15"/>
      <c r="KC138" s="15"/>
      <c r="KD138" s="15"/>
      <c r="KE138" s="15"/>
      <c r="KF138" s="15"/>
      <c r="KG138" s="15"/>
      <c r="KH138" s="15"/>
      <c r="KI138" s="15"/>
      <c r="KJ138" s="15"/>
      <c r="KK138" s="15"/>
      <c r="KL138" s="15"/>
      <c r="KM138" s="15"/>
      <c r="LI138" s="15"/>
      <c r="LJ138" s="15"/>
      <c r="LK138" s="15"/>
      <c r="LL138" s="15"/>
      <c r="LM138" s="15"/>
      <c r="LN138" s="15"/>
      <c r="LO138" s="15"/>
      <c r="LP138" s="15"/>
      <c r="LQ138" s="15"/>
      <c r="LR138" s="15"/>
    </row>
    <row r="139" spans="2:330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DG139" s="15"/>
      <c r="DH139" s="15"/>
      <c r="DI139" s="15"/>
      <c r="DJ139" s="15"/>
      <c r="DK139" s="15"/>
      <c r="DL139" s="15"/>
      <c r="DM139" s="15"/>
      <c r="DN139" s="15"/>
      <c r="DO139" s="15"/>
      <c r="DP139" s="15"/>
      <c r="DQ139" s="15"/>
      <c r="DR139" s="15"/>
      <c r="DS139" s="15"/>
      <c r="DT139" s="15"/>
      <c r="DU139" s="15"/>
      <c r="DV139" s="15"/>
      <c r="DW139" s="15"/>
      <c r="DX139" s="15"/>
      <c r="DY139" s="15"/>
      <c r="DZ139" s="15"/>
      <c r="EA139" s="15"/>
      <c r="EB139" s="15"/>
      <c r="EC139" s="15"/>
      <c r="ED139" s="15"/>
      <c r="EE139" s="15"/>
      <c r="EF139" s="15"/>
      <c r="EG139" s="15"/>
      <c r="EH139" s="15"/>
      <c r="EI139" s="15"/>
      <c r="EJ139" s="15"/>
      <c r="EK139" s="15"/>
      <c r="EL139" s="15"/>
      <c r="EM139" s="15"/>
      <c r="EN139" s="15"/>
      <c r="EO139" s="15"/>
      <c r="EP139" s="15"/>
      <c r="EQ139" s="15"/>
      <c r="ER139" s="15"/>
      <c r="ES139" s="15"/>
      <c r="ET139" s="15"/>
      <c r="EU139" s="15"/>
      <c r="EV139" s="15"/>
      <c r="EW139" s="15"/>
      <c r="FY139" s="15"/>
      <c r="FZ139" s="15"/>
      <c r="GA139" s="15"/>
      <c r="GB139" s="15"/>
      <c r="GC139" s="15"/>
      <c r="GD139" s="15"/>
      <c r="GE139" s="15"/>
      <c r="GF139" s="15"/>
      <c r="GG139" s="15"/>
      <c r="GH139" s="15"/>
      <c r="GI139" s="15"/>
      <c r="GJ139" s="15"/>
      <c r="GK139" s="15"/>
      <c r="GL139" s="15"/>
      <c r="GM139" s="15"/>
      <c r="GO139" s="15"/>
      <c r="GP139" s="15"/>
      <c r="GQ139" s="15"/>
      <c r="GR139" s="15"/>
      <c r="HH139" s="15"/>
      <c r="HI139" s="15"/>
      <c r="HJ139" s="15"/>
      <c r="HK139" s="15"/>
      <c r="HL139" s="15"/>
      <c r="HM139" s="15"/>
      <c r="HN139" s="15"/>
      <c r="HO139" s="15"/>
      <c r="HP139" s="15"/>
      <c r="HQ139" s="15"/>
      <c r="HR139" s="15"/>
      <c r="HS139" s="15"/>
      <c r="HT139" s="15"/>
      <c r="HU139" s="15"/>
      <c r="HV139" s="15"/>
      <c r="HW139" s="15"/>
      <c r="HX139" s="15"/>
      <c r="HY139" s="15"/>
      <c r="HZ139" s="15"/>
      <c r="IQ139" s="15"/>
      <c r="IR139" s="15"/>
      <c r="IS139" s="15"/>
      <c r="IT139" s="15"/>
      <c r="IU139" s="15"/>
      <c r="IV139" s="15"/>
      <c r="IW139" s="15"/>
      <c r="IX139" s="15"/>
      <c r="IY139" s="15"/>
      <c r="IZ139" s="15"/>
      <c r="JA139" s="15"/>
      <c r="JB139" s="15"/>
      <c r="JC139" s="15"/>
      <c r="JD139" s="15"/>
      <c r="JE139" s="15"/>
      <c r="JF139" s="15"/>
      <c r="JZ139" s="15"/>
      <c r="KA139" s="15"/>
      <c r="KB139" s="15"/>
      <c r="KC139" s="15"/>
      <c r="KD139" s="15"/>
      <c r="KE139" s="15"/>
      <c r="KF139" s="15"/>
      <c r="KG139" s="15"/>
      <c r="KH139" s="15"/>
      <c r="KI139" s="15"/>
      <c r="KJ139" s="15"/>
      <c r="KK139" s="15"/>
      <c r="KL139" s="15"/>
      <c r="KM139" s="15"/>
      <c r="LI139" s="15"/>
      <c r="LJ139" s="15"/>
      <c r="LK139" s="15"/>
      <c r="LL139" s="15"/>
      <c r="LM139" s="15"/>
      <c r="LN139" s="15"/>
      <c r="LO139" s="15"/>
      <c r="LP139" s="15"/>
      <c r="LQ139" s="15"/>
    </row>
    <row r="140" spans="2:330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DG140" s="15"/>
      <c r="DH140" s="15"/>
      <c r="DI140" s="15"/>
      <c r="DJ140" s="15"/>
      <c r="DK140" s="15"/>
      <c r="DL140" s="15"/>
      <c r="DM140" s="15"/>
      <c r="DN140" s="15"/>
      <c r="DO140" s="15"/>
      <c r="DP140" s="15"/>
      <c r="DQ140" s="15"/>
      <c r="DR140" s="15"/>
      <c r="DS140" s="15"/>
      <c r="DT140" s="15"/>
      <c r="DU140" s="15"/>
      <c r="DV140" s="15"/>
      <c r="DW140" s="15"/>
      <c r="DX140" s="15"/>
      <c r="DY140" s="15"/>
      <c r="DZ140" s="15"/>
      <c r="EA140" s="15"/>
      <c r="EB140" s="15"/>
      <c r="EC140" s="15"/>
      <c r="ED140" s="15"/>
      <c r="EE140" s="15"/>
      <c r="EF140" s="15"/>
      <c r="EG140" s="15"/>
      <c r="EH140" s="15"/>
      <c r="EI140" s="15"/>
      <c r="EJ140" s="15"/>
      <c r="EK140" s="15"/>
      <c r="EL140" s="15"/>
      <c r="EM140" s="15"/>
      <c r="EN140" s="15"/>
      <c r="EO140" s="15"/>
      <c r="EP140" s="15"/>
      <c r="EQ140" s="15"/>
      <c r="ER140" s="15"/>
      <c r="ES140" s="15"/>
      <c r="ET140" s="15"/>
      <c r="EU140" s="15"/>
      <c r="EV140" s="15"/>
      <c r="EW140" s="15"/>
      <c r="FY140" s="15"/>
      <c r="FZ140" s="15"/>
      <c r="GA140" s="15"/>
      <c r="GB140" s="15"/>
      <c r="GC140" s="15"/>
      <c r="GD140" s="15"/>
      <c r="GE140" s="15"/>
      <c r="GF140" s="15"/>
      <c r="GG140" s="15"/>
      <c r="GH140" s="15"/>
      <c r="GI140" s="15"/>
      <c r="GJ140" s="15"/>
      <c r="GK140" s="15"/>
      <c r="GL140" s="15"/>
      <c r="GM140" s="15"/>
      <c r="GN140" s="15"/>
      <c r="GO140" s="15"/>
      <c r="GP140" s="15"/>
      <c r="GQ140" s="15"/>
      <c r="GR140" s="15"/>
      <c r="GS140" s="15"/>
      <c r="GT140" s="15"/>
      <c r="GU140" s="15"/>
      <c r="GV140" s="15"/>
      <c r="HH140" s="15"/>
      <c r="HI140" s="15"/>
      <c r="HJ140" s="15"/>
      <c r="HK140" s="15"/>
      <c r="HL140" s="15"/>
      <c r="HM140" s="15"/>
      <c r="HN140" s="15"/>
      <c r="HO140" s="15"/>
      <c r="HP140" s="15"/>
      <c r="HQ140" s="15"/>
      <c r="HR140" s="15"/>
      <c r="HS140" s="15"/>
      <c r="HT140" s="15"/>
      <c r="HU140" s="15"/>
      <c r="HV140" s="15"/>
      <c r="HW140" s="15"/>
      <c r="HX140" s="15"/>
      <c r="HY140" s="15"/>
      <c r="HZ140" s="15"/>
      <c r="IQ140" s="15"/>
      <c r="IR140" s="15"/>
      <c r="IS140" s="15"/>
      <c r="IT140" s="15"/>
      <c r="IU140" s="15"/>
      <c r="IV140" s="15"/>
      <c r="IW140" s="15"/>
      <c r="IX140" s="15"/>
      <c r="IY140" s="15"/>
      <c r="IZ140" s="15"/>
      <c r="JA140" s="15"/>
      <c r="JB140" s="15"/>
      <c r="JC140" s="15"/>
      <c r="JD140" s="15"/>
      <c r="JE140" s="15"/>
      <c r="JF140" s="15"/>
      <c r="JZ140" s="15"/>
      <c r="KA140" s="15"/>
      <c r="KB140" s="15"/>
      <c r="KC140" s="15"/>
      <c r="KD140" s="15"/>
      <c r="KE140" s="15"/>
      <c r="KF140" s="15"/>
      <c r="KG140" s="15"/>
      <c r="KH140" s="15"/>
      <c r="KI140" s="15"/>
      <c r="KJ140" s="15"/>
      <c r="KK140" s="15"/>
      <c r="KL140" s="15"/>
      <c r="KM140" s="15"/>
      <c r="LI140" s="15"/>
      <c r="LJ140" s="15"/>
      <c r="LK140" s="15"/>
      <c r="LL140" s="15"/>
      <c r="LM140" s="15"/>
      <c r="LN140" s="15"/>
      <c r="LO140" s="15"/>
      <c r="LP140" s="15"/>
      <c r="LQ140" s="15"/>
    </row>
    <row r="141" spans="2:330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Y141" s="15"/>
      <c r="AO141" s="15"/>
      <c r="AP141" s="15"/>
      <c r="AQ141" s="15"/>
      <c r="AR141" s="15"/>
      <c r="AT141" s="15"/>
      <c r="AV141" s="15"/>
      <c r="AW141" s="15"/>
      <c r="AX141" s="15"/>
      <c r="AY141" s="15"/>
      <c r="AZ141" s="15"/>
      <c r="BA141" s="15"/>
      <c r="BB141" s="15"/>
      <c r="BD141" s="15"/>
      <c r="BE141" s="15"/>
      <c r="BF141" s="15"/>
      <c r="BG141" s="15"/>
      <c r="BH141" s="15"/>
      <c r="BI141" s="15"/>
      <c r="BJ141" s="15"/>
      <c r="BK141" s="15"/>
      <c r="BL141" s="15"/>
      <c r="DG141" s="15"/>
      <c r="DH141" s="15"/>
      <c r="DI141" s="15"/>
      <c r="DJ141" s="15"/>
      <c r="DK141" s="15"/>
      <c r="DL141" s="15"/>
      <c r="DM141" s="15"/>
      <c r="DN141" s="15"/>
      <c r="DO141" s="15"/>
      <c r="DP141" s="15"/>
      <c r="DQ141" s="15"/>
      <c r="DR141" s="15"/>
      <c r="DS141" s="15"/>
      <c r="DU141" s="15"/>
      <c r="DV141" s="15"/>
      <c r="DW141" s="15"/>
      <c r="DX141" s="15"/>
      <c r="DY141" s="15"/>
      <c r="DZ141" s="15"/>
      <c r="EA141" s="15"/>
      <c r="EB141" s="15"/>
      <c r="EC141" s="15"/>
      <c r="ED141" s="15"/>
      <c r="EE141" s="15"/>
      <c r="EH141" s="15"/>
      <c r="EI141" s="15"/>
      <c r="EJ141" s="15"/>
      <c r="EP141" s="15"/>
      <c r="EQ141" s="15"/>
      <c r="ER141" s="15"/>
      <c r="ES141" s="15"/>
      <c r="ET141" s="15"/>
      <c r="EU141" s="15"/>
      <c r="EV141" s="15"/>
      <c r="EW141" s="15"/>
      <c r="FY141" s="15"/>
      <c r="FZ141" s="15"/>
      <c r="GC141" s="15"/>
      <c r="GD141" s="15"/>
      <c r="GE141" s="15"/>
      <c r="GF141" s="15"/>
      <c r="GG141" s="15"/>
      <c r="GJ141" s="15"/>
      <c r="GM141" s="15"/>
      <c r="GN141" s="15"/>
      <c r="GO141" s="15"/>
      <c r="GP141" s="15"/>
      <c r="GQ141" s="15"/>
      <c r="GT141" s="15"/>
      <c r="GV141" s="15"/>
      <c r="HH141" s="15"/>
      <c r="HI141" s="15"/>
      <c r="HJ141" s="15"/>
      <c r="HK141" s="15"/>
      <c r="HM141" s="15"/>
      <c r="HO141" s="15"/>
      <c r="HP141" s="15"/>
      <c r="HQ141" s="15"/>
      <c r="HR141" s="15"/>
      <c r="HS141" s="15"/>
      <c r="HT141" s="15"/>
      <c r="HV141" s="15"/>
      <c r="HW141" s="15"/>
      <c r="IQ141" s="15"/>
      <c r="IR141" s="15"/>
      <c r="IS141" s="15"/>
      <c r="IT141" s="15"/>
      <c r="IU141" s="15"/>
      <c r="IV141" s="15"/>
      <c r="IW141" s="15"/>
      <c r="IX141" s="15"/>
      <c r="IY141" s="15"/>
      <c r="IZ141" s="15"/>
      <c r="JA141" s="15"/>
      <c r="JB141" s="15"/>
      <c r="JC141" s="15"/>
      <c r="JD141" s="15"/>
      <c r="JE141" s="15"/>
      <c r="JF141" s="15"/>
      <c r="JZ141" s="15"/>
      <c r="KA141" s="15"/>
      <c r="KB141" s="15"/>
      <c r="KC141" s="15"/>
      <c r="KD141" s="15"/>
      <c r="KE141" s="15"/>
      <c r="KF141" s="15"/>
      <c r="KG141" s="15"/>
      <c r="KH141" s="15"/>
      <c r="KI141" s="15"/>
      <c r="KJ141" s="15"/>
      <c r="KK141" s="15"/>
      <c r="KL141" s="15"/>
      <c r="KM141" s="15"/>
      <c r="LI141" s="15"/>
      <c r="LJ141" s="15"/>
      <c r="LK141" s="15"/>
      <c r="LL141" s="15"/>
      <c r="LM141" s="15"/>
      <c r="LN141" s="15"/>
      <c r="LO141" s="15"/>
      <c r="LP141" s="15"/>
      <c r="LQ141" s="15"/>
      <c r="LR141" s="15"/>
    </row>
    <row r="142" spans="2:330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DG142" s="15"/>
      <c r="DH142" s="15"/>
      <c r="DI142" s="15"/>
      <c r="DJ142" s="15"/>
      <c r="DK142" s="15"/>
      <c r="DL142" s="15"/>
      <c r="DM142" s="15"/>
      <c r="DN142" s="15"/>
      <c r="DO142" s="15"/>
      <c r="DP142" s="15"/>
      <c r="DQ142" s="15"/>
      <c r="DR142" s="15"/>
      <c r="DS142" s="15"/>
      <c r="DT142" s="15"/>
      <c r="DU142" s="15"/>
      <c r="DV142" s="15"/>
      <c r="DW142" s="15"/>
      <c r="DX142" s="15"/>
      <c r="DY142" s="15"/>
      <c r="DZ142" s="15"/>
      <c r="EA142" s="15"/>
      <c r="EB142" s="15"/>
      <c r="EC142" s="15"/>
      <c r="ED142" s="15"/>
      <c r="EE142" s="15"/>
      <c r="EF142" s="15"/>
      <c r="EG142" s="15"/>
      <c r="EH142" s="15"/>
      <c r="EI142" s="15"/>
      <c r="EJ142" s="15"/>
      <c r="EK142" s="15"/>
      <c r="EL142" s="15"/>
      <c r="EM142" s="15"/>
      <c r="EN142" s="15"/>
      <c r="EO142" s="15"/>
      <c r="EP142" s="15"/>
      <c r="EQ142" s="15"/>
      <c r="ER142" s="15"/>
      <c r="ES142" s="15"/>
      <c r="ET142" s="15"/>
      <c r="EU142" s="15"/>
      <c r="EV142" s="15"/>
      <c r="EW142" s="15"/>
      <c r="FY142" s="15"/>
      <c r="FZ142" s="15"/>
      <c r="GA142" s="15"/>
      <c r="GB142" s="15"/>
      <c r="GC142" s="15"/>
      <c r="GD142" s="15"/>
      <c r="GE142" s="15"/>
      <c r="GF142" s="15"/>
      <c r="GG142" s="15"/>
      <c r="GH142" s="15"/>
      <c r="GN142" s="15"/>
      <c r="GO142" s="15"/>
      <c r="GP142" s="15"/>
      <c r="GQ142" s="15"/>
      <c r="GR142" s="15"/>
      <c r="GT142" s="15"/>
      <c r="GU142" s="15"/>
      <c r="GV142" s="15"/>
      <c r="HH142" s="15"/>
      <c r="HI142" s="15"/>
      <c r="HJ142" s="15"/>
      <c r="HK142" s="15"/>
      <c r="HL142" s="15"/>
      <c r="HM142" s="15"/>
      <c r="HN142" s="15"/>
      <c r="HO142" s="15"/>
      <c r="HP142" s="15"/>
      <c r="HQ142" s="15"/>
      <c r="HR142" s="15"/>
      <c r="HS142" s="15"/>
      <c r="HT142" s="15"/>
      <c r="HV142" s="15"/>
      <c r="HW142" s="15"/>
      <c r="HX142" s="15"/>
      <c r="IQ142" s="15"/>
      <c r="IR142" s="15"/>
      <c r="IS142" s="15"/>
      <c r="IT142" s="15"/>
      <c r="IU142" s="15"/>
      <c r="IV142" s="15"/>
      <c r="IW142" s="15"/>
      <c r="IX142" s="15"/>
      <c r="IY142" s="15"/>
      <c r="IZ142" s="15"/>
      <c r="JA142" s="15"/>
      <c r="JB142" s="15"/>
      <c r="JC142" s="15"/>
      <c r="JD142" s="15"/>
      <c r="JF142" s="15"/>
      <c r="JZ142" s="15"/>
      <c r="KA142" s="15"/>
      <c r="KB142" s="15"/>
      <c r="KC142" s="15"/>
      <c r="KD142" s="15"/>
      <c r="KE142" s="15"/>
      <c r="KF142" s="15"/>
      <c r="KG142" s="15"/>
      <c r="KH142" s="15"/>
      <c r="KI142" s="15"/>
      <c r="KJ142" s="15"/>
      <c r="KK142" s="15"/>
      <c r="KL142" s="15"/>
      <c r="LI142" s="15"/>
      <c r="LJ142" s="15"/>
      <c r="LK142" s="15"/>
      <c r="LL142" s="15"/>
      <c r="LM142" s="15"/>
      <c r="LN142" s="15"/>
      <c r="LO142" s="15"/>
      <c r="LQ142" s="15"/>
      <c r="LR142" s="15"/>
    </row>
    <row r="143" spans="2:330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AO143" s="15"/>
      <c r="AP143" s="15"/>
      <c r="AQ143" s="15"/>
      <c r="AR143" s="15"/>
      <c r="AS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F143" s="15"/>
      <c r="BH143" s="15"/>
      <c r="BI143" s="15"/>
      <c r="BJ143" s="15"/>
      <c r="DG143" s="15"/>
      <c r="DH143" s="15"/>
      <c r="DI143" s="15"/>
      <c r="DJ143" s="15"/>
      <c r="DK143" s="15"/>
      <c r="DL143" s="15"/>
      <c r="DM143" s="15"/>
      <c r="DN143" s="15"/>
      <c r="DO143" s="15"/>
      <c r="DP143" s="15"/>
      <c r="DQ143" s="15"/>
      <c r="DR143" s="15"/>
      <c r="DS143" s="15"/>
      <c r="DT143" s="15"/>
      <c r="DU143" s="15"/>
      <c r="DV143" s="15"/>
      <c r="DW143" s="15"/>
      <c r="DX143" s="15"/>
      <c r="DY143" s="15"/>
      <c r="DZ143" s="15"/>
      <c r="EA143" s="15"/>
      <c r="EB143" s="15"/>
      <c r="EC143" s="15"/>
      <c r="ED143" s="15"/>
      <c r="EE143" s="15"/>
      <c r="EF143" s="15"/>
      <c r="EG143" s="15"/>
      <c r="EH143" s="15"/>
      <c r="EI143" s="15"/>
      <c r="EJ143" s="15"/>
      <c r="EP143" s="15"/>
      <c r="EQ143" s="15"/>
      <c r="ER143" s="15"/>
      <c r="ES143" s="15"/>
      <c r="ET143" s="15"/>
      <c r="EU143" s="15"/>
      <c r="EV143" s="15"/>
      <c r="EW143" s="15"/>
      <c r="FY143" s="15"/>
      <c r="FZ143" s="15"/>
      <c r="GA143" s="15"/>
      <c r="GB143" s="15"/>
      <c r="GD143" s="15"/>
      <c r="GE143" s="15"/>
      <c r="GF143" s="15"/>
      <c r="GG143" s="15"/>
      <c r="GH143" s="15"/>
      <c r="GI143" s="15"/>
      <c r="GJ143" s="15"/>
      <c r="GN143" s="15"/>
      <c r="GO143" s="15"/>
      <c r="GP143" s="15"/>
      <c r="GQ143" s="15"/>
      <c r="GR143" s="15"/>
      <c r="GS143" s="15"/>
      <c r="GT143" s="15"/>
      <c r="GV143" s="15"/>
      <c r="HH143" s="15"/>
      <c r="HI143" s="15"/>
      <c r="HJ143" s="15"/>
      <c r="HK143" s="15"/>
      <c r="HL143" s="15"/>
      <c r="HM143" s="15"/>
      <c r="HN143" s="15"/>
      <c r="HO143" s="15"/>
      <c r="HP143" s="15"/>
      <c r="HQ143" s="15"/>
      <c r="HR143" s="15"/>
      <c r="HS143" s="15"/>
      <c r="HT143" s="15"/>
      <c r="HV143" s="15"/>
      <c r="HW143" s="15"/>
      <c r="HY143" s="15"/>
      <c r="IQ143" s="15"/>
      <c r="IR143" s="15"/>
      <c r="IS143" s="15"/>
      <c r="IT143" s="15"/>
      <c r="IU143" s="15"/>
      <c r="IV143" s="15"/>
      <c r="IW143" s="15"/>
      <c r="IX143" s="15"/>
      <c r="IY143" s="15"/>
      <c r="IZ143" s="15"/>
      <c r="JA143" s="15"/>
      <c r="JB143" s="15"/>
      <c r="JC143" s="15"/>
      <c r="JD143" s="15"/>
      <c r="JE143" s="15"/>
      <c r="JF143" s="15"/>
      <c r="JZ143" s="15"/>
      <c r="KA143" s="15"/>
      <c r="KB143" s="15"/>
      <c r="KC143" s="15"/>
      <c r="KD143" s="15"/>
      <c r="KE143" s="15"/>
      <c r="KF143" s="15"/>
      <c r="KG143" s="15"/>
      <c r="KH143" s="15"/>
      <c r="KI143" s="15"/>
      <c r="KJ143" s="15"/>
      <c r="KK143" s="15"/>
      <c r="KL143" s="15"/>
      <c r="KM143" s="15"/>
      <c r="LI143" s="15"/>
      <c r="LJ143" s="15"/>
      <c r="LK143" s="15"/>
      <c r="LL143" s="15"/>
      <c r="LM143" s="15"/>
      <c r="LN143" s="15"/>
      <c r="LO143" s="15"/>
      <c r="LP143" s="15"/>
      <c r="LQ143" s="15"/>
      <c r="LR143" s="15"/>
    </row>
    <row r="144" spans="2:330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DG144" s="15"/>
      <c r="DH144" s="15"/>
      <c r="DI144" s="15"/>
      <c r="DJ144" s="15"/>
      <c r="DK144" s="15"/>
      <c r="DL144" s="15"/>
      <c r="DM144" s="15"/>
      <c r="DN144" s="15"/>
      <c r="DO144" s="15"/>
      <c r="DP144" s="15"/>
      <c r="DQ144" s="15"/>
      <c r="DR144" s="15"/>
      <c r="DS144" s="15"/>
      <c r="DT144" s="15"/>
      <c r="DU144" s="15"/>
      <c r="DV144" s="15"/>
      <c r="DW144" s="15"/>
      <c r="DX144" s="15"/>
      <c r="DY144" s="15"/>
      <c r="DZ144" s="15"/>
      <c r="EA144" s="15"/>
      <c r="EB144" s="15"/>
      <c r="EC144" s="15"/>
      <c r="ED144" s="15"/>
      <c r="EE144" s="15"/>
      <c r="EF144" s="15"/>
      <c r="EG144" s="15"/>
      <c r="EH144" s="15"/>
      <c r="EI144" s="15"/>
      <c r="EJ144" s="15"/>
      <c r="EK144" s="15"/>
      <c r="EL144" s="15"/>
      <c r="EM144" s="15"/>
      <c r="EN144" s="15"/>
      <c r="EO144" s="15"/>
      <c r="EP144" s="15"/>
      <c r="EQ144" s="15"/>
      <c r="ER144" s="15"/>
      <c r="ES144" s="15"/>
      <c r="ET144" s="15"/>
      <c r="EU144" s="15"/>
      <c r="EV144" s="15"/>
      <c r="FY144" s="15"/>
      <c r="FZ144" s="15"/>
      <c r="GA144" s="15"/>
      <c r="GB144" s="15"/>
      <c r="GC144" s="15"/>
      <c r="GD144" s="15"/>
      <c r="GE144" s="15"/>
      <c r="GF144" s="15"/>
      <c r="GG144" s="15"/>
      <c r="GH144" s="15"/>
      <c r="GI144" s="15"/>
      <c r="GJ144" s="15"/>
      <c r="GK144" s="15"/>
      <c r="GL144" s="15"/>
      <c r="GM144" s="15"/>
      <c r="GN144" s="15"/>
      <c r="GO144" s="15"/>
      <c r="GP144" s="15"/>
      <c r="GQ144" s="15"/>
      <c r="GR144" s="15"/>
      <c r="GS144" s="15"/>
      <c r="GT144" s="15"/>
      <c r="GU144" s="15"/>
      <c r="GV144" s="15"/>
      <c r="HH144" s="15"/>
      <c r="HI144" s="15"/>
      <c r="HJ144" s="15"/>
      <c r="HK144" s="15"/>
      <c r="HL144" s="15"/>
      <c r="HM144" s="15"/>
      <c r="HN144" s="15"/>
      <c r="HO144" s="15"/>
      <c r="HP144" s="15"/>
      <c r="HQ144" s="15"/>
      <c r="HR144" s="15"/>
      <c r="HS144" s="15"/>
      <c r="HT144" s="15"/>
      <c r="HU144" s="15"/>
      <c r="HV144" s="15"/>
      <c r="HW144" s="15"/>
      <c r="HX144" s="15"/>
      <c r="HY144" s="15"/>
      <c r="HZ144" s="15"/>
      <c r="IQ144" s="15"/>
      <c r="IR144" s="15"/>
      <c r="IS144" s="15"/>
      <c r="IT144" s="15"/>
      <c r="IU144" s="15"/>
      <c r="IV144" s="15"/>
      <c r="IW144" s="15"/>
      <c r="IX144" s="15"/>
      <c r="IY144" s="15"/>
      <c r="IZ144" s="15"/>
      <c r="JA144" s="15"/>
      <c r="JB144" s="15"/>
      <c r="JC144" s="15"/>
      <c r="JE144" s="15"/>
      <c r="JF144" s="15"/>
      <c r="JZ144" s="15"/>
      <c r="KA144" s="15"/>
      <c r="KB144" s="15"/>
      <c r="KC144" s="15"/>
      <c r="KD144" s="15"/>
      <c r="KE144" s="15"/>
      <c r="KF144" s="15"/>
      <c r="KG144" s="15"/>
      <c r="KH144" s="15"/>
      <c r="KI144" s="15"/>
      <c r="KJ144" s="15"/>
      <c r="KK144" s="15"/>
      <c r="KL144" s="15"/>
      <c r="KM144" s="15"/>
      <c r="LI144" s="15"/>
      <c r="LJ144" s="15"/>
      <c r="LK144" s="15"/>
      <c r="LL144" s="15"/>
      <c r="LM144" s="15"/>
      <c r="LN144" s="15"/>
      <c r="LO144" s="15"/>
      <c r="LP144" s="15"/>
      <c r="LQ144" s="15"/>
    </row>
    <row r="145" spans="2:330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DG145" s="15"/>
      <c r="DH145" s="15"/>
      <c r="DI145" s="15"/>
      <c r="DJ145" s="15"/>
      <c r="DK145" s="15"/>
      <c r="DL145" s="15"/>
      <c r="DM145" s="15"/>
      <c r="DN145" s="15"/>
      <c r="DO145" s="15"/>
      <c r="DP145" s="15"/>
      <c r="DQ145" s="15"/>
      <c r="DR145" s="15"/>
      <c r="DS145" s="15"/>
      <c r="DT145" s="15"/>
      <c r="DU145" s="15"/>
      <c r="DV145" s="15"/>
      <c r="DW145" s="15"/>
      <c r="DX145" s="15"/>
      <c r="DY145" s="15"/>
      <c r="DZ145" s="15"/>
      <c r="EA145" s="15"/>
      <c r="EB145" s="15"/>
      <c r="EC145" s="15"/>
      <c r="ED145" s="15"/>
      <c r="EE145" s="15"/>
      <c r="EF145" s="15"/>
      <c r="EG145" s="15"/>
      <c r="EH145" s="15"/>
      <c r="EI145" s="15"/>
      <c r="EJ145" s="15"/>
      <c r="EK145" s="15"/>
      <c r="EL145" s="15"/>
      <c r="EM145" s="15"/>
      <c r="EN145" s="15"/>
      <c r="EO145" s="15"/>
      <c r="EP145" s="15"/>
      <c r="EQ145" s="15"/>
      <c r="ER145" s="15"/>
      <c r="ES145" s="15"/>
      <c r="ET145" s="15"/>
      <c r="EU145" s="15"/>
      <c r="EV145" s="15"/>
      <c r="EW145" s="15"/>
      <c r="FY145" s="15"/>
      <c r="FZ145" s="15"/>
      <c r="GA145" s="15"/>
      <c r="GB145" s="15"/>
      <c r="GC145" s="15"/>
      <c r="GD145" s="15"/>
      <c r="GE145" s="15"/>
      <c r="GF145" s="15"/>
      <c r="GG145" s="15"/>
      <c r="GH145" s="15"/>
      <c r="GI145" s="15"/>
      <c r="GJ145" s="15"/>
      <c r="GK145" s="15"/>
      <c r="GL145" s="15"/>
      <c r="GM145" s="15"/>
      <c r="GN145" s="15"/>
      <c r="GO145" s="15"/>
      <c r="GP145" s="15"/>
      <c r="GQ145" s="15"/>
      <c r="GR145" s="15"/>
      <c r="GS145" s="15"/>
      <c r="HH145" s="15"/>
      <c r="HI145" s="15"/>
      <c r="HJ145" s="15"/>
      <c r="HK145" s="15"/>
      <c r="HL145" s="15"/>
      <c r="HM145" s="15"/>
      <c r="HN145" s="15"/>
      <c r="HO145" s="15"/>
      <c r="HP145" s="15"/>
      <c r="HQ145" s="15"/>
      <c r="HR145" s="15"/>
      <c r="HS145" s="15"/>
      <c r="HT145" s="15"/>
      <c r="HU145" s="15"/>
      <c r="HV145" s="15"/>
      <c r="HW145" s="15"/>
      <c r="HX145" s="15"/>
      <c r="HY145" s="15"/>
      <c r="HZ145" s="15"/>
      <c r="IQ145" s="15"/>
      <c r="IR145" s="15"/>
      <c r="IS145" s="15"/>
      <c r="IT145" s="15"/>
      <c r="IU145" s="15"/>
      <c r="IV145" s="15"/>
      <c r="IW145" s="15"/>
      <c r="IX145" s="15"/>
      <c r="IY145" s="15"/>
      <c r="IZ145" s="15"/>
      <c r="JA145" s="15"/>
      <c r="JB145" s="15"/>
      <c r="JC145" s="15"/>
      <c r="JD145" s="15"/>
      <c r="JE145" s="15"/>
      <c r="JF145" s="15"/>
      <c r="JZ145" s="15"/>
      <c r="KA145" s="15"/>
      <c r="KB145" s="15"/>
      <c r="KC145" s="15"/>
      <c r="KD145" s="15"/>
      <c r="KE145" s="15"/>
      <c r="KF145" s="15"/>
      <c r="KG145" s="15"/>
      <c r="KH145" s="15"/>
      <c r="KI145" s="15"/>
      <c r="KJ145" s="15"/>
      <c r="KK145" s="15"/>
      <c r="KL145" s="15"/>
      <c r="KM145" s="15"/>
      <c r="LI145" s="15"/>
      <c r="LJ145" s="15"/>
      <c r="LK145" s="15"/>
      <c r="LL145" s="15"/>
      <c r="LM145" s="15"/>
      <c r="LN145" s="15"/>
      <c r="LO145" s="15"/>
      <c r="LP145" s="15"/>
      <c r="LQ145" s="15"/>
      <c r="LR145" s="15"/>
    </row>
    <row r="146" spans="2:330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DG146" s="15"/>
      <c r="DH146" s="15"/>
      <c r="DI146" s="15"/>
      <c r="DJ146" s="15"/>
      <c r="DK146" s="15"/>
      <c r="DL146" s="15"/>
      <c r="DM146" s="15"/>
      <c r="DN146" s="15"/>
      <c r="DO146" s="15"/>
      <c r="DP146" s="15"/>
      <c r="DQ146" s="15"/>
      <c r="DR146" s="15"/>
      <c r="DS146" s="15"/>
      <c r="DT146" s="15"/>
      <c r="DU146" s="15"/>
      <c r="DV146" s="15"/>
      <c r="DW146" s="15"/>
      <c r="DX146" s="15"/>
      <c r="DY146" s="15"/>
      <c r="DZ146" s="15"/>
      <c r="EA146" s="15"/>
      <c r="EB146" s="15"/>
      <c r="EC146" s="15"/>
      <c r="ED146" s="15"/>
      <c r="EE146" s="15"/>
      <c r="EF146" s="15"/>
      <c r="EG146" s="15"/>
      <c r="EH146" s="15"/>
      <c r="EI146" s="15"/>
      <c r="EJ146" s="15"/>
      <c r="EK146" s="15"/>
      <c r="EL146" s="15"/>
      <c r="EM146" s="15"/>
      <c r="EN146" s="15"/>
      <c r="EO146" s="15"/>
      <c r="EP146" s="15"/>
      <c r="EQ146" s="15"/>
      <c r="ER146" s="15"/>
      <c r="ES146" s="15"/>
      <c r="ET146" s="15"/>
      <c r="EU146" s="15"/>
      <c r="EV146" s="15"/>
      <c r="EW146" s="15"/>
      <c r="FY146" s="15"/>
      <c r="FZ146" s="15"/>
      <c r="GA146" s="15"/>
      <c r="GB146" s="15"/>
      <c r="GC146" s="15"/>
      <c r="GD146" s="15"/>
      <c r="GE146" s="15"/>
      <c r="GF146" s="15"/>
      <c r="GG146" s="15"/>
      <c r="GH146" s="15"/>
      <c r="GI146" s="15"/>
      <c r="GJ146" s="15"/>
      <c r="GK146" s="15"/>
      <c r="GL146" s="15"/>
      <c r="GM146" s="15"/>
      <c r="GN146" s="15"/>
      <c r="GO146" s="15"/>
      <c r="GP146" s="15"/>
      <c r="GQ146" s="15"/>
      <c r="GR146" s="15"/>
      <c r="GS146" s="15"/>
      <c r="GT146" s="15"/>
      <c r="HH146" s="15"/>
      <c r="HI146" s="15"/>
      <c r="HJ146" s="15"/>
      <c r="HK146" s="15"/>
      <c r="HL146" s="15"/>
      <c r="HM146" s="15"/>
      <c r="HN146" s="15"/>
      <c r="HO146" s="15"/>
      <c r="HP146" s="15"/>
      <c r="HQ146" s="15"/>
      <c r="HR146" s="15"/>
      <c r="HS146" s="15"/>
      <c r="HT146" s="15"/>
      <c r="HU146" s="15"/>
      <c r="HV146" s="15"/>
      <c r="HW146" s="15"/>
      <c r="HX146" s="15"/>
      <c r="HY146" s="15"/>
      <c r="HZ146" s="15"/>
      <c r="IQ146" s="15"/>
      <c r="IR146" s="15"/>
      <c r="IS146" s="15"/>
      <c r="IT146" s="15"/>
      <c r="IU146" s="15"/>
      <c r="IV146" s="15"/>
      <c r="IW146" s="15"/>
      <c r="IX146" s="15"/>
      <c r="IY146" s="15"/>
      <c r="IZ146" s="15"/>
      <c r="JA146" s="15"/>
      <c r="JB146" s="15"/>
      <c r="JC146" s="15"/>
      <c r="JD146" s="15"/>
      <c r="JE146" s="15"/>
      <c r="JF146" s="15"/>
      <c r="JZ146" s="15"/>
      <c r="KA146" s="15"/>
      <c r="KB146" s="15"/>
      <c r="KC146" s="15"/>
      <c r="KD146" s="15"/>
      <c r="KE146" s="15"/>
      <c r="KF146" s="15"/>
      <c r="KG146" s="15"/>
      <c r="KH146" s="15"/>
      <c r="KI146" s="15"/>
      <c r="KJ146" s="15"/>
      <c r="KK146" s="15"/>
      <c r="KL146" s="15"/>
      <c r="KM146" s="15"/>
      <c r="LI146" s="15"/>
      <c r="LJ146" s="15"/>
      <c r="LK146" s="15"/>
      <c r="LL146" s="15"/>
      <c r="LM146" s="15"/>
      <c r="LN146" s="15"/>
      <c r="LO146" s="15"/>
      <c r="LP146" s="15"/>
      <c r="LQ146" s="15"/>
      <c r="LR146" s="15"/>
    </row>
    <row r="147" spans="2:330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AO147" s="15"/>
      <c r="AP147" s="15"/>
      <c r="AQ147" s="15"/>
      <c r="AR147" s="15"/>
      <c r="AU147" s="15"/>
      <c r="AW147" s="15"/>
      <c r="AX147" s="15"/>
      <c r="AY147" s="15"/>
      <c r="AZ147" s="15"/>
      <c r="BA147" s="15"/>
      <c r="BB147" s="15"/>
      <c r="BG147" s="15"/>
      <c r="BH147" s="15"/>
      <c r="BJ147" s="15"/>
      <c r="BK147" s="15"/>
      <c r="BL147" s="15"/>
      <c r="DG147" s="15"/>
      <c r="DH147" s="15"/>
      <c r="DI147" s="15"/>
      <c r="DJ147" s="15"/>
      <c r="DK147" s="15"/>
      <c r="DL147" s="15"/>
      <c r="DM147" s="15"/>
      <c r="DN147" s="15"/>
      <c r="DO147" s="15"/>
      <c r="DP147" s="15"/>
      <c r="DQ147" s="15"/>
      <c r="DR147" s="15"/>
      <c r="DS147" s="15"/>
      <c r="DT147" s="15"/>
      <c r="DU147" s="15"/>
      <c r="DV147" s="15"/>
      <c r="DW147" s="15"/>
      <c r="DX147" s="15"/>
      <c r="EA147" s="15"/>
      <c r="EB147" s="15"/>
      <c r="EC147" s="15"/>
      <c r="ED147" s="15"/>
      <c r="EG147" s="15"/>
      <c r="EH147" s="15"/>
      <c r="EI147" s="15"/>
      <c r="EP147" s="15"/>
      <c r="EQ147" s="15"/>
      <c r="ER147" s="15"/>
      <c r="ES147" s="15"/>
      <c r="ET147" s="15"/>
      <c r="EU147" s="15"/>
      <c r="EW147" s="15"/>
      <c r="GC147" s="15"/>
      <c r="GD147" s="15"/>
      <c r="GE147" s="15"/>
      <c r="GF147" s="15"/>
      <c r="GG147" s="15"/>
      <c r="GP147" s="15"/>
      <c r="GQ147" s="15"/>
      <c r="HH147" s="15"/>
      <c r="HJ147" s="15"/>
      <c r="HK147" s="15"/>
      <c r="HL147" s="15"/>
      <c r="HN147" s="15"/>
      <c r="HO147" s="15"/>
      <c r="HR147" s="15"/>
      <c r="IQ147" s="15"/>
      <c r="IR147" s="15"/>
      <c r="IS147" s="15"/>
      <c r="IT147" s="15"/>
      <c r="IU147" s="15"/>
      <c r="IV147" s="15"/>
      <c r="IW147" s="15"/>
      <c r="IX147" s="15"/>
      <c r="IY147" s="15"/>
      <c r="IZ147" s="15"/>
      <c r="JA147" s="15"/>
      <c r="JB147" s="15"/>
      <c r="JC147" s="15"/>
      <c r="JD147" s="15"/>
      <c r="JE147" s="15"/>
      <c r="JF147" s="15"/>
      <c r="JZ147" s="15"/>
      <c r="KA147" s="15"/>
      <c r="KB147" s="15"/>
      <c r="KC147" s="15"/>
      <c r="KD147" s="15"/>
      <c r="KE147" s="15"/>
      <c r="KF147" s="15"/>
      <c r="KH147" s="15"/>
      <c r="KI147" s="15"/>
      <c r="KM147" s="15"/>
      <c r="LI147" s="15"/>
      <c r="LJ147" s="15"/>
      <c r="LK147" s="15"/>
      <c r="LL147" s="15"/>
      <c r="LM147" s="15"/>
      <c r="LN147" s="15"/>
      <c r="LO147" s="15"/>
      <c r="LP147" s="15"/>
      <c r="LQ147" s="15"/>
    </row>
    <row r="148" spans="2:330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AO148" s="15"/>
      <c r="AP148" s="15"/>
      <c r="AQ148" s="15"/>
      <c r="AR148" s="15"/>
      <c r="AW148" s="15"/>
      <c r="AX148" s="15"/>
      <c r="AY148" s="15"/>
      <c r="AZ148" s="15"/>
      <c r="BC148" s="15"/>
      <c r="BF148" s="15"/>
      <c r="BJ148" s="15"/>
      <c r="BK148" s="15"/>
      <c r="BL148" s="15"/>
      <c r="DG148" s="15"/>
      <c r="DH148" s="15"/>
      <c r="DI148" s="15"/>
      <c r="DJ148" s="15"/>
      <c r="DK148" s="15"/>
      <c r="DL148" s="15"/>
      <c r="DM148" s="15"/>
      <c r="DN148" s="15"/>
      <c r="DO148" s="15"/>
      <c r="DP148" s="15"/>
      <c r="DQ148" s="15"/>
      <c r="DR148" s="15"/>
      <c r="DS148" s="15"/>
      <c r="DT148" s="15"/>
      <c r="DU148" s="15"/>
      <c r="DV148" s="15"/>
      <c r="DW148" s="15"/>
      <c r="DX148" s="15"/>
      <c r="DY148" s="15"/>
      <c r="DZ148" s="15"/>
      <c r="EA148" s="15"/>
      <c r="EB148" s="15"/>
      <c r="EC148" s="15"/>
      <c r="ED148" s="15"/>
      <c r="EE148" s="15"/>
      <c r="EF148" s="15"/>
      <c r="EG148" s="15"/>
      <c r="EH148" s="15"/>
      <c r="EI148" s="15"/>
      <c r="EO148" s="15"/>
      <c r="EP148" s="15"/>
      <c r="EQ148" s="15"/>
      <c r="ER148" s="15"/>
      <c r="ES148" s="15"/>
      <c r="ET148" s="15"/>
      <c r="EU148" s="15"/>
      <c r="EV148" s="15"/>
      <c r="EW148" s="15"/>
      <c r="FY148" s="15"/>
      <c r="FZ148" s="15"/>
      <c r="GA148" s="15"/>
      <c r="GB148" s="15"/>
      <c r="GC148" s="15"/>
      <c r="GD148" s="15"/>
      <c r="GE148" s="15"/>
      <c r="GF148" s="15"/>
      <c r="GG148" s="15"/>
      <c r="GN148" s="15"/>
      <c r="GO148" s="15"/>
      <c r="GP148" s="15"/>
      <c r="GQ148" s="15"/>
      <c r="GR148" s="15"/>
      <c r="GS148" s="15"/>
      <c r="GT148" s="15"/>
      <c r="GU148" s="15"/>
      <c r="GV148" s="15"/>
      <c r="HH148" s="15"/>
      <c r="HI148" s="15"/>
      <c r="HJ148" s="15"/>
      <c r="HK148" s="15"/>
      <c r="HL148" s="15"/>
      <c r="HM148" s="15"/>
      <c r="HN148" s="15"/>
      <c r="HO148" s="15"/>
      <c r="HP148" s="15"/>
      <c r="HR148" s="15"/>
      <c r="HS148" s="15"/>
      <c r="HT148" s="15"/>
      <c r="HU148" s="15"/>
      <c r="HV148" s="15"/>
      <c r="HX148" s="15"/>
      <c r="HY148" s="15"/>
      <c r="HZ148" s="15"/>
      <c r="IQ148" s="15"/>
      <c r="IR148" s="15"/>
      <c r="IS148" s="15"/>
      <c r="IT148" s="15"/>
      <c r="IU148" s="15"/>
      <c r="IV148" s="15"/>
      <c r="IW148" s="15"/>
      <c r="IX148" s="15"/>
      <c r="IY148" s="15"/>
      <c r="IZ148" s="15"/>
      <c r="JA148" s="15"/>
      <c r="JB148" s="15"/>
      <c r="JC148" s="15"/>
      <c r="JD148" s="15"/>
      <c r="JE148" s="15"/>
      <c r="JF148" s="15"/>
      <c r="JZ148" s="15"/>
      <c r="KA148" s="15"/>
      <c r="KB148" s="15"/>
      <c r="KC148" s="15"/>
      <c r="KD148" s="15"/>
      <c r="KE148" s="15"/>
      <c r="KF148" s="15"/>
      <c r="KG148" s="15"/>
      <c r="KH148" s="15"/>
      <c r="KI148" s="15"/>
      <c r="KJ148" s="15"/>
      <c r="KK148" s="15"/>
      <c r="KL148" s="15"/>
      <c r="KM148" s="15"/>
      <c r="LI148" s="15"/>
      <c r="LJ148" s="15"/>
      <c r="LK148" s="15"/>
      <c r="LL148" s="15"/>
      <c r="LM148" s="15"/>
      <c r="LN148" s="15"/>
      <c r="LO148" s="15"/>
      <c r="LP148" s="15"/>
      <c r="LQ148" s="15"/>
      <c r="LR148" s="15"/>
    </row>
    <row r="149" spans="2:330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AO149" s="15"/>
      <c r="AP149" s="15"/>
      <c r="AQ149" s="15"/>
      <c r="AR149" s="15"/>
      <c r="AS149" s="15"/>
      <c r="AT149" s="15"/>
      <c r="AU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J149" s="15"/>
      <c r="BK149" s="15"/>
      <c r="BL149" s="15"/>
      <c r="DG149" s="15"/>
      <c r="DH149" s="15"/>
      <c r="DI149" s="15"/>
      <c r="DJ149" s="15"/>
      <c r="DK149" s="15"/>
      <c r="DL149" s="15"/>
      <c r="DM149" s="15"/>
      <c r="DN149" s="15"/>
      <c r="DO149" s="15"/>
      <c r="DP149" s="15"/>
      <c r="DQ149" s="15"/>
      <c r="DR149" s="15"/>
      <c r="DS149" s="15"/>
      <c r="DT149" s="15"/>
      <c r="DU149" s="15"/>
      <c r="DV149" s="15"/>
      <c r="DW149" s="15"/>
      <c r="DX149" s="15"/>
      <c r="DY149" s="15"/>
      <c r="DZ149" s="15"/>
      <c r="EA149" s="15"/>
      <c r="EB149" s="15"/>
      <c r="EC149" s="15"/>
      <c r="ED149" s="15"/>
      <c r="EE149" s="15"/>
      <c r="EF149" s="15"/>
      <c r="EG149" s="15"/>
      <c r="EH149" s="15"/>
      <c r="EI149" s="15"/>
      <c r="EJ149" s="15"/>
      <c r="EK149" s="15"/>
      <c r="EL149" s="15"/>
      <c r="EM149" s="15"/>
      <c r="EN149" s="15"/>
      <c r="EO149" s="15"/>
      <c r="EP149" s="15"/>
      <c r="EQ149" s="15"/>
      <c r="ER149" s="15"/>
      <c r="ES149" s="15"/>
      <c r="ET149" s="15"/>
      <c r="EU149" s="15"/>
      <c r="EV149" s="15"/>
      <c r="EW149" s="15"/>
      <c r="FY149" s="15"/>
      <c r="FZ149" s="15"/>
      <c r="GC149" s="15"/>
      <c r="GD149" s="15"/>
      <c r="GE149" s="15"/>
      <c r="GF149" s="15"/>
      <c r="GG149" s="15"/>
      <c r="GH149" s="15"/>
      <c r="GI149" s="15"/>
      <c r="GJ149" s="15"/>
      <c r="GN149" s="15"/>
      <c r="GO149" s="15"/>
      <c r="GP149" s="15"/>
      <c r="GR149" s="15"/>
      <c r="GS149" s="15"/>
      <c r="HH149" s="15"/>
      <c r="HJ149" s="15"/>
      <c r="HK149" s="15"/>
      <c r="HN149" s="15"/>
      <c r="HO149" s="15"/>
      <c r="HP149" s="15"/>
      <c r="HR149" s="15"/>
      <c r="HS149" s="15"/>
      <c r="HU149" s="15"/>
      <c r="HW149" s="15"/>
      <c r="IQ149" s="15"/>
      <c r="IR149" s="15"/>
      <c r="IS149" s="15"/>
      <c r="IT149" s="15"/>
      <c r="IU149" s="15"/>
      <c r="IV149" s="15"/>
      <c r="IW149" s="15"/>
      <c r="IX149" s="15"/>
      <c r="IY149" s="15"/>
      <c r="IZ149" s="15"/>
      <c r="JA149" s="15"/>
      <c r="JB149" s="15"/>
      <c r="JD149" s="15"/>
      <c r="JE149" s="15"/>
      <c r="JF149" s="15"/>
      <c r="JZ149" s="15"/>
      <c r="KA149" s="15"/>
      <c r="KB149" s="15"/>
      <c r="KC149" s="15"/>
      <c r="KD149" s="15"/>
      <c r="KE149" s="15"/>
      <c r="KF149" s="15"/>
      <c r="KG149" s="15"/>
      <c r="KH149" s="15"/>
      <c r="KI149" s="15"/>
      <c r="KJ149" s="15"/>
      <c r="KK149" s="15"/>
      <c r="KL149" s="15"/>
      <c r="KM149" s="15"/>
      <c r="LI149" s="15"/>
      <c r="LJ149" s="15"/>
      <c r="LK149" s="15"/>
      <c r="LL149" s="15"/>
      <c r="LM149" s="15"/>
      <c r="LN149" s="15"/>
      <c r="LO149" s="15"/>
      <c r="LP149" s="15"/>
      <c r="LQ149" s="15"/>
      <c r="LR149" s="15"/>
    </row>
    <row r="150" spans="2:330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DG150" s="15"/>
      <c r="DH150" s="15"/>
      <c r="DI150" s="15"/>
      <c r="DJ150" s="15"/>
      <c r="DK150" s="15"/>
      <c r="DL150" s="15"/>
      <c r="DM150" s="15"/>
      <c r="DN150" s="15"/>
      <c r="DO150" s="15"/>
      <c r="DP150" s="15"/>
      <c r="DQ150" s="15"/>
      <c r="DR150" s="15"/>
      <c r="DS150" s="15"/>
      <c r="DT150" s="15"/>
      <c r="DU150" s="15"/>
      <c r="DV150" s="15"/>
      <c r="DW150" s="15"/>
      <c r="DX150" s="15"/>
      <c r="DY150" s="15"/>
      <c r="DZ150" s="15"/>
      <c r="EA150" s="15"/>
      <c r="EB150" s="15"/>
      <c r="EC150" s="15"/>
      <c r="ED150" s="15"/>
      <c r="EE150" s="15"/>
      <c r="EF150" s="15"/>
      <c r="EG150" s="15"/>
      <c r="EH150" s="15"/>
      <c r="EI150" s="15"/>
      <c r="EJ150" s="15"/>
      <c r="EK150" s="15"/>
      <c r="EL150" s="15"/>
      <c r="EM150" s="15"/>
      <c r="EN150" s="15"/>
      <c r="EO150" s="15"/>
      <c r="EP150" s="15"/>
      <c r="EQ150" s="15"/>
      <c r="ER150" s="15"/>
      <c r="ES150" s="15"/>
      <c r="ET150" s="15"/>
      <c r="EU150" s="15"/>
      <c r="EV150" s="15"/>
      <c r="EW150" s="15"/>
      <c r="FY150" s="15"/>
      <c r="FZ150" s="15"/>
      <c r="GA150" s="15"/>
      <c r="GB150" s="15"/>
      <c r="GC150" s="15"/>
      <c r="GD150" s="15"/>
      <c r="GE150" s="15"/>
      <c r="GF150" s="15"/>
      <c r="GG150" s="15"/>
      <c r="GH150" s="15"/>
      <c r="GI150" s="15"/>
      <c r="GJ150" s="15"/>
      <c r="GK150" s="15"/>
      <c r="GL150" s="15"/>
      <c r="GM150" s="15"/>
      <c r="GN150" s="15"/>
      <c r="GO150" s="15"/>
      <c r="GP150" s="15"/>
      <c r="GQ150" s="15"/>
      <c r="GR150" s="15"/>
      <c r="GS150" s="15"/>
      <c r="GT150" s="15"/>
      <c r="GU150" s="15"/>
      <c r="GV150" s="15"/>
      <c r="HH150" s="15"/>
      <c r="HI150" s="15"/>
      <c r="HJ150" s="15"/>
      <c r="HK150" s="15"/>
      <c r="HL150" s="15"/>
      <c r="HM150" s="15"/>
      <c r="HN150" s="15"/>
      <c r="HO150" s="15"/>
      <c r="HP150" s="15"/>
      <c r="HQ150" s="15"/>
      <c r="HR150" s="15"/>
      <c r="HS150" s="15"/>
      <c r="HT150" s="15"/>
      <c r="HU150" s="15"/>
      <c r="HV150" s="15"/>
      <c r="HW150" s="15"/>
      <c r="HX150" s="15"/>
      <c r="HY150" s="15"/>
      <c r="HZ150" s="15"/>
      <c r="IQ150" s="15"/>
      <c r="IR150" s="15"/>
      <c r="IS150" s="15"/>
      <c r="IT150" s="15"/>
      <c r="IU150" s="15"/>
      <c r="IV150" s="15"/>
      <c r="IW150" s="15"/>
      <c r="IX150" s="15"/>
      <c r="IY150" s="15"/>
      <c r="IZ150" s="15"/>
      <c r="JA150" s="15"/>
      <c r="JB150" s="15"/>
      <c r="JC150" s="15"/>
      <c r="JD150" s="15"/>
      <c r="JE150" s="15"/>
      <c r="JF150" s="15"/>
      <c r="JZ150" s="15"/>
      <c r="KA150" s="15"/>
      <c r="KB150" s="15"/>
      <c r="KC150" s="15"/>
      <c r="KD150" s="15"/>
      <c r="KE150" s="15"/>
      <c r="KF150" s="15"/>
      <c r="KG150" s="15"/>
      <c r="KH150" s="15"/>
      <c r="KI150" s="15"/>
      <c r="KJ150" s="15"/>
      <c r="KK150" s="15"/>
      <c r="KL150" s="15"/>
      <c r="KM150" s="15"/>
      <c r="LI150" s="15"/>
      <c r="LJ150" s="15"/>
      <c r="LK150" s="15"/>
      <c r="LL150" s="15"/>
      <c r="LM150" s="15"/>
      <c r="LN150" s="15"/>
      <c r="LO150" s="15"/>
      <c r="LP150" s="15"/>
      <c r="LQ150" s="15"/>
      <c r="LR150" s="15"/>
    </row>
    <row r="151" spans="2:330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DG151" s="15"/>
      <c r="DH151" s="15"/>
      <c r="DI151" s="15"/>
      <c r="DJ151" s="15"/>
      <c r="DK151" s="15"/>
      <c r="DL151" s="15"/>
      <c r="DM151" s="15"/>
      <c r="DN151" s="15"/>
      <c r="DO151" s="15"/>
      <c r="DP151" s="15"/>
      <c r="DQ151" s="15"/>
      <c r="DR151" s="15"/>
      <c r="DS151" s="15"/>
      <c r="DT151" s="15"/>
      <c r="DU151" s="15"/>
      <c r="DV151" s="15"/>
      <c r="DW151" s="15"/>
      <c r="DX151" s="15"/>
      <c r="DY151" s="15"/>
      <c r="DZ151" s="15"/>
      <c r="EA151" s="15"/>
      <c r="EB151" s="15"/>
      <c r="EC151" s="15"/>
      <c r="ED151" s="15"/>
      <c r="EE151" s="15"/>
      <c r="EF151" s="15"/>
      <c r="EG151" s="15"/>
      <c r="EH151" s="15"/>
      <c r="EI151" s="15"/>
      <c r="EJ151" s="15"/>
      <c r="EK151" s="15"/>
      <c r="EL151" s="15"/>
      <c r="EM151" s="15"/>
      <c r="EN151" s="15"/>
      <c r="EO151" s="15"/>
      <c r="EP151" s="15"/>
      <c r="EQ151" s="15"/>
      <c r="ER151" s="15"/>
      <c r="ES151" s="15"/>
      <c r="ET151" s="15"/>
      <c r="EU151" s="15"/>
      <c r="EV151" s="15"/>
      <c r="FY151" s="15"/>
      <c r="FZ151" s="15"/>
      <c r="GA151" s="15"/>
      <c r="GB151" s="15"/>
      <c r="GC151" s="15"/>
      <c r="GD151" s="15"/>
      <c r="GE151" s="15"/>
      <c r="GF151" s="15"/>
      <c r="GG151" s="15"/>
      <c r="GH151" s="15"/>
      <c r="GI151" s="15"/>
      <c r="GJ151" s="15"/>
      <c r="GK151" s="15"/>
      <c r="GL151" s="15"/>
      <c r="GM151" s="15"/>
      <c r="GN151" s="15"/>
      <c r="GO151" s="15"/>
      <c r="GP151" s="15"/>
      <c r="GQ151" s="15"/>
      <c r="GR151" s="15"/>
      <c r="GS151" s="15"/>
      <c r="GT151" s="15"/>
      <c r="GU151" s="15"/>
      <c r="GV151" s="15"/>
      <c r="HH151" s="15"/>
      <c r="HI151" s="15"/>
      <c r="HJ151" s="15"/>
      <c r="HK151" s="15"/>
      <c r="HL151" s="15"/>
      <c r="HM151" s="15"/>
      <c r="HN151" s="15"/>
      <c r="HO151" s="15"/>
      <c r="HP151" s="15"/>
      <c r="HQ151" s="15"/>
      <c r="HR151" s="15"/>
      <c r="HS151" s="15"/>
      <c r="HT151" s="15"/>
      <c r="HU151" s="15"/>
      <c r="HV151" s="15"/>
      <c r="HW151" s="15"/>
      <c r="HX151" s="15"/>
      <c r="HY151" s="15"/>
      <c r="HZ151" s="15"/>
      <c r="IQ151" s="15"/>
      <c r="IR151" s="15"/>
      <c r="IS151" s="15"/>
      <c r="IT151" s="15"/>
      <c r="IU151" s="15"/>
      <c r="IV151" s="15"/>
      <c r="IW151" s="15"/>
      <c r="IX151" s="15"/>
      <c r="IY151" s="15"/>
      <c r="IZ151" s="15"/>
      <c r="JA151" s="15"/>
      <c r="JB151" s="15"/>
      <c r="JC151" s="15"/>
      <c r="JD151" s="15"/>
      <c r="JE151" s="15"/>
      <c r="JF151" s="15"/>
      <c r="JZ151" s="15"/>
      <c r="KA151" s="15"/>
      <c r="KB151" s="15"/>
      <c r="KC151" s="15"/>
      <c r="KD151" s="15"/>
      <c r="KE151" s="15"/>
      <c r="KF151" s="15"/>
      <c r="KG151" s="15"/>
      <c r="KH151" s="15"/>
      <c r="KI151" s="15"/>
      <c r="KJ151" s="15"/>
      <c r="KK151" s="15"/>
      <c r="KL151" s="15"/>
      <c r="KM151" s="15"/>
      <c r="LI151" s="15"/>
      <c r="LJ151" s="15"/>
      <c r="LK151" s="15"/>
      <c r="LL151" s="15"/>
      <c r="LM151" s="15"/>
      <c r="LN151" s="15"/>
      <c r="LO151" s="15"/>
      <c r="LP151" s="15"/>
      <c r="LQ151" s="15"/>
      <c r="LR151" s="15"/>
    </row>
    <row r="152" spans="2:330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BX152" s="15"/>
      <c r="BY152" s="15"/>
      <c r="BZ152" s="15"/>
      <c r="CA152" s="15"/>
      <c r="CB152" s="15"/>
      <c r="CC152" s="15"/>
      <c r="CD152" s="15"/>
      <c r="CE152" s="15"/>
      <c r="CF152" s="15"/>
      <c r="CG152" s="15"/>
      <c r="CH152" s="15"/>
      <c r="CI152" s="15"/>
      <c r="CJ152" s="15"/>
      <c r="CK152" s="15"/>
      <c r="CL152" s="15"/>
      <c r="CM152" s="15"/>
      <c r="CN152" s="15"/>
      <c r="CO152" s="15"/>
      <c r="CP152" s="15"/>
      <c r="CQ152" s="15"/>
      <c r="DG152" s="15"/>
      <c r="DH152" s="15"/>
      <c r="DI152" s="15"/>
      <c r="DJ152" s="15"/>
      <c r="DK152" s="15"/>
      <c r="DL152" s="15"/>
      <c r="DM152" s="15"/>
      <c r="DN152" s="15"/>
      <c r="EP152" s="15"/>
      <c r="EQ152" s="15"/>
      <c r="ES152" s="15"/>
      <c r="ET152" s="15"/>
      <c r="EU152" s="15"/>
      <c r="EV152" s="15"/>
      <c r="EW152" s="15"/>
      <c r="EX152" s="15"/>
      <c r="EY152" s="15"/>
      <c r="EZ152" s="15"/>
      <c r="FA152" s="15"/>
      <c r="FC152" s="15"/>
      <c r="FD152" s="15"/>
      <c r="FE152" s="15"/>
      <c r="FF152" s="15"/>
      <c r="FH152" s="15"/>
      <c r="FI152" s="15"/>
      <c r="FJ152" s="15"/>
      <c r="FK152" s="15"/>
      <c r="FL152" s="15"/>
      <c r="FM152" s="15"/>
      <c r="FN152" s="15"/>
      <c r="FO152" s="15"/>
      <c r="FP152" s="15"/>
      <c r="FQ152" s="15"/>
      <c r="FR152" s="15"/>
      <c r="FS152" s="15"/>
      <c r="FT152" s="15"/>
      <c r="FU152" s="15"/>
      <c r="FV152" s="15"/>
      <c r="FW152" s="15"/>
      <c r="FX152" s="15"/>
      <c r="FY152" s="15"/>
      <c r="FZ152" s="15"/>
      <c r="GA152" s="15"/>
      <c r="GB152" s="15"/>
      <c r="GC152" s="15"/>
      <c r="GD152" s="15"/>
      <c r="GE152" s="15"/>
      <c r="GF152" s="15"/>
      <c r="GG152" s="15"/>
      <c r="GH152" s="15"/>
      <c r="GI152" s="15"/>
      <c r="GJ152" s="15"/>
      <c r="GK152" s="15"/>
      <c r="GL152" s="15"/>
      <c r="GM152" s="15"/>
      <c r="GN152" s="15"/>
      <c r="GO152" s="15"/>
      <c r="GP152" s="15"/>
      <c r="GQ152" s="15"/>
      <c r="GR152" s="15"/>
      <c r="GS152" s="15"/>
      <c r="GT152" s="15"/>
      <c r="GU152" s="15"/>
      <c r="GV152" s="15"/>
      <c r="HH152" s="15"/>
      <c r="HI152" s="15"/>
      <c r="HJ152" s="15"/>
      <c r="HK152" s="15"/>
      <c r="HL152" s="15"/>
      <c r="HM152" s="15"/>
      <c r="HN152" s="15"/>
      <c r="HO152" s="15"/>
      <c r="HP152" s="15"/>
      <c r="HQ152" s="15"/>
      <c r="HR152" s="15"/>
      <c r="HS152" s="15"/>
      <c r="HT152" s="15"/>
      <c r="HU152" s="15"/>
      <c r="HV152" s="15"/>
      <c r="HW152" s="15"/>
      <c r="IQ152" s="15"/>
      <c r="IR152" s="15"/>
      <c r="IS152" s="15"/>
      <c r="IT152" s="15"/>
      <c r="IU152" s="15"/>
      <c r="IV152" s="15"/>
      <c r="IW152" s="15"/>
      <c r="IX152" s="15"/>
      <c r="IY152" s="15"/>
      <c r="IZ152" s="15"/>
      <c r="JA152" s="15"/>
      <c r="JB152" s="15"/>
      <c r="JC152" s="15"/>
      <c r="JD152" s="15"/>
      <c r="JE152" s="15"/>
      <c r="JF152" s="15"/>
      <c r="JG152" s="15"/>
      <c r="JZ152" s="15"/>
      <c r="KA152" s="15"/>
      <c r="KB152" s="15"/>
      <c r="KC152" s="15"/>
      <c r="KD152" s="15"/>
      <c r="KE152" s="15"/>
      <c r="KF152" s="15"/>
      <c r="KG152" s="15"/>
      <c r="KH152" s="15"/>
      <c r="KI152" s="15"/>
      <c r="KJ152" s="15"/>
      <c r="KK152" s="15"/>
      <c r="KL152" s="15"/>
      <c r="KM152" s="15"/>
      <c r="LI152" s="15"/>
      <c r="LJ152" s="15"/>
      <c r="LK152" s="15"/>
      <c r="LL152" s="15"/>
      <c r="LM152" s="15"/>
      <c r="LP152" s="15"/>
      <c r="LQ152" s="15"/>
    </row>
    <row r="153" spans="2:330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BX153" s="15"/>
      <c r="BY153" s="15"/>
      <c r="CA153" s="15"/>
      <c r="CB153" s="15"/>
      <c r="CC153" s="15"/>
      <c r="CE153" s="15"/>
      <c r="CF153" s="15"/>
      <c r="CG153" s="15"/>
      <c r="CI153" s="15"/>
      <c r="CJ153" s="15"/>
      <c r="CK153" s="15"/>
      <c r="CL153" s="15"/>
      <c r="CM153" s="15"/>
      <c r="CN153" s="15"/>
      <c r="CO153" s="15"/>
      <c r="CP153" s="15"/>
      <c r="CQ153" s="15"/>
      <c r="CR153" s="15"/>
      <c r="CT153" s="15"/>
      <c r="CU153" s="15"/>
      <c r="DG153" s="15"/>
      <c r="DH153" s="15"/>
      <c r="DI153" s="15"/>
      <c r="DJ153" s="15"/>
      <c r="DK153" s="15"/>
      <c r="DL153" s="15"/>
      <c r="DM153" s="15"/>
      <c r="DN153" s="15"/>
      <c r="EP153" s="15"/>
      <c r="EQ153" s="15"/>
      <c r="ER153" s="15"/>
      <c r="ES153" s="15"/>
      <c r="ET153" s="15"/>
      <c r="EU153" s="15"/>
      <c r="EV153" s="15"/>
      <c r="EW153" s="15"/>
      <c r="EX153" s="15"/>
      <c r="EY153" s="15"/>
      <c r="EZ153" s="15"/>
      <c r="FA153" s="15"/>
      <c r="FB153" s="15"/>
      <c r="FC153" s="15"/>
      <c r="FD153" s="15"/>
      <c r="FE153" s="15"/>
      <c r="FF153" s="15"/>
      <c r="FH153" s="15"/>
      <c r="FJ153" s="15"/>
      <c r="FK153" s="15"/>
      <c r="FL153" s="15"/>
      <c r="FM153" s="15"/>
      <c r="FN153" s="15"/>
      <c r="FO153" s="15"/>
      <c r="FQ153" s="15"/>
      <c r="FR153" s="15"/>
      <c r="FS153" s="15"/>
      <c r="FT153" s="15"/>
      <c r="FU153" s="15"/>
      <c r="FV153" s="15"/>
      <c r="FW153" s="15"/>
      <c r="FX153" s="15"/>
      <c r="FY153" s="15"/>
      <c r="FZ153" s="15"/>
      <c r="GB153" s="15"/>
      <c r="GC153" s="15"/>
      <c r="GE153" s="15"/>
      <c r="GF153" s="15"/>
      <c r="GG153" s="15"/>
      <c r="GI153" s="15"/>
      <c r="GJ153" s="15"/>
      <c r="GK153" s="15"/>
      <c r="GL153" s="15"/>
      <c r="GN153" s="15"/>
      <c r="GP153" s="15"/>
      <c r="GS153" s="15"/>
      <c r="HH153" s="15"/>
      <c r="HI153" s="15"/>
      <c r="HJ153" s="15"/>
      <c r="HK153" s="15"/>
      <c r="HL153" s="15"/>
      <c r="HM153" s="15"/>
      <c r="HN153" s="15"/>
      <c r="HO153" s="15"/>
      <c r="HP153" s="15"/>
      <c r="HQ153" s="15"/>
      <c r="HR153" s="15"/>
      <c r="HS153" s="15"/>
      <c r="HT153" s="15"/>
      <c r="HU153" s="15"/>
      <c r="HV153" s="15"/>
      <c r="HW153" s="15"/>
      <c r="IQ153" s="15"/>
      <c r="IT153" s="15"/>
      <c r="IV153" s="15"/>
      <c r="IW153" s="15"/>
      <c r="IX153" s="15"/>
      <c r="IY153" s="15"/>
      <c r="JA153" s="15"/>
      <c r="JB153" s="15"/>
      <c r="JC153" s="15"/>
      <c r="JD153" s="15"/>
      <c r="JE153" s="15"/>
      <c r="JG153" s="15"/>
      <c r="JZ153" s="15"/>
      <c r="KA153" s="15"/>
      <c r="KB153" s="15"/>
      <c r="KC153" s="15"/>
      <c r="KD153" s="15"/>
      <c r="KE153" s="15"/>
      <c r="KF153" s="15"/>
      <c r="KG153" s="15"/>
      <c r="KH153" s="15"/>
      <c r="KI153" s="15"/>
      <c r="KJ153" s="15"/>
      <c r="KK153" s="15"/>
      <c r="KL153" s="15"/>
      <c r="KM153" s="15"/>
      <c r="LI153" s="15"/>
      <c r="LJ153" s="15"/>
      <c r="LK153" s="15"/>
      <c r="LL153" s="15"/>
      <c r="LM153" s="15"/>
      <c r="LN153" s="15"/>
      <c r="LO153" s="15"/>
      <c r="LP153" s="15"/>
      <c r="LQ153" s="15"/>
      <c r="LR153" s="15"/>
    </row>
    <row r="154" spans="2:330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BX154" s="15"/>
      <c r="BY154" s="15"/>
      <c r="BZ154" s="15"/>
      <c r="CA154" s="15"/>
      <c r="CB154" s="15"/>
      <c r="CC154" s="15"/>
      <c r="CD154" s="15"/>
      <c r="CE154" s="15"/>
      <c r="CF154" s="15"/>
      <c r="CG154" s="15"/>
      <c r="CH154" s="15"/>
      <c r="CI154" s="15"/>
      <c r="CJ154" s="15"/>
      <c r="CK154" s="15"/>
      <c r="CL154" s="15"/>
      <c r="CM154" s="15"/>
      <c r="CN154" s="15"/>
      <c r="CO154" s="15"/>
      <c r="CP154" s="15"/>
      <c r="CQ154" s="15"/>
      <c r="DG154" s="15"/>
      <c r="DH154" s="15"/>
      <c r="DI154" s="15"/>
      <c r="DJ154" s="15"/>
      <c r="DK154" s="15"/>
      <c r="DL154" s="15"/>
      <c r="DM154" s="15"/>
      <c r="DN154" s="15"/>
      <c r="EP154" s="15"/>
      <c r="EQ154" s="15"/>
      <c r="ER154" s="15"/>
      <c r="ES154" s="15"/>
      <c r="ET154" s="15"/>
      <c r="EU154" s="15"/>
      <c r="EV154" s="15"/>
      <c r="EW154" s="15"/>
      <c r="EX154" s="15"/>
      <c r="EY154" s="15"/>
      <c r="EZ154" s="15"/>
      <c r="FA154" s="15"/>
      <c r="FB154" s="15"/>
      <c r="FC154" s="15"/>
      <c r="FD154" s="15"/>
      <c r="FE154" s="15"/>
      <c r="FF154" s="15"/>
      <c r="FG154" s="15"/>
      <c r="FH154" s="15"/>
      <c r="FI154" s="15"/>
      <c r="FJ154" s="15"/>
      <c r="FK154" s="15"/>
      <c r="FL154" s="15"/>
      <c r="FM154" s="15"/>
      <c r="FN154" s="15"/>
      <c r="FO154" s="15"/>
      <c r="FP154" s="15"/>
      <c r="FQ154" s="15"/>
      <c r="FR154" s="15"/>
      <c r="FS154" s="15"/>
      <c r="FT154" s="15"/>
      <c r="FY154" s="15"/>
      <c r="FZ154" s="15"/>
      <c r="GA154" s="15"/>
      <c r="GB154" s="15"/>
      <c r="GC154" s="15"/>
      <c r="GD154" s="15"/>
      <c r="GE154" s="15"/>
      <c r="GF154" s="15"/>
      <c r="GG154" s="15"/>
      <c r="GH154" s="15"/>
      <c r="GI154" s="15"/>
      <c r="GJ154" s="15"/>
      <c r="GK154" s="15"/>
      <c r="GL154" s="15"/>
      <c r="GM154" s="15"/>
      <c r="GN154" s="15"/>
      <c r="GO154" s="15"/>
      <c r="GP154" s="15"/>
      <c r="GQ154" s="15"/>
      <c r="GR154" s="15"/>
      <c r="GS154" s="15"/>
      <c r="GT154" s="15"/>
      <c r="GU154" s="15"/>
      <c r="HH154" s="15"/>
      <c r="HI154" s="15"/>
      <c r="HJ154" s="15"/>
      <c r="HK154" s="15"/>
      <c r="HL154" s="15"/>
      <c r="HM154" s="15"/>
      <c r="HN154" s="15"/>
      <c r="HO154" s="15"/>
      <c r="HP154" s="15"/>
      <c r="HQ154" s="15"/>
      <c r="HR154" s="15"/>
      <c r="HS154" s="15"/>
      <c r="HT154" s="15"/>
      <c r="HU154" s="15"/>
      <c r="HV154" s="15"/>
      <c r="HW154" s="15"/>
      <c r="IQ154" s="15"/>
      <c r="IR154" s="15"/>
      <c r="IS154" s="15"/>
      <c r="IT154" s="15"/>
      <c r="IU154" s="15"/>
      <c r="IV154" s="15"/>
      <c r="IW154" s="15"/>
      <c r="IX154" s="15"/>
      <c r="IY154" s="15"/>
      <c r="IZ154" s="15"/>
      <c r="JA154" s="15"/>
      <c r="JB154" s="15"/>
      <c r="JC154" s="15"/>
      <c r="JD154" s="15"/>
      <c r="JE154" s="15"/>
      <c r="JF154" s="15"/>
      <c r="JG154" s="15"/>
      <c r="JH154" s="15"/>
      <c r="JI154" s="15"/>
      <c r="JZ154" s="15"/>
      <c r="KA154" s="15"/>
      <c r="KB154" s="15"/>
      <c r="KC154" s="15"/>
      <c r="KD154" s="15"/>
      <c r="KE154" s="15"/>
      <c r="KF154" s="15"/>
      <c r="KG154" s="15"/>
      <c r="KH154" s="15"/>
      <c r="KI154" s="15"/>
      <c r="KJ154" s="15"/>
      <c r="KK154" s="15"/>
      <c r="KL154" s="15"/>
      <c r="KM154" s="15"/>
      <c r="LI154" s="15"/>
      <c r="LJ154" s="15"/>
      <c r="LK154" s="15"/>
      <c r="LL154" s="15"/>
      <c r="LM154" s="15"/>
      <c r="LN154" s="15"/>
      <c r="LO154" s="15"/>
      <c r="LP154" s="15"/>
      <c r="LQ154" s="15"/>
      <c r="LR154" s="15"/>
    </row>
    <row r="155" spans="2:330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O155" s="15"/>
      <c r="AP155" s="15"/>
      <c r="AQ155" s="15"/>
      <c r="AR155" s="15"/>
      <c r="AS155" s="15"/>
      <c r="AT155" s="15"/>
      <c r="AU155" s="15"/>
      <c r="AV155" s="15"/>
      <c r="BX155" s="15"/>
      <c r="BY155" s="15"/>
      <c r="BZ155" s="15"/>
      <c r="CA155" s="15"/>
      <c r="CB155" s="15"/>
      <c r="CC155" s="15"/>
      <c r="CD155" s="15"/>
      <c r="CE155" s="15"/>
      <c r="CF155" s="15"/>
      <c r="CG155" s="15"/>
      <c r="CH155" s="15"/>
      <c r="CI155" s="15"/>
      <c r="CJ155" s="15"/>
      <c r="CK155" s="15"/>
      <c r="CL155" s="15"/>
      <c r="CM155" s="15"/>
      <c r="CN155" s="15"/>
      <c r="CO155" s="15"/>
      <c r="CP155" s="15"/>
      <c r="CQ155" s="15"/>
      <c r="CR155" s="15"/>
      <c r="CS155" s="15"/>
      <c r="CT155" s="15"/>
      <c r="CU155" s="15"/>
      <c r="DG155" s="15"/>
      <c r="DH155" s="15"/>
      <c r="DI155" s="15"/>
      <c r="DJ155" s="15"/>
      <c r="DK155" s="15"/>
      <c r="DL155" s="15"/>
      <c r="DM155" s="15"/>
      <c r="DN155" s="15"/>
      <c r="DO155" s="15"/>
      <c r="DP155" s="15"/>
      <c r="DQ155" s="15"/>
      <c r="DR155" s="15"/>
      <c r="DS155" s="15"/>
      <c r="DT155" s="15"/>
      <c r="DU155" s="15"/>
      <c r="DV155" s="15"/>
      <c r="DW155" s="15"/>
      <c r="DX155" s="15"/>
      <c r="DY155" s="15"/>
      <c r="DZ155" s="15"/>
      <c r="FY155" s="15"/>
      <c r="FZ155" s="15"/>
      <c r="GA155" s="15"/>
      <c r="GB155" s="15"/>
      <c r="GC155" s="15"/>
      <c r="GD155" s="15"/>
      <c r="GE155" s="15"/>
      <c r="GF155" s="15"/>
      <c r="GG155" s="15"/>
      <c r="GH155" s="15"/>
      <c r="GI155" s="15"/>
      <c r="GJ155" s="15"/>
      <c r="GK155" s="15"/>
      <c r="GL155" s="15"/>
      <c r="GM155" s="15"/>
      <c r="GN155" s="15"/>
      <c r="GO155" s="15"/>
      <c r="GP155" s="15"/>
      <c r="GQ155" s="15"/>
      <c r="GR155" s="15"/>
      <c r="GS155" s="15"/>
      <c r="GT155" s="15"/>
      <c r="GU155" s="15"/>
      <c r="GV155" s="15"/>
      <c r="GW155" s="15"/>
      <c r="GX155" s="15"/>
      <c r="GY155" s="15"/>
      <c r="GZ155" s="15"/>
      <c r="HA155" s="15"/>
      <c r="HB155" s="15"/>
      <c r="HC155" s="15"/>
      <c r="HD155" s="15"/>
      <c r="HE155" s="15"/>
      <c r="HF155" s="15"/>
      <c r="HG155" s="15"/>
      <c r="HH155" s="15"/>
      <c r="HI155" s="15"/>
      <c r="HJ155" s="15"/>
      <c r="HK155" s="15"/>
      <c r="HL155" s="15"/>
      <c r="HM155" s="15"/>
      <c r="HN155" s="15"/>
      <c r="HO155" s="15"/>
      <c r="HP155" s="15"/>
      <c r="HQ155" s="15"/>
      <c r="HR155" s="15"/>
      <c r="HS155" s="15"/>
      <c r="HT155" s="15"/>
      <c r="HU155" s="15"/>
      <c r="HV155" s="15"/>
      <c r="HW155" s="15"/>
      <c r="IQ155" s="15"/>
      <c r="IR155" s="15"/>
      <c r="IS155" s="15"/>
      <c r="IT155" s="15"/>
      <c r="IU155" s="15"/>
      <c r="IV155" s="15"/>
      <c r="IW155" s="15"/>
      <c r="IX155" s="15"/>
      <c r="IY155" s="15"/>
      <c r="IZ155" s="15"/>
      <c r="JA155" s="15"/>
      <c r="JB155" s="15"/>
      <c r="JC155" s="15"/>
      <c r="JD155" s="15"/>
      <c r="JE155" s="15"/>
      <c r="JF155" s="15"/>
      <c r="JG155" s="15"/>
      <c r="JH155" s="15"/>
      <c r="JZ155" s="15"/>
      <c r="KA155" s="15"/>
      <c r="KB155" s="15"/>
      <c r="KC155" s="15"/>
      <c r="KD155" s="15"/>
      <c r="KE155" s="15"/>
      <c r="KF155" s="15"/>
      <c r="KG155" s="15"/>
      <c r="KH155" s="15"/>
      <c r="KI155" s="15"/>
      <c r="KJ155" s="15"/>
      <c r="KK155" s="15"/>
      <c r="KL155" s="15"/>
      <c r="KM155" s="15"/>
      <c r="LI155" s="15"/>
      <c r="LJ155" s="15"/>
      <c r="LK155" s="15"/>
      <c r="LL155" s="15"/>
      <c r="LM155" s="15"/>
      <c r="LN155" s="15"/>
      <c r="LO155" s="15"/>
      <c r="LP155" s="15"/>
      <c r="LQ155" s="15"/>
      <c r="LR155" s="15"/>
    </row>
    <row r="156" spans="2:330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X156" s="15"/>
      <c r="BY156" s="15"/>
      <c r="CB156" s="15"/>
      <c r="CC156" s="15"/>
      <c r="CD156" s="15"/>
      <c r="CE156" s="15"/>
      <c r="CF156" s="15"/>
      <c r="CH156" s="15"/>
      <c r="CI156" s="15"/>
      <c r="CK156" s="15"/>
      <c r="CL156" s="15"/>
      <c r="CM156" s="15"/>
      <c r="CN156" s="15"/>
      <c r="CO156" s="15"/>
      <c r="CP156" s="15"/>
      <c r="CQ156" s="15"/>
      <c r="CR156" s="15"/>
      <c r="CS156" s="15"/>
      <c r="CT156" s="15"/>
      <c r="CU156" s="15"/>
      <c r="EP156" s="15"/>
      <c r="EQ156" s="15"/>
      <c r="ER156" s="15"/>
      <c r="ES156" s="15"/>
      <c r="ET156" s="15"/>
      <c r="EU156" s="15"/>
      <c r="EV156" s="15"/>
      <c r="EW156" s="15"/>
      <c r="EX156" s="15"/>
      <c r="EY156" s="15"/>
      <c r="EZ156" s="15"/>
      <c r="FA156" s="15"/>
      <c r="FB156" s="15"/>
      <c r="FC156" s="15"/>
      <c r="FD156" s="15"/>
      <c r="FE156" s="15"/>
      <c r="FF156" s="15"/>
      <c r="FG156" s="15"/>
      <c r="FH156" s="15"/>
      <c r="FJ156" s="15"/>
      <c r="FK156" s="15"/>
      <c r="FL156" s="15"/>
      <c r="FM156" s="15"/>
      <c r="FN156" s="15"/>
      <c r="FO156" s="15"/>
      <c r="FP156" s="15"/>
      <c r="FQ156" s="15"/>
      <c r="FR156" s="15"/>
      <c r="FS156" s="15"/>
      <c r="FT156" s="15"/>
      <c r="FU156" s="15"/>
      <c r="FV156" s="15"/>
      <c r="FW156" s="15"/>
      <c r="FX156" s="15"/>
      <c r="FY156" s="15"/>
      <c r="FZ156" s="15"/>
      <c r="GA156" s="15"/>
      <c r="GB156" s="15"/>
      <c r="GC156" s="15"/>
      <c r="GD156" s="15"/>
      <c r="GE156" s="15"/>
      <c r="GF156" s="15"/>
      <c r="HH156" s="15"/>
      <c r="HI156" s="15"/>
      <c r="HN156" s="15"/>
      <c r="HO156" s="15"/>
      <c r="HP156" s="15"/>
      <c r="HQ156" s="15"/>
      <c r="HR156" s="15"/>
      <c r="HT156" s="15"/>
      <c r="HU156" s="15"/>
      <c r="HV156" s="15"/>
      <c r="HW156" s="15"/>
      <c r="HX156" s="15"/>
      <c r="HY156" s="15"/>
      <c r="HZ156" s="15"/>
      <c r="IQ156" s="15"/>
      <c r="IR156" s="15"/>
      <c r="IS156" s="15"/>
      <c r="IT156" s="15"/>
      <c r="IU156" s="15"/>
      <c r="IV156" s="15"/>
      <c r="IW156" s="15"/>
      <c r="IX156" s="15"/>
      <c r="IY156" s="15"/>
      <c r="IZ156" s="15"/>
      <c r="JA156" s="15"/>
      <c r="JB156" s="15"/>
      <c r="JC156" s="15"/>
      <c r="JD156" s="15"/>
      <c r="JE156" s="15"/>
      <c r="JF156" s="15"/>
      <c r="JZ156" s="15"/>
      <c r="KA156" s="15"/>
      <c r="KB156" s="15"/>
      <c r="KC156" s="15"/>
      <c r="KD156" s="15"/>
      <c r="KE156" s="15"/>
      <c r="KF156" s="15"/>
      <c r="KG156" s="15"/>
      <c r="KH156" s="15"/>
      <c r="KI156" s="15"/>
      <c r="KJ156" s="15"/>
      <c r="KK156" s="15"/>
      <c r="KL156" s="15"/>
      <c r="KM156" s="15"/>
      <c r="LI156" s="15"/>
      <c r="LJ156" s="15"/>
      <c r="LK156" s="15"/>
      <c r="LL156" s="15"/>
      <c r="LM156" s="15"/>
      <c r="LN156" s="15"/>
      <c r="LO156" s="15"/>
      <c r="LP156" s="15"/>
      <c r="LQ156" s="15"/>
      <c r="LR156" s="15"/>
    </row>
    <row r="157" spans="2:330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H157" s="15"/>
      <c r="BX157" s="15"/>
      <c r="BY157" s="15"/>
      <c r="BZ157" s="15"/>
      <c r="CB157" s="15"/>
      <c r="CC157" s="15"/>
      <c r="CD157" s="15"/>
      <c r="CE157" s="15"/>
      <c r="CF157" s="15"/>
      <c r="CG157" s="15"/>
      <c r="CH157" s="15"/>
      <c r="CI157" s="15"/>
      <c r="CJ157" s="15"/>
      <c r="CK157" s="15"/>
      <c r="CL157" s="15"/>
      <c r="CM157" s="15"/>
      <c r="CN157" s="15"/>
      <c r="CO157" s="15"/>
      <c r="CP157" s="15"/>
      <c r="CQ157" s="15"/>
      <c r="CR157" s="15"/>
      <c r="CS157" s="15"/>
      <c r="CU157" s="15"/>
      <c r="EP157" s="15"/>
      <c r="EQ157" s="15"/>
      <c r="ER157" s="15"/>
      <c r="ES157" s="15"/>
      <c r="ET157" s="15"/>
      <c r="EU157" s="15"/>
      <c r="EV157" s="15"/>
      <c r="EW157" s="15"/>
      <c r="EX157" s="15"/>
      <c r="EY157" s="15"/>
      <c r="EZ157" s="15"/>
      <c r="FA157" s="15"/>
      <c r="FB157" s="15"/>
      <c r="FC157" s="15"/>
      <c r="FD157" s="15"/>
      <c r="FE157" s="15"/>
      <c r="FF157" s="15"/>
      <c r="FG157" s="15"/>
      <c r="FH157" s="15"/>
      <c r="FI157" s="15"/>
      <c r="FJ157" s="15"/>
      <c r="FK157" s="15"/>
      <c r="FL157" s="15"/>
      <c r="FM157" s="15"/>
      <c r="FN157" s="15"/>
      <c r="FO157" s="15"/>
      <c r="FP157" s="15"/>
      <c r="FQ157" s="15"/>
      <c r="FR157" s="15"/>
      <c r="FS157" s="15"/>
      <c r="FT157" s="15"/>
      <c r="FU157" s="15"/>
      <c r="FV157" s="15"/>
      <c r="FX157" s="15"/>
      <c r="FY157" s="15"/>
      <c r="FZ157" s="15"/>
      <c r="GA157" s="15"/>
      <c r="GB157" s="15"/>
      <c r="GC157" s="15"/>
      <c r="GD157" s="15"/>
      <c r="GE157" s="15"/>
      <c r="GF157" s="15"/>
      <c r="HH157" s="15"/>
      <c r="HI157" s="15"/>
      <c r="HJ157" s="15"/>
      <c r="HK157" s="15"/>
      <c r="HL157" s="15"/>
      <c r="HM157" s="15"/>
      <c r="HN157" s="15"/>
      <c r="HO157" s="15"/>
      <c r="HP157" s="15"/>
      <c r="HQ157" s="15"/>
      <c r="HR157" s="15"/>
      <c r="HS157" s="15"/>
      <c r="HT157" s="15"/>
      <c r="HU157" s="15"/>
      <c r="HV157" s="15"/>
      <c r="HW157" s="15"/>
      <c r="HX157" s="15"/>
      <c r="HY157" s="15"/>
      <c r="HZ157" s="15"/>
      <c r="IQ157" s="15"/>
      <c r="IR157" s="15"/>
      <c r="IS157" s="15"/>
      <c r="IT157" s="15"/>
      <c r="IU157" s="15"/>
      <c r="IV157" s="15"/>
      <c r="IW157" s="15"/>
      <c r="IX157" s="15"/>
      <c r="IY157" s="15"/>
      <c r="IZ157" s="15"/>
      <c r="JA157" s="15"/>
      <c r="JB157" s="15"/>
      <c r="JC157" s="15"/>
      <c r="JD157" s="15"/>
      <c r="JE157" s="15"/>
      <c r="JF157" s="15"/>
      <c r="JZ157" s="15"/>
      <c r="KA157" s="15"/>
      <c r="KB157" s="15"/>
      <c r="KC157" s="15"/>
      <c r="KD157" s="15"/>
      <c r="KE157" s="15"/>
      <c r="KF157" s="15"/>
      <c r="KG157" s="15"/>
      <c r="KH157" s="15"/>
      <c r="KI157" s="15"/>
      <c r="KJ157" s="15"/>
      <c r="KK157" s="15"/>
      <c r="KL157" s="15"/>
      <c r="KM157" s="15"/>
      <c r="LI157" s="15"/>
      <c r="LJ157" s="15"/>
      <c r="LK157" s="15"/>
      <c r="LL157" s="15"/>
      <c r="LM157" s="15"/>
      <c r="LN157" s="15"/>
      <c r="LO157" s="15"/>
      <c r="LP157" s="15"/>
      <c r="LQ157" s="15"/>
      <c r="LR157" s="15"/>
    </row>
    <row r="158" spans="2:330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C158" s="15"/>
      <c r="BD158" s="15"/>
      <c r="BE158" s="15"/>
      <c r="BF158" s="15"/>
      <c r="BH158" s="15"/>
      <c r="BX158" s="15"/>
      <c r="BY158" s="15"/>
      <c r="BZ158" s="15"/>
      <c r="CA158" s="15"/>
      <c r="CB158" s="15"/>
      <c r="CC158" s="15"/>
      <c r="CD158" s="15"/>
      <c r="CE158" s="15"/>
      <c r="CF158" s="15"/>
      <c r="CG158" s="15"/>
      <c r="CH158" s="15"/>
      <c r="CI158" s="15"/>
      <c r="CJ158" s="15"/>
      <c r="CK158" s="15"/>
      <c r="CM158" s="15"/>
      <c r="CN158" s="15"/>
      <c r="CO158" s="15"/>
      <c r="CP158" s="15"/>
      <c r="CQ158" s="15"/>
      <c r="CR158" s="15"/>
      <c r="CS158" s="15"/>
      <c r="EP158" s="15"/>
      <c r="EQ158" s="15"/>
      <c r="ER158" s="15"/>
      <c r="ES158" s="15"/>
      <c r="ET158" s="15"/>
      <c r="EU158" s="15"/>
      <c r="EV158" s="15"/>
      <c r="EW158" s="15"/>
      <c r="EX158" s="15"/>
      <c r="EY158" s="15"/>
      <c r="EZ158" s="15"/>
      <c r="FA158" s="15"/>
      <c r="FB158" s="15"/>
      <c r="FC158" s="15"/>
      <c r="FD158" s="15"/>
      <c r="FE158" s="15"/>
      <c r="FF158" s="15"/>
      <c r="FG158" s="15"/>
      <c r="FH158" s="15"/>
      <c r="FI158" s="15"/>
      <c r="FJ158" s="15"/>
      <c r="FK158" s="15"/>
      <c r="FL158" s="15"/>
      <c r="FM158" s="15"/>
      <c r="FN158" s="15"/>
      <c r="FO158" s="15"/>
      <c r="FP158" s="15"/>
      <c r="FQ158" s="15"/>
      <c r="FR158" s="15"/>
      <c r="FS158" s="15"/>
      <c r="FT158" s="15"/>
      <c r="FU158" s="15"/>
      <c r="FV158" s="15"/>
      <c r="FW158" s="15"/>
      <c r="FX158" s="15"/>
      <c r="FY158" s="15"/>
      <c r="FZ158" s="15"/>
      <c r="GA158" s="15"/>
      <c r="GC158" s="15"/>
      <c r="GD158" s="15"/>
      <c r="GE158" s="15"/>
      <c r="GF158" s="15"/>
      <c r="HH158" s="15"/>
      <c r="HI158" s="15"/>
      <c r="HJ158" s="15"/>
      <c r="HK158" s="15"/>
      <c r="HL158" s="15"/>
      <c r="HM158" s="15"/>
      <c r="HN158" s="15"/>
      <c r="HO158" s="15"/>
      <c r="HP158" s="15"/>
      <c r="HQ158" s="15"/>
      <c r="HR158" s="15"/>
      <c r="HS158" s="15"/>
      <c r="HT158" s="15"/>
      <c r="HU158" s="15"/>
      <c r="HV158" s="15"/>
      <c r="HW158" s="15"/>
      <c r="HX158" s="15"/>
      <c r="HY158" s="15"/>
      <c r="HZ158" s="15"/>
      <c r="IQ158" s="15"/>
      <c r="IR158" s="15"/>
      <c r="IS158" s="15"/>
      <c r="IT158" s="15"/>
      <c r="IU158" s="15"/>
      <c r="IV158" s="15"/>
      <c r="IW158" s="15"/>
      <c r="IX158" s="15"/>
      <c r="IY158" s="15"/>
      <c r="IZ158" s="15"/>
      <c r="JA158" s="15"/>
      <c r="JB158" s="15"/>
      <c r="JC158" s="15"/>
      <c r="JD158" s="15"/>
      <c r="JE158" s="15"/>
      <c r="JF158" s="15"/>
      <c r="JZ158" s="15"/>
      <c r="KA158" s="15"/>
      <c r="KB158" s="15"/>
      <c r="KC158" s="15"/>
      <c r="KD158" s="15"/>
      <c r="KE158" s="15"/>
      <c r="KF158" s="15"/>
      <c r="KG158" s="15"/>
      <c r="KH158" s="15"/>
      <c r="KI158" s="15"/>
      <c r="KJ158" s="15"/>
      <c r="KK158" s="15"/>
      <c r="KL158" s="15"/>
      <c r="LI158" s="15"/>
      <c r="LJ158" s="15"/>
      <c r="LK158" s="15"/>
      <c r="LL158" s="15"/>
      <c r="LM158" s="15"/>
      <c r="LN158" s="15"/>
      <c r="LO158" s="15"/>
      <c r="LP158" s="15"/>
      <c r="LQ158" s="15"/>
      <c r="LR158" s="15"/>
    </row>
    <row r="159" spans="2:330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X159" s="15"/>
      <c r="BY159" s="15"/>
      <c r="CC159" s="15"/>
      <c r="CD159" s="15"/>
      <c r="CE159" s="15"/>
      <c r="CF159" s="15"/>
      <c r="CG159" s="15"/>
      <c r="CH159" s="15"/>
      <c r="CI159" s="15"/>
      <c r="CJ159" s="15"/>
      <c r="CK159" s="15"/>
      <c r="CL159" s="15"/>
      <c r="CM159" s="15"/>
      <c r="EP159" s="15"/>
      <c r="EQ159" s="15"/>
      <c r="ER159" s="15"/>
      <c r="ES159" s="15"/>
      <c r="ET159" s="15"/>
      <c r="EU159" s="15"/>
      <c r="EV159" s="15"/>
      <c r="EW159" s="15"/>
      <c r="EY159" s="15"/>
      <c r="EZ159" s="15"/>
      <c r="FA159" s="15"/>
      <c r="FB159" s="15"/>
      <c r="FC159" s="15"/>
      <c r="FD159" s="15"/>
      <c r="FE159" s="15"/>
      <c r="FF159" s="15"/>
      <c r="FG159" s="15"/>
      <c r="FH159" s="15"/>
      <c r="FI159" s="15"/>
      <c r="FJ159" s="15"/>
      <c r="FK159" s="15"/>
      <c r="FL159" s="15"/>
      <c r="FM159" s="15"/>
      <c r="FN159" s="15"/>
      <c r="FO159" s="15"/>
      <c r="FP159" s="15"/>
      <c r="FQ159" s="15"/>
      <c r="FR159" s="15"/>
      <c r="FS159" s="15"/>
      <c r="FT159" s="15"/>
      <c r="FU159" s="15"/>
      <c r="FV159" s="15"/>
      <c r="FW159" s="15"/>
      <c r="FX159" s="15"/>
      <c r="FY159" s="15"/>
      <c r="FZ159" s="15"/>
      <c r="GA159" s="15"/>
      <c r="GB159" s="15"/>
      <c r="GC159" s="15"/>
      <c r="GD159" s="15"/>
      <c r="GE159" s="15"/>
      <c r="GF159" s="15"/>
      <c r="HH159" s="15"/>
      <c r="HI159" s="15"/>
      <c r="HJ159" s="15"/>
      <c r="HK159" s="15"/>
      <c r="HM159" s="15"/>
      <c r="HN159" s="15"/>
      <c r="HO159" s="15"/>
      <c r="HQ159" s="15"/>
      <c r="HR159" s="15"/>
      <c r="HS159" s="15"/>
      <c r="HT159" s="15"/>
      <c r="HU159" s="15"/>
      <c r="HV159" s="15"/>
      <c r="HW159" s="15"/>
      <c r="HX159" s="15"/>
      <c r="IQ159" s="15"/>
      <c r="IR159" s="15"/>
      <c r="IS159" s="15"/>
      <c r="IT159" s="15"/>
      <c r="IU159" s="15"/>
      <c r="IV159" s="15"/>
      <c r="IW159" s="15"/>
      <c r="IX159" s="15"/>
      <c r="IY159" s="15"/>
      <c r="IZ159" s="15"/>
      <c r="JA159" s="15"/>
      <c r="JB159" s="15"/>
      <c r="JC159" s="15"/>
      <c r="JD159" s="15"/>
      <c r="JE159" s="15"/>
      <c r="JF159" s="15"/>
      <c r="JZ159" s="15"/>
      <c r="KA159" s="15"/>
      <c r="KB159" s="15"/>
      <c r="KC159" s="15"/>
      <c r="KD159" s="15"/>
      <c r="KE159" s="15"/>
      <c r="KF159" s="15"/>
      <c r="KG159" s="15"/>
      <c r="KH159" s="15"/>
      <c r="KI159" s="15"/>
      <c r="KJ159" s="15"/>
      <c r="KK159" s="15"/>
      <c r="KL159" s="15"/>
      <c r="KM159" s="15"/>
      <c r="LI159" s="15"/>
      <c r="LJ159" s="15"/>
      <c r="LK159" s="15"/>
      <c r="LL159" s="15"/>
      <c r="LM159" s="15"/>
      <c r="LN159" s="15"/>
      <c r="LO159" s="15"/>
      <c r="LP159" s="15"/>
      <c r="LQ159" s="15"/>
      <c r="LR159" s="15"/>
    </row>
    <row r="160" spans="2:330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O160" s="15"/>
      <c r="AP160" s="15"/>
      <c r="AQ160" s="15"/>
      <c r="AR160" s="15"/>
      <c r="AS160" s="15"/>
      <c r="AT160" s="15"/>
      <c r="AV160" s="15"/>
      <c r="AW160" s="15"/>
      <c r="AX160" s="15"/>
      <c r="AY160" s="15"/>
      <c r="AZ160" s="15"/>
      <c r="BA160" s="15"/>
      <c r="BC160" s="15"/>
      <c r="BD160" s="15"/>
      <c r="BE160" s="15"/>
      <c r="BF160" s="15"/>
      <c r="BG160" s="15"/>
      <c r="BH160" s="15"/>
      <c r="BX160" s="15"/>
      <c r="BY160" s="15"/>
      <c r="BZ160" s="15"/>
      <c r="CA160" s="15"/>
      <c r="CB160" s="15"/>
      <c r="CC160" s="15"/>
      <c r="CD160" s="15"/>
      <c r="CE160" s="15"/>
      <c r="CF160" s="15"/>
      <c r="CG160" s="15"/>
      <c r="CH160" s="15"/>
      <c r="CI160" s="15"/>
      <c r="CJ160" s="15"/>
      <c r="CK160" s="15"/>
      <c r="CL160" s="15"/>
      <c r="CM160" s="15"/>
      <c r="CN160" s="15"/>
      <c r="CO160" s="15"/>
      <c r="CP160" s="15"/>
      <c r="EP160" s="15"/>
      <c r="EQ160" s="15"/>
      <c r="ER160" s="15"/>
      <c r="ES160" s="15"/>
      <c r="ET160" s="15"/>
      <c r="EU160" s="15"/>
      <c r="EV160" s="15"/>
      <c r="EW160" s="15"/>
      <c r="EX160" s="15"/>
      <c r="EY160" s="15"/>
      <c r="EZ160" s="15"/>
      <c r="FA160" s="15"/>
      <c r="FB160" s="15"/>
      <c r="FC160" s="15"/>
      <c r="FD160" s="15"/>
      <c r="FE160" s="15"/>
      <c r="FF160" s="15"/>
      <c r="FG160" s="15"/>
      <c r="FH160" s="15"/>
      <c r="FI160" s="15"/>
      <c r="FJ160" s="15"/>
      <c r="FK160" s="15"/>
      <c r="FL160" s="15"/>
      <c r="FM160" s="15"/>
      <c r="FN160" s="15"/>
      <c r="FO160" s="15"/>
      <c r="FP160" s="15"/>
      <c r="FQ160" s="15"/>
      <c r="FR160" s="15"/>
      <c r="FS160" s="15"/>
      <c r="FT160" s="15"/>
      <c r="FU160" s="15"/>
      <c r="FY160" s="15"/>
      <c r="FZ160" s="15"/>
      <c r="GA160" s="15"/>
      <c r="GB160" s="15"/>
      <c r="GD160" s="15"/>
      <c r="GE160" s="15"/>
      <c r="GF160" s="15"/>
      <c r="HH160" s="15"/>
      <c r="HI160" s="15"/>
      <c r="HJ160" s="15"/>
      <c r="HK160" s="15"/>
      <c r="HL160" s="15"/>
      <c r="HM160" s="15"/>
      <c r="HN160" s="15"/>
      <c r="HO160" s="15"/>
      <c r="HP160" s="15"/>
      <c r="HQ160" s="15"/>
      <c r="HR160" s="15"/>
      <c r="HS160" s="15"/>
      <c r="HT160" s="15"/>
      <c r="HU160" s="15"/>
      <c r="HV160" s="15"/>
      <c r="HW160" s="15"/>
      <c r="HX160" s="15"/>
      <c r="HY160" s="15"/>
      <c r="HZ160" s="15"/>
      <c r="IQ160" s="15"/>
      <c r="IR160" s="15"/>
      <c r="IS160" s="15"/>
      <c r="IT160" s="15"/>
      <c r="IU160" s="15"/>
      <c r="IV160" s="15"/>
      <c r="IW160" s="15"/>
      <c r="IX160" s="15"/>
      <c r="IY160" s="15"/>
      <c r="IZ160" s="15"/>
      <c r="JA160" s="15"/>
      <c r="JB160" s="15"/>
      <c r="JC160" s="15"/>
      <c r="JE160" s="15"/>
      <c r="JF160" s="15"/>
      <c r="JZ160" s="15"/>
      <c r="KA160" s="15"/>
      <c r="KB160" s="15"/>
      <c r="KC160" s="15"/>
      <c r="KD160" s="15"/>
      <c r="KE160" s="15"/>
      <c r="KF160" s="15"/>
      <c r="KG160" s="15"/>
      <c r="KH160" s="15"/>
      <c r="KI160" s="15"/>
      <c r="KJ160" s="15"/>
      <c r="KK160" s="15"/>
      <c r="KL160" s="15"/>
      <c r="KM160" s="15"/>
      <c r="LI160" s="15"/>
      <c r="LJ160" s="15"/>
      <c r="LK160" s="15"/>
      <c r="LL160" s="15"/>
      <c r="LM160" s="15"/>
      <c r="LN160" s="15"/>
      <c r="LO160" s="15"/>
      <c r="LQ160" s="15"/>
      <c r="LR160" s="15"/>
    </row>
    <row r="161" spans="2:330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BA161" s="15"/>
      <c r="BB161" s="15"/>
      <c r="BC161" s="15"/>
      <c r="BD161" s="15"/>
      <c r="BE161" s="15"/>
      <c r="BG161" s="15"/>
      <c r="BH161" s="15"/>
      <c r="BX161" s="15"/>
      <c r="BY161" s="15"/>
      <c r="CA161" s="15"/>
      <c r="CB161" s="15"/>
      <c r="CC161" s="15"/>
      <c r="CD161" s="15"/>
      <c r="CE161" s="15"/>
      <c r="CF161" s="15"/>
      <c r="CG161" s="15"/>
      <c r="CH161" s="15"/>
      <c r="CI161" s="15"/>
      <c r="CJ161" s="15"/>
      <c r="CK161" s="15"/>
      <c r="CL161" s="15"/>
      <c r="CM161" s="15"/>
      <c r="CN161" s="15"/>
      <c r="CO161" s="15"/>
      <c r="CP161" s="15"/>
      <c r="CQ161" s="15"/>
      <c r="CR161" s="15"/>
      <c r="EP161" s="15"/>
      <c r="EQ161" s="15"/>
      <c r="ER161" s="15"/>
      <c r="ES161" s="15"/>
      <c r="ET161" s="15"/>
      <c r="EU161" s="15"/>
      <c r="EV161" s="15"/>
      <c r="EW161" s="15"/>
      <c r="EX161" s="15"/>
      <c r="EY161" s="15"/>
      <c r="EZ161" s="15"/>
      <c r="FA161" s="15"/>
      <c r="FB161" s="15"/>
      <c r="FC161" s="15"/>
      <c r="FD161" s="15"/>
      <c r="FE161" s="15"/>
      <c r="FF161" s="15"/>
      <c r="FG161" s="15"/>
      <c r="FH161" s="15"/>
      <c r="FI161" s="15"/>
      <c r="FJ161" s="15"/>
      <c r="FK161" s="15"/>
      <c r="FL161" s="15"/>
      <c r="FM161" s="15"/>
      <c r="FN161" s="15"/>
      <c r="FO161" s="15"/>
      <c r="FP161" s="15"/>
      <c r="FQ161" s="15"/>
      <c r="FR161" s="15"/>
      <c r="FS161" s="15"/>
      <c r="FT161" s="15"/>
      <c r="FU161" s="15"/>
      <c r="FV161" s="15"/>
      <c r="FW161" s="15"/>
      <c r="FY161" s="15"/>
      <c r="FZ161" s="15"/>
      <c r="GA161" s="15"/>
      <c r="GC161" s="15"/>
      <c r="GD161" s="15"/>
      <c r="GE161" s="15"/>
      <c r="GF161" s="15"/>
      <c r="HH161" s="15"/>
      <c r="HI161" s="15"/>
      <c r="HJ161" s="15"/>
      <c r="HK161" s="15"/>
      <c r="HL161" s="15"/>
      <c r="HM161" s="15"/>
      <c r="HN161" s="15"/>
      <c r="HO161" s="15"/>
      <c r="HP161" s="15"/>
      <c r="HQ161" s="15"/>
      <c r="HR161" s="15"/>
      <c r="HS161" s="15"/>
      <c r="HT161" s="15"/>
      <c r="HU161" s="15"/>
      <c r="HV161" s="15"/>
      <c r="HW161" s="15"/>
      <c r="HX161" s="15"/>
      <c r="IQ161" s="15"/>
      <c r="IR161" s="15"/>
      <c r="IS161" s="15"/>
      <c r="IT161" s="15"/>
      <c r="IU161" s="15"/>
      <c r="IV161" s="15"/>
      <c r="IW161" s="15"/>
      <c r="IX161" s="15"/>
      <c r="JA161" s="15"/>
      <c r="JB161" s="15"/>
      <c r="JC161" s="15"/>
      <c r="JD161" s="15"/>
      <c r="JE161" s="15"/>
      <c r="JF161" s="15"/>
      <c r="JZ161" s="15"/>
      <c r="KA161" s="15"/>
      <c r="KB161" s="15"/>
      <c r="KC161" s="15"/>
      <c r="KD161" s="15"/>
      <c r="KE161" s="15"/>
      <c r="KF161" s="15"/>
      <c r="KG161" s="15"/>
      <c r="KH161" s="15"/>
      <c r="KI161" s="15"/>
      <c r="KJ161" s="15"/>
      <c r="KK161" s="15"/>
      <c r="KL161" s="15"/>
      <c r="KM161" s="15"/>
      <c r="LI161" s="15"/>
      <c r="LJ161" s="15"/>
      <c r="LK161" s="15"/>
      <c r="LL161" s="15"/>
      <c r="LM161" s="15"/>
      <c r="LN161" s="15"/>
      <c r="LO161" s="15"/>
      <c r="LP161" s="15"/>
      <c r="LR161" s="15"/>
    </row>
    <row r="162" spans="2:330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X162" s="15"/>
      <c r="BY162" s="15"/>
      <c r="BZ162" s="15"/>
      <c r="CA162" s="15"/>
      <c r="CB162" s="15"/>
      <c r="CC162" s="15"/>
      <c r="CD162" s="15"/>
      <c r="CE162" s="15"/>
      <c r="CF162" s="15"/>
      <c r="CG162" s="15"/>
      <c r="CH162" s="15"/>
      <c r="CI162" s="15"/>
      <c r="CJ162" s="15"/>
      <c r="CK162" s="15"/>
      <c r="CL162" s="15"/>
      <c r="CM162" s="15"/>
      <c r="CN162" s="15"/>
      <c r="CO162" s="15"/>
      <c r="CP162" s="15"/>
      <c r="CQ162" s="15"/>
      <c r="CR162" s="15"/>
      <c r="CS162" s="15"/>
      <c r="CT162" s="15"/>
      <c r="CU162" s="15"/>
      <c r="EP162" s="15"/>
      <c r="EQ162" s="15"/>
      <c r="ER162" s="15"/>
      <c r="ES162" s="15"/>
      <c r="ET162" s="15"/>
      <c r="EU162" s="15"/>
      <c r="EV162" s="15"/>
      <c r="EW162" s="15"/>
      <c r="EX162" s="15"/>
      <c r="EY162" s="15"/>
      <c r="EZ162" s="15"/>
      <c r="FA162" s="15"/>
      <c r="FB162" s="15"/>
      <c r="FC162" s="15"/>
      <c r="FD162" s="15"/>
      <c r="FE162" s="15"/>
      <c r="FF162" s="15"/>
      <c r="FG162" s="15"/>
      <c r="FH162" s="15"/>
      <c r="FI162" s="15"/>
      <c r="FJ162" s="15"/>
      <c r="FK162" s="15"/>
      <c r="FL162" s="15"/>
      <c r="FM162" s="15"/>
      <c r="FN162" s="15"/>
      <c r="FO162" s="15"/>
      <c r="FP162" s="15"/>
      <c r="FQ162" s="15"/>
      <c r="FR162" s="15"/>
      <c r="FT162" s="15"/>
      <c r="FV162" s="15"/>
      <c r="FW162" s="15"/>
      <c r="FX162" s="15"/>
      <c r="FY162" s="15"/>
      <c r="FZ162" s="15"/>
      <c r="GA162" s="15"/>
      <c r="GB162" s="15"/>
      <c r="GC162" s="15"/>
      <c r="GD162" s="15"/>
      <c r="GE162" s="15"/>
      <c r="GF162" s="15"/>
      <c r="HH162" s="15"/>
      <c r="HI162" s="15"/>
      <c r="HJ162" s="15"/>
      <c r="HM162" s="15"/>
      <c r="HN162" s="15"/>
      <c r="HO162" s="15"/>
      <c r="HP162" s="15"/>
      <c r="HQ162" s="15"/>
      <c r="HR162" s="15"/>
      <c r="HS162" s="15"/>
      <c r="HT162" s="15"/>
      <c r="HU162" s="15"/>
      <c r="HW162" s="15"/>
      <c r="HX162" s="15"/>
      <c r="HY162" s="15"/>
      <c r="HZ162" s="15"/>
      <c r="IQ162" s="15"/>
      <c r="IR162" s="15"/>
      <c r="IS162" s="15"/>
      <c r="IT162" s="15"/>
      <c r="IU162" s="15"/>
      <c r="IV162" s="15"/>
      <c r="IW162" s="15"/>
      <c r="IX162" s="15"/>
      <c r="IY162" s="15"/>
      <c r="IZ162" s="15"/>
      <c r="JA162" s="15"/>
      <c r="JB162" s="15"/>
      <c r="JC162" s="15"/>
      <c r="JD162" s="15"/>
      <c r="JE162" s="15"/>
      <c r="JF162" s="15"/>
      <c r="JZ162" s="15"/>
      <c r="KA162" s="15"/>
      <c r="KB162" s="15"/>
      <c r="KC162" s="15"/>
      <c r="KD162" s="15"/>
      <c r="KE162" s="15"/>
      <c r="KF162" s="15"/>
      <c r="KG162" s="15"/>
      <c r="KH162" s="15"/>
      <c r="KI162" s="15"/>
      <c r="KJ162" s="15"/>
      <c r="KK162" s="15"/>
      <c r="KL162" s="15"/>
      <c r="KM162" s="15"/>
      <c r="LI162" s="15"/>
      <c r="LJ162" s="15"/>
      <c r="LK162" s="15"/>
      <c r="LL162" s="15"/>
      <c r="LM162" s="15"/>
      <c r="LN162" s="15"/>
      <c r="LO162" s="15"/>
      <c r="LP162" s="15"/>
      <c r="LQ162" s="15"/>
      <c r="LR162" s="15"/>
    </row>
    <row r="163" spans="2:330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X163" s="15"/>
      <c r="BY163" s="15"/>
      <c r="BZ163" s="15"/>
      <c r="CA163" s="15"/>
      <c r="CB163" s="15"/>
      <c r="CC163" s="15"/>
      <c r="CD163" s="15"/>
      <c r="CE163" s="15"/>
      <c r="CF163" s="15"/>
      <c r="CG163" s="15"/>
      <c r="CH163" s="15"/>
      <c r="CI163" s="15"/>
      <c r="CJ163" s="15"/>
      <c r="CK163" s="15"/>
      <c r="CL163" s="15"/>
      <c r="CM163" s="15"/>
      <c r="CN163" s="15"/>
      <c r="CO163" s="15"/>
      <c r="CP163" s="15"/>
      <c r="CQ163" s="15"/>
      <c r="CR163" s="15"/>
      <c r="CS163" s="15"/>
      <c r="CT163" s="15"/>
      <c r="CU163" s="15"/>
      <c r="EP163" s="15"/>
      <c r="EQ163" s="15"/>
      <c r="ER163" s="15"/>
      <c r="ES163" s="15"/>
      <c r="ET163" s="15"/>
      <c r="EU163" s="15"/>
      <c r="EV163" s="15"/>
      <c r="EW163" s="15"/>
      <c r="EX163" s="15"/>
      <c r="EY163" s="15"/>
      <c r="EZ163" s="15"/>
      <c r="FA163" s="15"/>
      <c r="FB163" s="15"/>
      <c r="FC163" s="15"/>
      <c r="FD163" s="15"/>
      <c r="FE163" s="15"/>
      <c r="FG163" s="15"/>
      <c r="FH163" s="15"/>
      <c r="FI163" s="15"/>
      <c r="FJ163" s="15"/>
      <c r="FK163" s="15"/>
      <c r="FL163" s="15"/>
      <c r="FM163" s="15"/>
      <c r="FN163" s="15"/>
      <c r="FO163" s="15"/>
      <c r="FP163" s="15"/>
      <c r="FQ163" s="15"/>
      <c r="FR163" s="15"/>
      <c r="FS163" s="15"/>
      <c r="FT163" s="15"/>
      <c r="FU163" s="15"/>
      <c r="FV163" s="15"/>
      <c r="FW163" s="15"/>
      <c r="FX163" s="15"/>
      <c r="FY163" s="15"/>
      <c r="FZ163" s="15"/>
      <c r="GA163" s="15"/>
      <c r="GB163" s="15"/>
      <c r="GC163" s="15"/>
      <c r="GD163" s="15"/>
      <c r="GE163" s="15"/>
      <c r="GF163" s="15"/>
      <c r="HH163" s="15"/>
      <c r="HI163" s="15"/>
      <c r="HJ163" s="15"/>
      <c r="HK163" s="15"/>
      <c r="HL163" s="15"/>
      <c r="HM163" s="15"/>
      <c r="HN163" s="15"/>
      <c r="HO163" s="15"/>
      <c r="HP163" s="15"/>
      <c r="HQ163" s="15"/>
      <c r="HR163" s="15"/>
      <c r="HS163" s="15"/>
      <c r="HT163" s="15"/>
      <c r="HU163" s="15"/>
      <c r="HV163" s="15"/>
      <c r="HW163" s="15"/>
      <c r="HX163" s="15"/>
      <c r="HY163" s="15"/>
      <c r="HZ163" s="15"/>
      <c r="IQ163" s="15"/>
      <c r="IR163" s="15"/>
      <c r="IS163" s="15"/>
      <c r="IT163" s="15"/>
      <c r="IU163" s="15"/>
      <c r="IV163" s="15"/>
      <c r="IW163" s="15"/>
      <c r="IX163" s="15"/>
      <c r="IY163" s="15"/>
      <c r="IZ163" s="15"/>
      <c r="JA163" s="15"/>
      <c r="JB163" s="15"/>
      <c r="JC163" s="15"/>
      <c r="JD163" s="15"/>
      <c r="JE163" s="15"/>
      <c r="JF163" s="15"/>
      <c r="JZ163" s="15"/>
      <c r="KA163" s="15"/>
      <c r="KB163" s="15"/>
      <c r="KC163" s="15"/>
      <c r="KD163" s="15"/>
      <c r="KE163" s="15"/>
      <c r="KF163" s="15"/>
      <c r="KG163" s="15"/>
      <c r="KH163" s="15"/>
      <c r="KI163" s="15"/>
      <c r="KJ163" s="15"/>
      <c r="KK163" s="15"/>
      <c r="KL163" s="15"/>
      <c r="KM163" s="15"/>
      <c r="LI163" s="15"/>
      <c r="LJ163" s="15"/>
      <c r="LK163" s="15"/>
      <c r="LL163" s="15"/>
      <c r="LM163" s="15"/>
      <c r="LN163" s="15"/>
      <c r="LO163" s="15"/>
      <c r="LP163" s="15"/>
      <c r="LQ163" s="15"/>
      <c r="LR163" s="15"/>
    </row>
    <row r="164" spans="2:330">
      <c r="B164" s="15"/>
      <c r="C164" s="15"/>
      <c r="D164" s="15"/>
      <c r="E164" s="15"/>
      <c r="F164" s="15"/>
      <c r="G164" s="15"/>
      <c r="H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X164" s="15"/>
      <c r="BY164" s="15"/>
      <c r="BZ164" s="15"/>
      <c r="CA164" s="15"/>
      <c r="CC164" s="15"/>
      <c r="CD164" s="15"/>
      <c r="CF164" s="15"/>
      <c r="CG164" s="15"/>
      <c r="CH164" s="15"/>
      <c r="CI164" s="15"/>
      <c r="CJ164" s="15"/>
      <c r="CK164" s="15"/>
      <c r="CM164" s="15"/>
      <c r="CN164" s="15"/>
      <c r="CO164" s="15"/>
      <c r="CP164" s="15"/>
      <c r="CQ164" s="15"/>
      <c r="CR164" s="15"/>
      <c r="CS164" s="15"/>
      <c r="CT164" s="15"/>
      <c r="CU164" s="15"/>
      <c r="EP164" s="15"/>
      <c r="EQ164" s="15"/>
      <c r="ER164" s="15"/>
      <c r="ES164" s="15"/>
      <c r="ET164" s="15"/>
      <c r="EU164" s="15"/>
      <c r="EV164" s="15"/>
      <c r="EW164" s="15"/>
      <c r="EX164" s="15"/>
      <c r="EY164" s="15"/>
      <c r="EZ164" s="15"/>
      <c r="FB164" s="15"/>
      <c r="FC164" s="15"/>
      <c r="FD164" s="15"/>
      <c r="FE164" s="15"/>
      <c r="FF164" s="15"/>
      <c r="FG164" s="15"/>
      <c r="FH164" s="15"/>
      <c r="FI164" s="15"/>
      <c r="FJ164" s="15"/>
      <c r="FK164" s="15"/>
      <c r="FL164" s="15"/>
      <c r="FM164" s="15"/>
      <c r="FO164" s="15"/>
      <c r="FP164" s="15"/>
      <c r="FQ164" s="15"/>
      <c r="FR164" s="15"/>
      <c r="FS164" s="15"/>
      <c r="FT164" s="15"/>
      <c r="FU164" s="15"/>
      <c r="FV164" s="15"/>
      <c r="FW164" s="15"/>
      <c r="FX164" s="15"/>
      <c r="FY164" s="15"/>
      <c r="FZ164" s="15"/>
      <c r="GA164" s="15"/>
      <c r="GB164" s="15"/>
      <c r="GC164" s="15"/>
      <c r="GD164" s="15"/>
      <c r="GE164" s="15"/>
      <c r="HH164" s="15"/>
      <c r="HI164" s="15"/>
      <c r="HJ164" s="15"/>
      <c r="HK164" s="15"/>
      <c r="HM164" s="15"/>
      <c r="HN164" s="15"/>
      <c r="HO164" s="15"/>
      <c r="HP164" s="15"/>
      <c r="HQ164" s="15"/>
      <c r="HR164" s="15"/>
      <c r="HS164" s="15"/>
      <c r="HT164" s="15"/>
      <c r="HU164" s="15"/>
      <c r="HW164" s="15"/>
      <c r="HX164" s="15"/>
      <c r="HY164" s="15"/>
      <c r="HZ164" s="15"/>
      <c r="IQ164" s="15"/>
      <c r="IR164" s="15"/>
      <c r="IS164" s="15"/>
      <c r="IT164" s="15"/>
      <c r="IU164" s="15"/>
      <c r="IV164" s="15"/>
      <c r="IW164" s="15"/>
      <c r="IX164" s="15"/>
      <c r="IY164" s="15"/>
      <c r="IZ164" s="15"/>
      <c r="JA164" s="15"/>
      <c r="JB164" s="15"/>
      <c r="JC164" s="15"/>
      <c r="JD164" s="15"/>
      <c r="JE164" s="15"/>
      <c r="JF164" s="15"/>
      <c r="JZ164" s="15"/>
      <c r="KA164" s="15"/>
      <c r="KB164" s="15"/>
      <c r="KC164" s="15"/>
      <c r="KD164" s="15"/>
      <c r="KE164" s="15"/>
      <c r="KF164" s="15"/>
      <c r="KG164" s="15"/>
      <c r="KH164" s="15"/>
      <c r="KI164" s="15"/>
      <c r="KJ164" s="15"/>
      <c r="KK164" s="15"/>
      <c r="KL164" s="15"/>
      <c r="KM164" s="15"/>
      <c r="LI164" s="15"/>
      <c r="LJ164" s="15"/>
      <c r="LK164" s="15"/>
      <c r="LL164" s="15"/>
      <c r="LM164" s="15"/>
      <c r="LN164" s="15"/>
      <c r="LO164" s="15"/>
      <c r="LP164" s="15"/>
      <c r="LQ164" s="15"/>
      <c r="LR164" s="15"/>
    </row>
    <row r="165" spans="2:330">
      <c r="B165" s="15"/>
      <c r="C165" s="15"/>
      <c r="D165" s="15"/>
      <c r="E165" s="15"/>
      <c r="F165" s="15"/>
      <c r="G165" s="15"/>
      <c r="I165" s="15"/>
      <c r="J165" s="15"/>
      <c r="L165" s="15"/>
      <c r="M165" s="15"/>
      <c r="R165" s="15"/>
      <c r="S165" s="15"/>
      <c r="T165" s="15"/>
      <c r="U165" s="15"/>
      <c r="V165" s="15"/>
      <c r="X165" s="15"/>
      <c r="Y165" s="15"/>
      <c r="Z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Y165" s="15"/>
      <c r="BZ165" s="15"/>
      <c r="CB165" s="15"/>
      <c r="CG165" s="15"/>
      <c r="CI165" s="15"/>
      <c r="CJ165" s="15"/>
      <c r="CK165" s="15"/>
      <c r="CM165" s="15"/>
      <c r="CN165" s="15"/>
      <c r="CO165" s="15"/>
      <c r="CP165" s="15"/>
      <c r="CQ165" s="15"/>
      <c r="CR165" s="15"/>
      <c r="CS165" s="15"/>
      <c r="CU165" s="15"/>
      <c r="EP165" s="15"/>
      <c r="EQ165" s="15"/>
      <c r="ES165" s="15"/>
      <c r="ET165" s="15"/>
      <c r="EU165" s="15"/>
      <c r="EV165" s="15"/>
      <c r="EY165" s="15"/>
      <c r="EZ165" s="15"/>
      <c r="FA165" s="15"/>
      <c r="FC165" s="15"/>
      <c r="FF165" s="15"/>
      <c r="FG165" s="15"/>
      <c r="FI165" s="15"/>
      <c r="FK165" s="15"/>
      <c r="FL165" s="15"/>
      <c r="FM165" s="15"/>
      <c r="FO165" s="15"/>
      <c r="FQ165" s="15"/>
      <c r="FT165" s="15"/>
      <c r="FU165" s="15"/>
      <c r="FV165" s="15"/>
      <c r="FW165" s="15"/>
      <c r="FX165" s="15"/>
      <c r="FY165" s="15"/>
      <c r="FZ165" s="15"/>
      <c r="GA165" s="15"/>
      <c r="GB165" s="15"/>
      <c r="GC165" s="15"/>
      <c r="GD165" s="15"/>
      <c r="GE165" s="15"/>
      <c r="GF165" s="15"/>
      <c r="HH165" s="15"/>
      <c r="HI165" s="15"/>
      <c r="HJ165" s="15"/>
      <c r="HL165" s="15"/>
      <c r="HN165" s="15"/>
      <c r="HO165" s="15"/>
      <c r="HP165" s="15"/>
      <c r="HQ165" s="15"/>
      <c r="HR165" s="15"/>
      <c r="HT165" s="15"/>
      <c r="HU165" s="15"/>
      <c r="HV165" s="15"/>
      <c r="HW165" s="15"/>
      <c r="HY165" s="15"/>
      <c r="IQ165" s="15"/>
      <c r="IR165" s="15"/>
      <c r="IS165" s="15"/>
      <c r="IT165" s="15"/>
      <c r="IU165" s="15"/>
      <c r="IV165" s="15"/>
      <c r="IW165" s="15"/>
      <c r="IX165" s="15"/>
      <c r="IY165" s="15"/>
      <c r="IZ165" s="15"/>
      <c r="JA165" s="15"/>
      <c r="JB165" s="15"/>
      <c r="JC165" s="15"/>
      <c r="JD165" s="15"/>
      <c r="JE165" s="15"/>
      <c r="JF165" s="15"/>
      <c r="JZ165" s="15"/>
      <c r="KA165" s="15"/>
      <c r="KB165" s="15"/>
      <c r="KD165" s="15"/>
      <c r="KE165" s="15"/>
      <c r="KF165" s="15"/>
      <c r="KG165" s="15"/>
      <c r="KI165" s="15"/>
      <c r="KJ165" s="15"/>
      <c r="KK165" s="15"/>
      <c r="KL165" s="15"/>
      <c r="KM165" s="15"/>
      <c r="LI165" s="15"/>
      <c r="LJ165" s="15"/>
      <c r="LK165" s="15"/>
      <c r="LL165" s="15"/>
      <c r="LM165" s="15"/>
      <c r="LN165" s="15"/>
      <c r="LO165" s="15"/>
      <c r="LP165" s="15"/>
      <c r="LQ165" s="15"/>
      <c r="LR165" s="15"/>
    </row>
    <row r="166" spans="2:330">
      <c r="B166" s="15"/>
      <c r="C166" s="15"/>
      <c r="D166" s="15"/>
      <c r="E166" s="15"/>
      <c r="F166" s="15"/>
      <c r="G166" s="15"/>
      <c r="H166" s="15"/>
      <c r="I166" s="15"/>
      <c r="K166" s="15"/>
      <c r="L166" s="15"/>
      <c r="M166" s="15"/>
      <c r="N166" s="15"/>
      <c r="O166" s="15"/>
      <c r="P166" s="15"/>
      <c r="Q166" s="15"/>
      <c r="R166" s="15"/>
      <c r="T166" s="15"/>
      <c r="U166" s="15"/>
      <c r="AA166" s="15"/>
      <c r="AB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X166" s="15"/>
      <c r="BY166" s="15"/>
      <c r="BZ166" s="15"/>
      <c r="CA166" s="15"/>
      <c r="CB166" s="15"/>
      <c r="CC166" s="15"/>
      <c r="CD166" s="15"/>
      <c r="CE166" s="15"/>
      <c r="CF166" s="15"/>
      <c r="CG166" s="15"/>
      <c r="CH166" s="15"/>
      <c r="CI166" s="15"/>
      <c r="CJ166" s="15"/>
      <c r="CK166" s="15"/>
      <c r="CN166" s="15"/>
      <c r="CO166" s="15"/>
      <c r="CP166" s="15"/>
      <c r="CQ166" s="15"/>
      <c r="CU166" s="15"/>
      <c r="EP166" s="15"/>
      <c r="EQ166" s="15"/>
      <c r="ER166" s="15"/>
      <c r="ES166" s="15"/>
      <c r="ET166" s="15"/>
      <c r="EU166" s="15"/>
      <c r="EV166" s="15"/>
      <c r="EW166" s="15"/>
      <c r="EX166" s="15"/>
      <c r="EY166" s="15"/>
      <c r="EZ166" s="15"/>
      <c r="FA166" s="15"/>
      <c r="FB166" s="15"/>
      <c r="FC166" s="15"/>
      <c r="FD166" s="15"/>
      <c r="FE166" s="15"/>
      <c r="FF166" s="15"/>
      <c r="FG166" s="15"/>
      <c r="FH166" s="15"/>
      <c r="FI166" s="15"/>
      <c r="FJ166" s="15"/>
      <c r="FK166" s="15"/>
      <c r="FL166" s="15"/>
      <c r="FM166" s="15"/>
      <c r="FN166" s="15"/>
      <c r="FO166" s="15"/>
      <c r="FP166" s="15"/>
      <c r="FQ166" s="15"/>
      <c r="FR166" s="15"/>
      <c r="FS166" s="15"/>
      <c r="FT166" s="15"/>
      <c r="FU166" s="15"/>
      <c r="FV166" s="15"/>
      <c r="FW166" s="15"/>
      <c r="FX166" s="15"/>
      <c r="FY166" s="15"/>
      <c r="FZ166" s="15"/>
      <c r="GA166" s="15"/>
      <c r="GB166" s="15"/>
      <c r="GC166" s="15"/>
      <c r="GD166" s="15"/>
      <c r="GE166" s="15"/>
      <c r="GF166" s="15"/>
      <c r="HH166" s="15"/>
      <c r="HI166" s="15"/>
      <c r="HJ166" s="15"/>
      <c r="HK166" s="15"/>
      <c r="HL166" s="15"/>
      <c r="HM166" s="15"/>
      <c r="HN166" s="15"/>
      <c r="HO166" s="15"/>
      <c r="HP166" s="15"/>
      <c r="HQ166" s="15"/>
      <c r="HT166" s="15"/>
      <c r="HU166" s="15"/>
      <c r="HW166" s="15"/>
      <c r="HX166" s="15"/>
      <c r="HY166" s="15"/>
      <c r="IQ166" s="15"/>
      <c r="IR166" s="15"/>
      <c r="IS166" s="15"/>
      <c r="IT166" s="15"/>
      <c r="IU166" s="15"/>
      <c r="IV166" s="15"/>
      <c r="IW166" s="15"/>
      <c r="IX166" s="15"/>
      <c r="IY166" s="15"/>
      <c r="IZ166" s="15"/>
      <c r="JA166" s="15"/>
      <c r="JB166" s="15"/>
      <c r="JC166" s="15"/>
      <c r="JD166" s="15"/>
      <c r="JE166" s="15"/>
      <c r="JF166" s="15"/>
      <c r="JZ166" s="15"/>
      <c r="KA166" s="15"/>
      <c r="KB166" s="15"/>
      <c r="KC166" s="15"/>
      <c r="KD166" s="15"/>
      <c r="KE166" s="15"/>
      <c r="KF166" s="15"/>
      <c r="KG166" s="15"/>
      <c r="KH166" s="15"/>
      <c r="KI166" s="15"/>
      <c r="KJ166" s="15"/>
      <c r="KK166" s="15"/>
      <c r="KL166" s="15"/>
      <c r="KM166" s="15"/>
      <c r="LI166" s="15"/>
      <c r="LJ166" s="15"/>
      <c r="LK166" s="15"/>
      <c r="LL166" s="15"/>
      <c r="LM166" s="15"/>
      <c r="LN166" s="15"/>
      <c r="LO166" s="15"/>
      <c r="LP166" s="15"/>
      <c r="LQ166" s="15"/>
      <c r="LR166" s="15"/>
    </row>
    <row r="167" spans="2:330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X167" s="15"/>
      <c r="BY167" s="15"/>
      <c r="BZ167" s="15"/>
      <c r="CA167" s="15"/>
      <c r="CB167" s="15"/>
      <c r="CC167" s="15"/>
      <c r="CD167" s="15"/>
      <c r="CE167" s="15"/>
      <c r="CF167" s="15"/>
      <c r="CG167" s="15"/>
      <c r="CH167" s="15"/>
      <c r="CI167" s="15"/>
      <c r="CJ167" s="15"/>
      <c r="CK167" s="15"/>
      <c r="CL167" s="15"/>
      <c r="CM167" s="15"/>
      <c r="CN167" s="15"/>
      <c r="CO167" s="15"/>
      <c r="CP167" s="15"/>
      <c r="CQ167" s="15"/>
      <c r="CR167" s="15"/>
      <c r="CS167" s="15"/>
      <c r="CT167" s="15"/>
      <c r="CU167" s="15"/>
      <c r="EP167" s="15"/>
      <c r="EQ167" s="15"/>
      <c r="ER167" s="15"/>
      <c r="ES167" s="15"/>
      <c r="ET167" s="15"/>
      <c r="EU167" s="15"/>
      <c r="EV167" s="15"/>
      <c r="EW167" s="15"/>
      <c r="EX167" s="15"/>
      <c r="EY167" s="15"/>
      <c r="EZ167" s="15"/>
      <c r="FA167" s="15"/>
      <c r="FB167" s="15"/>
      <c r="FC167" s="15"/>
      <c r="FD167" s="15"/>
      <c r="FE167" s="15"/>
      <c r="FF167" s="15"/>
      <c r="FG167" s="15"/>
      <c r="FH167" s="15"/>
      <c r="FI167" s="15"/>
      <c r="FJ167" s="15"/>
      <c r="FK167" s="15"/>
      <c r="FL167" s="15"/>
      <c r="FM167" s="15"/>
      <c r="FN167" s="15"/>
      <c r="FO167" s="15"/>
      <c r="FP167" s="15"/>
      <c r="FQ167" s="15"/>
      <c r="FR167" s="15"/>
      <c r="FS167" s="15"/>
      <c r="FT167" s="15"/>
      <c r="FU167" s="15"/>
      <c r="FV167" s="15"/>
      <c r="FW167" s="15"/>
      <c r="FX167" s="15"/>
      <c r="FY167" s="15"/>
      <c r="FZ167" s="15"/>
      <c r="GA167" s="15"/>
      <c r="GB167" s="15"/>
      <c r="GC167" s="15"/>
      <c r="GD167" s="15"/>
      <c r="GE167" s="15"/>
      <c r="GF167" s="15"/>
      <c r="HH167" s="15"/>
      <c r="HI167" s="15"/>
      <c r="HJ167" s="15"/>
      <c r="HK167" s="15"/>
      <c r="HM167" s="15"/>
      <c r="HN167" s="15"/>
      <c r="HO167" s="15"/>
      <c r="HP167" s="15"/>
      <c r="HQ167" s="15"/>
      <c r="HR167" s="15"/>
      <c r="HS167" s="15"/>
      <c r="HT167" s="15"/>
      <c r="HU167" s="15"/>
      <c r="HV167" s="15"/>
      <c r="HW167" s="15"/>
      <c r="HX167" s="15"/>
      <c r="HY167" s="15"/>
      <c r="HZ167" s="15"/>
      <c r="IQ167" s="15"/>
      <c r="IR167" s="15"/>
      <c r="IS167" s="15"/>
      <c r="IT167" s="15"/>
      <c r="IU167" s="15"/>
      <c r="IV167" s="15"/>
      <c r="IW167" s="15"/>
      <c r="IX167" s="15"/>
      <c r="IY167" s="15"/>
      <c r="IZ167" s="15"/>
      <c r="JA167" s="15"/>
      <c r="JB167" s="15"/>
      <c r="JC167" s="15"/>
      <c r="JD167" s="15"/>
      <c r="JE167" s="15"/>
      <c r="JF167" s="15"/>
      <c r="JZ167" s="15"/>
      <c r="KA167" s="15"/>
      <c r="KB167" s="15"/>
      <c r="KC167" s="15"/>
      <c r="KD167" s="15"/>
      <c r="KE167" s="15"/>
      <c r="KF167" s="15"/>
      <c r="KG167" s="15"/>
      <c r="KH167" s="15"/>
      <c r="KI167" s="15"/>
      <c r="KJ167" s="15"/>
      <c r="KK167" s="15"/>
      <c r="KL167" s="15"/>
      <c r="KM167" s="15"/>
      <c r="LI167" s="15"/>
      <c r="LJ167" s="15"/>
      <c r="LK167" s="15"/>
      <c r="LL167" s="15"/>
      <c r="LM167" s="15"/>
      <c r="LN167" s="15"/>
      <c r="LO167" s="15"/>
      <c r="LP167" s="15"/>
      <c r="LQ167" s="15"/>
      <c r="LR167" s="15"/>
    </row>
    <row r="168" spans="2:330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T168" s="15"/>
      <c r="U168" s="15"/>
      <c r="V168" s="15"/>
      <c r="W168" s="15"/>
      <c r="X168" s="15"/>
      <c r="Y168" s="15"/>
      <c r="AA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X168" s="15"/>
      <c r="BY168" s="15"/>
      <c r="BZ168" s="15"/>
      <c r="CA168" s="15"/>
      <c r="CB168" s="15"/>
      <c r="CC168" s="15"/>
      <c r="CD168" s="15"/>
      <c r="CE168" s="15"/>
      <c r="CF168" s="15"/>
      <c r="CG168" s="15"/>
      <c r="CH168" s="15"/>
      <c r="CI168" s="15"/>
      <c r="CJ168" s="15"/>
      <c r="CK168" s="15"/>
      <c r="CL168" s="15"/>
      <c r="CM168" s="15"/>
      <c r="CN168" s="15"/>
      <c r="CO168" s="15"/>
      <c r="CP168" s="15"/>
      <c r="CQ168" s="15"/>
      <c r="CR168" s="15"/>
      <c r="EP168" s="15"/>
      <c r="EQ168" s="15"/>
      <c r="ER168" s="15"/>
      <c r="ES168" s="15"/>
      <c r="ET168" s="15"/>
      <c r="EU168" s="15"/>
      <c r="EV168" s="15"/>
      <c r="EX168" s="15"/>
      <c r="EY168" s="15"/>
      <c r="EZ168" s="15"/>
      <c r="FA168" s="15"/>
      <c r="FB168" s="15"/>
      <c r="FC168" s="15"/>
      <c r="FD168" s="15"/>
      <c r="FE168" s="15"/>
      <c r="FF168" s="15"/>
      <c r="FG168" s="15"/>
      <c r="FH168" s="15"/>
      <c r="FI168" s="15"/>
      <c r="FJ168" s="15"/>
      <c r="FK168" s="15"/>
      <c r="FL168" s="15"/>
      <c r="FM168" s="15"/>
      <c r="FN168" s="15"/>
      <c r="FO168" s="15"/>
      <c r="FP168" s="15"/>
      <c r="FQ168" s="15"/>
      <c r="FR168" s="15"/>
      <c r="FS168" s="15"/>
      <c r="FT168" s="15"/>
      <c r="FU168" s="15"/>
      <c r="FV168" s="15"/>
      <c r="FW168" s="15"/>
      <c r="FX168" s="15"/>
      <c r="FY168" s="15"/>
      <c r="FZ168" s="15"/>
      <c r="GA168" s="15"/>
      <c r="GB168" s="15"/>
      <c r="GC168" s="15"/>
      <c r="GD168" s="15"/>
      <c r="GE168" s="15"/>
      <c r="GF168" s="15"/>
      <c r="HH168" s="15"/>
      <c r="HI168" s="15"/>
      <c r="HJ168" s="15"/>
      <c r="HK168" s="15"/>
      <c r="HL168" s="15"/>
      <c r="HM168" s="15"/>
      <c r="HN168" s="15"/>
      <c r="HO168" s="15"/>
      <c r="HP168" s="15"/>
      <c r="HQ168" s="15"/>
      <c r="HR168" s="15"/>
      <c r="HS168" s="15"/>
      <c r="HT168" s="15"/>
      <c r="HU168" s="15"/>
      <c r="HV168" s="15"/>
      <c r="HW168" s="15"/>
      <c r="HX168" s="15"/>
      <c r="HZ168" s="15"/>
      <c r="IQ168" s="15"/>
      <c r="IR168" s="15"/>
      <c r="IS168" s="15"/>
      <c r="IT168" s="15"/>
      <c r="IU168" s="15"/>
      <c r="IV168" s="15"/>
      <c r="IW168" s="15"/>
      <c r="IX168" s="15"/>
      <c r="IY168" s="15"/>
      <c r="IZ168" s="15"/>
      <c r="JA168" s="15"/>
      <c r="JB168" s="15"/>
      <c r="JC168" s="15"/>
      <c r="JD168" s="15"/>
      <c r="JE168" s="15"/>
      <c r="JF168" s="15"/>
      <c r="JZ168" s="15"/>
      <c r="KA168" s="15"/>
      <c r="KB168" s="15"/>
      <c r="KC168" s="15"/>
      <c r="KD168" s="15"/>
      <c r="KE168" s="15"/>
      <c r="KF168" s="15"/>
      <c r="KG168" s="15"/>
      <c r="KH168" s="15"/>
      <c r="KI168" s="15"/>
      <c r="KJ168" s="15"/>
      <c r="KK168" s="15"/>
      <c r="KL168" s="15"/>
      <c r="KM168" s="15"/>
      <c r="LI168" s="15"/>
      <c r="LJ168" s="15"/>
      <c r="LK168" s="15"/>
      <c r="LL168" s="15"/>
      <c r="LM168" s="15"/>
      <c r="LN168" s="15"/>
      <c r="LO168" s="15"/>
      <c r="LP168" s="15"/>
      <c r="LQ168" s="15"/>
      <c r="LR168" s="15"/>
    </row>
    <row r="169" spans="2:330">
      <c r="B169" s="15"/>
      <c r="C169" s="15"/>
      <c r="D169" s="15"/>
      <c r="E169" s="15"/>
      <c r="F169" s="15"/>
      <c r="G169" s="15"/>
      <c r="H169" s="15"/>
      <c r="I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X169" s="15"/>
      <c r="BY169" s="15"/>
      <c r="BZ169" s="15"/>
      <c r="CA169" s="15"/>
      <c r="CB169" s="15"/>
      <c r="CC169" s="15"/>
      <c r="CD169" s="15"/>
      <c r="CE169" s="15"/>
      <c r="CF169" s="15"/>
      <c r="CG169" s="15"/>
      <c r="CH169" s="15"/>
      <c r="CI169" s="15"/>
      <c r="CJ169" s="15"/>
      <c r="CK169" s="15"/>
      <c r="CL169" s="15"/>
      <c r="CM169" s="15"/>
      <c r="CN169" s="15"/>
      <c r="CO169" s="15"/>
      <c r="CP169" s="15"/>
      <c r="CQ169" s="15"/>
      <c r="CR169" s="15"/>
      <c r="CS169" s="15"/>
      <c r="CT169" s="15"/>
      <c r="CU169" s="15"/>
      <c r="EP169" s="15"/>
      <c r="EQ169" s="15"/>
      <c r="ER169" s="15"/>
      <c r="ES169" s="15"/>
      <c r="ET169" s="15"/>
      <c r="EU169" s="15"/>
      <c r="EV169" s="15"/>
      <c r="EW169" s="15"/>
      <c r="EX169" s="15"/>
      <c r="EY169" s="15"/>
      <c r="EZ169" s="15"/>
      <c r="FA169" s="15"/>
      <c r="FB169" s="15"/>
      <c r="FC169" s="15"/>
      <c r="FD169" s="15"/>
      <c r="FE169" s="15"/>
      <c r="FF169" s="15"/>
      <c r="FG169" s="15"/>
      <c r="FH169" s="15"/>
      <c r="FI169" s="15"/>
      <c r="FJ169" s="15"/>
      <c r="FK169" s="15"/>
      <c r="FL169" s="15"/>
      <c r="FM169" s="15"/>
      <c r="FN169" s="15"/>
      <c r="FO169" s="15"/>
      <c r="FP169" s="15"/>
      <c r="FQ169" s="15"/>
      <c r="FR169" s="15"/>
      <c r="FS169" s="15"/>
      <c r="FT169" s="15"/>
      <c r="FU169" s="15"/>
      <c r="FV169" s="15"/>
      <c r="FW169" s="15"/>
      <c r="FX169" s="15"/>
      <c r="FY169" s="15"/>
      <c r="FZ169" s="15"/>
      <c r="GA169" s="15"/>
      <c r="GB169" s="15"/>
      <c r="GC169" s="15"/>
      <c r="GD169" s="15"/>
      <c r="GE169" s="15"/>
      <c r="GF169" s="15"/>
      <c r="HH169" s="15"/>
      <c r="HI169" s="15"/>
      <c r="HJ169" s="15"/>
      <c r="HK169" s="15"/>
      <c r="HM169" s="15"/>
      <c r="HN169" s="15"/>
      <c r="HO169" s="15"/>
      <c r="HP169" s="15"/>
      <c r="HQ169" s="15"/>
      <c r="HR169" s="15"/>
      <c r="HS169" s="15"/>
      <c r="HT169" s="15"/>
      <c r="HU169" s="15"/>
      <c r="HW169" s="15"/>
      <c r="HX169" s="15"/>
      <c r="HY169" s="15"/>
      <c r="HZ169" s="15"/>
      <c r="IQ169" s="15"/>
      <c r="IR169" s="15"/>
      <c r="IS169" s="15"/>
      <c r="IT169" s="15"/>
      <c r="IU169" s="15"/>
      <c r="IV169" s="15"/>
      <c r="IW169" s="15"/>
      <c r="IX169" s="15"/>
      <c r="IY169" s="15"/>
      <c r="IZ169" s="15"/>
      <c r="JA169" s="15"/>
      <c r="JB169" s="15"/>
      <c r="JC169" s="15"/>
      <c r="JD169" s="15"/>
      <c r="JE169" s="15"/>
      <c r="JF169" s="15"/>
      <c r="JZ169" s="15"/>
      <c r="KA169" s="15"/>
      <c r="KB169" s="15"/>
      <c r="KC169" s="15"/>
      <c r="KD169" s="15"/>
      <c r="KE169" s="15"/>
      <c r="KF169" s="15"/>
      <c r="KG169" s="15"/>
      <c r="KH169" s="15"/>
      <c r="KI169" s="15"/>
      <c r="KJ169" s="15"/>
      <c r="KK169" s="15"/>
      <c r="KL169" s="15"/>
      <c r="KM169" s="15"/>
      <c r="LI169" s="15"/>
      <c r="LJ169" s="15"/>
      <c r="LK169" s="15"/>
      <c r="LL169" s="15"/>
      <c r="LM169" s="15"/>
      <c r="LN169" s="15"/>
      <c r="LO169" s="15"/>
      <c r="LP169" s="15"/>
      <c r="LQ169" s="15"/>
      <c r="LR169" s="15"/>
    </row>
    <row r="170" spans="2:330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W170" s="15"/>
      <c r="X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X170" s="15"/>
      <c r="BY170" s="15"/>
      <c r="BZ170" s="15"/>
      <c r="CA170" s="15"/>
      <c r="CB170" s="15"/>
      <c r="CC170" s="15"/>
      <c r="CD170" s="15"/>
      <c r="CE170" s="15"/>
      <c r="CF170" s="15"/>
      <c r="CG170" s="15"/>
      <c r="CH170" s="15"/>
      <c r="CI170" s="15"/>
      <c r="CJ170" s="15"/>
      <c r="CK170" s="15"/>
      <c r="CL170" s="15"/>
      <c r="CN170" s="15"/>
      <c r="CO170" s="15"/>
      <c r="CP170" s="15"/>
      <c r="CQ170" s="15"/>
      <c r="CR170" s="15"/>
      <c r="CS170" s="15"/>
      <c r="CU170" s="15"/>
      <c r="EP170" s="15"/>
      <c r="EQ170" s="15"/>
      <c r="ER170" s="15"/>
      <c r="ES170" s="15"/>
      <c r="ET170" s="15"/>
      <c r="EU170" s="15"/>
      <c r="EV170" s="15"/>
      <c r="EW170" s="15"/>
      <c r="EX170" s="15"/>
      <c r="EY170" s="15"/>
      <c r="EZ170" s="15"/>
      <c r="FA170" s="15"/>
      <c r="FB170" s="15"/>
      <c r="FC170" s="15"/>
      <c r="FD170" s="15"/>
      <c r="FE170" s="15"/>
      <c r="FF170" s="15"/>
      <c r="FG170" s="15"/>
      <c r="FH170" s="15"/>
      <c r="FI170" s="15"/>
      <c r="FJ170" s="15"/>
      <c r="FK170" s="15"/>
      <c r="FL170" s="15"/>
      <c r="FM170" s="15"/>
      <c r="FN170" s="15"/>
      <c r="FO170" s="15"/>
      <c r="FP170" s="15"/>
      <c r="FQ170" s="15"/>
      <c r="FR170" s="15"/>
      <c r="FS170" s="15"/>
      <c r="FV170" s="15"/>
      <c r="FY170" s="15"/>
      <c r="FZ170" s="15"/>
      <c r="GA170" s="15"/>
      <c r="GB170" s="15"/>
      <c r="GD170" s="15"/>
      <c r="GE170" s="15"/>
      <c r="GF170" s="15"/>
      <c r="HH170" s="15"/>
      <c r="HI170" s="15"/>
      <c r="HJ170" s="15"/>
      <c r="HK170" s="15"/>
      <c r="HL170" s="15"/>
      <c r="HM170" s="15"/>
      <c r="HN170" s="15"/>
      <c r="HO170" s="15"/>
      <c r="HP170" s="15"/>
      <c r="HQ170" s="15"/>
      <c r="HR170" s="15"/>
      <c r="HS170" s="15"/>
      <c r="HT170" s="15"/>
      <c r="HU170" s="15"/>
      <c r="HX170" s="15"/>
      <c r="IQ170" s="15"/>
      <c r="IR170" s="15"/>
      <c r="IS170" s="15"/>
      <c r="IT170" s="15"/>
      <c r="IU170" s="15"/>
      <c r="IV170" s="15"/>
      <c r="IW170" s="15"/>
      <c r="IX170" s="15"/>
      <c r="IZ170" s="15"/>
      <c r="JA170" s="15"/>
      <c r="JB170" s="15"/>
      <c r="JZ170" s="15"/>
      <c r="KA170" s="15"/>
      <c r="KB170" s="15"/>
      <c r="KC170" s="15"/>
      <c r="KD170" s="15"/>
      <c r="KE170" s="15"/>
      <c r="KF170" s="15"/>
      <c r="KG170" s="15"/>
      <c r="KH170" s="15"/>
      <c r="KI170" s="15"/>
      <c r="KJ170" s="15"/>
      <c r="KK170" s="15"/>
      <c r="KL170" s="15"/>
      <c r="KM170" s="15"/>
      <c r="LI170" s="15"/>
      <c r="LJ170" s="15"/>
      <c r="LK170" s="15"/>
      <c r="LL170" s="15"/>
      <c r="LM170" s="15"/>
      <c r="LN170" s="15"/>
      <c r="LO170" s="15"/>
      <c r="LP170" s="15"/>
      <c r="LQ170" s="15"/>
      <c r="LR170" s="15"/>
    </row>
    <row r="171" spans="2:330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X171" s="15"/>
      <c r="BY171" s="15"/>
      <c r="BZ171" s="15"/>
      <c r="CA171" s="15"/>
      <c r="CB171" s="15"/>
      <c r="CC171" s="15"/>
      <c r="CD171" s="15"/>
      <c r="CE171" s="15"/>
      <c r="CF171" s="15"/>
      <c r="CG171" s="15"/>
      <c r="CH171" s="15"/>
      <c r="CI171" s="15"/>
      <c r="CJ171" s="15"/>
      <c r="CK171" s="15"/>
      <c r="CL171" s="15"/>
      <c r="CM171" s="15"/>
      <c r="CN171" s="15"/>
      <c r="CO171" s="15"/>
      <c r="CP171" s="15"/>
      <c r="CQ171" s="15"/>
      <c r="CR171" s="15"/>
      <c r="CS171" s="15"/>
      <c r="CT171" s="15"/>
      <c r="CU171" s="15"/>
      <c r="EP171" s="15"/>
      <c r="EQ171" s="15"/>
      <c r="ER171" s="15"/>
      <c r="ES171" s="15"/>
      <c r="ET171" s="15"/>
      <c r="EU171" s="15"/>
      <c r="EV171" s="15"/>
      <c r="EW171" s="15"/>
      <c r="EX171" s="15"/>
      <c r="EY171" s="15"/>
      <c r="EZ171" s="15"/>
      <c r="FA171" s="15"/>
      <c r="FB171" s="15"/>
      <c r="FC171" s="15"/>
      <c r="FD171" s="15"/>
      <c r="FE171" s="15"/>
      <c r="FF171" s="15"/>
      <c r="FG171" s="15"/>
      <c r="FH171" s="15"/>
      <c r="FI171" s="15"/>
      <c r="FJ171" s="15"/>
      <c r="FK171" s="15"/>
      <c r="FL171" s="15"/>
      <c r="FM171" s="15"/>
      <c r="FN171" s="15"/>
      <c r="FO171" s="15"/>
      <c r="FP171" s="15"/>
      <c r="FQ171" s="15"/>
      <c r="FR171" s="15"/>
      <c r="FS171" s="15"/>
      <c r="FT171" s="15"/>
      <c r="FU171" s="15"/>
      <c r="FV171" s="15"/>
      <c r="FW171" s="15"/>
      <c r="FX171" s="15"/>
      <c r="FY171" s="15"/>
      <c r="FZ171" s="15"/>
      <c r="GA171" s="15"/>
      <c r="GB171" s="15"/>
      <c r="GC171" s="15"/>
      <c r="GD171" s="15"/>
      <c r="GE171" s="15"/>
      <c r="GF171" s="15"/>
      <c r="HH171" s="15"/>
      <c r="HI171" s="15"/>
      <c r="HJ171" s="15"/>
      <c r="HK171" s="15"/>
      <c r="HL171" s="15"/>
      <c r="HM171" s="15"/>
      <c r="HN171" s="15"/>
      <c r="HO171" s="15"/>
      <c r="HP171" s="15"/>
      <c r="HQ171" s="15"/>
      <c r="HR171" s="15"/>
      <c r="HS171" s="15"/>
      <c r="HT171" s="15"/>
      <c r="HU171" s="15"/>
      <c r="HV171" s="15"/>
      <c r="HW171" s="15"/>
      <c r="HX171" s="15"/>
      <c r="HY171" s="15"/>
      <c r="HZ171" s="15"/>
      <c r="IQ171" s="15"/>
      <c r="IR171" s="15"/>
      <c r="IS171" s="15"/>
      <c r="IT171" s="15"/>
      <c r="IU171" s="15"/>
      <c r="IV171" s="15"/>
      <c r="IW171" s="15"/>
      <c r="IX171" s="15"/>
      <c r="IY171" s="15"/>
      <c r="IZ171" s="15"/>
      <c r="JA171" s="15"/>
      <c r="JB171" s="15"/>
      <c r="JC171" s="15"/>
      <c r="JD171" s="15"/>
      <c r="JE171" s="15"/>
      <c r="JF171" s="15"/>
      <c r="JZ171" s="15"/>
      <c r="KA171" s="15"/>
      <c r="KB171" s="15"/>
      <c r="KC171" s="15"/>
      <c r="KD171" s="15"/>
      <c r="KE171" s="15"/>
      <c r="KF171" s="15"/>
      <c r="KG171" s="15"/>
      <c r="KH171" s="15"/>
      <c r="KI171" s="15"/>
      <c r="KJ171" s="15"/>
      <c r="KK171" s="15"/>
      <c r="KL171" s="15"/>
      <c r="KM171" s="15"/>
      <c r="LI171" s="15"/>
      <c r="LJ171" s="15"/>
      <c r="LK171" s="15"/>
      <c r="LM171" s="15"/>
      <c r="LN171" s="15"/>
      <c r="LO171" s="15"/>
      <c r="LR171" s="15"/>
    </row>
    <row r="172" spans="2:330">
      <c r="B172" s="15"/>
      <c r="C172" s="15"/>
      <c r="D172" s="15"/>
      <c r="E172" s="15"/>
      <c r="F172" s="15"/>
      <c r="G172" s="15"/>
      <c r="H172" s="15"/>
      <c r="I172" s="15"/>
      <c r="L172" s="15"/>
      <c r="M172" s="15"/>
      <c r="N172" s="15"/>
      <c r="O172" s="15"/>
      <c r="T172" s="15"/>
      <c r="U172" s="15"/>
      <c r="W172" s="15"/>
      <c r="X172" s="15"/>
      <c r="Y172" s="15"/>
      <c r="Z172" s="15"/>
      <c r="AA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X172" s="15"/>
      <c r="BY172" s="15"/>
      <c r="CA172" s="15"/>
      <c r="CB172" s="15"/>
      <c r="CG172" s="15"/>
      <c r="CH172" s="15"/>
      <c r="CI172" s="15"/>
      <c r="CJ172" s="15"/>
      <c r="CK172" s="15"/>
      <c r="CL172" s="15"/>
      <c r="CM172" s="15"/>
      <c r="CN172" s="15"/>
      <c r="CO172" s="15"/>
      <c r="CP172" s="15"/>
      <c r="CQ172" s="15"/>
      <c r="CR172" s="15"/>
      <c r="CS172" s="15"/>
      <c r="EP172" s="15"/>
      <c r="EQ172" s="15"/>
      <c r="ER172" s="15"/>
      <c r="ES172" s="15"/>
      <c r="ET172" s="15"/>
      <c r="EU172" s="15"/>
      <c r="EV172" s="15"/>
      <c r="EW172" s="15"/>
      <c r="EX172" s="15"/>
      <c r="EY172" s="15"/>
      <c r="EZ172" s="15"/>
      <c r="FA172" s="15"/>
      <c r="FB172" s="15"/>
      <c r="FC172" s="15"/>
      <c r="FD172" s="15"/>
      <c r="FE172" s="15"/>
      <c r="FF172" s="15"/>
      <c r="FG172" s="15"/>
      <c r="FH172" s="15"/>
      <c r="FI172" s="15"/>
      <c r="FJ172" s="15"/>
      <c r="FK172" s="15"/>
      <c r="FL172" s="15"/>
      <c r="FM172" s="15"/>
      <c r="FN172" s="15"/>
      <c r="FO172" s="15"/>
      <c r="FP172" s="15"/>
      <c r="FQ172" s="15"/>
      <c r="FR172" s="15"/>
      <c r="FS172" s="15"/>
      <c r="FT172" s="15"/>
      <c r="FU172" s="15"/>
      <c r="FV172" s="15"/>
      <c r="FW172" s="15"/>
      <c r="FX172" s="15"/>
      <c r="FY172" s="15"/>
      <c r="FZ172" s="15"/>
      <c r="GA172" s="15"/>
      <c r="GB172" s="15"/>
      <c r="GC172" s="15"/>
      <c r="GD172" s="15"/>
      <c r="GE172" s="15"/>
      <c r="GF172" s="15"/>
      <c r="HH172" s="15"/>
      <c r="HI172" s="15"/>
      <c r="HJ172" s="15"/>
      <c r="HK172" s="15"/>
      <c r="HL172" s="15"/>
      <c r="HN172" s="15"/>
      <c r="HO172" s="15"/>
      <c r="HP172" s="15"/>
      <c r="HQ172" s="15"/>
      <c r="HR172" s="15"/>
      <c r="HS172" s="15"/>
      <c r="HT172" s="15"/>
      <c r="HU172" s="15"/>
      <c r="HV172" s="15"/>
      <c r="HW172" s="15"/>
      <c r="HX172" s="15"/>
      <c r="HY172" s="15"/>
      <c r="HZ172" s="15"/>
      <c r="IQ172" s="15"/>
      <c r="IR172" s="15"/>
      <c r="IS172" s="15"/>
      <c r="IT172" s="15"/>
      <c r="IU172" s="15"/>
      <c r="IV172" s="15"/>
      <c r="IW172" s="15"/>
      <c r="IX172" s="15"/>
      <c r="IY172" s="15"/>
      <c r="IZ172" s="15"/>
      <c r="JA172" s="15"/>
      <c r="JB172" s="15"/>
      <c r="JC172" s="15"/>
      <c r="JD172" s="15"/>
      <c r="JE172" s="15"/>
      <c r="JF172" s="15"/>
      <c r="JZ172" s="15"/>
      <c r="KA172" s="15"/>
      <c r="KB172" s="15"/>
      <c r="KC172" s="15"/>
      <c r="KD172" s="15"/>
      <c r="KE172" s="15"/>
      <c r="KF172" s="15"/>
      <c r="KG172" s="15"/>
      <c r="KH172" s="15"/>
      <c r="KI172" s="15"/>
      <c r="KJ172" s="15"/>
      <c r="KK172" s="15"/>
      <c r="KL172" s="15"/>
      <c r="KM172" s="15"/>
      <c r="LI172" s="15"/>
      <c r="LJ172" s="15"/>
      <c r="LK172" s="15"/>
      <c r="LL172" s="15"/>
      <c r="LM172" s="15"/>
      <c r="LN172" s="15"/>
      <c r="LO172" s="15"/>
      <c r="LP172" s="15"/>
      <c r="LQ172" s="15"/>
      <c r="LR172" s="15"/>
    </row>
    <row r="173" spans="2:330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X173" s="15"/>
      <c r="BY173" s="15"/>
      <c r="BZ173" s="15"/>
      <c r="CA173" s="15"/>
      <c r="CB173" s="15"/>
      <c r="CC173" s="15"/>
      <c r="CD173" s="15"/>
      <c r="CE173" s="15"/>
      <c r="CF173" s="15"/>
      <c r="CG173" s="15"/>
      <c r="CH173" s="15"/>
      <c r="CI173" s="15"/>
      <c r="CJ173" s="15"/>
      <c r="CK173" s="15"/>
      <c r="CL173" s="15"/>
      <c r="CM173" s="15"/>
      <c r="CN173" s="15"/>
      <c r="CO173" s="15"/>
      <c r="CP173" s="15"/>
      <c r="CQ173" s="15"/>
      <c r="CR173" s="15"/>
      <c r="CS173" s="15"/>
      <c r="CT173" s="15"/>
      <c r="CU173" s="15"/>
      <c r="EP173" s="15"/>
      <c r="EQ173" s="15"/>
      <c r="ER173" s="15"/>
      <c r="ES173" s="15"/>
      <c r="ET173" s="15"/>
      <c r="EU173" s="15"/>
      <c r="EV173" s="15"/>
      <c r="EW173" s="15"/>
      <c r="EX173" s="15"/>
      <c r="EY173" s="15"/>
      <c r="EZ173" s="15"/>
      <c r="FA173" s="15"/>
      <c r="FB173" s="15"/>
      <c r="FC173" s="15"/>
      <c r="FD173" s="15"/>
      <c r="FE173" s="15"/>
      <c r="FF173" s="15"/>
      <c r="FG173" s="15"/>
      <c r="FH173" s="15"/>
      <c r="FI173" s="15"/>
      <c r="FJ173" s="15"/>
      <c r="FK173" s="15"/>
      <c r="FL173" s="15"/>
      <c r="FM173" s="15"/>
      <c r="FN173" s="15"/>
      <c r="FO173" s="15"/>
      <c r="FP173" s="15"/>
      <c r="FQ173" s="15"/>
      <c r="FR173" s="15"/>
      <c r="FS173" s="15"/>
      <c r="FT173" s="15"/>
      <c r="FU173" s="15"/>
      <c r="FV173" s="15"/>
      <c r="FW173" s="15"/>
      <c r="FX173" s="15"/>
      <c r="FY173" s="15"/>
      <c r="FZ173" s="15"/>
      <c r="GA173" s="15"/>
      <c r="GB173" s="15"/>
      <c r="GC173" s="15"/>
      <c r="GD173" s="15"/>
      <c r="GE173" s="15"/>
      <c r="GF173" s="15"/>
      <c r="HH173" s="15"/>
      <c r="HI173" s="15"/>
      <c r="HJ173" s="15"/>
      <c r="HK173" s="15"/>
      <c r="HL173" s="15"/>
      <c r="HM173" s="15"/>
      <c r="HN173" s="15"/>
      <c r="HO173" s="15"/>
      <c r="HP173" s="15"/>
      <c r="HQ173" s="15"/>
      <c r="HR173" s="15"/>
      <c r="HS173" s="15"/>
      <c r="HT173" s="15"/>
      <c r="HU173" s="15"/>
      <c r="HV173" s="15"/>
      <c r="HW173" s="15"/>
      <c r="HX173" s="15"/>
      <c r="HY173" s="15"/>
      <c r="HZ173" s="15"/>
      <c r="IQ173" s="15"/>
      <c r="IR173" s="15"/>
      <c r="IS173" s="15"/>
      <c r="IT173" s="15"/>
      <c r="IU173" s="15"/>
      <c r="IV173" s="15"/>
      <c r="IW173" s="15"/>
      <c r="IX173" s="15"/>
      <c r="IY173" s="15"/>
      <c r="IZ173" s="15"/>
      <c r="JA173" s="15"/>
      <c r="JB173" s="15"/>
      <c r="JC173" s="15"/>
      <c r="JD173" s="15"/>
      <c r="JE173" s="15"/>
      <c r="JF173" s="15"/>
      <c r="JZ173" s="15"/>
      <c r="KA173" s="15"/>
      <c r="KB173" s="15"/>
      <c r="KC173" s="15"/>
      <c r="KD173" s="15"/>
      <c r="KE173" s="15"/>
      <c r="KF173" s="15"/>
      <c r="KG173" s="15"/>
      <c r="KH173" s="15"/>
      <c r="KI173" s="15"/>
      <c r="KJ173" s="15"/>
      <c r="KK173" s="15"/>
      <c r="KL173" s="15"/>
      <c r="KM173" s="15"/>
      <c r="LI173" s="15"/>
      <c r="LJ173" s="15"/>
      <c r="LK173" s="15"/>
      <c r="LL173" s="15"/>
      <c r="LM173" s="15"/>
      <c r="LN173" s="15"/>
      <c r="LO173" s="15"/>
      <c r="LP173" s="15"/>
      <c r="LQ173" s="15"/>
      <c r="LR173" s="15"/>
    </row>
    <row r="174" spans="2:330">
      <c r="B174" s="15"/>
      <c r="C174" s="15"/>
      <c r="D174" s="15"/>
      <c r="E174" s="15"/>
      <c r="F174" s="15"/>
      <c r="G174" s="15"/>
      <c r="H174" s="15"/>
      <c r="I174" s="15"/>
      <c r="L174" s="15"/>
      <c r="M174" s="15"/>
      <c r="N174" s="15"/>
      <c r="O174" s="15"/>
      <c r="P174" s="15"/>
      <c r="Q174" s="15"/>
      <c r="R174" s="15"/>
      <c r="T174" s="15"/>
      <c r="U174" s="15"/>
      <c r="W174" s="15"/>
      <c r="Y174" s="15"/>
      <c r="Z174" s="15"/>
      <c r="AB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X174" s="15"/>
      <c r="BY174" s="15"/>
      <c r="BZ174" s="15"/>
      <c r="CA174" s="15"/>
      <c r="CB174" s="15"/>
      <c r="CC174" s="15"/>
      <c r="CD174" s="15"/>
      <c r="CE174" s="15"/>
      <c r="CF174" s="15"/>
      <c r="CG174" s="15"/>
      <c r="CH174" s="15"/>
      <c r="CI174" s="15"/>
      <c r="CJ174" s="15"/>
      <c r="CK174" s="15"/>
      <c r="CN174" s="15"/>
      <c r="CO174" s="15"/>
      <c r="CP174" s="15"/>
      <c r="CQ174" s="15"/>
      <c r="EP174" s="15"/>
      <c r="EQ174" s="15"/>
      <c r="ER174" s="15"/>
      <c r="ES174" s="15"/>
      <c r="ET174" s="15"/>
      <c r="EU174" s="15"/>
      <c r="EV174" s="15"/>
      <c r="EW174" s="15"/>
      <c r="EX174" s="15"/>
      <c r="EY174" s="15"/>
      <c r="EZ174" s="15"/>
      <c r="FA174" s="15"/>
      <c r="FB174" s="15"/>
      <c r="FC174" s="15"/>
      <c r="FD174" s="15"/>
      <c r="FE174" s="15"/>
      <c r="FF174" s="15"/>
      <c r="FG174" s="15"/>
      <c r="FH174" s="15"/>
      <c r="FI174" s="15"/>
      <c r="FJ174" s="15"/>
      <c r="FK174" s="15"/>
      <c r="FL174" s="15"/>
      <c r="FM174" s="15"/>
      <c r="FN174" s="15"/>
      <c r="FO174" s="15"/>
      <c r="FP174" s="15"/>
      <c r="FQ174" s="15"/>
      <c r="FR174" s="15"/>
      <c r="FS174" s="15"/>
      <c r="FT174" s="15"/>
      <c r="FU174" s="15"/>
      <c r="FY174" s="15"/>
      <c r="FZ174" s="15"/>
      <c r="GA174" s="15"/>
      <c r="GB174" s="15"/>
      <c r="GC174" s="15"/>
      <c r="GD174" s="15"/>
      <c r="GE174" s="15"/>
      <c r="GF174" s="15"/>
      <c r="HH174" s="15"/>
      <c r="HI174" s="15"/>
      <c r="HJ174" s="15"/>
      <c r="HM174" s="15"/>
      <c r="HN174" s="15"/>
      <c r="HO174" s="15"/>
      <c r="HP174" s="15"/>
      <c r="HQ174" s="15"/>
      <c r="HR174" s="15"/>
      <c r="HS174" s="15"/>
      <c r="HT174" s="15"/>
      <c r="HU174" s="15"/>
      <c r="HV174" s="15"/>
      <c r="HW174" s="15"/>
      <c r="HZ174" s="15"/>
      <c r="IQ174" s="15"/>
      <c r="IR174" s="15"/>
      <c r="IS174" s="15"/>
      <c r="IT174" s="15"/>
      <c r="IU174" s="15"/>
      <c r="IV174" s="15"/>
      <c r="IW174" s="15"/>
      <c r="IX174" s="15"/>
      <c r="IY174" s="15"/>
      <c r="IZ174" s="15"/>
      <c r="JA174" s="15"/>
      <c r="JB174" s="15"/>
      <c r="JC174" s="15"/>
      <c r="JD174" s="15"/>
      <c r="JE174" s="15"/>
      <c r="JF174" s="15"/>
      <c r="JZ174" s="15"/>
      <c r="KA174" s="15"/>
      <c r="KB174" s="15"/>
      <c r="KC174" s="15"/>
      <c r="KD174" s="15"/>
      <c r="KE174" s="15"/>
      <c r="KF174" s="15"/>
      <c r="KG174" s="15"/>
      <c r="KH174" s="15"/>
      <c r="KI174" s="15"/>
      <c r="KJ174" s="15"/>
      <c r="KK174" s="15"/>
      <c r="KL174" s="15"/>
      <c r="LI174" s="15"/>
      <c r="LJ174" s="15"/>
      <c r="LK174" s="15"/>
      <c r="LL174" s="15"/>
      <c r="LM174" s="15"/>
      <c r="LN174" s="15"/>
      <c r="LO174" s="15"/>
      <c r="LP174" s="15"/>
      <c r="LQ174" s="15"/>
      <c r="LR174" s="15"/>
    </row>
    <row r="175" spans="2:330">
      <c r="B175" s="15"/>
      <c r="C175" s="15"/>
      <c r="D175" s="15"/>
      <c r="E175" s="15"/>
      <c r="F175" s="15"/>
      <c r="G175" s="15"/>
      <c r="H175" s="15"/>
      <c r="I175" s="15"/>
      <c r="J175" s="15"/>
      <c r="L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Z175" s="15"/>
      <c r="AA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D175" s="15"/>
      <c r="BE175" s="15"/>
      <c r="BG175" s="15"/>
      <c r="BH175" s="15"/>
      <c r="BX175" s="15"/>
      <c r="BY175" s="15"/>
      <c r="CA175" s="15"/>
      <c r="CB175" s="15"/>
      <c r="CG175" s="15"/>
      <c r="CH175" s="15"/>
      <c r="CI175" s="15"/>
      <c r="CJ175" s="15"/>
      <c r="CL175" s="15"/>
      <c r="EP175" s="15"/>
      <c r="EQ175" s="15"/>
      <c r="ER175" s="15"/>
      <c r="ES175" s="15"/>
      <c r="ET175" s="15"/>
      <c r="EU175" s="15"/>
      <c r="EW175" s="15"/>
      <c r="EX175" s="15"/>
      <c r="EY175" s="15"/>
      <c r="EZ175" s="15"/>
      <c r="FA175" s="15"/>
      <c r="FB175" s="15"/>
      <c r="FD175" s="15"/>
      <c r="FE175" s="15"/>
      <c r="FF175" s="15"/>
      <c r="FG175" s="15"/>
      <c r="FH175" s="15"/>
      <c r="FI175" s="15"/>
      <c r="FJ175" s="15"/>
      <c r="FK175" s="15"/>
      <c r="FL175" s="15"/>
      <c r="FM175" s="15"/>
      <c r="FN175" s="15"/>
      <c r="FO175" s="15"/>
      <c r="FP175" s="15"/>
      <c r="FQ175" s="15"/>
      <c r="FR175" s="15"/>
      <c r="FS175" s="15"/>
      <c r="FV175" s="15"/>
      <c r="FY175" s="15"/>
      <c r="FZ175" s="15"/>
      <c r="GA175" s="15"/>
      <c r="GB175" s="15"/>
      <c r="GC175" s="15"/>
      <c r="GD175" s="15"/>
      <c r="GE175" s="15"/>
      <c r="GF175" s="15"/>
      <c r="HH175" s="15"/>
      <c r="HI175" s="15"/>
      <c r="HN175" s="15"/>
      <c r="HO175" s="15"/>
      <c r="HP175" s="15"/>
      <c r="HQ175" s="15"/>
      <c r="HR175" s="15"/>
      <c r="HS175" s="15"/>
      <c r="HT175" s="15"/>
      <c r="HU175" s="15"/>
      <c r="HV175" s="15"/>
      <c r="HW175" s="15"/>
      <c r="HX175" s="15"/>
      <c r="HZ175" s="15"/>
      <c r="IQ175" s="15"/>
      <c r="IR175" s="15"/>
      <c r="IS175" s="15"/>
      <c r="IT175" s="15"/>
      <c r="IU175" s="15"/>
      <c r="IV175" s="15"/>
      <c r="IW175" s="15"/>
      <c r="IX175" s="15"/>
      <c r="IY175" s="15"/>
      <c r="IZ175" s="15"/>
      <c r="JA175" s="15"/>
      <c r="JB175" s="15"/>
      <c r="JC175" s="15"/>
      <c r="JD175" s="15"/>
      <c r="JE175" s="15"/>
      <c r="JF175" s="15"/>
      <c r="JZ175" s="15"/>
      <c r="KA175" s="15"/>
      <c r="KB175" s="15"/>
      <c r="KC175" s="15"/>
      <c r="KD175" s="15"/>
      <c r="KE175" s="15"/>
      <c r="KF175" s="15"/>
      <c r="KG175" s="15"/>
      <c r="KH175" s="15"/>
      <c r="KI175" s="15"/>
      <c r="KJ175" s="15"/>
      <c r="KK175" s="15"/>
      <c r="KL175" s="15"/>
      <c r="KM175" s="15"/>
      <c r="LI175" s="15"/>
      <c r="LJ175" s="15"/>
      <c r="LK175" s="15"/>
      <c r="LL175" s="15"/>
      <c r="LM175" s="15"/>
      <c r="LN175" s="15"/>
      <c r="LO175" s="15"/>
      <c r="LP175" s="15"/>
      <c r="LQ175" s="15"/>
      <c r="LR175" s="15"/>
    </row>
    <row r="176" spans="2:330">
      <c r="B176" s="15"/>
      <c r="C176" s="15"/>
      <c r="D176" s="15"/>
      <c r="E176" s="15"/>
      <c r="F176" s="15"/>
      <c r="G176" s="15"/>
      <c r="H176" s="15"/>
      <c r="I176" s="15"/>
      <c r="J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X176" s="15"/>
      <c r="BY176" s="15"/>
      <c r="BZ176" s="15"/>
      <c r="CA176" s="15"/>
      <c r="CB176" s="15"/>
      <c r="CC176" s="15"/>
      <c r="CD176" s="15"/>
      <c r="CE176" s="15"/>
      <c r="CF176" s="15"/>
      <c r="CG176" s="15"/>
      <c r="CH176" s="15"/>
      <c r="CI176" s="15"/>
      <c r="CJ176" s="15"/>
      <c r="CK176" s="15"/>
      <c r="CL176" s="15"/>
      <c r="CM176" s="15"/>
      <c r="CN176" s="15"/>
      <c r="CO176" s="15"/>
      <c r="CP176" s="15"/>
      <c r="CQ176" s="15"/>
      <c r="CR176" s="15"/>
      <c r="CS176" s="15"/>
      <c r="CT176" s="15"/>
      <c r="CU176" s="15"/>
      <c r="EP176" s="15"/>
      <c r="EQ176" s="15"/>
      <c r="ER176" s="15"/>
      <c r="ES176" s="15"/>
      <c r="ET176" s="15"/>
      <c r="EU176" s="15"/>
      <c r="EV176" s="15"/>
      <c r="EW176" s="15"/>
      <c r="EX176" s="15"/>
      <c r="EY176" s="15"/>
      <c r="EZ176" s="15"/>
      <c r="FA176" s="15"/>
      <c r="FB176" s="15"/>
      <c r="FC176" s="15"/>
      <c r="FD176" s="15"/>
      <c r="FE176" s="15"/>
      <c r="FF176" s="15"/>
      <c r="FG176" s="15"/>
      <c r="FH176" s="15"/>
      <c r="FI176" s="15"/>
      <c r="FJ176" s="15"/>
      <c r="FK176" s="15"/>
      <c r="FL176" s="15"/>
      <c r="FM176" s="15"/>
      <c r="FN176" s="15"/>
      <c r="FO176" s="15"/>
      <c r="FP176" s="15"/>
      <c r="FQ176" s="15"/>
      <c r="FR176" s="15"/>
      <c r="FS176" s="15"/>
      <c r="FT176" s="15"/>
      <c r="FU176" s="15"/>
      <c r="FV176" s="15"/>
      <c r="FW176" s="15"/>
      <c r="FY176" s="15"/>
      <c r="FZ176" s="15"/>
      <c r="GA176" s="15"/>
      <c r="GC176" s="15"/>
      <c r="GD176" s="15"/>
      <c r="GE176" s="15"/>
      <c r="GF176" s="15"/>
      <c r="HH176" s="15"/>
      <c r="HI176" s="15"/>
      <c r="HJ176" s="15"/>
      <c r="HK176" s="15"/>
      <c r="HM176" s="15"/>
      <c r="HN176" s="15"/>
      <c r="HO176" s="15"/>
      <c r="HP176" s="15"/>
      <c r="HQ176" s="15"/>
      <c r="HR176" s="15"/>
      <c r="HS176" s="15"/>
      <c r="HT176" s="15"/>
      <c r="HU176" s="15"/>
      <c r="HV176" s="15"/>
      <c r="HW176" s="15"/>
      <c r="HX176" s="15"/>
      <c r="HY176" s="15"/>
      <c r="HZ176" s="15"/>
      <c r="IQ176" s="15"/>
      <c r="IR176" s="15"/>
      <c r="IS176" s="15"/>
      <c r="IT176" s="15"/>
      <c r="IU176" s="15"/>
      <c r="IV176" s="15"/>
      <c r="IW176" s="15"/>
      <c r="IX176" s="15"/>
      <c r="IY176" s="15"/>
      <c r="IZ176" s="15"/>
      <c r="JA176" s="15"/>
      <c r="JB176" s="15"/>
      <c r="JC176" s="15"/>
      <c r="JD176" s="15"/>
      <c r="JE176" s="15"/>
      <c r="JF176" s="15"/>
      <c r="JZ176" s="15"/>
      <c r="KA176" s="15"/>
      <c r="KB176" s="15"/>
      <c r="KC176" s="15"/>
      <c r="KD176" s="15"/>
      <c r="KE176" s="15"/>
      <c r="KF176" s="15"/>
      <c r="KG176" s="15"/>
      <c r="KH176" s="15"/>
      <c r="KI176" s="15"/>
      <c r="KJ176" s="15"/>
      <c r="KK176" s="15"/>
      <c r="KL176" s="15"/>
      <c r="KM176" s="15"/>
      <c r="LI176" s="15"/>
      <c r="LJ176" s="15"/>
      <c r="LK176" s="15"/>
      <c r="LL176" s="15"/>
      <c r="LM176" s="15"/>
      <c r="LN176" s="15"/>
      <c r="LO176" s="15"/>
      <c r="LP176" s="15"/>
      <c r="LQ176" s="15"/>
      <c r="LR176" s="15"/>
    </row>
    <row r="177" spans="2:330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W177" s="15"/>
      <c r="X177" s="15"/>
      <c r="Z177" s="15"/>
      <c r="AA177" s="15"/>
      <c r="AB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X177" s="15"/>
      <c r="BY177" s="15"/>
      <c r="BZ177" s="15"/>
      <c r="CA177" s="15"/>
      <c r="CB177" s="15"/>
      <c r="CC177" s="15"/>
      <c r="CD177" s="15"/>
      <c r="CE177" s="15"/>
      <c r="CF177" s="15"/>
      <c r="CG177" s="15"/>
      <c r="CH177" s="15"/>
      <c r="CI177" s="15"/>
      <c r="CJ177" s="15"/>
      <c r="CK177" s="15"/>
      <c r="CL177" s="15"/>
      <c r="CM177" s="15"/>
      <c r="CN177" s="15"/>
      <c r="CO177" s="15"/>
      <c r="CP177" s="15"/>
      <c r="CQ177" s="15"/>
      <c r="CR177" s="15"/>
      <c r="CU177" s="15"/>
      <c r="EP177" s="15"/>
      <c r="EQ177" s="15"/>
      <c r="ER177" s="15"/>
      <c r="ES177" s="15"/>
      <c r="ET177" s="15"/>
      <c r="EU177" s="15"/>
      <c r="EV177" s="15"/>
      <c r="EW177" s="15"/>
      <c r="EX177" s="15"/>
      <c r="EY177" s="15"/>
      <c r="FA177" s="15"/>
      <c r="FB177" s="15"/>
      <c r="FC177" s="15"/>
      <c r="FD177" s="15"/>
      <c r="FE177" s="15"/>
      <c r="FF177" s="15"/>
      <c r="FG177" s="15"/>
      <c r="FH177" s="15"/>
      <c r="FI177" s="15"/>
      <c r="FJ177" s="15"/>
      <c r="FK177" s="15"/>
      <c r="FL177" s="15"/>
      <c r="FM177" s="15"/>
      <c r="FN177" s="15"/>
      <c r="FO177" s="15"/>
      <c r="FP177" s="15"/>
      <c r="FQ177" s="15"/>
      <c r="FR177" s="15"/>
      <c r="FS177" s="15"/>
      <c r="FT177" s="15"/>
      <c r="FU177" s="15"/>
      <c r="FV177" s="15"/>
      <c r="FW177" s="15"/>
      <c r="FY177" s="15"/>
      <c r="FZ177" s="15"/>
      <c r="GA177" s="15"/>
      <c r="GC177" s="15"/>
      <c r="GD177" s="15"/>
      <c r="GE177" s="15"/>
      <c r="GF177" s="15"/>
      <c r="HH177" s="15"/>
      <c r="HI177" s="15"/>
      <c r="HJ177" s="15"/>
      <c r="HK177" s="15"/>
      <c r="HL177" s="15"/>
      <c r="HM177" s="15"/>
      <c r="HN177" s="15"/>
      <c r="HO177" s="15"/>
      <c r="HP177" s="15"/>
      <c r="HQ177" s="15"/>
      <c r="HR177" s="15"/>
      <c r="HS177" s="15"/>
      <c r="HT177" s="15"/>
      <c r="HU177" s="15"/>
      <c r="HZ177" s="15"/>
      <c r="IQ177" s="15"/>
      <c r="IR177" s="15"/>
      <c r="IS177" s="15"/>
      <c r="IT177" s="15"/>
      <c r="IU177" s="15"/>
      <c r="IV177" s="15"/>
      <c r="IW177" s="15"/>
      <c r="IX177" s="15"/>
      <c r="IY177" s="15"/>
      <c r="IZ177" s="15"/>
      <c r="JA177" s="15"/>
      <c r="JB177" s="15"/>
      <c r="JC177" s="15"/>
      <c r="JD177" s="15"/>
      <c r="JE177" s="15"/>
      <c r="JF177" s="15"/>
      <c r="JZ177" s="15"/>
      <c r="KA177" s="15"/>
      <c r="KB177" s="15"/>
      <c r="KC177" s="15"/>
      <c r="KD177" s="15"/>
      <c r="KE177" s="15"/>
      <c r="KF177" s="15"/>
      <c r="KG177" s="15"/>
      <c r="KH177" s="15"/>
      <c r="KI177" s="15"/>
      <c r="KJ177" s="15"/>
      <c r="KK177" s="15"/>
      <c r="KL177" s="15"/>
      <c r="KM177" s="15"/>
      <c r="LI177" s="15"/>
      <c r="LJ177" s="15"/>
      <c r="LK177" s="15"/>
      <c r="LL177" s="15"/>
      <c r="LM177" s="15"/>
      <c r="LN177" s="15"/>
      <c r="LO177" s="15"/>
      <c r="LP177" s="15"/>
      <c r="LQ177" s="15"/>
      <c r="LR177" s="15"/>
    </row>
    <row r="178" spans="2:330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X178" s="15"/>
      <c r="BY178" s="15"/>
      <c r="BZ178" s="15"/>
      <c r="CA178" s="15"/>
      <c r="CB178" s="15"/>
      <c r="CC178" s="15"/>
      <c r="CD178" s="15"/>
      <c r="CE178" s="15"/>
      <c r="CF178" s="15"/>
      <c r="CG178" s="15"/>
      <c r="CH178" s="15"/>
      <c r="CI178" s="15"/>
      <c r="CJ178" s="15"/>
      <c r="CK178" s="15"/>
      <c r="CL178" s="15"/>
      <c r="CM178" s="15"/>
      <c r="CN178" s="15"/>
      <c r="CO178" s="15"/>
      <c r="CP178" s="15"/>
      <c r="CQ178" s="15"/>
      <c r="CR178" s="15"/>
      <c r="CS178" s="15"/>
      <c r="CT178" s="15"/>
      <c r="CU178" s="15"/>
      <c r="EP178" s="15"/>
      <c r="EQ178" s="15"/>
      <c r="ER178" s="15"/>
      <c r="ES178" s="15"/>
      <c r="ET178" s="15"/>
      <c r="EU178" s="15"/>
      <c r="EV178" s="15"/>
      <c r="EW178" s="15"/>
      <c r="EX178" s="15"/>
      <c r="EY178" s="15"/>
      <c r="EZ178" s="15"/>
      <c r="FA178" s="15"/>
      <c r="FB178" s="15"/>
      <c r="FC178" s="15"/>
      <c r="FD178" s="15"/>
      <c r="FE178" s="15"/>
      <c r="FF178" s="15"/>
      <c r="FG178" s="15"/>
      <c r="FH178" s="15"/>
      <c r="FI178" s="15"/>
      <c r="FJ178" s="15"/>
      <c r="FK178" s="15"/>
      <c r="FL178" s="15"/>
      <c r="FM178" s="15"/>
      <c r="FN178" s="15"/>
      <c r="FO178" s="15"/>
      <c r="FP178" s="15"/>
      <c r="FQ178" s="15"/>
      <c r="FR178" s="15"/>
      <c r="FS178" s="15"/>
      <c r="FT178" s="15"/>
      <c r="FU178" s="15"/>
      <c r="FV178" s="15"/>
      <c r="FW178" s="15"/>
      <c r="FX178" s="15"/>
      <c r="FY178" s="15"/>
      <c r="FZ178" s="15"/>
      <c r="GA178" s="15"/>
      <c r="GB178" s="15"/>
      <c r="GC178" s="15"/>
      <c r="GD178" s="15"/>
      <c r="GE178" s="15"/>
      <c r="GF178" s="15"/>
      <c r="HH178" s="15"/>
      <c r="HI178" s="15"/>
      <c r="HJ178" s="15"/>
      <c r="HK178" s="15"/>
      <c r="HL178" s="15"/>
      <c r="HM178" s="15"/>
      <c r="HN178" s="15"/>
      <c r="HO178" s="15"/>
      <c r="HP178" s="15"/>
      <c r="HQ178" s="15"/>
      <c r="HR178" s="15"/>
      <c r="HS178" s="15"/>
      <c r="HT178" s="15"/>
      <c r="HU178" s="15"/>
      <c r="HV178" s="15"/>
      <c r="HW178" s="15"/>
      <c r="HX178" s="15"/>
      <c r="HY178" s="15"/>
      <c r="HZ178" s="15"/>
      <c r="IQ178" s="15"/>
      <c r="IR178" s="15"/>
      <c r="IS178" s="15"/>
      <c r="IT178" s="15"/>
      <c r="IU178" s="15"/>
      <c r="IV178" s="15"/>
      <c r="IW178" s="15"/>
      <c r="IX178" s="15"/>
      <c r="IY178" s="15"/>
      <c r="IZ178" s="15"/>
      <c r="JA178" s="15"/>
      <c r="JB178" s="15"/>
      <c r="JC178" s="15"/>
      <c r="JD178" s="15"/>
      <c r="JE178" s="15"/>
      <c r="JF178" s="15"/>
      <c r="JZ178" s="15"/>
      <c r="KA178" s="15"/>
      <c r="KB178" s="15"/>
      <c r="KC178" s="15"/>
      <c r="KD178" s="15"/>
      <c r="KE178" s="15"/>
      <c r="KF178" s="15"/>
      <c r="KG178" s="15"/>
      <c r="KH178" s="15"/>
      <c r="KI178" s="15"/>
      <c r="KJ178" s="15"/>
      <c r="KK178" s="15"/>
      <c r="KL178" s="15"/>
      <c r="KM178" s="15"/>
      <c r="LI178" s="15"/>
      <c r="LJ178" s="15"/>
      <c r="LK178" s="15"/>
      <c r="LL178" s="15"/>
      <c r="LM178" s="15"/>
      <c r="LN178" s="15"/>
      <c r="LO178" s="15"/>
      <c r="LP178" s="15"/>
      <c r="LQ178" s="15"/>
      <c r="LR178" s="15"/>
    </row>
    <row r="179" spans="2:330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Y179" s="15"/>
      <c r="Z179" s="15"/>
      <c r="AA179" s="15"/>
      <c r="AB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X179" s="15"/>
      <c r="BY179" s="15"/>
      <c r="BZ179" s="15"/>
      <c r="CA179" s="15"/>
      <c r="CB179" s="15"/>
      <c r="CC179" s="15"/>
      <c r="CD179" s="15"/>
      <c r="CE179" s="15"/>
      <c r="CF179" s="15"/>
      <c r="CG179" s="15"/>
      <c r="CH179" s="15"/>
      <c r="CI179" s="15"/>
      <c r="CJ179" s="15"/>
      <c r="CK179" s="15"/>
      <c r="CL179" s="15"/>
      <c r="CM179" s="15"/>
      <c r="CN179" s="15"/>
      <c r="CO179" s="15"/>
      <c r="CP179" s="15"/>
      <c r="CQ179" s="15"/>
      <c r="CR179" s="15"/>
      <c r="CS179" s="15"/>
      <c r="CT179" s="15"/>
      <c r="CU179" s="15"/>
      <c r="EP179" s="15"/>
      <c r="EQ179" s="15"/>
      <c r="ER179" s="15"/>
      <c r="ES179" s="15"/>
      <c r="ET179" s="15"/>
      <c r="EU179" s="15"/>
      <c r="EV179" s="15"/>
      <c r="EW179" s="15"/>
      <c r="EX179" s="15"/>
      <c r="EY179" s="15"/>
      <c r="EZ179" s="15"/>
      <c r="FA179" s="15"/>
      <c r="FB179" s="15"/>
      <c r="FC179" s="15"/>
      <c r="FD179" s="15"/>
      <c r="FE179" s="15"/>
      <c r="FF179" s="15"/>
      <c r="FG179" s="15"/>
      <c r="FH179" s="15"/>
      <c r="FI179" s="15"/>
      <c r="FJ179" s="15"/>
      <c r="FK179" s="15"/>
      <c r="FL179" s="15"/>
      <c r="FM179" s="15"/>
      <c r="FN179" s="15"/>
      <c r="FO179" s="15"/>
      <c r="FP179" s="15"/>
      <c r="FQ179" s="15"/>
      <c r="FR179" s="15"/>
      <c r="FS179" s="15"/>
      <c r="FT179" s="15"/>
      <c r="FU179" s="15"/>
      <c r="FV179" s="15"/>
      <c r="FW179" s="15"/>
      <c r="FX179" s="15"/>
      <c r="FY179" s="15"/>
      <c r="FZ179" s="15"/>
      <c r="GA179" s="15"/>
      <c r="GB179" s="15"/>
      <c r="GC179" s="15"/>
      <c r="GD179" s="15"/>
      <c r="GE179" s="15"/>
      <c r="GF179" s="15"/>
      <c r="HH179" s="15"/>
      <c r="HI179" s="15"/>
      <c r="HJ179" s="15"/>
      <c r="HK179" s="15"/>
      <c r="HM179" s="15"/>
      <c r="HN179" s="15"/>
      <c r="HO179" s="15"/>
      <c r="HP179" s="15"/>
      <c r="HQ179" s="15"/>
      <c r="HR179" s="15"/>
      <c r="HS179" s="15"/>
      <c r="HT179" s="15"/>
      <c r="HU179" s="15"/>
      <c r="HV179" s="15"/>
      <c r="HW179" s="15"/>
      <c r="HX179" s="15"/>
      <c r="HY179" s="15"/>
      <c r="HZ179" s="15"/>
      <c r="IQ179" s="15"/>
      <c r="IR179" s="15"/>
      <c r="IS179" s="15"/>
      <c r="IT179" s="15"/>
      <c r="IU179" s="15"/>
      <c r="IV179" s="15"/>
      <c r="IW179" s="15"/>
      <c r="IX179" s="15"/>
      <c r="IY179" s="15"/>
      <c r="IZ179" s="15"/>
      <c r="JA179" s="15"/>
      <c r="JB179" s="15"/>
      <c r="JC179" s="15"/>
      <c r="JD179" s="15"/>
      <c r="JE179" s="15"/>
      <c r="JF179" s="15"/>
      <c r="JZ179" s="15"/>
      <c r="KA179" s="15"/>
      <c r="KB179" s="15"/>
      <c r="KC179" s="15"/>
      <c r="KD179" s="15"/>
      <c r="KE179" s="15"/>
      <c r="KF179" s="15"/>
      <c r="KG179" s="15"/>
      <c r="KH179" s="15"/>
      <c r="KI179" s="15"/>
      <c r="KJ179" s="15"/>
      <c r="KK179" s="15"/>
      <c r="KL179" s="15"/>
      <c r="KM179" s="15"/>
      <c r="LI179" s="15"/>
      <c r="LJ179" s="15"/>
      <c r="LK179" s="15"/>
      <c r="LL179" s="15"/>
      <c r="LM179" s="15"/>
      <c r="LN179" s="15"/>
      <c r="LO179" s="15"/>
      <c r="LP179" s="15"/>
      <c r="LQ179" s="15"/>
      <c r="LR179" s="15"/>
    </row>
    <row r="180" spans="2:330">
      <c r="B180" s="15"/>
      <c r="C180" s="15"/>
      <c r="D180" s="15"/>
      <c r="E180" s="15"/>
      <c r="F180" s="15"/>
      <c r="G180" s="15"/>
      <c r="H180" s="15"/>
      <c r="I180" s="15"/>
      <c r="J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X180" s="15"/>
      <c r="BY180" s="15"/>
      <c r="BZ180" s="15"/>
      <c r="CB180" s="15"/>
      <c r="CC180" s="15"/>
      <c r="CD180" s="15"/>
      <c r="CE180" s="15"/>
      <c r="CG180" s="15"/>
      <c r="CH180" s="15"/>
      <c r="CI180" s="15"/>
      <c r="CJ180" s="15"/>
      <c r="CK180" s="15"/>
      <c r="CL180" s="15"/>
      <c r="CM180" s="15"/>
      <c r="CN180" s="15"/>
      <c r="CO180" s="15"/>
      <c r="CP180" s="15"/>
      <c r="CQ180" s="15"/>
      <c r="CU180" s="15"/>
      <c r="EP180" s="15"/>
      <c r="EQ180" s="15"/>
      <c r="ER180" s="15"/>
      <c r="ES180" s="15"/>
      <c r="ET180" s="15"/>
      <c r="EU180" s="15"/>
      <c r="EV180" s="15"/>
      <c r="EW180" s="15"/>
      <c r="EX180" s="15"/>
      <c r="EY180" s="15"/>
      <c r="EZ180" s="15"/>
      <c r="FA180" s="15"/>
      <c r="FB180" s="15"/>
      <c r="FC180" s="15"/>
      <c r="FD180" s="15"/>
      <c r="FE180" s="15"/>
      <c r="FF180" s="15"/>
      <c r="FG180" s="15"/>
      <c r="FH180" s="15"/>
      <c r="FI180" s="15"/>
      <c r="FJ180" s="15"/>
      <c r="FK180" s="15"/>
      <c r="FL180" s="15"/>
      <c r="FM180" s="15"/>
      <c r="FN180" s="15"/>
      <c r="FO180" s="15"/>
      <c r="FP180" s="15"/>
      <c r="FQ180" s="15"/>
      <c r="FR180" s="15"/>
      <c r="FS180" s="15"/>
      <c r="FT180" s="15"/>
      <c r="FU180" s="15"/>
      <c r="FV180" s="15"/>
      <c r="FW180" s="15"/>
      <c r="FX180" s="15"/>
      <c r="FY180" s="15"/>
      <c r="FZ180" s="15"/>
      <c r="GA180" s="15"/>
      <c r="GB180" s="15"/>
      <c r="GC180" s="15"/>
      <c r="GD180" s="15"/>
      <c r="GE180" s="15"/>
      <c r="GF180" s="15"/>
      <c r="HH180" s="15"/>
      <c r="HI180" s="15"/>
      <c r="HJ180" s="15"/>
      <c r="HK180" s="15"/>
      <c r="HM180" s="15"/>
      <c r="HN180" s="15"/>
      <c r="HO180" s="15"/>
      <c r="HP180" s="15"/>
      <c r="HQ180" s="15"/>
      <c r="HR180" s="15"/>
      <c r="HS180" s="15"/>
      <c r="HT180" s="15"/>
      <c r="HU180" s="15"/>
      <c r="HV180" s="15"/>
      <c r="HW180" s="15"/>
      <c r="HX180" s="15"/>
      <c r="HY180" s="15"/>
      <c r="HZ180" s="15"/>
      <c r="IQ180" s="15"/>
      <c r="IR180" s="15"/>
      <c r="IS180" s="15"/>
      <c r="IT180" s="15"/>
      <c r="IU180" s="15"/>
      <c r="IV180" s="15"/>
      <c r="IW180" s="15"/>
      <c r="IX180" s="15"/>
      <c r="IY180" s="15"/>
      <c r="IZ180" s="15"/>
      <c r="JA180" s="15"/>
      <c r="JB180" s="15"/>
      <c r="JC180" s="15"/>
      <c r="JD180" s="15"/>
      <c r="JE180" s="15"/>
      <c r="JZ180" s="15"/>
      <c r="KA180" s="15"/>
      <c r="KB180" s="15"/>
      <c r="KC180" s="15"/>
      <c r="KD180" s="15"/>
      <c r="KE180" s="15"/>
      <c r="KF180" s="15"/>
      <c r="KG180" s="15"/>
      <c r="KH180" s="15"/>
      <c r="KI180" s="15"/>
      <c r="KJ180" s="15"/>
      <c r="KK180" s="15"/>
      <c r="KL180" s="15"/>
      <c r="KM180" s="15"/>
      <c r="LI180" s="15"/>
      <c r="LJ180" s="15"/>
      <c r="LK180" s="15"/>
      <c r="LL180" s="15"/>
      <c r="LM180" s="15"/>
      <c r="LN180" s="15"/>
      <c r="LO180" s="15"/>
      <c r="LP180" s="15"/>
      <c r="LQ180" s="15"/>
      <c r="LR180" s="15"/>
    </row>
    <row r="181" spans="2:330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X181" s="15"/>
      <c r="BY181" s="15"/>
      <c r="BZ181" s="15"/>
      <c r="CA181" s="15"/>
      <c r="CB181" s="15"/>
      <c r="CC181" s="15"/>
      <c r="CD181" s="15"/>
      <c r="CE181" s="15"/>
      <c r="CF181" s="15"/>
      <c r="CG181" s="15"/>
      <c r="CH181" s="15"/>
      <c r="CI181" s="15"/>
      <c r="CJ181" s="15"/>
      <c r="CK181" s="15"/>
      <c r="CL181" s="15"/>
      <c r="CM181" s="15"/>
      <c r="CN181" s="15"/>
      <c r="CO181" s="15"/>
      <c r="CP181" s="15"/>
      <c r="CQ181" s="15"/>
      <c r="CR181" s="15"/>
      <c r="CS181" s="15"/>
      <c r="CT181" s="15"/>
      <c r="CU181" s="15"/>
      <c r="EP181" s="15"/>
      <c r="EQ181" s="15"/>
      <c r="ER181" s="15"/>
      <c r="ES181" s="15"/>
      <c r="ET181" s="15"/>
      <c r="EU181" s="15"/>
      <c r="EV181" s="15"/>
      <c r="EW181" s="15"/>
      <c r="EX181" s="15"/>
      <c r="EY181" s="15"/>
      <c r="EZ181" s="15"/>
      <c r="FA181" s="15"/>
      <c r="FB181" s="15"/>
      <c r="FC181" s="15"/>
      <c r="FD181" s="15"/>
      <c r="FE181" s="15"/>
      <c r="FF181" s="15"/>
      <c r="FG181" s="15"/>
      <c r="FH181" s="15"/>
      <c r="FI181" s="15"/>
      <c r="FJ181" s="15"/>
      <c r="FK181" s="15"/>
      <c r="FL181" s="15"/>
      <c r="FM181" s="15"/>
      <c r="FN181" s="15"/>
      <c r="FO181" s="15"/>
      <c r="FP181" s="15"/>
      <c r="FQ181" s="15"/>
      <c r="FR181" s="15"/>
      <c r="FS181" s="15"/>
      <c r="FT181" s="15"/>
      <c r="FU181" s="15"/>
      <c r="FV181" s="15"/>
      <c r="FW181" s="15"/>
      <c r="FX181" s="15"/>
      <c r="FY181" s="15"/>
      <c r="FZ181" s="15"/>
      <c r="GA181" s="15"/>
      <c r="GB181" s="15"/>
      <c r="GC181" s="15"/>
      <c r="GD181" s="15"/>
      <c r="GE181" s="15"/>
      <c r="GF181" s="15"/>
      <c r="HH181" s="15"/>
      <c r="HI181" s="15"/>
      <c r="HJ181" s="15"/>
      <c r="HK181" s="15"/>
      <c r="HL181" s="15"/>
      <c r="HM181" s="15"/>
      <c r="HN181" s="15"/>
      <c r="HO181" s="15"/>
      <c r="HP181" s="15"/>
      <c r="HQ181" s="15"/>
      <c r="HR181" s="15"/>
      <c r="HS181" s="15"/>
      <c r="HT181" s="15"/>
      <c r="HU181" s="15"/>
      <c r="HV181" s="15"/>
      <c r="HW181" s="15"/>
      <c r="HX181" s="15"/>
      <c r="HY181" s="15"/>
      <c r="HZ181" s="15"/>
      <c r="IQ181" s="15"/>
      <c r="IR181" s="15"/>
      <c r="IS181" s="15"/>
      <c r="IT181" s="15"/>
      <c r="IU181" s="15"/>
      <c r="IV181" s="15"/>
      <c r="IW181" s="15"/>
      <c r="IX181" s="15"/>
      <c r="IY181" s="15"/>
      <c r="IZ181" s="15"/>
      <c r="JA181" s="15"/>
      <c r="JB181" s="15"/>
      <c r="JC181" s="15"/>
      <c r="JD181" s="15"/>
      <c r="JE181" s="15"/>
      <c r="JF181" s="15"/>
      <c r="JZ181" s="15"/>
      <c r="KA181" s="15"/>
      <c r="KB181" s="15"/>
      <c r="KC181" s="15"/>
      <c r="KD181" s="15"/>
      <c r="KE181" s="15"/>
      <c r="KF181" s="15"/>
      <c r="KG181" s="15"/>
      <c r="KH181" s="15"/>
      <c r="KI181" s="15"/>
      <c r="KJ181" s="15"/>
      <c r="KK181" s="15"/>
      <c r="KL181" s="15"/>
      <c r="KM181" s="15"/>
      <c r="LI181" s="15"/>
      <c r="LJ181" s="15"/>
      <c r="LK181" s="15"/>
      <c r="LL181" s="15"/>
      <c r="LM181" s="15"/>
      <c r="LN181" s="15"/>
      <c r="LO181" s="15"/>
      <c r="LP181" s="15"/>
      <c r="LQ181" s="15"/>
      <c r="LR181" s="15"/>
    </row>
    <row r="182" spans="2:330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BA182" s="15"/>
      <c r="BB182" s="15"/>
      <c r="BC182" s="15"/>
      <c r="BD182" s="15"/>
      <c r="BE182" s="15"/>
      <c r="BF182" s="15"/>
      <c r="BG182" s="15"/>
      <c r="BH182" s="15"/>
      <c r="BX182" s="15"/>
      <c r="BY182" s="15"/>
      <c r="BZ182" s="15"/>
      <c r="CA182" s="15"/>
      <c r="CB182" s="15"/>
      <c r="CC182" s="15"/>
      <c r="CD182" s="15"/>
      <c r="CE182" s="15"/>
      <c r="CF182" s="15"/>
      <c r="CG182" s="15"/>
      <c r="CH182" s="15"/>
      <c r="CI182" s="15"/>
      <c r="CJ182" s="15"/>
      <c r="CK182" s="15"/>
      <c r="CN182" s="15"/>
      <c r="CO182" s="15"/>
      <c r="CP182" s="15"/>
      <c r="EP182" s="15"/>
      <c r="EQ182" s="15"/>
      <c r="ER182" s="15"/>
      <c r="ES182" s="15"/>
      <c r="ET182" s="15"/>
      <c r="EU182" s="15"/>
      <c r="EV182" s="15"/>
      <c r="EW182" s="15"/>
      <c r="EX182" s="15"/>
      <c r="EY182" s="15"/>
      <c r="FA182" s="15"/>
      <c r="FB182" s="15"/>
      <c r="FC182" s="15"/>
      <c r="FD182" s="15"/>
      <c r="FE182" s="15"/>
      <c r="FF182" s="15"/>
      <c r="FH182" s="15"/>
      <c r="FI182" s="15"/>
      <c r="FJ182" s="15"/>
      <c r="FK182" s="15"/>
      <c r="FL182" s="15"/>
      <c r="FM182" s="15"/>
      <c r="FN182" s="15"/>
      <c r="FO182" s="15"/>
      <c r="FP182" s="15"/>
      <c r="FQ182" s="15"/>
      <c r="FR182" s="15"/>
      <c r="FT182" s="15"/>
      <c r="FU182" s="15"/>
      <c r="FY182" s="15"/>
      <c r="FZ182" s="15"/>
      <c r="GA182" s="15"/>
      <c r="GC182" s="15"/>
      <c r="GD182" s="15"/>
      <c r="GE182" s="15"/>
      <c r="GF182" s="15"/>
      <c r="HH182" s="15"/>
      <c r="HI182" s="15"/>
      <c r="HJ182" s="15"/>
      <c r="HK182" s="15"/>
      <c r="HM182" s="15"/>
      <c r="HN182" s="15"/>
      <c r="HO182" s="15"/>
      <c r="HP182" s="15"/>
      <c r="HQ182" s="15"/>
      <c r="HR182" s="15"/>
      <c r="HS182" s="15"/>
      <c r="HT182" s="15"/>
      <c r="HU182" s="15"/>
      <c r="HV182" s="15"/>
      <c r="HW182" s="15"/>
      <c r="HX182" s="15"/>
      <c r="IQ182" s="15"/>
      <c r="IR182" s="15"/>
      <c r="IS182" s="15"/>
      <c r="IT182" s="15"/>
      <c r="IU182" s="15"/>
      <c r="IV182" s="15"/>
      <c r="IW182" s="15"/>
      <c r="IX182" s="15"/>
      <c r="IY182" s="15"/>
      <c r="IZ182" s="15"/>
      <c r="JA182" s="15"/>
      <c r="JB182" s="15"/>
      <c r="JE182" s="15"/>
      <c r="JF182" s="15"/>
      <c r="JZ182" s="15"/>
      <c r="KA182" s="15"/>
      <c r="KB182" s="15"/>
      <c r="KC182" s="15"/>
      <c r="KD182" s="15"/>
      <c r="KE182" s="15"/>
      <c r="KF182" s="15"/>
      <c r="KG182" s="15"/>
      <c r="KH182" s="15"/>
      <c r="KI182" s="15"/>
      <c r="KJ182" s="15"/>
      <c r="KK182" s="15"/>
      <c r="KL182" s="15"/>
      <c r="LI182" s="15"/>
      <c r="LJ182" s="15"/>
      <c r="LK182" s="15"/>
      <c r="LL182" s="15"/>
      <c r="LM182" s="15"/>
      <c r="LN182" s="15"/>
      <c r="LO182" s="15"/>
      <c r="LP182" s="15"/>
      <c r="LQ182" s="15"/>
      <c r="LR182" s="15"/>
    </row>
    <row r="183" spans="2:330">
      <c r="B183" s="15"/>
      <c r="C183" s="15"/>
      <c r="D183" s="15"/>
      <c r="E183" s="15"/>
      <c r="F183" s="15"/>
      <c r="G183" s="15"/>
      <c r="H183" s="15"/>
      <c r="I183" s="15"/>
      <c r="J183" s="15"/>
      <c r="L183" s="15"/>
      <c r="M183" s="15"/>
      <c r="N183" s="15"/>
      <c r="O183" s="15"/>
      <c r="P183" s="15"/>
      <c r="Q183" s="15"/>
      <c r="R183" s="15"/>
      <c r="S183" s="15"/>
      <c r="T183" s="15"/>
      <c r="V183" s="15"/>
      <c r="W183" s="15"/>
      <c r="Y183" s="15"/>
      <c r="Z183" s="15"/>
      <c r="AA183" s="15"/>
      <c r="AB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X183" s="15"/>
      <c r="BY183" s="15"/>
      <c r="CB183" s="15"/>
      <c r="CC183" s="15"/>
      <c r="CD183" s="15"/>
      <c r="CF183" s="15"/>
      <c r="CG183" s="15"/>
      <c r="CH183" s="15"/>
      <c r="CI183" s="15"/>
      <c r="CJ183" s="15"/>
      <c r="CL183" s="15"/>
      <c r="CM183" s="15"/>
      <c r="CN183" s="15"/>
      <c r="CO183" s="15"/>
      <c r="CP183" s="15"/>
      <c r="CQ183" s="15"/>
      <c r="CR183" s="15"/>
      <c r="CS183" s="15"/>
      <c r="CT183" s="15"/>
      <c r="CU183" s="15"/>
      <c r="EP183" s="15"/>
      <c r="EQ183" s="15"/>
      <c r="ER183" s="15"/>
      <c r="ES183" s="15"/>
      <c r="ET183" s="15"/>
      <c r="EU183" s="15"/>
      <c r="EV183" s="15"/>
      <c r="EW183" s="15"/>
      <c r="EX183" s="15"/>
      <c r="EY183" s="15"/>
      <c r="EZ183" s="15"/>
      <c r="FA183" s="15"/>
      <c r="FC183" s="15"/>
      <c r="FD183" s="15"/>
      <c r="FE183" s="15"/>
      <c r="FF183" s="15"/>
      <c r="FG183" s="15"/>
      <c r="FH183" s="15"/>
      <c r="FJ183" s="15"/>
      <c r="FK183" s="15"/>
      <c r="FM183" s="15"/>
      <c r="FN183" s="15"/>
      <c r="FO183" s="15"/>
      <c r="FP183" s="15"/>
      <c r="FR183" s="15"/>
      <c r="FS183" s="15"/>
      <c r="FT183" s="15"/>
      <c r="FU183" s="15"/>
      <c r="FV183" s="15"/>
      <c r="FX183" s="15"/>
      <c r="FY183" s="15"/>
      <c r="FZ183" s="15"/>
      <c r="GA183" s="15"/>
      <c r="GB183" s="15"/>
      <c r="GC183" s="15"/>
      <c r="GD183" s="15"/>
      <c r="GE183" s="15"/>
      <c r="GF183" s="15"/>
      <c r="HH183" s="15"/>
      <c r="HI183" s="15"/>
      <c r="HJ183" s="15"/>
      <c r="HK183" s="15"/>
      <c r="HN183" s="15"/>
      <c r="HO183" s="15"/>
      <c r="HP183" s="15"/>
      <c r="HQ183" s="15"/>
      <c r="HR183" s="15"/>
      <c r="HS183" s="15"/>
      <c r="HT183" s="15"/>
      <c r="HU183" s="15"/>
      <c r="HW183" s="15"/>
      <c r="HX183" s="15"/>
      <c r="HZ183" s="15"/>
      <c r="IQ183" s="15"/>
      <c r="IR183" s="15"/>
      <c r="IS183" s="15"/>
      <c r="IT183" s="15"/>
      <c r="IU183" s="15"/>
      <c r="IV183" s="15"/>
      <c r="IW183" s="15"/>
      <c r="IX183" s="15"/>
      <c r="IY183" s="15"/>
      <c r="IZ183" s="15"/>
      <c r="JA183" s="15"/>
      <c r="JB183" s="15"/>
      <c r="JC183" s="15"/>
      <c r="JD183" s="15"/>
      <c r="JE183" s="15"/>
      <c r="JF183" s="15"/>
      <c r="JZ183" s="15"/>
      <c r="KA183" s="15"/>
      <c r="KB183" s="15"/>
      <c r="KC183" s="15"/>
      <c r="KD183" s="15"/>
      <c r="KE183" s="15"/>
      <c r="KF183" s="15"/>
      <c r="KG183" s="15"/>
      <c r="KH183" s="15"/>
      <c r="KI183" s="15"/>
      <c r="KJ183" s="15"/>
      <c r="KK183" s="15"/>
      <c r="KL183" s="15"/>
      <c r="KM183" s="15"/>
      <c r="LI183" s="15"/>
      <c r="LJ183" s="15"/>
      <c r="LK183" s="15"/>
      <c r="LL183" s="15"/>
      <c r="LM183" s="15"/>
      <c r="LN183" s="15"/>
      <c r="LO183" s="15"/>
      <c r="LP183" s="15"/>
      <c r="LQ183" s="15"/>
      <c r="LR183" s="15"/>
    </row>
    <row r="184" spans="2:330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X184" s="15"/>
      <c r="BY184" s="15"/>
      <c r="BZ184" s="15"/>
      <c r="CA184" s="15"/>
      <c r="CB184" s="15"/>
      <c r="CC184" s="15"/>
      <c r="CD184" s="15"/>
      <c r="CE184" s="15"/>
      <c r="CF184" s="15"/>
      <c r="CG184" s="15"/>
      <c r="CH184" s="15"/>
      <c r="CI184" s="15"/>
      <c r="CJ184" s="15"/>
      <c r="CK184" s="15"/>
      <c r="CL184" s="15"/>
      <c r="CM184" s="15"/>
      <c r="CN184" s="15"/>
      <c r="CO184" s="15"/>
      <c r="CP184" s="15"/>
      <c r="CQ184" s="15"/>
      <c r="CR184" s="15"/>
      <c r="CS184" s="15"/>
      <c r="CT184" s="15"/>
      <c r="CU184" s="15"/>
      <c r="EP184" s="15"/>
      <c r="EQ184" s="15"/>
      <c r="ER184" s="15"/>
      <c r="ES184" s="15"/>
      <c r="ET184" s="15"/>
      <c r="EU184" s="15"/>
      <c r="EV184" s="15"/>
      <c r="EW184" s="15"/>
      <c r="EX184" s="15"/>
      <c r="EY184" s="15"/>
      <c r="EZ184" s="15"/>
      <c r="FA184" s="15"/>
      <c r="FB184" s="15"/>
      <c r="FC184" s="15"/>
      <c r="FD184" s="15"/>
      <c r="FE184" s="15"/>
      <c r="FF184" s="15"/>
      <c r="FG184" s="15"/>
      <c r="FH184" s="15"/>
      <c r="FI184" s="15"/>
      <c r="FJ184" s="15"/>
      <c r="FK184" s="15"/>
      <c r="FL184" s="15"/>
      <c r="FM184" s="15"/>
      <c r="FN184" s="15"/>
      <c r="FO184" s="15"/>
      <c r="FP184" s="15"/>
      <c r="FQ184" s="15"/>
      <c r="FR184" s="15"/>
      <c r="FS184" s="15"/>
      <c r="FT184" s="15"/>
      <c r="FU184" s="15"/>
      <c r="FV184" s="15"/>
      <c r="FW184" s="15"/>
      <c r="FX184" s="15"/>
      <c r="FY184" s="15"/>
      <c r="FZ184" s="15"/>
      <c r="GA184" s="15"/>
      <c r="GB184" s="15"/>
      <c r="GC184" s="15"/>
      <c r="GD184" s="15"/>
      <c r="GE184" s="15"/>
      <c r="GF184" s="15"/>
      <c r="HH184" s="15"/>
      <c r="HI184" s="15"/>
      <c r="HJ184" s="15"/>
      <c r="HK184" s="15"/>
      <c r="HL184" s="15"/>
      <c r="HM184" s="15"/>
      <c r="HN184" s="15"/>
      <c r="HO184" s="15"/>
      <c r="HP184" s="15"/>
      <c r="HQ184" s="15"/>
      <c r="HR184" s="15"/>
      <c r="HS184" s="15"/>
      <c r="HT184" s="15"/>
      <c r="HU184" s="15"/>
      <c r="HV184" s="15"/>
      <c r="HW184" s="15"/>
      <c r="HX184" s="15"/>
      <c r="HY184" s="15"/>
      <c r="HZ184" s="15"/>
      <c r="IQ184" s="15"/>
      <c r="IR184" s="15"/>
      <c r="IS184" s="15"/>
      <c r="IT184" s="15"/>
      <c r="IU184" s="15"/>
      <c r="IV184" s="15"/>
      <c r="IW184" s="15"/>
      <c r="IX184" s="15"/>
      <c r="IY184" s="15"/>
      <c r="IZ184" s="15"/>
      <c r="JA184" s="15"/>
      <c r="JB184" s="15"/>
      <c r="JD184" s="15"/>
      <c r="JF184" s="15"/>
      <c r="JZ184" s="15"/>
      <c r="KA184" s="15"/>
      <c r="KB184" s="15"/>
      <c r="KC184" s="15"/>
      <c r="KD184" s="15"/>
      <c r="KE184" s="15"/>
      <c r="KF184" s="15"/>
      <c r="KG184" s="15"/>
      <c r="KH184" s="15"/>
      <c r="KI184" s="15"/>
      <c r="KJ184" s="15"/>
      <c r="KK184" s="15"/>
      <c r="KL184" s="15"/>
      <c r="KM184" s="15"/>
      <c r="LI184" s="15"/>
      <c r="LJ184" s="15"/>
      <c r="LK184" s="15"/>
      <c r="LL184" s="15"/>
      <c r="LM184" s="15"/>
      <c r="LN184" s="15"/>
      <c r="LO184" s="15"/>
      <c r="LP184" s="15"/>
      <c r="LQ184" s="15"/>
      <c r="LR184" s="15"/>
    </row>
    <row r="185" spans="2:330">
      <c r="B185" s="15"/>
      <c r="C185" s="15"/>
      <c r="D185" s="15"/>
      <c r="E185" s="15"/>
      <c r="F185" s="15"/>
      <c r="G185" s="15"/>
      <c r="H185" s="15"/>
      <c r="I185" s="15"/>
      <c r="L185" s="15"/>
      <c r="N185" s="15"/>
      <c r="O185" s="15"/>
      <c r="P185" s="15"/>
      <c r="Q185" s="15"/>
      <c r="T185" s="15"/>
      <c r="U185" s="15"/>
      <c r="W185" s="15"/>
      <c r="X185" s="15"/>
      <c r="AA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X185" s="15"/>
      <c r="BY185" s="15"/>
      <c r="CA185" s="15"/>
      <c r="CC185" s="15"/>
      <c r="CD185" s="15"/>
      <c r="CE185" s="15"/>
      <c r="CF185" s="15"/>
      <c r="CG185" s="15"/>
      <c r="CH185" s="15"/>
      <c r="CI185" s="15"/>
      <c r="CJ185" s="15"/>
      <c r="CN185" s="15"/>
      <c r="CP185" s="15"/>
      <c r="CQ185" s="15"/>
      <c r="EP185" s="15"/>
      <c r="EQ185" s="15"/>
      <c r="ER185" s="15"/>
      <c r="ES185" s="15"/>
      <c r="ET185" s="15"/>
      <c r="EU185" s="15"/>
      <c r="EV185" s="15"/>
      <c r="EW185" s="15"/>
      <c r="EY185" s="15"/>
      <c r="EZ185" s="15"/>
      <c r="FA185" s="15"/>
      <c r="FB185" s="15"/>
      <c r="FC185" s="15"/>
      <c r="FD185" s="15"/>
      <c r="FE185" s="15"/>
      <c r="FF185" s="15"/>
      <c r="FG185" s="15"/>
      <c r="FH185" s="15"/>
      <c r="FI185" s="15"/>
      <c r="FJ185" s="15"/>
      <c r="FK185" s="15"/>
      <c r="FL185" s="15"/>
      <c r="FM185" s="15"/>
      <c r="FN185" s="15"/>
      <c r="FO185" s="15"/>
      <c r="FP185" s="15"/>
      <c r="FQ185" s="15"/>
      <c r="FS185" s="15"/>
      <c r="FT185" s="15"/>
      <c r="FU185" s="15"/>
      <c r="FY185" s="15"/>
      <c r="FZ185" s="15"/>
      <c r="GA185" s="15"/>
      <c r="GB185" s="15"/>
      <c r="GC185" s="15"/>
      <c r="GD185" s="15"/>
      <c r="GE185" s="15"/>
      <c r="HH185" s="15"/>
      <c r="HI185" s="15"/>
      <c r="HK185" s="15"/>
      <c r="HM185" s="15"/>
      <c r="HN185" s="15"/>
      <c r="HO185" s="15"/>
      <c r="HP185" s="15"/>
      <c r="HQ185" s="15"/>
      <c r="HR185" s="15"/>
      <c r="HT185" s="15"/>
      <c r="HW185" s="15"/>
      <c r="HX185" s="15"/>
      <c r="HZ185" s="15"/>
      <c r="IQ185" s="15"/>
      <c r="IR185" s="15"/>
      <c r="IS185" s="15"/>
      <c r="IT185" s="15"/>
      <c r="IU185" s="15"/>
      <c r="IV185" s="15"/>
      <c r="IW185" s="15"/>
      <c r="IX185" s="15"/>
      <c r="IY185" s="15"/>
      <c r="IZ185" s="15"/>
      <c r="JA185" s="15"/>
      <c r="JB185" s="15"/>
      <c r="JD185" s="15"/>
      <c r="JE185" s="15"/>
      <c r="JF185" s="15"/>
      <c r="JZ185" s="15"/>
      <c r="KA185" s="15"/>
      <c r="KB185" s="15"/>
      <c r="KC185" s="15"/>
      <c r="KD185" s="15"/>
      <c r="KE185" s="15"/>
      <c r="KF185" s="15"/>
      <c r="KG185" s="15"/>
      <c r="KH185" s="15"/>
      <c r="KI185" s="15"/>
      <c r="KJ185" s="15"/>
      <c r="KK185" s="15"/>
      <c r="KL185" s="15"/>
      <c r="LI185" s="15"/>
      <c r="LJ185" s="15"/>
      <c r="LK185" s="15"/>
      <c r="LL185" s="15"/>
      <c r="LM185" s="15"/>
      <c r="LN185" s="15"/>
      <c r="LO185" s="15"/>
      <c r="LP185" s="15"/>
      <c r="LQ185" s="15"/>
      <c r="LR185" s="15"/>
    </row>
    <row r="186" spans="2:330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H186" s="15"/>
      <c r="BX186" s="15"/>
      <c r="BY186" s="15"/>
      <c r="BZ186" s="15"/>
      <c r="CA186" s="15"/>
      <c r="CB186" s="15"/>
      <c r="CC186" s="15"/>
      <c r="CD186" s="15"/>
      <c r="CE186" s="15"/>
      <c r="CF186" s="15"/>
      <c r="CG186" s="15"/>
      <c r="CH186" s="15"/>
      <c r="CI186" s="15"/>
      <c r="CJ186" s="15"/>
      <c r="CK186" s="15"/>
      <c r="CL186" s="15"/>
      <c r="CM186" s="15"/>
      <c r="CN186" s="15"/>
      <c r="CO186" s="15"/>
      <c r="CP186" s="15"/>
      <c r="CS186" s="15"/>
      <c r="CU186" s="15"/>
      <c r="EP186" s="15"/>
      <c r="EQ186" s="15"/>
      <c r="ER186" s="15"/>
      <c r="ES186" s="15"/>
      <c r="ET186" s="15"/>
      <c r="EU186" s="15"/>
      <c r="EV186" s="15"/>
      <c r="EW186" s="15"/>
      <c r="EX186" s="15"/>
      <c r="EY186" s="15"/>
      <c r="EZ186" s="15"/>
      <c r="FA186" s="15"/>
      <c r="FB186" s="15"/>
      <c r="FC186" s="15"/>
      <c r="FD186" s="15"/>
      <c r="FE186" s="15"/>
      <c r="FF186" s="15"/>
      <c r="FG186" s="15"/>
      <c r="FH186" s="15"/>
      <c r="FI186" s="15"/>
      <c r="FJ186" s="15"/>
      <c r="FK186" s="15"/>
      <c r="FL186" s="15"/>
      <c r="FM186" s="15"/>
      <c r="FN186" s="15"/>
      <c r="FO186" s="15"/>
      <c r="FP186" s="15"/>
      <c r="FQ186" s="15"/>
      <c r="FR186" s="15"/>
      <c r="FS186" s="15"/>
      <c r="FT186" s="15"/>
      <c r="FU186" s="15"/>
      <c r="FV186" s="15"/>
      <c r="FW186" s="15"/>
      <c r="FX186" s="15"/>
      <c r="FY186" s="15"/>
      <c r="FZ186" s="15"/>
      <c r="GA186" s="15"/>
      <c r="GB186" s="15"/>
      <c r="GC186" s="15"/>
      <c r="GD186" s="15"/>
      <c r="GE186" s="15"/>
      <c r="GF186" s="15"/>
      <c r="HH186" s="15"/>
      <c r="HI186" s="15"/>
      <c r="HJ186" s="15"/>
      <c r="HK186" s="15"/>
      <c r="HL186" s="15"/>
      <c r="HM186" s="15"/>
      <c r="HN186" s="15"/>
      <c r="HO186" s="15"/>
      <c r="HP186" s="15"/>
      <c r="HQ186" s="15"/>
      <c r="HR186" s="15"/>
      <c r="HS186" s="15"/>
      <c r="HT186" s="15"/>
      <c r="HU186" s="15"/>
      <c r="HV186" s="15"/>
      <c r="HW186" s="15"/>
      <c r="HX186" s="15"/>
      <c r="HY186" s="15"/>
      <c r="HZ186" s="15"/>
      <c r="IQ186" s="15"/>
      <c r="IR186" s="15"/>
      <c r="IS186" s="15"/>
      <c r="IT186" s="15"/>
      <c r="IU186" s="15"/>
      <c r="IV186" s="15"/>
      <c r="IW186" s="15"/>
      <c r="IX186" s="15"/>
      <c r="IY186" s="15"/>
      <c r="IZ186" s="15"/>
      <c r="JA186" s="15"/>
      <c r="JB186" s="15"/>
      <c r="JC186" s="15"/>
      <c r="JD186" s="15"/>
      <c r="JE186" s="15"/>
      <c r="JF186" s="15"/>
      <c r="JZ186" s="15"/>
      <c r="KA186" s="15"/>
      <c r="KB186" s="15"/>
      <c r="KC186" s="15"/>
      <c r="KD186" s="15"/>
      <c r="KE186" s="15"/>
      <c r="KF186" s="15"/>
      <c r="KG186" s="15"/>
      <c r="KH186" s="15"/>
      <c r="KI186" s="15"/>
      <c r="KJ186" s="15"/>
      <c r="KK186" s="15"/>
      <c r="KL186" s="15"/>
      <c r="KM186" s="15"/>
      <c r="LI186" s="15"/>
      <c r="LJ186" s="15"/>
      <c r="LK186" s="15"/>
      <c r="LL186" s="15"/>
      <c r="LM186" s="15"/>
      <c r="LN186" s="15"/>
      <c r="LO186" s="15"/>
      <c r="LP186" s="15"/>
      <c r="LQ186" s="15"/>
      <c r="LR186" s="15"/>
    </row>
    <row r="187" spans="2:330">
      <c r="B187" s="15"/>
      <c r="C187" s="15"/>
      <c r="D187" s="15"/>
      <c r="E187" s="15"/>
      <c r="F187" s="15"/>
      <c r="G187" s="15"/>
      <c r="I187" s="15"/>
      <c r="J187" s="15"/>
      <c r="M187" s="15"/>
      <c r="N187" s="15"/>
      <c r="O187" s="15"/>
      <c r="T187" s="15"/>
      <c r="U187" s="15"/>
      <c r="V187" s="15"/>
      <c r="W187" s="15"/>
      <c r="AO187" s="15"/>
      <c r="AP187" s="15"/>
      <c r="AQ187" s="15"/>
      <c r="AR187" s="15"/>
      <c r="AS187" s="15"/>
      <c r="AT187" s="15"/>
      <c r="AU187" s="15"/>
      <c r="AV187" s="15"/>
      <c r="AW187" s="15"/>
      <c r="AY187" s="15"/>
      <c r="AZ187" s="15"/>
      <c r="BA187" s="15"/>
      <c r="BC187" s="15"/>
      <c r="BE187" s="15"/>
      <c r="BG187" s="15"/>
      <c r="BH187" s="15"/>
      <c r="BX187" s="15"/>
      <c r="BY187" s="15"/>
      <c r="CC187" s="15"/>
      <c r="CD187" s="15"/>
      <c r="CE187" s="15"/>
      <c r="CF187" s="15"/>
      <c r="CG187" s="15"/>
      <c r="CH187" s="15"/>
      <c r="CI187" s="15"/>
      <c r="CJ187" s="15"/>
      <c r="CK187" s="15"/>
      <c r="CM187" s="15"/>
      <c r="CN187" s="15"/>
      <c r="CO187" s="15"/>
      <c r="CP187" s="15"/>
      <c r="CQ187" s="15"/>
      <c r="CR187" s="15"/>
      <c r="CS187" s="15"/>
      <c r="EP187" s="15"/>
      <c r="EQ187" s="15"/>
      <c r="ER187" s="15"/>
      <c r="ES187" s="15"/>
      <c r="ET187" s="15"/>
      <c r="EU187" s="15"/>
      <c r="EV187" s="15"/>
      <c r="EW187" s="15"/>
      <c r="EX187" s="15"/>
      <c r="EY187" s="15"/>
      <c r="EZ187" s="15"/>
      <c r="FA187" s="15"/>
      <c r="FB187" s="15"/>
      <c r="FC187" s="15"/>
      <c r="FD187" s="15"/>
      <c r="FE187" s="15"/>
      <c r="FF187" s="15"/>
      <c r="FG187" s="15"/>
      <c r="FH187" s="15"/>
      <c r="FI187" s="15"/>
      <c r="FJ187" s="15"/>
      <c r="FL187" s="15"/>
      <c r="FM187" s="15"/>
      <c r="FN187" s="15"/>
      <c r="FO187" s="15"/>
      <c r="FP187" s="15"/>
      <c r="FQ187" s="15"/>
      <c r="FR187" s="15"/>
      <c r="FS187" s="15"/>
      <c r="FT187" s="15"/>
      <c r="FU187" s="15"/>
      <c r="FV187" s="15"/>
      <c r="FW187" s="15"/>
      <c r="FY187" s="15"/>
      <c r="FZ187" s="15"/>
      <c r="GA187" s="15"/>
      <c r="GB187" s="15"/>
      <c r="GC187" s="15"/>
      <c r="GD187" s="15"/>
      <c r="GF187" s="15"/>
      <c r="HH187" s="15"/>
      <c r="HI187" s="15"/>
      <c r="HJ187" s="15"/>
      <c r="HM187" s="15"/>
      <c r="HN187" s="15"/>
      <c r="HO187" s="15"/>
      <c r="HP187" s="15"/>
      <c r="HT187" s="15"/>
      <c r="HU187" s="15"/>
      <c r="HV187" s="15"/>
      <c r="IQ187" s="15"/>
      <c r="IR187" s="15"/>
      <c r="IS187" s="15"/>
      <c r="IU187" s="15"/>
      <c r="IV187" s="15"/>
      <c r="IW187" s="15"/>
      <c r="IZ187" s="15"/>
      <c r="JA187" s="15"/>
      <c r="JC187" s="15"/>
      <c r="JE187" s="15"/>
      <c r="JF187" s="15"/>
      <c r="JZ187" s="15"/>
      <c r="KA187" s="15"/>
      <c r="KB187" s="15"/>
      <c r="KC187" s="15"/>
      <c r="KD187" s="15"/>
      <c r="KE187" s="15"/>
      <c r="KF187" s="15"/>
      <c r="KG187" s="15"/>
      <c r="KH187" s="15"/>
      <c r="KI187" s="15"/>
      <c r="KJ187" s="15"/>
      <c r="KK187" s="15"/>
      <c r="KL187" s="15"/>
      <c r="KM187" s="15"/>
      <c r="LI187" s="15"/>
      <c r="LJ187" s="15"/>
      <c r="LK187" s="15"/>
      <c r="LL187" s="15"/>
      <c r="LM187" s="15"/>
      <c r="LN187" s="15"/>
      <c r="LO187" s="15"/>
    </row>
    <row r="188" spans="2:330">
      <c r="B188" s="15"/>
      <c r="C188" s="15"/>
      <c r="D188" s="15"/>
      <c r="E188" s="15"/>
      <c r="F188" s="15"/>
      <c r="G188" s="15"/>
      <c r="H188" s="15"/>
      <c r="I188" s="15"/>
      <c r="L188" s="15"/>
      <c r="M188" s="15"/>
      <c r="N188" s="15"/>
      <c r="O188" s="15"/>
      <c r="R188" s="15"/>
      <c r="S188" s="15"/>
      <c r="T188" s="15"/>
      <c r="U188" s="15"/>
      <c r="V188" s="15"/>
      <c r="W188" s="15"/>
      <c r="X188" s="15"/>
      <c r="Z188" s="15"/>
      <c r="AA188" s="15"/>
      <c r="AB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X188" s="15"/>
      <c r="BY188" s="15"/>
      <c r="BZ188" s="15"/>
      <c r="CB188" s="15"/>
      <c r="CC188" s="15"/>
      <c r="CD188" s="15"/>
      <c r="CE188" s="15"/>
      <c r="CG188" s="15"/>
      <c r="CH188" s="15"/>
      <c r="CI188" s="15"/>
      <c r="CJ188" s="15"/>
      <c r="CK188" s="15"/>
      <c r="CM188" s="15"/>
      <c r="CN188" s="15"/>
      <c r="CO188" s="15"/>
      <c r="CP188" s="15"/>
      <c r="CQ188" s="15"/>
      <c r="CR188" s="15"/>
      <c r="CS188" s="15"/>
      <c r="CT188" s="15"/>
      <c r="CU188" s="15"/>
      <c r="EP188" s="15"/>
      <c r="EQ188" s="15"/>
      <c r="ER188" s="15"/>
      <c r="ES188" s="15"/>
      <c r="ET188" s="15"/>
      <c r="EU188" s="15"/>
      <c r="EV188" s="15"/>
      <c r="EW188" s="15"/>
      <c r="EX188" s="15"/>
      <c r="EY188" s="15"/>
      <c r="EZ188" s="15"/>
      <c r="FA188" s="15"/>
      <c r="FB188" s="15"/>
      <c r="FC188" s="15"/>
      <c r="FD188" s="15"/>
      <c r="FE188" s="15"/>
      <c r="FF188" s="15"/>
      <c r="FG188" s="15"/>
      <c r="FH188" s="15"/>
      <c r="FI188" s="15"/>
      <c r="FJ188" s="15"/>
      <c r="FK188" s="15"/>
      <c r="FL188" s="15"/>
      <c r="FM188" s="15"/>
      <c r="FN188" s="15"/>
      <c r="FO188" s="15"/>
      <c r="FP188" s="15"/>
      <c r="FQ188" s="15"/>
      <c r="FR188" s="15"/>
      <c r="FS188" s="15"/>
      <c r="FT188" s="15"/>
      <c r="FU188" s="15"/>
      <c r="FV188" s="15"/>
      <c r="FW188" s="15"/>
      <c r="FX188" s="15"/>
      <c r="FY188" s="15"/>
      <c r="FZ188" s="15"/>
      <c r="GA188" s="15"/>
      <c r="GB188" s="15"/>
      <c r="GC188" s="15"/>
      <c r="GD188" s="15"/>
      <c r="GE188" s="15"/>
      <c r="GF188" s="15"/>
      <c r="HH188" s="15"/>
      <c r="HI188" s="15"/>
      <c r="HK188" s="15"/>
      <c r="HM188" s="15"/>
      <c r="HN188" s="15"/>
      <c r="HO188" s="15"/>
      <c r="HP188" s="15"/>
      <c r="HQ188" s="15"/>
      <c r="HR188" s="15"/>
      <c r="HS188" s="15"/>
      <c r="HT188" s="15"/>
      <c r="HU188" s="15"/>
      <c r="HW188" s="15"/>
      <c r="HX188" s="15"/>
      <c r="HY188" s="15"/>
      <c r="HZ188" s="15"/>
      <c r="IQ188" s="15"/>
      <c r="IR188" s="15"/>
      <c r="IS188" s="15"/>
      <c r="IT188" s="15"/>
      <c r="IU188" s="15"/>
      <c r="IV188" s="15"/>
      <c r="IW188" s="15"/>
      <c r="IX188" s="15"/>
      <c r="IY188" s="15"/>
      <c r="IZ188" s="15"/>
      <c r="JA188" s="15"/>
      <c r="JB188" s="15"/>
      <c r="JC188" s="15"/>
      <c r="JD188" s="15"/>
      <c r="JE188" s="15"/>
      <c r="JF188" s="15"/>
      <c r="JZ188" s="15"/>
      <c r="KA188" s="15"/>
      <c r="KB188" s="15"/>
      <c r="KC188" s="15"/>
      <c r="KD188" s="15"/>
      <c r="KE188" s="15"/>
      <c r="KF188" s="15"/>
      <c r="KG188" s="15"/>
      <c r="KH188" s="15"/>
      <c r="KI188" s="15"/>
      <c r="KJ188" s="15"/>
      <c r="KK188" s="15"/>
      <c r="KL188" s="15"/>
      <c r="KM188" s="15"/>
      <c r="LI188" s="15"/>
      <c r="LJ188" s="15"/>
      <c r="LK188" s="15"/>
      <c r="LL188" s="15"/>
      <c r="LM188" s="15"/>
      <c r="LN188" s="15"/>
      <c r="LO188" s="15"/>
      <c r="LP188" s="15"/>
      <c r="LQ188" s="15"/>
      <c r="LR188" s="15"/>
    </row>
    <row r="189" spans="2:330">
      <c r="B189" s="15"/>
      <c r="C189" s="15"/>
      <c r="D189" s="15"/>
      <c r="E189" s="15"/>
      <c r="F189" s="15"/>
      <c r="G189" s="15"/>
      <c r="H189" s="15"/>
      <c r="I189" s="15"/>
      <c r="J189" s="15"/>
      <c r="L189" s="15"/>
      <c r="M189" s="15"/>
      <c r="N189" s="15"/>
      <c r="O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C189" s="15"/>
      <c r="BD189" s="15"/>
      <c r="BE189" s="15"/>
      <c r="BF189" s="15"/>
      <c r="BG189" s="15"/>
      <c r="BH189" s="15"/>
      <c r="BX189" s="15"/>
      <c r="BY189" s="15"/>
      <c r="BZ189" s="15"/>
      <c r="CA189" s="15"/>
      <c r="CB189" s="15"/>
      <c r="CG189" s="15"/>
      <c r="CH189" s="15"/>
      <c r="CI189" s="15"/>
      <c r="CJ189" s="15"/>
      <c r="CK189" s="15"/>
      <c r="CL189" s="15"/>
      <c r="CM189" s="15"/>
      <c r="CN189" s="15"/>
      <c r="CO189" s="15"/>
      <c r="CP189" s="15"/>
      <c r="CQ189" s="15"/>
      <c r="CR189" s="15"/>
      <c r="CS189" s="15"/>
      <c r="CT189" s="15"/>
      <c r="CU189" s="15"/>
      <c r="EP189" s="15"/>
      <c r="EQ189" s="15"/>
      <c r="ER189" s="15"/>
      <c r="ES189" s="15"/>
      <c r="ET189" s="15"/>
      <c r="EU189" s="15"/>
      <c r="EV189" s="15"/>
      <c r="EW189" s="15"/>
      <c r="EX189" s="15"/>
      <c r="EY189" s="15"/>
      <c r="EZ189" s="15"/>
      <c r="FA189" s="15"/>
      <c r="FB189" s="15"/>
      <c r="FC189" s="15"/>
      <c r="FD189" s="15"/>
      <c r="FE189" s="15"/>
      <c r="FF189" s="15"/>
      <c r="FG189" s="15"/>
      <c r="FH189" s="15"/>
      <c r="FI189" s="15"/>
      <c r="FJ189" s="15"/>
      <c r="FK189" s="15"/>
      <c r="FL189" s="15"/>
      <c r="FM189" s="15"/>
      <c r="FN189" s="15"/>
      <c r="FO189" s="15"/>
      <c r="FP189" s="15"/>
      <c r="FQ189" s="15"/>
      <c r="FR189" s="15"/>
      <c r="FS189" s="15"/>
      <c r="FT189" s="15"/>
      <c r="FU189" s="15"/>
      <c r="FV189" s="15"/>
      <c r="FW189" s="15"/>
      <c r="FX189" s="15"/>
      <c r="FY189" s="15"/>
      <c r="FZ189" s="15"/>
      <c r="GA189" s="15"/>
      <c r="GC189" s="15"/>
      <c r="GD189" s="15"/>
      <c r="GE189" s="15"/>
      <c r="GF189" s="15"/>
      <c r="HH189" s="15"/>
      <c r="HI189" s="15"/>
      <c r="HJ189" s="15"/>
      <c r="HN189" s="15"/>
      <c r="HO189" s="15"/>
      <c r="HP189" s="15"/>
      <c r="HQ189" s="15"/>
      <c r="HR189" s="15"/>
      <c r="HS189" s="15"/>
      <c r="HT189" s="15"/>
      <c r="HU189" s="15"/>
      <c r="HV189" s="15"/>
      <c r="HW189" s="15"/>
      <c r="HX189" s="15"/>
      <c r="IQ189" s="15"/>
      <c r="IR189" s="15"/>
      <c r="IS189" s="15"/>
      <c r="IT189" s="15"/>
      <c r="IU189" s="15"/>
      <c r="IV189" s="15"/>
      <c r="IW189" s="15"/>
      <c r="IX189" s="15"/>
      <c r="IY189" s="15"/>
      <c r="IZ189" s="15"/>
      <c r="JA189" s="15"/>
      <c r="JB189" s="15"/>
      <c r="JC189" s="15"/>
      <c r="JD189" s="15"/>
      <c r="JE189" s="15"/>
      <c r="JF189" s="15"/>
      <c r="JZ189" s="15"/>
      <c r="KA189" s="15"/>
      <c r="KB189" s="15"/>
      <c r="KC189" s="15"/>
      <c r="KD189" s="15"/>
      <c r="KE189" s="15"/>
      <c r="KF189" s="15"/>
      <c r="KG189" s="15"/>
      <c r="KH189" s="15"/>
      <c r="KI189" s="15"/>
      <c r="KJ189" s="15"/>
      <c r="KK189" s="15"/>
      <c r="KL189" s="15"/>
      <c r="LI189" s="15"/>
      <c r="LJ189" s="15"/>
      <c r="LK189" s="15"/>
      <c r="LL189" s="15"/>
      <c r="LM189" s="15"/>
      <c r="LN189" s="15"/>
      <c r="LO189" s="15"/>
      <c r="LP189" s="15"/>
      <c r="LQ189" s="15"/>
      <c r="LR189" s="15"/>
    </row>
    <row r="190" spans="2:330">
      <c r="B190" s="15"/>
      <c r="C190" s="15"/>
      <c r="D190" s="15"/>
      <c r="E190" s="15"/>
      <c r="F190" s="15"/>
      <c r="G190" s="15"/>
      <c r="H190" s="15"/>
      <c r="I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V190" s="15"/>
      <c r="W190" s="15"/>
      <c r="X190" s="15"/>
      <c r="Y190" s="15"/>
      <c r="Z190" s="15"/>
      <c r="AB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X190" s="15"/>
      <c r="BY190" s="15"/>
      <c r="BZ190" s="15"/>
      <c r="CC190" s="15"/>
      <c r="CD190" s="15"/>
      <c r="CE190" s="15"/>
      <c r="CF190" s="15"/>
      <c r="CG190" s="15"/>
      <c r="CH190" s="15"/>
      <c r="CI190" s="15"/>
      <c r="CJ190" s="15"/>
      <c r="CM190" s="15"/>
      <c r="CN190" s="15"/>
      <c r="CO190" s="15"/>
      <c r="CP190" s="15"/>
      <c r="CQ190" s="15"/>
      <c r="CR190" s="15"/>
      <c r="CS190" s="15"/>
      <c r="DG190" s="15"/>
      <c r="DH190" s="15"/>
      <c r="DI190" s="15"/>
      <c r="DJ190" s="15"/>
      <c r="DK190" s="15"/>
      <c r="DL190" s="15"/>
      <c r="DM190" s="15"/>
      <c r="DN190" s="15"/>
      <c r="DP190" s="15"/>
      <c r="DQ190" s="15"/>
      <c r="DR190" s="15"/>
      <c r="DS190" s="15"/>
      <c r="DT190" s="15"/>
      <c r="DU190" s="15"/>
      <c r="DW190" s="15"/>
      <c r="DX190" s="15"/>
      <c r="DY190" s="15"/>
      <c r="DZ190" s="15"/>
      <c r="EA190" s="15"/>
      <c r="EB190" s="15"/>
      <c r="ED190" s="15"/>
      <c r="EE190" s="15"/>
      <c r="EF190" s="15"/>
      <c r="EG190" s="15"/>
      <c r="EH190" s="15"/>
      <c r="EI190" s="15"/>
      <c r="EJ190" s="15"/>
      <c r="EK190" s="15"/>
      <c r="EL190" s="15"/>
      <c r="EM190" s="15"/>
      <c r="EN190" s="15"/>
      <c r="EO190" s="15"/>
      <c r="EP190" s="15"/>
      <c r="EQ190" s="15"/>
      <c r="ER190" s="15"/>
      <c r="ES190" s="15"/>
      <c r="ET190" s="15"/>
      <c r="EU190" s="15"/>
      <c r="EV190" s="15"/>
      <c r="EW190" s="15"/>
      <c r="EY190" s="15"/>
      <c r="EZ190" s="15"/>
      <c r="FA190" s="15"/>
      <c r="FB190" s="15"/>
      <c r="FC190" s="15"/>
      <c r="FD190" s="15"/>
      <c r="FF190" s="15"/>
      <c r="FG190" s="15"/>
      <c r="FH190" s="15"/>
      <c r="FI190" s="15"/>
      <c r="FJ190" s="15"/>
      <c r="FK190" s="15"/>
      <c r="FM190" s="15"/>
      <c r="FN190" s="15"/>
      <c r="FO190" s="15"/>
      <c r="FP190" s="15"/>
      <c r="FQ190" s="15"/>
      <c r="FR190" s="15"/>
      <c r="FS190" s="15"/>
      <c r="FT190" s="15"/>
      <c r="FU190" s="15"/>
      <c r="FV190" s="15"/>
      <c r="FW190" s="15"/>
      <c r="FX190" s="15"/>
      <c r="FY190" s="15"/>
      <c r="FZ190" s="15"/>
      <c r="GA190" s="15"/>
      <c r="GB190" s="15"/>
      <c r="GC190" s="15"/>
      <c r="GD190" s="15"/>
      <c r="GE190" s="15"/>
      <c r="GF190" s="15"/>
      <c r="HH190" s="15"/>
      <c r="HI190" s="15"/>
      <c r="HK190" s="15"/>
      <c r="HM190" s="15"/>
      <c r="HN190" s="15"/>
      <c r="HO190" s="15"/>
      <c r="HP190" s="15"/>
      <c r="HQ190" s="15"/>
      <c r="HR190" s="15"/>
      <c r="HS190" s="15"/>
      <c r="HT190" s="15"/>
      <c r="HU190" s="15"/>
      <c r="HW190" s="15"/>
      <c r="HX190" s="15"/>
      <c r="HY190" s="15"/>
      <c r="HZ190" s="15"/>
      <c r="IQ190" s="15"/>
      <c r="IR190" s="15"/>
      <c r="IS190" s="15"/>
      <c r="IT190" s="15"/>
      <c r="IU190" s="15"/>
      <c r="IV190" s="15"/>
      <c r="IW190" s="15"/>
      <c r="IY190" s="15"/>
      <c r="IZ190" s="15"/>
      <c r="JA190" s="15"/>
      <c r="JB190" s="15"/>
      <c r="JC190" s="15"/>
      <c r="JE190" s="15"/>
      <c r="JF190" s="15"/>
      <c r="JZ190" s="15"/>
      <c r="KA190" s="15"/>
      <c r="KB190" s="15"/>
      <c r="KC190" s="15"/>
      <c r="KD190" s="15"/>
      <c r="KE190" s="15"/>
      <c r="KF190" s="15"/>
      <c r="KG190" s="15"/>
      <c r="KH190" s="15"/>
      <c r="KI190" s="15"/>
      <c r="KJ190" s="15"/>
      <c r="KK190" s="15"/>
      <c r="KL190" s="15"/>
      <c r="KM190" s="15"/>
      <c r="LI190" s="15"/>
      <c r="LJ190" s="15"/>
      <c r="LK190" s="15"/>
      <c r="LL190" s="15"/>
      <c r="LM190" s="15"/>
      <c r="LN190" s="15"/>
      <c r="LO190" s="15"/>
      <c r="LP190" s="15"/>
      <c r="LQ190" s="15"/>
      <c r="LR190" s="15"/>
    </row>
    <row r="191" spans="2:330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X191" s="15"/>
      <c r="BY191" s="15"/>
      <c r="BZ191" s="15"/>
      <c r="CA191" s="15"/>
      <c r="CB191" s="15"/>
      <c r="CC191" s="15"/>
      <c r="CD191" s="15"/>
      <c r="CE191" s="15"/>
      <c r="CF191" s="15"/>
      <c r="CG191" s="15"/>
      <c r="CH191" s="15"/>
      <c r="CI191" s="15"/>
      <c r="CJ191" s="15"/>
      <c r="CK191" s="15"/>
      <c r="CL191" s="15"/>
      <c r="CM191" s="15"/>
      <c r="CN191" s="15"/>
      <c r="CO191" s="15"/>
      <c r="CP191" s="15"/>
      <c r="CQ191" s="15"/>
      <c r="EP191" s="15"/>
      <c r="EQ191" s="15"/>
      <c r="ER191" s="15"/>
      <c r="ES191" s="15"/>
      <c r="ET191" s="15"/>
      <c r="EU191" s="15"/>
      <c r="EV191" s="15"/>
      <c r="EW191" s="15"/>
      <c r="EX191" s="15"/>
      <c r="EY191" s="15"/>
      <c r="EZ191" s="15"/>
      <c r="FA191" s="15"/>
      <c r="FB191" s="15"/>
      <c r="FC191" s="15"/>
      <c r="FD191" s="15"/>
      <c r="FE191" s="15"/>
      <c r="FF191" s="15"/>
      <c r="FG191" s="15"/>
      <c r="FH191" s="15"/>
      <c r="FI191" s="15"/>
      <c r="FJ191" s="15"/>
      <c r="FK191" s="15"/>
      <c r="FL191" s="15"/>
      <c r="FM191" s="15"/>
      <c r="FN191" s="15"/>
      <c r="FO191" s="15"/>
      <c r="FP191" s="15"/>
      <c r="FQ191" s="15"/>
      <c r="FR191" s="15"/>
      <c r="FS191" s="15"/>
      <c r="FT191" s="15"/>
      <c r="FU191" s="15"/>
      <c r="FV191" s="15"/>
      <c r="FW191" s="15"/>
      <c r="FX191" s="15"/>
      <c r="FY191" s="15"/>
      <c r="FZ191" s="15"/>
      <c r="GA191" s="15"/>
      <c r="GB191" s="15"/>
      <c r="GC191" s="15"/>
      <c r="GD191" s="15"/>
      <c r="GE191" s="15"/>
      <c r="GF191" s="15"/>
      <c r="HH191" s="15"/>
      <c r="HI191" s="15"/>
      <c r="HJ191" s="15"/>
      <c r="HK191" s="15"/>
      <c r="HL191" s="15"/>
      <c r="HM191" s="15"/>
      <c r="HN191" s="15"/>
      <c r="HO191" s="15"/>
      <c r="HP191" s="15"/>
      <c r="HQ191" s="15"/>
      <c r="HR191" s="15"/>
      <c r="HS191" s="15"/>
      <c r="HT191" s="15"/>
      <c r="HU191" s="15"/>
      <c r="HV191" s="15"/>
      <c r="HW191" s="15"/>
      <c r="HX191" s="15"/>
      <c r="HY191" s="15"/>
      <c r="HZ191" s="15"/>
      <c r="IQ191" s="15"/>
      <c r="IR191" s="15"/>
      <c r="IS191" s="15"/>
      <c r="IT191" s="15"/>
      <c r="IU191" s="15"/>
      <c r="IV191" s="15"/>
      <c r="IW191" s="15"/>
      <c r="IX191" s="15"/>
      <c r="IY191" s="15"/>
      <c r="IZ191" s="15"/>
      <c r="JA191" s="15"/>
      <c r="JB191" s="15"/>
      <c r="JC191" s="15"/>
      <c r="JD191" s="15"/>
      <c r="JZ191" s="15"/>
      <c r="KA191" s="15"/>
      <c r="KB191" s="15"/>
      <c r="KC191" s="15"/>
      <c r="KD191" s="15"/>
      <c r="KE191" s="15"/>
      <c r="KF191" s="15"/>
      <c r="KG191" s="15"/>
      <c r="KH191" s="15"/>
      <c r="KI191" s="15"/>
      <c r="KJ191" s="15"/>
      <c r="KK191" s="15"/>
      <c r="KL191" s="15"/>
      <c r="LI191" s="15"/>
      <c r="LJ191" s="15"/>
      <c r="LK191" s="15"/>
      <c r="LL191" s="15"/>
      <c r="LM191" s="15"/>
      <c r="LN191" s="15"/>
      <c r="LO191" s="15"/>
      <c r="LP191" s="15"/>
      <c r="LQ191" s="15"/>
      <c r="LR191" s="15"/>
    </row>
    <row r="192" spans="2:330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X192" s="15"/>
      <c r="BY192" s="15"/>
      <c r="BZ192" s="15"/>
      <c r="CA192" s="15"/>
      <c r="CB192" s="15"/>
      <c r="CC192" s="15"/>
      <c r="CD192" s="15"/>
      <c r="CE192" s="15"/>
      <c r="CF192" s="15"/>
      <c r="EP192" s="15"/>
      <c r="EQ192" s="15"/>
      <c r="ER192" s="15"/>
      <c r="ES192" s="15"/>
      <c r="ET192" s="15"/>
      <c r="EU192" s="15"/>
      <c r="EV192" s="15"/>
      <c r="EW192" s="15"/>
      <c r="EX192" s="15"/>
      <c r="EY192" s="15"/>
      <c r="EZ192" s="15"/>
      <c r="FA192" s="15"/>
      <c r="FB192" s="15"/>
      <c r="FC192" s="15"/>
      <c r="FD192" s="15"/>
      <c r="FE192" s="15"/>
      <c r="FF192" s="15"/>
      <c r="FG192" s="15"/>
      <c r="FH192" s="15"/>
      <c r="FI192" s="15"/>
      <c r="FJ192" s="15"/>
      <c r="FK192" s="15"/>
      <c r="FL192" s="15"/>
      <c r="FM192" s="15"/>
      <c r="FN192" s="15"/>
      <c r="FO192" s="15"/>
      <c r="FP192" s="15"/>
      <c r="FQ192" s="15"/>
      <c r="FR192" s="15"/>
      <c r="FS192" s="15"/>
      <c r="FT192" s="15"/>
      <c r="FU192" s="15"/>
      <c r="FV192" s="15"/>
      <c r="FW192" s="15"/>
      <c r="FX192" s="15"/>
      <c r="FY192" s="15"/>
      <c r="FZ192" s="15"/>
      <c r="GA192" s="15"/>
      <c r="GB192" s="15"/>
      <c r="GC192" s="15"/>
      <c r="GD192" s="15"/>
      <c r="GE192" s="15"/>
      <c r="GF192" s="15"/>
      <c r="HH192" s="15"/>
      <c r="HI192" s="15"/>
      <c r="HJ192" s="15"/>
      <c r="HK192" s="15"/>
      <c r="HL192" s="15"/>
      <c r="HM192" s="15"/>
      <c r="HN192" s="15"/>
      <c r="HO192" s="15"/>
      <c r="HP192" s="15"/>
      <c r="HQ192" s="15"/>
      <c r="HR192" s="15"/>
      <c r="HS192" s="15"/>
      <c r="HT192" s="15"/>
      <c r="HU192" s="15"/>
      <c r="HV192" s="15"/>
      <c r="HW192" s="15"/>
      <c r="HX192" s="15"/>
      <c r="HY192" s="15"/>
      <c r="HZ192" s="15"/>
      <c r="IQ192" s="15"/>
      <c r="IR192" s="15"/>
      <c r="IS192" s="15"/>
      <c r="IT192" s="15"/>
      <c r="IU192" s="15"/>
      <c r="IV192" s="15"/>
      <c r="IW192" s="15"/>
      <c r="IX192" s="15"/>
      <c r="IY192" s="15"/>
      <c r="IZ192" s="15"/>
      <c r="JA192" s="15"/>
      <c r="JB192" s="15"/>
      <c r="JC192" s="15"/>
      <c r="JD192" s="15"/>
      <c r="JE192" s="15"/>
      <c r="JF192" s="15"/>
      <c r="JZ192" s="15"/>
      <c r="KA192" s="15"/>
      <c r="KB192" s="15"/>
      <c r="KC192" s="15"/>
      <c r="KD192" s="15"/>
      <c r="KE192" s="15"/>
      <c r="KF192" s="15"/>
      <c r="KG192" s="15"/>
      <c r="KH192" s="15"/>
      <c r="KI192" s="15"/>
      <c r="KJ192" s="15"/>
      <c r="KK192" s="15"/>
      <c r="KL192" s="15"/>
      <c r="KM192" s="15"/>
      <c r="LI192" s="15"/>
      <c r="LJ192" s="15"/>
      <c r="LK192" s="15"/>
      <c r="LL192" s="15"/>
      <c r="LM192" s="15"/>
      <c r="LN192" s="15"/>
      <c r="LO192" s="15"/>
      <c r="LP192" s="15"/>
      <c r="LQ192" s="15"/>
      <c r="LR192" s="15"/>
    </row>
    <row r="193" spans="2:330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X193" s="15"/>
      <c r="BY193" s="15"/>
      <c r="BZ193" s="15"/>
      <c r="CA193" s="15"/>
      <c r="CB193" s="15"/>
      <c r="CC193" s="15"/>
      <c r="CD193" s="15"/>
      <c r="CE193" s="15"/>
      <c r="CF193" s="15"/>
      <c r="CG193" s="15"/>
      <c r="CH193" s="15"/>
      <c r="CI193" s="15"/>
      <c r="CJ193" s="15"/>
      <c r="CK193" s="15"/>
      <c r="CL193" s="15"/>
      <c r="CM193" s="15"/>
      <c r="CN193" s="15"/>
      <c r="CO193" s="15"/>
      <c r="CP193" s="15"/>
      <c r="CQ193" s="15"/>
      <c r="CR193" s="15"/>
      <c r="CS193" s="15"/>
      <c r="CT193" s="15"/>
      <c r="CU193" s="15"/>
      <c r="EP193" s="15"/>
      <c r="EQ193" s="15"/>
      <c r="ER193" s="15"/>
      <c r="ES193" s="15"/>
      <c r="ET193" s="15"/>
      <c r="EU193" s="15"/>
      <c r="EV193" s="15"/>
      <c r="EW193" s="15"/>
      <c r="EX193" s="15"/>
      <c r="EY193" s="15"/>
      <c r="EZ193" s="15"/>
      <c r="FA193" s="15"/>
      <c r="FB193" s="15"/>
      <c r="FC193" s="15"/>
      <c r="FD193" s="15"/>
      <c r="FE193" s="15"/>
      <c r="FF193" s="15"/>
      <c r="FG193" s="15"/>
      <c r="FH193" s="15"/>
      <c r="FI193" s="15"/>
      <c r="FJ193" s="15"/>
      <c r="FK193" s="15"/>
      <c r="FL193" s="15"/>
      <c r="FM193" s="15"/>
      <c r="FN193" s="15"/>
      <c r="FO193" s="15"/>
      <c r="FP193" s="15"/>
      <c r="FQ193" s="15"/>
      <c r="FR193" s="15"/>
      <c r="FS193" s="15"/>
      <c r="FT193" s="15"/>
      <c r="FU193" s="15"/>
      <c r="FV193" s="15"/>
      <c r="FW193" s="15"/>
      <c r="FX193" s="15"/>
      <c r="FY193" s="15"/>
      <c r="FZ193" s="15"/>
      <c r="GA193" s="15"/>
      <c r="GB193" s="15"/>
      <c r="GC193" s="15"/>
      <c r="GD193" s="15"/>
      <c r="GE193" s="15"/>
      <c r="GF193" s="15"/>
      <c r="HH193" s="15"/>
      <c r="HI193" s="15"/>
      <c r="HJ193" s="15"/>
      <c r="HK193" s="15"/>
      <c r="HL193" s="15"/>
      <c r="HM193" s="15"/>
      <c r="HN193" s="15"/>
      <c r="HO193" s="15"/>
      <c r="HP193" s="15"/>
      <c r="HQ193" s="15"/>
      <c r="HR193" s="15"/>
      <c r="HS193" s="15"/>
      <c r="HT193" s="15"/>
      <c r="HU193" s="15"/>
      <c r="HV193" s="15"/>
      <c r="HW193" s="15"/>
      <c r="HX193" s="15"/>
      <c r="HY193" s="15"/>
      <c r="HZ193" s="15"/>
      <c r="IQ193" s="15"/>
      <c r="IR193" s="15"/>
      <c r="IS193" s="15"/>
      <c r="IT193" s="15"/>
      <c r="IU193" s="15"/>
      <c r="IV193" s="15"/>
      <c r="IW193" s="15"/>
      <c r="IX193" s="15"/>
      <c r="IY193" s="15"/>
      <c r="IZ193" s="15"/>
      <c r="JA193" s="15"/>
      <c r="JB193" s="15"/>
      <c r="JC193" s="15"/>
      <c r="JD193" s="15"/>
      <c r="JE193" s="15"/>
      <c r="JF193" s="15"/>
      <c r="JZ193" s="15"/>
      <c r="KA193" s="15"/>
      <c r="KB193" s="15"/>
      <c r="KC193" s="15"/>
      <c r="KD193" s="15"/>
      <c r="KE193" s="15"/>
      <c r="KF193" s="15"/>
      <c r="KG193" s="15"/>
      <c r="KH193" s="15"/>
      <c r="KI193" s="15"/>
      <c r="KJ193" s="15"/>
      <c r="KK193" s="15"/>
      <c r="KL193" s="15"/>
      <c r="KM193" s="15"/>
      <c r="LI193" s="15"/>
      <c r="LJ193" s="15"/>
      <c r="LK193" s="15"/>
      <c r="LL193" s="15"/>
      <c r="LM193" s="15"/>
      <c r="LN193" s="15"/>
      <c r="LO193" s="15"/>
      <c r="LP193" s="15"/>
      <c r="LQ193" s="15"/>
      <c r="LR193" s="15"/>
    </row>
    <row r="194" spans="2:330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X194" s="15"/>
      <c r="BY194" s="15"/>
      <c r="BZ194" s="15"/>
      <c r="CA194" s="15"/>
      <c r="CB194" s="15"/>
      <c r="CC194" s="15"/>
      <c r="CD194" s="15"/>
      <c r="CE194" s="15"/>
      <c r="CF194" s="15"/>
      <c r="CG194" s="15"/>
      <c r="CH194" s="15"/>
      <c r="CI194" s="15"/>
      <c r="CJ194" s="15"/>
      <c r="CK194" s="15"/>
      <c r="CL194" s="15"/>
      <c r="CM194" s="15"/>
      <c r="CN194" s="15"/>
      <c r="CO194" s="15"/>
      <c r="CP194" s="15"/>
      <c r="CQ194" s="15"/>
      <c r="CR194" s="15"/>
      <c r="CS194" s="15"/>
      <c r="CT194" s="15"/>
      <c r="CU194" s="15"/>
      <c r="EP194" s="15"/>
      <c r="EQ194" s="15"/>
      <c r="ER194" s="15"/>
      <c r="ES194" s="15"/>
      <c r="ET194" s="15"/>
      <c r="EU194" s="15"/>
      <c r="EV194" s="15"/>
      <c r="EW194" s="15"/>
      <c r="EX194" s="15"/>
      <c r="EY194" s="15"/>
      <c r="EZ194" s="15"/>
      <c r="FA194" s="15"/>
      <c r="FB194" s="15"/>
      <c r="FC194" s="15"/>
      <c r="FD194" s="15"/>
      <c r="FE194" s="15"/>
      <c r="FF194" s="15"/>
      <c r="FG194" s="15"/>
      <c r="FH194" s="15"/>
      <c r="FI194" s="15"/>
      <c r="FJ194" s="15"/>
      <c r="FK194" s="15"/>
      <c r="FL194" s="15"/>
      <c r="FM194" s="15"/>
      <c r="FN194" s="15"/>
      <c r="FO194" s="15"/>
      <c r="FP194" s="15"/>
      <c r="FQ194" s="15"/>
      <c r="FR194" s="15"/>
      <c r="FS194" s="15"/>
      <c r="FT194" s="15"/>
      <c r="FU194" s="15"/>
      <c r="FV194" s="15"/>
      <c r="FW194" s="15"/>
      <c r="FX194" s="15"/>
      <c r="FY194" s="15"/>
      <c r="FZ194" s="15"/>
      <c r="GA194" s="15"/>
      <c r="GB194" s="15"/>
      <c r="GC194" s="15"/>
      <c r="GD194" s="15"/>
      <c r="GE194" s="15"/>
      <c r="GF194" s="15"/>
      <c r="HH194" s="15"/>
      <c r="HI194" s="15"/>
      <c r="HJ194" s="15"/>
      <c r="HK194" s="15"/>
      <c r="HL194" s="15"/>
      <c r="HM194" s="15"/>
      <c r="HN194" s="15"/>
      <c r="HO194" s="15"/>
      <c r="HP194" s="15"/>
      <c r="HQ194" s="15"/>
      <c r="HR194" s="15"/>
      <c r="HS194" s="15"/>
      <c r="HT194" s="15"/>
      <c r="HU194" s="15"/>
      <c r="HV194" s="15"/>
      <c r="HW194" s="15"/>
      <c r="HX194" s="15"/>
      <c r="HY194" s="15"/>
      <c r="HZ194" s="15"/>
      <c r="IQ194" s="15"/>
      <c r="IR194" s="15"/>
      <c r="IS194" s="15"/>
      <c r="IT194" s="15"/>
      <c r="IU194" s="15"/>
      <c r="IV194" s="15"/>
      <c r="IW194" s="15"/>
      <c r="IX194" s="15"/>
      <c r="IY194" s="15"/>
      <c r="IZ194" s="15"/>
      <c r="JA194" s="15"/>
      <c r="JB194" s="15"/>
      <c r="JC194" s="15"/>
      <c r="JD194" s="15"/>
      <c r="JE194" s="15"/>
      <c r="JF194" s="15"/>
      <c r="JZ194" s="15"/>
      <c r="KA194" s="15"/>
      <c r="KB194" s="15"/>
      <c r="KC194" s="15"/>
      <c r="KD194" s="15"/>
      <c r="KE194" s="15"/>
      <c r="KF194" s="15"/>
      <c r="KG194" s="15"/>
      <c r="KH194" s="15"/>
      <c r="KI194" s="15"/>
      <c r="KJ194" s="15"/>
      <c r="KK194" s="15"/>
      <c r="KL194" s="15"/>
      <c r="KM194" s="15"/>
      <c r="LI194" s="15"/>
      <c r="LJ194" s="15"/>
      <c r="LK194" s="15"/>
      <c r="LL194" s="15"/>
      <c r="LM194" s="15"/>
      <c r="LN194" s="15"/>
      <c r="LO194" s="15"/>
      <c r="LP194" s="15"/>
      <c r="LQ194" s="15"/>
      <c r="LR194" s="15"/>
    </row>
    <row r="195" spans="2:330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X195" s="15"/>
      <c r="BY195" s="15"/>
      <c r="BZ195" s="15"/>
      <c r="CA195" s="15"/>
      <c r="CB195" s="15"/>
      <c r="EP195" s="15"/>
      <c r="EQ195" s="15"/>
      <c r="ER195" s="15"/>
      <c r="ES195" s="15"/>
      <c r="ET195" s="15"/>
      <c r="EU195" s="15"/>
      <c r="EV195" s="15"/>
      <c r="EW195" s="15"/>
      <c r="EX195" s="15"/>
      <c r="EY195" s="15"/>
      <c r="EZ195" s="15"/>
      <c r="FA195" s="15"/>
      <c r="FB195" s="15"/>
      <c r="FC195" s="15"/>
      <c r="FD195" s="15"/>
      <c r="FE195" s="15"/>
      <c r="FF195" s="15"/>
      <c r="FG195" s="15"/>
      <c r="FH195" s="15"/>
      <c r="FI195" s="15"/>
      <c r="FJ195" s="15"/>
      <c r="FK195" s="15"/>
      <c r="FL195" s="15"/>
      <c r="FM195" s="15"/>
      <c r="FN195" s="15"/>
      <c r="FO195" s="15"/>
      <c r="FP195" s="15"/>
      <c r="FQ195" s="15"/>
      <c r="FR195" s="15"/>
      <c r="FS195" s="15"/>
      <c r="FT195" s="15"/>
      <c r="FU195" s="15"/>
      <c r="FY195" s="15"/>
      <c r="FZ195" s="15"/>
      <c r="GA195" s="15"/>
      <c r="GB195" s="15"/>
      <c r="GC195" s="15"/>
      <c r="GD195" s="15"/>
      <c r="GE195" s="15"/>
      <c r="GF195" s="15"/>
      <c r="HH195" s="15"/>
      <c r="HI195" s="15"/>
      <c r="HJ195" s="15"/>
      <c r="HL195" s="15"/>
      <c r="HM195" s="15"/>
      <c r="HN195" s="15"/>
      <c r="HO195" s="15"/>
      <c r="HP195" s="15"/>
      <c r="HQ195" s="15"/>
      <c r="HR195" s="15"/>
      <c r="HS195" s="15"/>
      <c r="HT195" s="15"/>
      <c r="HU195" s="15"/>
      <c r="HV195" s="15"/>
      <c r="HW195" s="15"/>
      <c r="HX195" s="15"/>
      <c r="HZ195" s="15"/>
      <c r="IQ195" s="15"/>
      <c r="IR195" s="15"/>
      <c r="IS195" s="15"/>
      <c r="IT195" s="15"/>
      <c r="IU195" s="15"/>
      <c r="IV195" s="15"/>
      <c r="IW195" s="15"/>
      <c r="IX195" s="15"/>
      <c r="IY195" s="15"/>
      <c r="IZ195" s="15"/>
      <c r="JA195" s="15"/>
      <c r="JB195" s="15"/>
      <c r="JC195" s="15"/>
      <c r="JD195" s="15"/>
      <c r="JE195" s="15"/>
      <c r="JF195" s="15"/>
      <c r="JZ195" s="15"/>
      <c r="KA195" s="15"/>
      <c r="KB195" s="15"/>
      <c r="KC195" s="15"/>
      <c r="KD195" s="15"/>
      <c r="KE195" s="15"/>
      <c r="KF195" s="15"/>
      <c r="KG195" s="15"/>
      <c r="KH195" s="15"/>
      <c r="KI195" s="15"/>
      <c r="KJ195" s="15"/>
      <c r="KK195" s="15"/>
      <c r="KL195" s="15"/>
      <c r="KM195" s="15"/>
      <c r="LI195" s="15"/>
      <c r="LJ195" s="15"/>
      <c r="LK195" s="15"/>
      <c r="LL195" s="15"/>
      <c r="LM195" s="15"/>
      <c r="LN195" s="15"/>
      <c r="LO195" s="15"/>
      <c r="LP195" s="15"/>
      <c r="LQ195" s="15"/>
      <c r="LR195" s="15"/>
    </row>
    <row r="196" spans="2:330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X196" s="15"/>
      <c r="BY196" s="15"/>
      <c r="BZ196" s="15"/>
      <c r="CA196" s="15"/>
      <c r="CB196" s="15"/>
      <c r="CG196" s="15"/>
      <c r="CH196" s="15"/>
      <c r="CI196" s="15"/>
      <c r="CJ196" s="15"/>
      <c r="CK196" s="15"/>
      <c r="CL196" s="15"/>
      <c r="CM196" s="15"/>
      <c r="CN196" s="15"/>
      <c r="CO196" s="15"/>
      <c r="CP196" s="15"/>
      <c r="CQ196" s="15"/>
      <c r="CR196" s="15"/>
      <c r="CS196" s="15"/>
      <c r="CT196" s="15"/>
      <c r="CU196" s="15"/>
      <c r="EP196" s="15"/>
      <c r="EQ196" s="15"/>
      <c r="ER196" s="15"/>
      <c r="ES196" s="15"/>
      <c r="ET196" s="15"/>
      <c r="EU196" s="15"/>
      <c r="EV196" s="15"/>
      <c r="EW196" s="15"/>
      <c r="EX196" s="15"/>
      <c r="EY196" s="15"/>
      <c r="EZ196" s="15"/>
      <c r="FA196" s="15"/>
      <c r="FB196" s="15"/>
      <c r="FC196" s="15"/>
      <c r="FD196" s="15"/>
      <c r="FE196" s="15"/>
      <c r="FF196" s="15"/>
      <c r="FG196" s="15"/>
      <c r="FH196" s="15"/>
      <c r="FI196" s="15"/>
      <c r="FJ196" s="15"/>
      <c r="FK196" s="15"/>
      <c r="FL196" s="15"/>
      <c r="FM196" s="15"/>
      <c r="FN196" s="15"/>
      <c r="FO196" s="15"/>
      <c r="FP196" s="15"/>
      <c r="FQ196" s="15"/>
      <c r="FR196" s="15"/>
      <c r="FS196" s="15"/>
      <c r="FT196" s="15"/>
      <c r="FU196" s="15"/>
      <c r="FV196" s="15"/>
      <c r="FW196" s="15"/>
      <c r="FX196" s="15"/>
      <c r="FY196" s="15"/>
      <c r="FZ196" s="15"/>
      <c r="GA196" s="15"/>
      <c r="GB196" s="15"/>
      <c r="GC196" s="15"/>
      <c r="GD196" s="15"/>
      <c r="GE196" s="15"/>
      <c r="GF196" s="15"/>
      <c r="HH196" s="15"/>
      <c r="HI196" s="15"/>
      <c r="HJ196" s="15"/>
      <c r="HK196" s="15"/>
      <c r="HL196" s="15"/>
      <c r="HM196" s="15"/>
      <c r="HN196" s="15"/>
      <c r="HO196" s="15"/>
      <c r="HP196" s="15"/>
      <c r="HQ196" s="15"/>
      <c r="HR196" s="15"/>
      <c r="HS196" s="15"/>
      <c r="HT196" s="15"/>
      <c r="HU196" s="15"/>
      <c r="HV196" s="15"/>
      <c r="HW196" s="15"/>
      <c r="HX196" s="15"/>
      <c r="HY196" s="15"/>
      <c r="HZ196" s="15"/>
      <c r="IQ196" s="15"/>
      <c r="IR196" s="15"/>
      <c r="IS196" s="15"/>
      <c r="IT196" s="15"/>
      <c r="IU196" s="15"/>
      <c r="IV196" s="15"/>
      <c r="IW196" s="15"/>
      <c r="IX196" s="15"/>
      <c r="IY196" s="15"/>
      <c r="IZ196" s="15"/>
      <c r="JA196" s="15"/>
      <c r="JB196" s="15"/>
      <c r="JC196" s="15"/>
      <c r="JD196" s="15"/>
      <c r="JE196" s="15"/>
      <c r="JF196" s="15"/>
      <c r="JZ196" s="15"/>
      <c r="KA196" s="15"/>
      <c r="KB196" s="15"/>
      <c r="KC196" s="15"/>
      <c r="KD196" s="15"/>
      <c r="KE196" s="15"/>
      <c r="KF196" s="15"/>
      <c r="KG196" s="15"/>
      <c r="KH196" s="15"/>
      <c r="KI196" s="15"/>
      <c r="KJ196" s="15"/>
      <c r="KK196" s="15"/>
      <c r="KL196" s="15"/>
      <c r="KM196" s="15"/>
      <c r="LI196" s="15"/>
      <c r="LJ196" s="15"/>
      <c r="LK196" s="15"/>
      <c r="LL196" s="15"/>
      <c r="LM196" s="15"/>
      <c r="LN196" s="15"/>
      <c r="LO196" s="15"/>
      <c r="LP196" s="15"/>
      <c r="LQ196" s="15"/>
      <c r="LR196" s="15"/>
    </row>
    <row r="197" spans="2:330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W197" s="15"/>
      <c r="X197" s="15"/>
      <c r="Y197" s="15"/>
      <c r="Z197" s="15"/>
      <c r="AA197" s="15"/>
      <c r="AB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X197" s="15"/>
      <c r="BY197" s="15"/>
      <c r="BZ197" s="15"/>
      <c r="CA197" s="15"/>
      <c r="CB197" s="15"/>
      <c r="CC197" s="15"/>
      <c r="CD197" s="15"/>
      <c r="CE197" s="15"/>
      <c r="CF197" s="15"/>
      <c r="CG197" s="15"/>
      <c r="CH197" s="15"/>
      <c r="CI197" s="15"/>
      <c r="CJ197" s="15"/>
      <c r="CK197" s="15"/>
      <c r="CL197" s="15"/>
      <c r="CM197" s="15"/>
      <c r="CN197" s="15"/>
      <c r="CO197" s="15"/>
      <c r="CP197" s="15"/>
      <c r="CQ197" s="15"/>
      <c r="EP197" s="15"/>
      <c r="EQ197" s="15"/>
      <c r="ER197" s="15"/>
      <c r="ES197" s="15"/>
      <c r="ET197" s="15"/>
      <c r="EU197" s="15"/>
      <c r="EV197" s="15"/>
      <c r="EW197" s="15"/>
      <c r="EX197" s="15"/>
      <c r="EY197" s="15"/>
      <c r="EZ197" s="15"/>
      <c r="FA197" s="15"/>
      <c r="FB197" s="15"/>
      <c r="FC197" s="15"/>
      <c r="FD197" s="15"/>
      <c r="FE197" s="15"/>
      <c r="FF197" s="15"/>
      <c r="FG197" s="15"/>
      <c r="FH197" s="15"/>
      <c r="FJ197" s="15"/>
      <c r="FK197" s="15"/>
      <c r="FL197" s="15"/>
      <c r="FM197" s="15"/>
      <c r="FN197" s="15"/>
      <c r="FO197" s="15"/>
      <c r="FP197" s="15"/>
      <c r="FQ197" s="15"/>
      <c r="FR197" s="15"/>
      <c r="FS197" s="15"/>
      <c r="FT197" s="15"/>
      <c r="FU197" s="15"/>
      <c r="FV197" s="15"/>
      <c r="FW197" s="15"/>
      <c r="FX197" s="15"/>
      <c r="FY197" s="15"/>
      <c r="FZ197" s="15"/>
      <c r="GA197" s="15"/>
      <c r="GB197" s="15"/>
      <c r="GC197" s="15"/>
      <c r="GD197" s="15"/>
      <c r="GE197" s="15"/>
      <c r="GF197" s="15"/>
      <c r="HH197" s="15"/>
      <c r="HI197" s="15"/>
      <c r="HJ197" s="15"/>
      <c r="HK197" s="15"/>
      <c r="HL197" s="15"/>
      <c r="HM197" s="15"/>
      <c r="HO197" s="15"/>
      <c r="HP197" s="15"/>
      <c r="HQ197" s="15"/>
      <c r="HR197" s="15"/>
      <c r="HS197" s="15"/>
      <c r="HT197" s="15"/>
      <c r="HU197" s="15"/>
      <c r="HV197" s="15"/>
      <c r="HW197" s="15"/>
      <c r="HX197" s="15"/>
      <c r="HY197" s="15"/>
      <c r="HZ197" s="15"/>
      <c r="IQ197" s="15"/>
      <c r="IR197" s="15"/>
      <c r="IS197" s="15"/>
      <c r="IT197" s="15"/>
      <c r="IU197" s="15"/>
      <c r="IV197" s="15"/>
      <c r="IW197" s="15"/>
      <c r="IX197" s="15"/>
      <c r="IY197" s="15"/>
      <c r="IZ197" s="15"/>
      <c r="JA197" s="15"/>
      <c r="JB197" s="15"/>
      <c r="JC197" s="15"/>
      <c r="JD197" s="15"/>
      <c r="JE197" s="15"/>
      <c r="JF197" s="15"/>
      <c r="JZ197" s="15"/>
      <c r="KA197" s="15"/>
      <c r="KB197" s="15"/>
      <c r="KC197" s="15"/>
      <c r="KD197" s="15"/>
      <c r="KE197" s="15"/>
      <c r="KF197" s="15"/>
      <c r="KG197" s="15"/>
      <c r="KH197" s="15"/>
      <c r="KI197" s="15"/>
      <c r="KJ197" s="15"/>
      <c r="KK197" s="15"/>
      <c r="KL197" s="15"/>
      <c r="KM197" s="15"/>
      <c r="LI197" s="15"/>
      <c r="LJ197" s="15"/>
      <c r="LK197" s="15"/>
      <c r="LL197" s="15"/>
      <c r="LM197" s="15"/>
      <c r="LN197" s="15"/>
      <c r="LO197" s="15"/>
      <c r="LP197" s="15"/>
      <c r="LQ197" s="15"/>
      <c r="LR197" s="15"/>
    </row>
    <row r="198" spans="2:330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S198" s="15"/>
      <c r="T198" s="15"/>
      <c r="U198" s="15"/>
      <c r="V198" s="15"/>
      <c r="W198" s="15"/>
      <c r="X198" s="15"/>
      <c r="Y198" s="15"/>
      <c r="Z198" s="15"/>
      <c r="AA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X198" s="15"/>
      <c r="BY198" s="15"/>
      <c r="BZ198" s="15"/>
      <c r="CA198" s="15"/>
      <c r="CB198" s="15"/>
      <c r="CC198" s="15"/>
      <c r="CD198" s="15"/>
      <c r="CE198" s="15"/>
      <c r="CF198" s="15"/>
      <c r="CG198" s="15"/>
      <c r="CH198" s="15"/>
      <c r="CI198" s="15"/>
      <c r="CJ198" s="15"/>
      <c r="CK198" s="15"/>
      <c r="CL198" s="15"/>
      <c r="CM198" s="15"/>
      <c r="CN198" s="15"/>
      <c r="CO198" s="15"/>
      <c r="CP198" s="15"/>
      <c r="CQ198" s="15"/>
      <c r="CR198" s="15"/>
      <c r="CU198" s="15"/>
      <c r="EP198" s="15"/>
      <c r="EQ198" s="15"/>
      <c r="ER198" s="15"/>
      <c r="ES198" s="15"/>
      <c r="ET198" s="15"/>
      <c r="EU198" s="15"/>
      <c r="EV198" s="15"/>
      <c r="EW198" s="15"/>
      <c r="EX198" s="15"/>
      <c r="EY198" s="15"/>
      <c r="EZ198" s="15"/>
      <c r="FA198" s="15"/>
      <c r="FB198" s="15"/>
      <c r="FC198" s="15"/>
      <c r="FD198" s="15"/>
      <c r="FE198" s="15"/>
      <c r="FF198" s="15"/>
      <c r="FG198" s="15"/>
      <c r="FH198" s="15"/>
      <c r="FI198" s="15"/>
      <c r="FJ198" s="15"/>
      <c r="FK198" s="15"/>
      <c r="FL198" s="15"/>
      <c r="FM198" s="15"/>
      <c r="FN198" s="15"/>
      <c r="FO198" s="15"/>
      <c r="FP198" s="15"/>
      <c r="FQ198" s="15"/>
      <c r="FR198" s="15"/>
      <c r="FS198" s="15"/>
      <c r="FT198" s="15"/>
      <c r="FU198" s="15"/>
      <c r="FV198" s="15"/>
      <c r="FW198" s="15"/>
      <c r="FX198" s="15"/>
      <c r="FY198" s="15"/>
      <c r="FZ198" s="15"/>
      <c r="GA198" s="15"/>
      <c r="GB198" s="15"/>
      <c r="GC198" s="15"/>
      <c r="GD198" s="15"/>
      <c r="GE198" s="15"/>
      <c r="GF198" s="15"/>
      <c r="HH198" s="15"/>
      <c r="HI198" s="15"/>
      <c r="HJ198" s="15"/>
      <c r="HK198" s="15"/>
      <c r="HL198" s="15"/>
      <c r="HM198" s="15"/>
      <c r="HN198" s="15"/>
      <c r="HO198" s="15"/>
      <c r="HP198" s="15"/>
      <c r="HQ198" s="15"/>
      <c r="HR198" s="15"/>
      <c r="HS198" s="15"/>
      <c r="HT198" s="15"/>
      <c r="HU198" s="15"/>
      <c r="HV198" s="15"/>
      <c r="HW198" s="15"/>
      <c r="HX198" s="15"/>
      <c r="HY198" s="15"/>
      <c r="HZ198" s="15"/>
      <c r="IQ198" s="15"/>
      <c r="IR198" s="15"/>
      <c r="IS198" s="15"/>
      <c r="IT198" s="15"/>
      <c r="IU198" s="15"/>
      <c r="IV198" s="15"/>
      <c r="IW198" s="15"/>
      <c r="IX198" s="15"/>
      <c r="IY198" s="15"/>
      <c r="IZ198" s="15"/>
      <c r="JA198" s="15"/>
      <c r="JB198" s="15"/>
      <c r="JC198" s="15"/>
      <c r="JD198" s="15"/>
      <c r="JE198" s="15"/>
      <c r="JF198" s="15"/>
      <c r="JZ198" s="15"/>
      <c r="KA198" s="15"/>
      <c r="KB198" s="15"/>
      <c r="KC198" s="15"/>
      <c r="KD198" s="15"/>
      <c r="KE198" s="15"/>
      <c r="KF198" s="15"/>
      <c r="KG198" s="15"/>
      <c r="KH198" s="15"/>
      <c r="KI198" s="15"/>
      <c r="KJ198" s="15"/>
      <c r="KK198" s="15"/>
      <c r="LI198" s="15"/>
      <c r="LJ198" s="15"/>
      <c r="LK198" s="15"/>
      <c r="LL198" s="15"/>
      <c r="LM198" s="15"/>
      <c r="LN198" s="15"/>
      <c r="LO198" s="15"/>
      <c r="LP198" s="15"/>
      <c r="LQ198" s="15"/>
      <c r="LR198" s="15"/>
    </row>
    <row r="199" spans="2:330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X199" s="15"/>
      <c r="BY199" s="15"/>
      <c r="BZ199" s="15"/>
      <c r="CA199" s="15"/>
      <c r="CB199" s="15"/>
      <c r="CC199" s="15"/>
      <c r="CD199" s="15"/>
      <c r="CE199" s="15"/>
      <c r="CF199" s="15"/>
      <c r="CG199" s="15"/>
      <c r="CH199" s="15"/>
      <c r="CI199" s="15"/>
      <c r="CJ199" s="15"/>
      <c r="CK199" s="15"/>
      <c r="CL199" s="15"/>
      <c r="CM199" s="15"/>
      <c r="CN199" s="15"/>
      <c r="CO199" s="15"/>
      <c r="CP199" s="15"/>
      <c r="CQ199" s="15"/>
      <c r="CR199" s="15"/>
      <c r="CS199" s="15"/>
      <c r="CT199" s="15"/>
      <c r="CU199" s="15"/>
      <c r="EP199" s="15"/>
      <c r="EQ199" s="15"/>
      <c r="ER199" s="15"/>
      <c r="ES199" s="15"/>
      <c r="ET199" s="15"/>
      <c r="EU199" s="15"/>
      <c r="EV199" s="15"/>
      <c r="EW199" s="15"/>
      <c r="EX199" s="15"/>
      <c r="EY199" s="15"/>
      <c r="EZ199" s="15"/>
      <c r="FA199" s="15"/>
      <c r="FB199" s="15"/>
      <c r="FC199" s="15"/>
      <c r="FD199" s="15"/>
      <c r="FE199" s="15"/>
      <c r="FF199" s="15"/>
      <c r="FG199" s="15"/>
      <c r="FH199" s="15"/>
      <c r="FI199" s="15"/>
      <c r="FJ199" s="15"/>
      <c r="FK199" s="15"/>
      <c r="FL199" s="15"/>
      <c r="FM199" s="15"/>
      <c r="FN199" s="15"/>
      <c r="FO199" s="15"/>
      <c r="FP199" s="15"/>
      <c r="FQ199" s="15"/>
      <c r="FR199" s="15"/>
      <c r="FS199" s="15"/>
      <c r="FT199" s="15"/>
      <c r="FU199" s="15"/>
      <c r="FV199" s="15"/>
      <c r="FW199" s="15"/>
      <c r="FX199" s="15"/>
      <c r="FY199" s="15"/>
      <c r="FZ199" s="15"/>
      <c r="GA199" s="15"/>
      <c r="GB199" s="15"/>
      <c r="GC199" s="15"/>
      <c r="GD199" s="15"/>
      <c r="GE199" s="15"/>
      <c r="GF199" s="15"/>
      <c r="HH199" s="15"/>
      <c r="HI199" s="15"/>
      <c r="HJ199" s="15"/>
      <c r="HK199" s="15"/>
      <c r="HL199" s="15"/>
      <c r="HM199" s="15"/>
      <c r="HN199" s="15"/>
      <c r="HP199" s="15"/>
      <c r="HQ199" s="15"/>
      <c r="HR199" s="15"/>
      <c r="HS199" s="15"/>
      <c r="HT199" s="15"/>
      <c r="HU199" s="15"/>
      <c r="HV199" s="15"/>
      <c r="HW199" s="15"/>
      <c r="HX199" s="15"/>
      <c r="HY199" s="15"/>
      <c r="HZ199" s="15"/>
      <c r="IQ199" s="15"/>
      <c r="IR199" s="15"/>
      <c r="IS199" s="15"/>
      <c r="IT199" s="15"/>
      <c r="IU199" s="15"/>
      <c r="IV199" s="15"/>
      <c r="IW199" s="15"/>
      <c r="IX199" s="15"/>
      <c r="IY199" s="15"/>
      <c r="IZ199" s="15"/>
      <c r="JA199" s="15"/>
      <c r="JB199" s="15"/>
      <c r="JC199" s="15"/>
      <c r="JD199" s="15"/>
      <c r="JE199" s="15"/>
      <c r="JF199" s="15"/>
      <c r="JZ199" s="15"/>
      <c r="KA199" s="15"/>
      <c r="KB199" s="15"/>
      <c r="KC199" s="15"/>
      <c r="KD199" s="15"/>
      <c r="KE199" s="15"/>
      <c r="KF199" s="15"/>
      <c r="KG199" s="15"/>
      <c r="KH199" s="15"/>
      <c r="KI199" s="15"/>
      <c r="KJ199" s="15"/>
      <c r="KK199" s="15"/>
      <c r="KL199" s="15"/>
      <c r="KM199" s="15"/>
      <c r="LI199" s="15"/>
      <c r="LJ199" s="15"/>
      <c r="LK199" s="15"/>
      <c r="LL199" s="15"/>
      <c r="LM199" s="15"/>
      <c r="LN199" s="15"/>
      <c r="LO199" s="15"/>
      <c r="LP199" s="15"/>
      <c r="LQ199" s="15"/>
      <c r="LR199" s="15"/>
    </row>
    <row r="200" spans="2:330">
      <c r="B200" s="15"/>
      <c r="C200" s="15"/>
      <c r="D200" s="15"/>
      <c r="E200" s="15"/>
      <c r="F200" s="15"/>
      <c r="G200" s="15"/>
      <c r="H200" s="15"/>
      <c r="I200" s="15"/>
      <c r="J200" s="15"/>
      <c r="L200" s="15"/>
      <c r="M200" s="15"/>
      <c r="R200" s="15"/>
      <c r="S200" s="15"/>
      <c r="T200" s="15"/>
      <c r="U200" s="15"/>
      <c r="V200" s="15"/>
      <c r="W200" s="15"/>
      <c r="Y200" s="15"/>
      <c r="Z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X200" s="15"/>
      <c r="BY200" s="15"/>
      <c r="CA200" s="15"/>
      <c r="CB200" s="15"/>
      <c r="CG200" s="15"/>
      <c r="CH200" s="15"/>
      <c r="CI200" s="15"/>
      <c r="CK200" s="15"/>
      <c r="CN200" s="15"/>
      <c r="CO200" s="15"/>
      <c r="CP200" s="15"/>
      <c r="CQ200" s="15"/>
      <c r="CR200" s="15"/>
      <c r="EP200" s="15"/>
      <c r="EQ200" s="15"/>
      <c r="ER200" s="15"/>
      <c r="ES200" s="15"/>
      <c r="ET200" s="15"/>
      <c r="EU200" s="15"/>
      <c r="EV200" s="15"/>
      <c r="EW200" s="15"/>
      <c r="EX200" s="15"/>
      <c r="EY200" s="15"/>
      <c r="EZ200" s="15"/>
      <c r="FA200" s="15"/>
      <c r="FB200" s="15"/>
      <c r="FC200" s="15"/>
      <c r="FD200" s="15"/>
      <c r="FE200" s="15"/>
      <c r="FF200" s="15"/>
      <c r="FG200" s="15"/>
      <c r="FH200" s="15"/>
      <c r="FK200" s="15"/>
      <c r="FL200" s="15"/>
      <c r="FM200" s="15"/>
      <c r="FN200" s="15"/>
      <c r="FO200" s="15"/>
      <c r="FP200" s="15"/>
      <c r="FQ200" s="15"/>
      <c r="FR200" s="15"/>
      <c r="FS200" s="15"/>
      <c r="FT200" s="15"/>
      <c r="FU200" s="15"/>
      <c r="FV200" s="15"/>
      <c r="FY200" s="15"/>
      <c r="FZ200" s="15"/>
      <c r="GA200" s="15"/>
      <c r="GB200" s="15"/>
      <c r="GC200" s="15"/>
      <c r="GD200" s="15"/>
      <c r="GE200" s="15"/>
      <c r="GF200" s="15"/>
      <c r="HH200" s="15"/>
      <c r="HI200" s="15"/>
      <c r="HJ200" s="15"/>
      <c r="HM200" s="15"/>
      <c r="HP200" s="15"/>
      <c r="HQ200" s="15"/>
      <c r="HR200" s="15"/>
      <c r="HT200" s="15"/>
      <c r="HU200" s="15"/>
      <c r="HV200" s="15"/>
      <c r="IQ200" s="15"/>
      <c r="IR200" s="15"/>
      <c r="IS200" s="15"/>
      <c r="IT200" s="15"/>
      <c r="IU200" s="15"/>
      <c r="IV200" s="15"/>
      <c r="IW200" s="15"/>
      <c r="IX200" s="15"/>
      <c r="IY200" s="15"/>
      <c r="IZ200" s="15"/>
      <c r="JA200" s="15"/>
      <c r="JB200" s="15"/>
      <c r="JC200" s="15"/>
      <c r="JE200" s="15"/>
      <c r="JZ200" s="15"/>
      <c r="KA200" s="15"/>
      <c r="KB200" s="15"/>
      <c r="KC200" s="15"/>
      <c r="KD200" s="15"/>
      <c r="KE200" s="15"/>
      <c r="KF200" s="15"/>
      <c r="KG200" s="15"/>
      <c r="KH200" s="15"/>
      <c r="KI200" s="15"/>
      <c r="KJ200" s="15"/>
      <c r="KL200" s="15"/>
      <c r="LI200" s="15"/>
      <c r="LJ200" s="15"/>
      <c r="LK200" s="15"/>
      <c r="LL200" s="15"/>
      <c r="LM200" s="15"/>
      <c r="LN200" s="15"/>
      <c r="LO200" s="15"/>
      <c r="LP200" s="15"/>
      <c r="LQ200" s="15"/>
      <c r="LR200" s="15"/>
    </row>
    <row r="201" spans="2:330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T201" s="15"/>
      <c r="U201" s="15"/>
      <c r="V201" s="15"/>
      <c r="W201" s="15"/>
      <c r="X201" s="15"/>
      <c r="Y201" s="15"/>
      <c r="Z201" s="15"/>
      <c r="AA201" s="15"/>
      <c r="AB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X201" s="15"/>
      <c r="BY201" s="15"/>
      <c r="BZ201" s="15"/>
      <c r="CA201" s="15"/>
      <c r="CB201" s="15"/>
      <c r="CC201" s="15"/>
      <c r="CD201" s="15"/>
      <c r="CE201" s="15"/>
      <c r="CF201" s="15"/>
      <c r="CG201" s="15"/>
      <c r="CH201" s="15"/>
      <c r="CI201" s="15"/>
      <c r="CL201" s="15"/>
      <c r="CM201" s="15"/>
      <c r="CN201" s="15"/>
      <c r="CO201" s="15"/>
      <c r="CP201" s="15"/>
      <c r="CQ201" s="15"/>
      <c r="CR201" s="15"/>
      <c r="CS201" s="15"/>
      <c r="CT201" s="15"/>
      <c r="CU201" s="15"/>
      <c r="EP201" s="15"/>
      <c r="EQ201" s="15"/>
      <c r="ER201" s="15"/>
      <c r="ES201" s="15"/>
      <c r="ET201" s="15"/>
      <c r="EU201" s="15"/>
      <c r="EV201" s="15"/>
      <c r="EW201" s="15"/>
      <c r="EX201" s="15"/>
      <c r="EY201" s="15"/>
      <c r="EZ201" s="15"/>
      <c r="FA201" s="15"/>
      <c r="FB201" s="15"/>
      <c r="FC201" s="15"/>
      <c r="FD201" s="15"/>
      <c r="FE201" s="15"/>
      <c r="FF201" s="15"/>
      <c r="FG201" s="15"/>
      <c r="FH201" s="15"/>
      <c r="FI201" s="15"/>
      <c r="FJ201" s="15"/>
      <c r="FK201" s="15"/>
      <c r="FL201" s="15"/>
      <c r="FM201" s="15"/>
      <c r="FN201" s="15"/>
      <c r="FO201" s="15"/>
      <c r="FP201" s="15"/>
      <c r="FQ201" s="15"/>
      <c r="FR201" s="15"/>
      <c r="FS201" s="15"/>
      <c r="FT201" s="15"/>
      <c r="FU201" s="15"/>
      <c r="FV201" s="15"/>
      <c r="FW201" s="15"/>
      <c r="FX201" s="15"/>
      <c r="FY201" s="15"/>
      <c r="FZ201" s="15"/>
      <c r="GA201" s="15"/>
      <c r="GB201" s="15"/>
      <c r="GC201" s="15"/>
      <c r="GD201" s="15"/>
      <c r="GE201" s="15"/>
      <c r="GF201" s="15"/>
      <c r="HH201" s="15"/>
      <c r="HI201" s="15"/>
      <c r="HJ201" s="15"/>
      <c r="HK201" s="15"/>
      <c r="HL201" s="15"/>
      <c r="HM201" s="15"/>
      <c r="HN201" s="15"/>
      <c r="HO201" s="15"/>
      <c r="HP201" s="15"/>
      <c r="HR201" s="15"/>
      <c r="HS201" s="15"/>
      <c r="HT201" s="15"/>
      <c r="HU201" s="15"/>
      <c r="HV201" s="15"/>
      <c r="HW201" s="15"/>
      <c r="HX201" s="15"/>
      <c r="HY201" s="15"/>
      <c r="HZ201" s="15"/>
      <c r="IQ201" s="15"/>
      <c r="IR201" s="15"/>
      <c r="IS201" s="15"/>
      <c r="IT201" s="15"/>
      <c r="IU201" s="15"/>
      <c r="IV201" s="15"/>
      <c r="IW201" s="15"/>
      <c r="IX201" s="15"/>
      <c r="IY201" s="15"/>
      <c r="IZ201" s="15"/>
      <c r="JA201" s="15"/>
      <c r="JB201" s="15"/>
      <c r="JC201" s="15"/>
      <c r="JD201" s="15"/>
      <c r="JE201" s="15"/>
      <c r="JF201" s="15"/>
      <c r="JZ201" s="15"/>
      <c r="KA201" s="15"/>
      <c r="KB201" s="15"/>
      <c r="KD201" s="15"/>
      <c r="KE201" s="15"/>
      <c r="KF201" s="15"/>
      <c r="KG201" s="15"/>
      <c r="KH201" s="15"/>
      <c r="KI201" s="15"/>
      <c r="KJ201" s="15"/>
      <c r="KK201" s="15"/>
      <c r="KL201" s="15"/>
      <c r="KM201" s="15"/>
      <c r="LI201" s="15"/>
      <c r="LJ201" s="15"/>
      <c r="LK201" s="15"/>
      <c r="LL201" s="15"/>
      <c r="LM201" s="15"/>
      <c r="LN201" s="15"/>
      <c r="LO201" s="15"/>
      <c r="LP201" s="15"/>
      <c r="LQ201" s="15"/>
      <c r="LR201" s="15"/>
    </row>
    <row r="202" spans="2:330">
      <c r="B202" s="15"/>
      <c r="C202" s="15"/>
      <c r="D202" s="15"/>
      <c r="E202" s="15"/>
      <c r="F202" s="15"/>
      <c r="G202" s="15"/>
      <c r="H202" s="15"/>
      <c r="I202" s="15"/>
      <c r="J202" s="15"/>
      <c r="M202" s="15"/>
      <c r="N202" s="15"/>
      <c r="O202" s="15"/>
      <c r="Q202" s="15"/>
      <c r="S202" s="15"/>
      <c r="T202" s="15"/>
      <c r="U202" s="15"/>
      <c r="W202" s="15"/>
      <c r="X202" s="15"/>
      <c r="Y202" s="15"/>
      <c r="Z202" s="15"/>
      <c r="AB202" s="15"/>
      <c r="AO202" s="15"/>
      <c r="AP202" s="15"/>
      <c r="AQ202" s="15"/>
      <c r="AR202" s="15"/>
      <c r="AS202" s="15"/>
      <c r="AT202" s="15"/>
      <c r="AU202" s="15"/>
      <c r="AV202" s="15"/>
      <c r="AW202" s="15"/>
      <c r="AY202" s="15"/>
      <c r="AZ202" s="15"/>
      <c r="BA202" s="15"/>
      <c r="BB202" s="15"/>
      <c r="BC202" s="15"/>
      <c r="BD202" s="15"/>
      <c r="BF202" s="15"/>
      <c r="BG202" s="15"/>
      <c r="BH202" s="15"/>
      <c r="BX202" s="15"/>
      <c r="BY202" s="15"/>
      <c r="BZ202" s="15"/>
      <c r="CC202" s="15"/>
      <c r="CD202" s="15"/>
      <c r="CE202" s="15"/>
      <c r="CF202" s="15"/>
      <c r="CG202" s="15"/>
      <c r="CH202" s="15"/>
      <c r="CI202" s="15"/>
      <c r="CJ202" s="15"/>
      <c r="CK202" s="15"/>
      <c r="CL202" s="15"/>
      <c r="CN202" s="15"/>
      <c r="CO202" s="15"/>
      <c r="CP202" s="15"/>
      <c r="CQ202" s="15"/>
      <c r="CR202" s="15"/>
      <c r="CS202" s="15"/>
      <c r="CT202" s="15"/>
      <c r="CU202" s="15"/>
      <c r="EP202" s="15"/>
      <c r="EQ202" s="15"/>
      <c r="ER202" s="15"/>
      <c r="ES202" s="15"/>
      <c r="ET202" s="15"/>
      <c r="EU202" s="15"/>
      <c r="EV202" s="15"/>
      <c r="EW202" s="15"/>
      <c r="EX202" s="15"/>
      <c r="EY202" s="15"/>
      <c r="EZ202" s="15"/>
      <c r="FA202" s="15"/>
      <c r="FB202" s="15"/>
      <c r="FC202" s="15"/>
      <c r="FF202" s="15"/>
      <c r="FG202" s="15"/>
      <c r="FH202" s="15"/>
      <c r="FI202" s="15"/>
      <c r="FJ202" s="15"/>
      <c r="FK202" s="15"/>
      <c r="FL202" s="15"/>
      <c r="FM202" s="15"/>
      <c r="FN202" s="15"/>
      <c r="FO202" s="15"/>
      <c r="FP202" s="15"/>
      <c r="FQ202" s="15"/>
      <c r="FR202" s="15"/>
      <c r="FS202" s="15"/>
      <c r="FT202" s="15"/>
      <c r="FU202" s="15"/>
      <c r="FV202" s="15"/>
      <c r="FW202" s="15"/>
      <c r="FX202" s="15"/>
      <c r="FY202" s="15"/>
      <c r="FZ202" s="15"/>
      <c r="GA202" s="15"/>
      <c r="GB202" s="15"/>
      <c r="GC202" s="15"/>
      <c r="GD202" s="15"/>
      <c r="GE202" s="15"/>
      <c r="GF202" s="15"/>
      <c r="HH202" s="15"/>
      <c r="HI202" s="15"/>
      <c r="HJ202" s="15"/>
      <c r="HL202" s="15"/>
      <c r="HN202" s="15"/>
      <c r="HO202" s="15"/>
      <c r="HP202" s="15"/>
      <c r="HQ202" s="15"/>
      <c r="HR202" s="15"/>
      <c r="HS202" s="15"/>
      <c r="HT202" s="15"/>
      <c r="HU202" s="15"/>
      <c r="HV202" s="15"/>
      <c r="HW202" s="15"/>
      <c r="HX202" s="15"/>
      <c r="HY202" s="15"/>
      <c r="HZ202" s="15"/>
      <c r="IQ202" s="15"/>
      <c r="IR202" s="15"/>
      <c r="IS202" s="15"/>
      <c r="IT202" s="15"/>
      <c r="IU202" s="15"/>
      <c r="IV202" s="15"/>
      <c r="IW202" s="15"/>
      <c r="IX202" s="15"/>
      <c r="IY202" s="15"/>
      <c r="JA202" s="15"/>
      <c r="JB202" s="15"/>
      <c r="JC202" s="15"/>
      <c r="JD202" s="15"/>
      <c r="JE202" s="15"/>
      <c r="JF202" s="15"/>
      <c r="JZ202" s="15"/>
      <c r="KA202" s="15"/>
      <c r="KB202" s="15"/>
      <c r="KC202" s="15"/>
      <c r="KD202" s="15"/>
      <c r="KE202" s="15"/>
      <c r="KF202" s="15"/>
      <c r="KG202" s="15"/>
      <c r="KI202" s="15"/>
      <c r="KJ202" s="15"/>
      <c r="KK202" s="15"/>
      <c r="KL202" s="15"/>
      <c r="KM202" s="15"/>
      <c r="LI202" s="15"/>
      <c r="LJ202" s="15"/>
      <c r="LK202" s="15"/>
      <c r="LL202" s="15"/>
      <c r="LM202" s="15"/>
      <c r="LN202" s="15"/>
      <c r="LO202" s="15"/>
      <c r="LP202" s="15"/>
      <c r="LR202" s="15"/>
    </row>
    <row r="203" spans="2:330">
      <c r="B203" s="15"/>
      <c r="C203" s="15"/>
      <c r="D203" s="15"/>
      <c r="E203" s="15"/>
      <c r="F203" s="15"/>
      <c r="G203" s="15"/>
      <c r="H203" s="15"/>
      <c r="I203" s="15"/>
      <c r="J203" s="15"/>
      <c r="L203" s="15"/>
      <c r="M203" s="15"/>
      <c r="N203" s="15"/>
      <c r="P203" s="15"/>
      <c r="Q203" s="15"/>
      <c r="R203" s="15"/>
      <c r="S203" s="15"/>
      <c r="T203" s="15"/>
      <c r="U203" s="15"/>
      <c r="V203" s="15"/>
      <c r="W203" s="15"/>
      <c r="X203" s="15"/>
      <c r="Z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X203" s="15"/>
      <c r="BY203" s="15"/>
      <c r="BZ203" s="15"/>
      <c r="CA203" s="15"/>
      <c r="CB203" s="15"/>
      <c r="CC203" s="15"/>
      <c r="CD203" s="15"/>
      <c r="CE203" s="15"/>
      <c r="CG203" s="15"/>
      <c r="CH203" s="15"/>
      <c r="CJ203" s="15"/>
      <c r="CK203" s="15"/>
      <c r="CL203" s="15"/>
      <c r="CM203" s="15"/>
      <c r="CN203" s="15"/>
      <c r="CP203" s="15"/>
      <c r="CQ203" s="15"/>
      <c r="CR203" s="15"/>
      <c r="CS203" s="15"/>
      <c r="CT203" s="15"/>
      <c r="CU203" s="15"/>
      <c r="EP203" s="15"/>
      <c r="EQ203" s="15"/>
      <c r="ER203" s="15"/>
      <c r="ES203" s="15"/>
      <c r="ET203" s="15"/>
      <c r="EU203" s="15"/>
      <c r="EV203" s="15"/>
      <c r="EW203" s="15"/>
      <c r="EX203" s="15"/>
      <c r="EY203" s="15"/>
      <c r="EZ203" s="15"/>
      <c r="FA203" s="15"/>
      <c r="FB203" s="15"/>
      <c r="FC203" s="15"/>
      <c r="FD203" s="15"/>
      <c r="FF203" s="15"/>
      <c r="FG203" s="15"/>
      <c r="FH203" s="15"/>
      <c r="FI203" s="15"/>
      <c r="FJ203" s="15"/>
      <c r="FK203" s="15"/>
      <c r="FL203" s="15"/>
      <c r="FM203" s="15"/>
      <c r="FN203" s="15"/>
      <c r="FO203" s="15"/>
      <c r="FQ203" s="15"/>
      <c r="FR203" s="15"/>
      <c r="FS203" s="15"/>
      <c r="FT203" s="15"/>
      <c r="FU203" s="15"/>
      <c r="FV203" s="15"/>
      <c r="FW203" s="15"/>
      <c r="FX203" s="15"/>
      <c r="FY203" s="15"/>
      <c r="FZ203" s="15"/>
      <c r="GA203" s="15"/>
      <c r="GB203" s="15"/>
      <c r="GC203" s="15"/>
      <c r="GD203" s="15"/>
      <c r="GE203" s="15"/>
      <c r="HH203" s="15"/>
      <c r="HI203" s="15"/>
      <c r="HK203" s="15"/>
      <c r="HL203" s="15"/>
      <c r="HN203" s="15"/>
      <c r="HO203" s="15"/>
      <c r="HP203" s="15"/>
      <c r="HQ203" s="15"/>
      <c r="HS203" s="15"/>
      <c r="HT203" s="15"/>
      <c r="HU203" s="15"/>
      <c r="HW203" s="15"/>
      <c r="HX203" s="15"/>
      <c r="HY203" s="15"/>
      <c r="HZ203" s="15"/>
      <c r="IQ203" s="15"/>
      <c r="IR203" s="15"/>
      <c r="IS203" s="15"/>
      <c r="IT203" s="15"/>
      <c r="IU203" s="15"/>
      <c r="IV203" s="15"/>
      <c r="IW203" s="15"/>
      <c r="IX203" s="15"/>
      <c r="IY203" s="15"/>
      <c r="IZ203" s="15"/>
      <c r="JA203" s="15"/>
      <c r="JB203" s="15"/>
      <c r="JC203" s="15"/>
      <c r="JD203" s="15"/>
      <c r="JE203" s="15"/>
      <c r="JF203" s="15"/>
      <c r="JZ203" s="15"/>
      <c r="KA203" s="15"/>
      <c r="KB203" s="15"/>
      <c r="KC203" s="15"/>
      <c r="KD203" s="15"/>
      <c r="KE203" s="15"/>
      <c r="KF203" s="15"/>
      <c r="KG203" s="15"/>
      <c r="KH203" s="15"/>
      <c r="KI203" s="15"/>
      <c r="KJ203" s="15"/>
      <c r="KK203" s="15"/>
      <c r="KL203" s="15"/>
      <c r="KM203" s="15"/>
      <c r="LI203" s="15"/>
      <c r="LJ203" s="15"/>
      <c r="LK203" s="15"/>
      <c r="LL203" s="15"/>
      <c r="LM203" s="15"/>
      <c r="LN203" s="15"/>
      <c r="LO203" s="15"/>
      <c r="LP203" s="15"/>
      <c r="LQ203" s="15"/>
      <c r="LR203" s="15"/>
    </row>
    <row r="204" spans="2:330">
      <c r="B204" s="15"/>
      <c r="C204" s="15"/>
      <c r="D204" s="15"/>
      <c r="E204" s="15"/>
      <c r="F204" s="15"/>
      <c r="G204" s="15"/>
      <c r="H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W204" s="15"/>
      <c r="X204" s="15"/>
      <c r="AO204" s="15"/>
      <c r="AP204" s="15"/>
      <c r="AQ204" s="15"/>
      <c r="AR204" s="15"/>
      <c r="AS204" s="15"/>
      <c r="AT204" s="15"/>
      <c r="AU204" s="15"/>
      <c r="AV204" s="15"/>
      <c r="AY204" s="15"/>
      <c r="AZ204" s="15"/>
      <c r="BA204" s="15"/>
      <c r="BC204" s="15"/>
      <c r="BD204" s="15"/>
      <c r="BE204" s="15"/>
      <c r="BH204" s="15"/>
      <c r="BX204" s="15"/>
      <c r="BY204" s="15"/>
      <c r="BZ204" s="15"/>
      <c r="CA204" s="15"/>
      <c r="CB204" s="15"/>
      <c r="CC204" s="15"/>
      <c r="CD204" s="15"/>
      <c r="CE204" s="15"/>
      <c r="CF204" s="15"/>
      <c r="CG204" s="15"/>
      <c r="CI204" s="15"/>
      <c r="CJ204" s="15"/>
      <c r="CK204" s="15"/>
      <c r="CL204" s="15"/>
      <c r="CN204" s="15"/>
      <c r="CO204" s="15"/>
      <c r="CQ204" s="15"/>
      <c r="EP204" s="15"/>
      <c r="EQ204" s="15"/>
      <c r="ER204" s="15"/>
      <c r="ES204" s="15"/>
      <c r="ET204" s="15"/>
      <c r="EU204" s="15"/>
      <c r="EV204" s="15"/>
      <c r="EW204" s="15"/>
      <c r="EX204" s="15"/>
      <c r="EY204" s="15"/>
      <c r="EZ204" s="15"/>
      <c r="FA204" s="15"/>
      <c r="FB204" s="15"/>
      <c r="FC204" s="15"/>
      <c r="FD204" s="15"/>
      <c r="FE204" s="15"/>
      <c r="FF204" s="15"/>
      <c r="FG204" s="15"/>
      <c r="FH204" s="15"/>
      <c r="FI204" s="15"/>
      <c r="FJ204" s="15"/>
      <c r="FK204" s="15"/>
      <c r="FL204" s="15"/>
      <c r="FM204" s="15"/>
      <c r="FN204" s="15"/>
      <c r="FO204" s="15"/>
      <c r="FP204" s="15"/>
      <c r="FQ204" s="15"/>
      <c r="FR204" s="15"/>
      <c r="FS204" s="15"/>
      <c r="FT204" s="15"/>
      <c r="FU204" s="15"/>
      <c r="FY204" s="15"/>
      <c r="FZ204" s="15"/>
      <c r="GA204" s="15"/>
      <c r="GC204" s="15"/>
      <c r="GF204" s="15"/>
      <c r="HH204" s="15"/>
      <c r="HI204" s="15"/>
      <c r="HJ204" s="15"/>
      <c r="HK204" s="15"/>
      <c r="HL204" s="15"/>
      <c r="HM204" s="15"/>
      <c r="HN204" s="15"/>
      <c r="HO204" s="15"/>
      <c r="HP204" s="15"/>
      <c r="HQ204" s="15"/>
      <c r="HR204" s="15"/>
      <c r="HS204" s="15"/>
      <c r="IQ204" s="15"/>
      <c r="IR204" s="15"/>
      <c r="IS204" s="15"/>
      <c r="IT204" s="15"/>
      <c r="IU204" s="15"/>
      <c r="IV204" s="15"/>
      <c r="IW204" s="15"/>
      <c r="IX204" s="15"/>
      <c r="IZ204" s="15"/>
      <c r="JA204" s="15"/>
      <c r="JB204" s="15"/>
      <c r="JC204" s="15"/>
      <c r="JD204" s="15"/>
      <c r="JZ204" s="15"/>
      <c r="KA204" s="15"/>
      <c r="KB204" s="15"/>
      <c r="KC204" s="15"/>
      <c r="KD204" s="15"/>
      <c r="KE204" s="15"/>
      <c r="KF204" s="15"/>
      <c r="KG204" s="15"/>
      <c r="KH204" s="15"/>
      <c r="KI204" s="15"/>
      <c r="KJ204" s="15"/>
      <c r="KK204" s="15"/>
      <c r="KL204" s="15"/>
      <c r="KM204" s="15"/>
      <c r="LI204" s="15"/>
      <c r="LJ204" s="15"/>
      <c r="LK204" s="15"/>
      <c r="LM204" s="15"/>
      <c r="LO204" s="15"/>
    </row>
    <row r="205" spans="2:330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X205" s="15"/>
      <c r="BY205" s="15"/>
      <c r="BZ205" s="15"/>
      <c r="CA205" s="15"/>
      <c r="CB205" s="15"/>
      <c r="CC205" s="15"/>
      <c r="CD205" s="15"/>
      <c r="CE205" s="15"/>
      <c r="CF205" s="15"/>
      <c r="CG205" s="15"/>
      <c r="CH205" s="15"/>
      <c r="CI205" s="15"/>
      <c r="CJ205" s="15"/>
      <c r="CK205" s="15"/>
      <c r="CL205" s="15"/>
      <c r="CM205" s="15"/>
      <c r="CN205" s="15"/>
      <c r="CO205" s="15"/>
      <c r="CP205" s="15"/>
      <c r="CQ205" s="15"/>
      <c r="CR205" s="15"/>
      <c r="CS205" s="15"/>
      <c r="CT205" s="15"/>
      <c r="CU205" s="15"/>
      <c r="EP205" s="15"/>
      <c r="EQ205" s="15"/>
      <c r="ER205" s="15"/>
      <c r="ES205" s="15"/>
      <c r="ET205" s="15"/>
      <c r="EU205" s="15"/>
      <c r="EV205" s="15"/>
      <c r="EW205" s="15"/>
      <c r="EX205" s="15"/>
      <c r="EY205" s="15"/>
      <c r="EZ205" s="15"/>
      <c r="FA205" s="15"/>
      <c r="FB205" s="15"/>
      <c r="FC205" s="15"/>
      <c r="FD205" s="15"/>
      <c r="FE205" s="15"/>
      <c r="FF205" s="15"/>
      <c r="FG205" s="15"/>
      <c r="FH205" s="15"/>
      <c r="FI205" s="15"/>
      <c r="FJ205" s="15"/>
      <c r="FK205" s="15"/>
      <c r="FL205" s="15"/>
      <c r="FM205" s="15"/>
      <c r="FN205" s="15"/>
      <c r="FO205" s="15"/>
      <c r="FP205" s="15"/>
      <c r="FQ205" s="15"/>
      <c r="FR205" s="15"/>
      <c r="FS205" s="15"/>
      <c r="FT205" s="15"/>
      <c r="FU205" s="15"/>
      <c r="FV205" s="15"/>
      <c r="FW205" s="15"/>
      <c r="FX205" s="15"/>
      <c r="FY205" s="15"/>
      <c r="FZ205" s="15"/>
      <c r="GA205" s="15"/>
      <c r="GB205" s="15"/>
      <c r="GC205" s="15"/>
      <c r="GD205" s="15"/>
      <c r="GE205" s="15"/>
      <c r="GF205" s="15"/>
      <c r="HH205" s="15"/>
      <c r="HI205" s="15"/>
      <c r="HJ205" s="15"/>
      <c r="HK205" s="15"/>
      <c r="HL205" s="15"/>
      <c r="HM205" s="15"/>
      <c r="HN205" s="15"/>
      <c r="HO205" s="15"/>
      <c r="HP205" s="15"/>
      <c r="HQ205" s="15"/>
      <c r="HR205" s="15"/>
      <c r="HS205" s="15"/>
      <c r="HT205" s="15"/>
      <c r="HU205" s="15"/>
      <c r="HV205" s="15"/>
      <c r="HW205" s="15"/>
      <c r="HX205" s="15"/>
      <c r="HY205" s="15"/>
      <c r="HZ205" s="15"/>
      <c r="IQ205" s="15"/>
      <c r="IR205" s="15"/>
      <c r="IS205" s="15"/>
      <c r="IT205" s="15"/>
      <c r="IU205" s="15"/>
      <c r="IV205" s="15"/>
      <c r="IW205" s="15"/>
      <c r="IX205" s="15"/>
      <c r="IY205" s="15"/>
      <c r="IZ205" s="15"/>
      <c r="JA205" s="15"/>
      <c r="JB205" s="15"/>
      <c r="JC205" s="15"/>
      <c r="JD205" s="15"/>
      <c r="JE205" s="15"/>
      <c r="JF205" s="15"/>
      <c r="JZ205" s="15"/>
      <c r="KA205" s="15"/>
      <c r="KB205" s="15"/>
      <c r="KC205" s="15"/>
      <c r="KD205" s="15"/>
      <c r="KE205" s="15"/>
      <c r="KF205" s="15"/>
      <c r="KG205" s="15"/>
      <c r="KH205" s="15"/>
      <c r="KI205" s="15"/>
      <c r="KJ205" s="15"/>
      <c r="KK205" s="15"/>
      <c r="KL205" s="15"/>
      <c r="LI205" s="15"/>
      <c r="LJ205" s="15"/>
      <c r="LK205" s="15"/>
      <c r="LL205" s="15"/>
      <c r="LM205" s="15"/>
      <c r="LN205" s="15"/>
      <c r="LO205" s="15"/>
      <c r="LP205" s="15"/>
      <c r="LQ205" s="15"/>
      <c r="LR205" s="15"/>
    </row>
    <row r="206" spans="2:330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X206" s="15"/>
      <c r="BY206" s="15"/>
      <c r="BZ206" s="15"/>
      <c r="CA206" s="15"/>
      <c r="CB206" s="15"/>
      <c r="CC206" s="15"/>
      <c r="CD206" s="15"/>
      <c r="CE206" s="15"/>
      <c r="CF206" s="15"/>
      <c r="CG206" s="15"/>
      <c r="CH206" s="15"/>
      <c r="CI206" s="15"/>
      <c r="CJ206" s="15"/>
      <c r="CK206" s="15"/>
      <c r="CL206" s="15"/>
      <c r="CM206" s="15"/>
      <c r="CN206" s="15"/>
      <c r="CO206" s="15"/>
      <c r="CP206" s="15"/>
      <c r="CQ206" s="15"/>
      <c r="CR206" s="15"/>
      <c r="CS206" s="15"/>
      <c r="CT206" s="15"/>
      <c r="CU206" s="15"/>
      <c r="EP206" s="15"/>
      <c r="EQ206" s="15"/>
      <c r="ER206" s="15"/>
      <c r="ES206" s="15"/>
      <c r="ET206" s="15"/>
      <c r="EU206" s="15"/>
      <c r="EV206" s="15"/>
      <c r="EW206" s="15"/>
      <c r="EX206" s="15"/>
      <c r="EY206" s="15"/>
      <c r="EZ206" s="15"/>
      <c r="FA206" s="15"/>
      <c r="FB206" s="15"/>
      <c r="FC206" s="15"/>
      <c r="FD206" s="15"/>
      <c r="FE206" s="15"/>
      <c r="FF206" s="15"/>
      <c r="FG206" s="15"/>
      <c r="FH206" s="15"/>
      <c r="FI206" s="15"/>
      <c r="FJ206" s="15"/>
      <c r="FK206" s="15"/>
      <c r="FL206" s="15"/>
      <c r="FM206" s="15"/>
      <c r="FN206" s="15"/>
      <c r="FO206" s="15"/>
      <c r="FP206" s="15"/>
      <c r="FQ206" s="15"/>
      <c r="FR206" s="15"/>
      <c r="FS206" s="15"/>
      <c r="FT206" s="15"/>
      <c r="FU206" s="15"/>
      <c r="FV206" s="15"/>
      <c r="FW206" s="15"/>
      <c r="FX206" s="15"/>
      <c r="FY206" s="15"/>
      <c r="FZ206" s="15"/>
      <c r="GA206" s="15"/>
      <c r="GB206" s="15"/>
      <c r="GC206" s="15"/>
      <c r="GD206" s="15"/>
      <c r="GE206" s="15"/>
      <c r="GF206" s="15"/>
      <c r="HH206" s="15"/>
      <c r="HI206" s="15"/>
      <c r="HJ206" s="15"/>
      <c r="HK206" s="15"/>
      <c r="HL206" s="15"/>
      <c r="HM206" s="15"/>
      <c r="HN206" s="15"/>
      <c r="HO206" s="15"/>
      <c r="HP206" s="15"/>
      <c r="HQ206" s="15"/>
      <c r="HR206" s="15"/>
      <c r="HS206" s="15"/>
      <c r="HT206" s="15"/>
      <c r="HU206" s="15"/>
      <c r="HV206" s="15"/>
      <c r="HW206" s="15"/>
      <c r="HX206" s="15"/>
      <c r="HY206" s="15"/>
      <c r="HZ206" s="15"/>
      <c r="IQ206" s="15"/>
      <c r="IR206" s="15"/>
      <c r="IS206" s="15"/>
      <c r="IT206" s="15"/>
      <c r="IU206" s="15"/>
      <c r="IV206" s="15"/>
      <c r="IW206" s="15"/>
      <c r="IX206" s="15"/>
      <c r="IY206" s="15"/>
      <c r="IZ206" s="15"/>
      <c r="JA206" s="15"/>
      <c r="JB206" s="15"/>
      <c r="JC206" s="15"/>
      <c r="JD206" s="15"/>
      <c r="JE206" s="15"/>
      <c r="JF206" s="15"/>
      <c r="JZ206" s="15"/>
      <c r="KA206" s="15"/>
      <c r="KB206" s="15"/>
      <c r="KC206" s="15"/>
      <c r="KD206" s="15"/>
      <c r="KE206" s="15"/>
      <c r="KF206" s="15"/>
      <c r="KG206" s="15"/>
      <c r="KH206" s="15"/>
      <c r="KI206" s="15"/>
      <c r="KJ206" s="15"/>
      <c r="KK206" s="15"/>
      <c r="KL206" s="15"/>
      <c r="KM206" s="15"/>
      <c r="LI206" s="15"/>
      <c r="LJ206" s="15"/>
      <c r="LK206" s="15"/>
      <c r="LL206" s="15"/>
      <c r="LM206" s="15"/>
      <c r="LN206" s="15"/>
      <c r="LO206" s="15"/>
      <c r="LP206" s="15"/>
      <c r="LQ206" s="15"/>
      <c r="LR206" s="15"/>
    </row>
    <row r="207" spans="2:330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X207" s="15"/>
      <c r="BY207" s="15"/>
      <c r="BZ207" s="15"/>
      <c r="CA207" s="15"/>
      <c r="CB207" s="15"/>
      <c r="CC207" s="15"/>
      <c r="CD207" s="15"/>
      <c r="CE207" s="15"/>
      <c r="CF207" s="15"/>
      <c r="CG207" s="15"/>
      <c r="CH207" s="15"/>
      <c r="CI207" s="15"/>
      <c r="CJ207" s="15"/>
      <c r="CK207" s="15"/>
      <c r="CL207" s="15"/>
      <c r="CM207" s="15"/>
      <c r="CN207" s="15"/>
      <c r="CO207" s="15"/>
      <c r="CP207" s="15"/>
      <c r="CQ207" s="15"/>
      <c r="CR207" s="15"/>
      <c r="CS207" s="15"/>
      <c r="CT207" s="15"/>
      <c r="CU207" s="15"/>
      <c r="EP207" s="15"/>
      <c r="EQ207" s="15"/>
      <c r="ER207" s="15"/>
      <c r="ES207" s="15"/>
      <c r="ET207" s="15"/>
      <c r="EU207" s="15"/>
      <c r="EV207" s="15"/>
      <c r="EW207" s="15"/>
      <c r="EX207" s="15"/>
      <c r="EY207" s="15"/>
      <c r="EZ207" s="15"/>
      <c r="FA207" s="15"/>
      <c r="FB207" s="15"/>
      <c r="FC207" s="15"/>
      <c r="FD207" s="15"/>
      <c r="FE207" s="15"/>
      <c r="FF207" s="15"/>
      <c r="FG207" s="15"/>
      <c r="FH207" s="15"/>
      <c r="FI207" s="15"/>
      <c r="FJ207" s="15"/>
      <c r="FK207" s="15"/>
      <c r="FL207" s="15"/>
      <c r="FM207" s="15"/>
      <c r="FN207" s="15"/>
      <c r="FO207" s="15"/>
      <c r="FP207" s="15"/>
      <c r="FQ207" s="15"/>
      <c r="FR207" s="15"/>
      <c r="FS207" s="15"/>
      <c r="FT207" s="15"/>
      <c r="FU207" s="15"/>
      <c r="FV207" s="15"/>
      <c r="FW207" s="15"/>
      <c r="FX207" s="15"/>
      <c r="FY207" s="15"/>
      <c r="FZ207" s="15"/>
      <c r="GA207" s="15"/>
      <c r="GB207" s="15"/>
      <c r="GC207" s="15"/>
      <c r="GD207" s="15"/>
      <c r="GE207" s="15"/>
      <c r="GF207" s="15"/>
      <c r="HH207" s="15"/>
      <c r="HI207" s="15"/>
      <c r="HJ207" s="15"/>
      <c r="HK207" s="15"/>
      <c r="HL207" s="15"/>
      <c r="HM207" s="15"/>
      <c r="HN207" s="15"/>
      <c r="HO207" s="15"/>
      <c r="HP207" s="15"/>
      <c r="HQ207" s="15"/>
      <c r="HR207" s="15"/>
      <c r="HS207" s="15"/>
      <c r="HT207" s="15"/>
      <c r="HU207" s="15"/>
      <c r="HV207" s="15"/>
      <c r="HW207" s="15"/>
      <c r="HX207" s="15"/>
      <c r="HY207" s="15"/>
      <c r="HZ207" s="15"/>
      <c r="IQ207" s="15"/>
      <c r="IR207" s="15"/>
      <c r="IS207" s="15"/>
      <c r="IT207" s="15"/>
      <c r="IU207" s="15"/>
      <c r="IV207" s="15"/>
      <c r="IW207" s="15"/>
      <c r="IX207" s="15"/>
      <c r="IY207" s="15"/>
      <c r="IZ207" s="15"/>
      <c r="JA207" s="15"/>
      <c r="JB207" s="15"/>
      <c r="JC207" s="15"/>
      <c r="JD207" s="15"/>
      <c r="JE207" s="15"/>
      <c r="JF207" s="15"/>
      <c r="JZ207" s="15"/>
      <c r="KA207" s="15"/>
      <c r="KB207" s="15"/>
      <c r="KC207" s="15"/>
      <c r="KD207" s="15"/>
      <c r="KE207" s="15"/>
      <c r="KF207" s="15"/>
      <c r="KG207" s="15"/>
      <c r="KH207" s="15"/>
      <c r="KI207" s="15"/>
      <c r="KJ207" s="15"/>
      <c r="KK207" s="15"/>
      <c r="KL207" s="15"/>
      <c r="KM207" s="15"/>
      <c r="LI207" s="15"/>
      <c r="LJ207" s="15"/>
      <c r="LK207" s="15"/>
      <c r="LL207" s="15"/>
      <c r="LM207" s="15"/>
      <c r="LN207" s="15"/>
      <c r="LO207" s="15"/>
      <c r="LP207" s="15"/>
      <c r="LQ207" s="15"/>
      <c r="LR207" s="15"/>
    </row>
    <row r="208" spans="2:330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X208" s="15"/>
      <c r="BY208" s="15"/>
      <c r="BZ208" s="15"/>
      <c r="CA208" s="15"/>
      <c r="CB208" s="15"/>
      <c r="CC208" s="15"/>
      <c r="CD208" s="15"/>
      <c r="CE208" s="15"/>
      <c r="CF208" s="15"/>
      <c r="CG208" s="15"/>
      <c r="CH208" s="15"/>
      <c r="CI208" s="15"/>
      <c r="CJ208" s="15"/>
      <c r="CK208" s="15"/>
      <c r="CL208" s="15"/>
      <c r="CM208" s="15"/>
      <c r="CN208" s="15"/>
      <c r="CO208" s="15"/>
      <c r="CP208" s="15"/>
      <c r="EP208" s="15"/>
      <c r="EQ208" s="15"/>
      <c r="ER208" s="15"/>
      <c r="ES208" s="15"/>
      <c r="ET208" s="15"/>
      <c r="EU208" s="15"/>
      <c r="EV208" s="15"/>
      <c r="EW208" s="15"/>
      <c r="EX208" s="15"/>
      <c r="EY208" s="15"/>
      <c r="EZ208" s="15"/>
      <c r="FA208" s="15"/>
      <c r="FB208" s="15"/>
      <c r="FC208" s="15"/>
      <c r="FD208" s="15"/>
      <c r="FE208" s="15"/>
      <c r="FF208" s="15"/>
      <c r="FG208" s="15"/>
      <c r="FH208" s="15"/>
      <c r="FI208" s="15"/>
      <c r="FJ208" s="15"/>
      <c r="FK208" s="15"/>
      <c r="FL208" s="15"/>
      <c r="FM208" s="15"/>
      <c r="FN208" s="15"/>
      <c r="FO208" s="15"/>
      <c r="FP208" s="15"/>
      <c r="FQ208" s="15"/>
      <c r="FR208" s="15"/>
      <c r="FS208" s="15"/>
      <c r="FT208" s="15"/>
      <c r="FU208" s="15"/>
      <c r="FV208" s="15"/>
      <c r="FW208" s="15"/>
      <c r="FX208" s="15"/>
      <c r="FY208" s="15"/>
      <c r="FZ208" s="15"/>
      <c r="GA208" s="15"/>
      <c r="GB208" s="15"/>
      <c r="GC208" s="15"/>
      <c r="GD208" s="15"/>
      <c r="GE208" s="15"/>
      <c r="GF208" s="15"/>
      <c r="HH208" s="15"/>
      <c r="HI208" s="15"/>
      <c r="HJ208" s="15"/>
      <c r="HK208" s="15"/>
      <c r="HL208" s="15"/>
      <c r="HM208" s="15"/>
      <c r="HN208" s="15"/>
      <c r="HO208" s="15"/>
      <c r="HP208" s="15"/>
      <c r="HQ208" s="15"/>
      <c r="HR208" s="15"/>
      <c r="HS208" s="15"/>
      <c r="HT208" s="15"/>
      <c r="HU208" s="15"/>
      <c r="HV208" s="15"/>
      <c r="HW208" s="15"/>
      <c r="HX208" s="15"/>
      <c r="HY208" s="15"/>
      <c r="HZ208" s="15"/>
      <c r="IQ208" s="15"/>
      <c r="IR208" s="15"/>
      <c r="IS208" s="15"/>
      <c r="IT208" s="15"/>
      <c r="IU208" s="15"/>
      <c r="IV208" s="15"/>
      <c r="IW208" s="15"/>
      <c r="IX208" s="15"/>
      <c r="IY208" s="15"/>
      <c r="IZ208" s="15"/>
      <c r="JA208" s="15"/>
      <c r="JB208" s="15"/>
      <c r="JC208" s="15"/>
      <c r="JD208" s="15"/>
      <c r="JE208" s="15"/>
      <c r="JF208" s="15"/>
      <c r="JZ208" s="15"/>
      <c r="KA208" s="15"/>
      <c r="KB208" s="15"/>
      <c r="KC208" s="15"/>
      <c r="KD208" s="15"/>
      <c r="KE208" s="15"/>
      <c r="KF208" s="15"/>
      <c r="KG208" s="15"/>
      <c r="KH208" s="15"/>
      <c r="KI208" s="15"/>
      <c r="KJ208" s="15"/>
      <c r="KK208" s="15"/>
      <c r="KL208" s="15"/>
      <c r="KM208" s="15"/>
      <c r="LI208" s="15"/>
      <c r="LJ208" s="15"/>
      <c r="LK208" s="15"/>
      <c r="LL208" s="15"/>
      <c r="LM208" s="15"/>
      <c r="LN208" s="15"/>
      <c r="LO208" s="15"/>
      <c r="LP208" s="15"/>
      <c r="LQ208" s="15"/>
      <c r="LR208" s="15"/>
    </row>
    <row r="209" spans="2:330">
      <c r="B209" s="15"/>
      <c r="C209" s="15"/>
      <c r="D209" s="15"/>
      <c r="E209" s="15"/>
      <c r="F209" s="15"/>
      <c r="G209" s="15"/>
      <c r="H209" s="15"/>
      <c r="I209" s="15"/>
      <c r="J209" s="15"/>
      <c r="L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O209" s="15"/>
      <c r="AP209" s="15"/>
      <c r="AQ209" s="15"/>
      <c r="AR209" s="15"/>
      <c r="AS209" s="15"/>
      <c r="AT209" s="15"/>
      <c r="AU209" s="15"/>
      <c r="AV209" s="15"/>
      <c r="AW209" s="15"/>
      <c r="AY209" s="15"/>
      <c r="AZ209" s="15"/>
      <c r="BA209" s="15"/>
      <c r="BC209" s="15"/>
      <c r="BD209" s="15"/>
      <c r="BE209" s="15"/>
      <c r="BF209" s="15"/>
      <c r="BH209" s="15"/>
      <c r="BX209" s="15"/>
      <c r="BY209" s="15"/>
      <c r="BZ209" s="15"/>
      <c r="CA209" s="15"/>
      <c r="CB209" s="15"/>
      <c r="CC209" s="15"/>
      <c r="CD209" s="15"/>
      <c r="CE209" s="15"/>
      <c r="CG209" s="15"/>
      <c r="CH209" s="15"/>
      <c r="CI209" s="15"/>
      <c r="CJ209" s="15"/>
      <c r="CK209" s="15"/>
      <c r="CL209" s="15"/>
      <c r="CM209" s="15"/>
      <c r="CN209" s="15"/>
      <c r="CO209" s="15"/>
      <c r="CP209" s="15"/>
      <c r="CQ209" s="15"/>
      <c r="CR209" s="15"/>
      <c r="CS209" s="15"/>
      <c r="CT209" s="15"/>
      <c r="CU209" s="15"/>
      <c r="EP209" s="15"/>
      <c r="EQ209" s="15"/>
      <c r="ER209" s="15"/>
      <c r="ES209" s="15"/>
      <c r="ET209" s="15"/>
      <c r="EU209" s="15"/>
      <c r="EV209" s="15"/>
      <c r="EW209" s="15"/>
      <c r="EX209" s="15"/>
      <c r="EY209" s="15"/>
      <c r="EZ209" s="15"/>
      <c r="FA209" s="15"/>
      <c r="FB209" s="15"/>
      <c r="FC209" s="15"/>
      <c r="FD209" s="15"/>
      <c r="FE209" s="15"/>
      <c r="FF209" s="15"/>
      <c r="FG209" s="15"/>
      <c r="FH209" s="15"/>
      <c r="FI209" s="15"/>
      <c r="FJ209" s="15"/>
      <c r="FK209" s="15"/>
      <c r="FL209" s="15"/>
      <c r="FM209" s="15"/>
      <c r="FN209" s="15"/>
      <c r="FO209" s="15"/>
      <c r="FP209" s="15"/>
      <c r="FQ209" s="15"/>
      <c r="FR209" s="15"/>
      <c r="FS209" s="15"/>
      <c r="FT209" s="15"/>
      <c r="FU209" s="15"/>
      <c r="FV209" s="15"/>
      <c r="FW209" s="15"/>
      <c r="FX209" s="15"/>
      <c r="FY209" s="15"/>
      <c r="FZ209" s="15"/>
      <c r="GA209" s="15"/>
      <c r="GB209" s="15"/>
      <c r="GC209" s="15"/>
      <c r="GD209" s="15"/>
      <c r="GE209" s="15"/>
      <c r="GF209" s="15"/>
      <c r="HH209" s="15"/>
      <c r="HI209" s="15"/>
      <c r="HJ209" s="15"/>
      <c r="HK209" s="15"/>
      <c r="HL209" s="15"/>
      <c r="HM209" s="15"/>
      <c r="HN209" s="15"/>
      <c r="HO209" s="15"/>
      <c r="HP209" s="15"/>
      <c r="HQ209" s="15"/>
      <c r="HR209" s="15"/>
      <c r="HS209" s="15"/>
      <c r="HT209" s="15"/>
      <c r="HU209" s="15"/>
      <c r="HW209" s="15"/>
      <c r="HX209" s="15"/>
      <c r="HY209" s="15"/>
      <c r="HZ209" s="15"/>
      <c r="IQ209" s="15"/>
      <c r="IR209" s="15"/>
      <c r="IS209" s="15"/>
      <c r="IT209" s="15"/>
      <c r="IU209" s="15"/>
      <c r="IV209" s="15"/>
      <c r="IW209" s="15"/>
      <c r="IX209" s="15"/>
      <c r="IY209" s="15"/>
      <c r="IZ209" s="15"/>
      <c r="JA209" s="15"/>
      <c r="JB209" s="15"/>
      <c r="JC209" s="15"/>
      <c r="JE209" s="15"/>
      <c r="JZ209" s="15"/>
      <c r="KA209" s="15"/>
      <c r="KB209" s="15"/>
      <c r="KC209" s="15"/>
      <c r="KD209" s="15"/>
      <c r="KE209" s="15"/>
      <c r="KF209" s="15"/>
      <c r="KG209" s="15"/>
      <c r="KH209" s="15"/>
      <c r="KI209" s="15"/>
      <c r="KJ209" s="15"/>
      <c r="KK209" s="15"/>
      <c r="KL209" s="15"/>
      <c r="KM209" s="15"/>
      <c r="LI209" s="15"/>
      <c r="LJ209" s="15"/>
      <c r="LK209" s="15"/>
      <c r="LL209" s="15"/>
      <c r="LM209" s="15"/>
      <c r="LN209" s="15"/>
      <c r="LO209" s="15"/>
      <c r="LP209" s="15"/>
      <c r="LR209" s="15"/>
    </row>
    <row r="210" spans="2:330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R210" s="15"/>
      <c r="S210" s="15"/>
      <c r="T210" s="15"/>
      <c r="U210" s="15"/>
      <c r="V210" s="15"/>
      <c r="W210" s="15"/>
      <c r="X210" s="15"/>
      <c r="AA210" s="15"/>
      <c r="AB210" s="15"/>
      <c r="AO210" s="15"/>
      <c r="AP210" s="15"/>
      <c r="AQ210" s="15"/>
      <c r="AR210" s="15"/>
      <c r="AS210" s="15"/>
      <c r="AT210" s="15"/>
      <c r="AU210" s="15"/>
      <c r="AV210" s="15"/>
      <c r="AW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X210" s="15"/>
      <c r="BY210" s="15"/>
      <c r="CA210" s="15"/>
      <c r="CB210" s="15"/>
      <c r="CG210" s="15"/>
      <c r="CH210" s="15"/>
      <c r="CI210" s="15"/>
      <c r="CJ210" s="15"/>
      <c r="CK210" s="15"/>
      <c r="CL210" s="15"/>
      <c r="CM210" s="15"/>
      <c r="CN210" s="15"/>
      <c r="CO210" s="15"/>
      <c r="EP210" s="15"/>
      <c r="EQ210" s="15"/>
      <c r="ER210" s="15"/>
      <c r="ES210" s="15"/>
      <c r="ET210" s="15"/>
      <c r="EU210" s="15"/>
      <c r="EV210" s="15"/>
      <c r="EW210" s="15"/>
      <c r="EX210" s="15"/>
      <c r="EY210" s="15"/>
      <c r="EZ210" s="15"/>
      <c r="FA210" s="15"/>
      <c r="FB210" s="15"/>
      <c r="FD210" s="15"/>
      <c r="FE210" s="15"/>
      <c r="FF210" s="15"/>
      <c r="FG210" s="15"/>
      <c r="FH210" s="15"/>
      <c r="FI210" s="15"/>
      <c r="FK210" s="15"/>
      <c r="FL210" s="15"/>
      <c r="FM210" s="15"/>
      <c r="FN210" s="15"/>
      <c r="FO210" s="15"/>
      <c r="FP210" s="15"/>
      <c r="FQ210" s="15"/>
      <c r="FR210" s="15"/>
      <c r="FS210" s="15"/>
      <c r="FT210" s="15"/>
      <c r="FU210" s="15"/>
      <c r="FV210" s="15"/>
      <c r="FW210" s="15"/>
      <c r="FY210" s="15"/>
      <c r="FZ210" s="15"/>
      <c r="GA210" s="15"/>
      <c r="GB210" s="15"/>
      <c r="GD210" s="15"/>
      <c r="GE210" s="15"/>
      <c r="GF210" s="15"/>
      <c r="HH210" s="15"/>
      <c r="HI210" s="15"/>
      <c r="HJ210" s="15"/>
      <c r="HL210" s="15"/>
      <c r="HN210" s="15"/>
      <c r="HO210" s="15"/>
      <c r="HP210" s="15"/>
      <c r="HQ210" s="15"/>
      <c r="HR210" s="15"/>
      <c r="HS210" s="15"/>
      <c r="HT210" s="15"/>
      <c r="HU210" s="15"/>
      <c r="HW210" s="15"/>
      <c r="HX210" s="15"/>
      <c r="IQ210" s="15"/>
      <c r="IR210" s="15"/>
      <c r="IS210" s="15"/>
      <c r="IT210" s="15"/>
      <c r="IU210" s="15"/>
      <c r="IV210" s="15"/>
      <c r="IW210" s="15"/>
      <c r="IX210" s="15"/>
      <c r="IY210" s="15"/>
      <c r="IZ210" s="15"/>
      <c r="JA210" s="15"/>
      <c r="JB210" s="15"/>
      <c r="JC210" s="15"/>
      <c r="JD210" s="15"/>
      <c r="JE210" s="15"/>
      <c r="JZ210" s="15"/>
      <c r="KA210" s="15"/>
      <c r="KB210" s="15"/>
      <c r="KC210" s="15"/>
      <c r="KD210" s="15"/>
      <c r="KE210" s="15"/>
      <c r="KF210" s="15"/>
      <c r="KG210" s="15"/>
      <c r="KH210" s="15"/>
      <c r="KI210" s="15"/>
      <c r="KJ210" s="15"/>
      <c r="KK210" s="15"/>
      <c r="KL210" s="15"/>
      <c r="KM210" s="15"/>
      <c r="LI210" s="15"/>
      <c r="LJ210" s="15"/>
      <c r="LL210" s="15"/>
      <c r="LM210" s="15"/>
      <c r="LN210" s="15"/>
      <c r="LO210" s="15"/>
      <c r="LQ210" s="15"/>
      <c r="LR210" s="15"/>
    </row>
    <row r="211" spans="2:330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X211" s="15"/>
      <c r="BY211" s="15"/>
      <c r="BZ211" s="15"/>
      <c r="CC211" s="15"/>
      <c r="CD211" s="15"/>
      <c r="CE211" s="15"/>
      <c r="CF211" s="15"/>
      <c r="CG211" s="15"/>
      <c r="CH211" s="15"/>
      <c r="CI211" s="15"/>
      <c r="CJ211" s="15"/>
      <c r="CK211" s="15"/>
      <c r="CL211" s="15"/>
      <c r="CM211" s="15"/>
      <c r="CN211" s="15"/>
      <c r="CO211" s="15"/>
      <c r="CP211" s="15"/>
      <c r="CQ211" s="15"/>
      <c r="CR211" s="15"/>
      <c r="CS211" s="15"/>
      <c r="CT211" s="15"/>
      <c r="CU211" s="15"/>
      <c r="EP211" s="15"/>
      <c r="EQ211" s="15"/>
      <c r="ER211" s="15"/>
      <c r="ES211" s="15"/>
      <c r="ET211" s="15"/>
      <c r="EU211" s="15"/>
      <c r="EV211" s="15"/>
      <c r="EW211" s="15"/>
      <c r="EX211" s="15"/>
      <c r="EY211" s="15"/>
      <c r="EZ211" s="15"/>
      <c r="FA211" s="15"/>
      <c r="FB211" s="15"/>
      <c r="FC211" s="15"/>
      <c r="FD211" s="15"/>
      <c r="FE211" s="15"/>
      <c r="FF211" s="15"/>
      <c r="FG211" s="15"/>
      <c r="FH211" s="15"/>
      <c r="FI211" s="15"/>
      <c r="FJ211" s="15"/>
      <c r="FK211" s="15"/>
      <c r="FN211" s="15"/>
      <c r="FO211" s="15"/>
      <c r="FQ211" s="15"/>
      <c r="FR211" s="15"/>
      <c r="FS211" s="15"/>
      <c r="FT211" s="15"/>
      <c r="FV211" s="15"/>
      <c r="FW211" s="15"/>
      <c r="FX211" s="15"/>
      <c r="FY211" s="15"/>
      <c r="FZ211" s="15"/>
      <c r="GA211" s="15"/>
      <c r="GB211" s="15"/>
      <c r="GC211" s="15"/>
      <c r="GD211" s="15"/>
      <c r="GE211" s="15"/>
      <c r="GF211" s="15"/>
      <c r="HH211" s="15"/>
      <c r="HI211" s="15"/>
      <c r="HJ211" s="15"/>
      <c r="HN211" s="15"/>
      <c r="HO211" s="15"/>
      <c r="HP211" s="15"/>
      <c r="HQ211" s="15"/>
      <c r="HS211" s="15"/>
      <c r="HT211" s="15"/>
      <c r="HU211" s="15"/>
      <c r="HV211" s="15"/>
      <c r="HW211" s="15"/>
      <c r="HX211" s="15"/>
      <c r="HY211" s="15"/>
      <c r="HZ211" s="15"/>
      <c r="IQ211" s="15"/>
      <c r="IR211" s="15"/>
      <c r="IS211" s="15"/>
      <c r="IT211" s="15"/>
      <c r="IU211" s="15"/>
      <c r="IV211" s="15"/>
      <c r="IW211" s="15"/>
      <c r="IX211" s="15"/>
      <c r="IY211" s="15"/>
      <c r="IZ211" s="15"/>
      <c r="JA211" s="15"/>
      <c r="JB211" s="15"/>
      <c r="JC211" s="15"/>
      <c r="JD211" s="15"/>
      <c r="JE211" s="15"/>
      <c r="JF211" s="15"/>
      <c r="JZ211" s="15"/>
      <c r="KA211" s="15"/>
      <c r="KB211" s="15"/>
      <c r="KC211" s="15"/>
      <c r="KD211" s="15"/>
      <c r="KE211" s="15"/>
      <c r="KF211" s="15"/>
      <c r="KG211" s="15"/>
      <c r="KH211" s="15"/>
      <c r="KI211" s="15"/>
      <c r="KJ211" s="15"/>
      <c r="KK211" s="15"/>
      <c r="KL211" s="15"/>
      <c r="KM211" s="15"/>
      <c r="LI211" s="15"/>
      <c r="LJ211" s="15"/>
      <c r="LK211" s="15"/>
      <c r="LL211" s="15"/>
      <c r="LM211" s="15"/>
      <c r="LN211" s="15"/>
      <c r="LO211" s="15"/>
      <c r="LP211" s="15"/>
      <c r="LQ211" s="15"/>
      <c r="LR211" s="15"/>
    </row>
    <row r="212" spans="2:330">
      <c r="B212" s="15"/>
      <c r="C212" s="15"/>
      <c r="D212" s="15"/>
      <c r="E212" s="15"/>
      <c r="F212" s="15"/>
      <c r="G212" s="15"/>
      <c r="I212" s="15"/>
      <c r="J212" s="15"/>
      <c r="L212" s="15"/>
      <c r="R212" s="15"/>
      <c r="S212" s="15"/>
      <c r="T212" s="15"/>
      <c r="V212" s="15"/>
      <c r="W212" s="15"/>
      <c r="X212" s="15"/>
      <c r="Z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X212" s="15"/>
      <c r="BY212" s="15"/>
      <c r="CC212" s="15"/>
      <c r="CG212" s="15"/>
      <c r="CH212" s="15"/>
      <c r="CI212" s="15"/>
      <c r="CJ212" s="15"/>
      <c r="CK212" s="15"/>
      <c r="CM212" s="15"/>
      <c r="CN212" s="15"/>
      <c r="CO212" s="15"/>
      <c r="CP212" s="15"/>
      <c r="CQ212" s="15"/>
      <c r="CR212" s="15"/>
      <c r="CS212" s="15"/>
      <c r="CU212" s="15"/>
      <c r="EP212" s="15"/>
      <c r="EQ212" s="15"/>
      <c r="ER212" s="15"/>
      <c r="ES212" s="15"/>
      <c r="ET212" s="15"/>
      <c r="EU212" s="15"/>
      <c r="EV212" s="15"/>
      <c r="EW212" s="15"/>
      <c r="EX212" s="15"/>
      <c r="EZ212" s="15"/>
      <c r="FA212" s="15"/>
      <c r="FB212" s="15"/>
      <c r="FC212" s="15"/>
      <c r="FD212" s="15"/>
      <c r="FE212" s="15"/>
      <c r="FF212" s="15"/>
      <c r="FG212" s="15"/>
      <c r="FH212" s="15"/>
      <c r="FI212" s="15"/>
      <c r="FJ212" s="15"/>
      <c r="FK212" s="15"/>
      <c r="FL212" s="15"/>
      <c r="FM212" s="15"/>
      <c r="FP212" s="15"/>
      <c r="FQ212" s="15"/>
      <c r="FR212" s="15"/>
      <c r="FS212" s="15"/>
      <c r="FT212" s="15"/>
      <c r="FU212" s="15"/>
      <c r="FV212" s="15"/>
      <c r="FW212" s="15"/>
      <c r="FY212" s="15"/>
      <c r="FZ212" s="15"/>
      <c r="GA212" s="15"/>
      <c r="GB212" s="15"/>
      <c r="GC212" s="15"/>
      <c r="GD212" s="15"/>
      <c r="GE212" s="15"/>
      <c r="GF212" s="15"/>
      <c r="HH212" s="15"/>
      <c r="HI212" s="15"/>
      <c r="HO212" s="15"/>
      <c r="HP212" s="15"/>
      <c r="HQ212" s="15"/>
      <c r="HR212" s="15"/>
      <c r="HS212" s="15"/>
      <c r="HT212" s="15"/>
      <c r="HU212" s="15"/>
      <c r="HX212" s="15"/>
      <c r="IQ212" s="15"/>
      <c r="IR212" s="15"/>
      <c r="IV212" s="15"/>
      <c r="IW212" s="15"/>
      <c r="IX212" s="15"/>
      <c r="IY212" s="15"/>
      <c r="IZ212" s="15"/>
      <c r="JA212" s="15"/>
      <c r="JB212" s="15"/>
      <c r="JC212" s="15"/>
      <c r="JE212" s="15"/>
      <c r="JF212" s="15"/>
      <c r="JZ212" s="15"/>
      <c r="KA212" s="15"/>
      <c r="KB212" s="15"/>
      <c r="KC212" s="15"/>
      <c r="KD212" s="15"/>
      <c r="KE212" s="15"/>
      <c r="KF212" s="15"/>
      <c r="KG212" s="15"/>
      <c r="KI212" s="15"/>
      <c r="KJ212" s="15"/>
      <c r="KL212" s="15"/>
      <c r="KM212" s="15"/>
      <c r="LI212" s="15"/>
      <c r="LJ212" s="15"/>
      <c r="LK212" s="15"/>
      <c r="LL212" s="15"/>
      <c r="LM212" s="15"/>
      <c r="LN212" s="15"/>
      <c r="LO212" s="15"/>
      <c r="LP212" s="15"/>
      <c r="LQ212" s="15"/>
      <c r="LR212" s="15"/>
    </row>
    <row r="213" spans="2:330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X213" s="15"/>
      <c r="BY213" s="15"/>
      <c r="BZ213" s="15"/>
      <c r="CA213" s="15"/>
      <c r="CB213" s="15"/>
      <c r="CC213" s="15"/>
      <c r="CD213" s="15"/>
      <c r="CE213" s="15"/>
      <c r="CF213" s="15"/>
      <c r="CG213" s="15"/>
      <c r="CH213" s="15"/>
      <c r="CI213" s="15"/>
      <c r="CJ213" s="15"/>
      <c r="CK213" s="15"/>
      <c r="CL213" s="15"/>
      <c r="CM213" s="15"/>
      <c r="CN213" s="15"/>
      <c r="CO213" s="15"/>
      <c r="CP213" s="15"/>
      <c r="CQ213" s="15"/>
      <c r="CS213" s="15"/>
      <c r="CT213" s="15"/>
      <c r="CU213" s="15"/>
      <c r="EP213" s="15"/>
      <c r="EQ213" s="15"/>
      <c r="ER213" s="15"/>
      <c r="ES213" s="15"/>
      <c r="ET213" s="15"/>
      <c r="EU213" s="15"/>
      <c r="EV213" s="15"/>
      <c r="EW213" s="15"/>
      <c r="EX213" s="15"/>
      <c r="EY213" s="15"/>
      <c r="EZ213" s="15"/>
      <c r="FA213" s="15"/>
      <c r="FB213" s="15"/>
      <c r="FC213" s="15"/>
      <c r="FD213" s="15"/>
      <c r="FE213" s="15"/>
      <c r="FF213" s="15"/>
      <c r="FG213" s="15"/>
      <c r="FH213" s="15"/>
      <c r="FI213" s="15"/>
      <c r="FJ213" s="15"/>
      <c r="FK213" s="15"/>
      <c r="FL213" s="15"/>
      <c r="FM213" s="15"/>
      <c r="FN213" s="15"/>
      <c r="FO213" s="15"/>
      <c r="FP213" s="15"/>
      <c r="FQ213" s="15"/>
      <c r="FR213" s="15"/>
      <c r="FS213" s="15"/>
      <c r="FT213" s="15"/>
      <c r="FU213" s="15"/>
      <c r="FV213" s="15"/>
      <c r="FW213" s="15"/>
      <c r="FX213" s="15"/>
      <c r="FY213" s="15"/>
      <c r="FZ213" s="15"/>
      <c r="GA213" s="15"/>
      <c r="GB213" s="15"/>
      <c r="GC213" s="15"/>
      <c r="GD213" s="15"/>
      <c r="GE213" s="15"/>
      <c r="GF213" s="15"/>
      <c r="HH213" s="15"/>
      <c r="HI213" s="15"/>
      <c r="HJ213" s="15"/>
      <c r="HK213" s="15"/>
      <c r="HL213" s="15"/>
      <c r="HM213" s="15"/>
      <c r="HN213" s="15"/>
      <c r="HO213" s="15"/>
      <c r="HP213" s="15"/>
      <c r="HQ213" s="15"/>
      <c r="HR213" s="15"/>
      <c r="HS213" s="15"/>
      <c r="HT213" s="15"/>
      <c r="HU213" s="15"/>
      <c r="HV213" s="15"/>
      <c r="HW213" s="15"/>
      <c r="HX213" s="15"/>
      <c r="HY213" s="15"/>
      <c r="HZ213" s="15"/>
      <c r="IQ213" s="15"/>
      <c r="IR213" s="15"/>
      <c r="IS213" s="15"/>
      <c r="IT213" s="15"/>
      <c r="IU213" s="15"/>
      <c r="IV213" s="15"/>
      <c r="IW213" s="15"/>
      <c r="IX213" s="15"/>
      <c r="IY213" s="15"/>
      <c r="IZ213" s="15"/>
      <c r="JA213" s="15"/>
      <c r="JB213" s="15"/>
      <c r="JC213" s="15"/>
      <c r="JD213" s="15"/>
      <c r="JE213" s="15"/>
      <c r="JF213" s="15"/>
      <c r="JZ213" s="15"/>
      <c r="KA213" s="15"/>
      <c r="KB213" s="15"/>
      <c r="KC213" s="15"/>
      <c r="KD213" s="15"/>
      <c r="KE213" s="15"/>
      <c r="KF213" s="15"/>
      <c r="KG213" s="15"/>
      <c r="KH213" s="15"/>
      <c r="KI213" s="15"/>
      <c r="KJ213" s="15"/>
      <c r="KK213" s="15"/>
      <c r="KL213" s="15"/>
      <c r="KM213" s="15"/>
      <c r="LI213" s="15"/>
      <c r="LJ213" s="15"/>
      <c r="LK213" s="15"/>
      <c r="LL213" s="15"/>
      <c r="LM213" s="15"/>
      <c r="LN213" s="15"/>
      <c r="LO213" s="15"/>
      <c r="LP213" s="15"/>
      <c r="LQ213" s="15"/>
      <c r="LR213" s="15"/>
    </row>
    <row r="214" spans="2:330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X214" s="15"/>
      <c r="BY214" s="15"/>
      <c r="BZ214" s="15"/>
      <c r="CA214" s="15"/>
      <c r="CB214" s="15"/>
      <c r="CC214" s="15"/>
      <c r="CD214" s="15"/>
      <c r="CE214" s="15"/>
      <c r="CF214" s="15"/>
      <c r="CG214" s="15"/>
      <c r="CI214" s="15"/>
      <c r="CJ214" s="15"/>
      <c r="CL214" s="15"/>
      <c r="CM214" s="15"/>
      <c r="CN214" s="15"/>
      <c r="CO214" s="15"/>
      <c r="CP214" s="15"/>
      <c r="CQ214" s="15"/>
      <c r="CR214" s="15"/>
      <c r="CS214" s="15"/>
      <c r="CT214" s="15"/>
      <c r="CU214" s="15"/>
      <c r="EP214" s="15"/>
      <c r="EQ214" s="15"/>
      <c r="ER214" s="15"/>
      <c r="ES214" s="15"/>
      <c r="ET214" s="15"/>
      <c r="EU214" s="15"/>
      <c r="EV214" s="15"/>
      <c r="EW214" s="15"/>
      <c r="EX214" s="15"/>
      <c r="EY214" s="15"/>
      <c r="EZ214" s="15"/>
      <c r="FA214" s="15"/>
      <c r="FB214" s="15"/>
      <c r="FC214" s="15"/>
      <c r="FD214" s="15"/>
      <c r="FE214" s="15"/>
      <c r="FF214" s="15"/>
      <c r="FG214" s="15"/>
      <c r="FH214" s="15"/>
      <c r="FI214" s="15"/>
      <c r="FJ214" s="15"/>
      <c r="FK214" s="15"/>
      <c r="FL214" s="15"/>
      <c r="FM214" s="15"/>
      <c r="FN214" s="15"/>
      <c r="FO214" s="15"/>
      <c r="FP214" s="15"/>
      <c r="FQ214" s="15"/>
      <c r="FR214" s="15"/>
      <c r="FS214" s="15"/>
      <c r="FT214" s="15"/>
      <c r="FU214" s="15"/>
      <c r="FV214" s="15"/>
      <c r="FW214" s="15"/>
      <c r="FX214" s="15"/>
      <c r="FY214" s="15"/>
      <c r="FZ214" s="15"/>
      <c r="GA214" s="15"/>
      <c r="GB214" s="15"/>
      <c r="GC214" s="15"/>
      <c r="GD214" s="15"/>
      <c r="GE214" s="15"/>
      <c r="GF214" s="15"/>
      <c r="HH214" s="15"/>
      <c r="HI214" s="15"/>
      <c r="HJ214" s="15"/>
      <c r="HK214" s="15"/>
      <c r="HM214" s="15"/>
      <c r="HN214" s="15"/>
      <c r="HO214" s="15"/>
      <c r="HP214" s="15"/>
      <c r="HQ214" s="15"/>
      <c r="HR214" s="15"/>
      <c r="HS214" s="15"/>
      <c r="HT214" s="15"/>
      <c r="HU214" s="15"/>
      <c r="HV214" s="15"/>
      <c r="HW214" s="15"/>
      <c r="HX214" s="15"/>
      <c r="HY214" s="15"/>
      <c r="HZ214" s="15"/>
      <c r="IQ214" s="15"/>
      <c r="IR214" s="15"/>
      <c r="IS214" s="15"/>
      <c r="IT214" s="15"/>
      <c r="IU214" s="15"/>
      <c r="IV214" s="15"/>
      <c r="IW214" s="15"/>
      <c r="IX214" s="15"/>
      <c r="IY214" s="15"/>
      <c r="IZ214" s="15"/>
      <c r="JA214" s="15"/>
      <c r="JB214" s="15"/>
      <c r="JC214" s="15"/>
      <c r="JD214" s="15"/>
      <c r="JE214" s="15"/>
      <c r="JF214" s="15"/>
      <c r="JZ214" s="15"/>
      <c r="KA214" s="15"/>
      <c r="KB214" s="15"/>
      <c r="KC214" s="15"/>
      <c r="KD214" s="15"/>
      <c r="KE214" s="15"/>
      <c r="KF214" s="15"/>
      <c r="KG214" s="15"/>
      <c r="KH214" s="15"/>
      <c r="KI214" s="15"/>
      <c r="KJ214" s="15"/>
      <c r="KK214" s="15"/>
      <c r="KL214" s="15"/>
      <c r="KM214" s="15"/>
      <c r="LI214" s="15"/>
      <c r="LJ214" s="15"/>
      <c r="LK214" s="15"/>
      <c r="LL214" s="15"/>
      <c r="LM214" s="15"/>
      <c r="LN214" s="15"/>
      <c r="LO214" s="15"/>
      <c r="LP214" s="15"/>
      <c r="LQ214" s="15"/>
      <c r="LR214" s="15"/>
    </row>
    <row r="215" spans="2:330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X215" s="15"/>
      <c r="BY215" s="15"/>
      <c r="BZ215" s="15"/>
      <c r="CB215" s="15"/>
      <c r="CC215" s="15"/>
      <c r="CD215" s="15"/>
      <c r="CE215" s="15"/>
      <c r="CF215" s="15"/>
      <c r="CG215" s="15"/>
      <c r="CH215" s="15"/>
      <c r="CI215" s="15"/>
      <c r="CJ215" s="15"/>
      <c r="CK215" s="15"/>
      <c r="CL215" s="15"/>
      <c r="CM215" s="15"/>
      <c r="CN215" s="15"/>
      <c r="CO215" s="15"/>
      <c r="CP215" s="15"/>
      <c r="CQ215" s="15"/>
      <c r="CR215" s="15"/>
      <c r="CS215" s="15"/>
      <c r="CT215" s="15"/>
      <c r="CU215" s="15"/>
      <c r="EP215" s="15"/>
      <c r="EQ215" s="15"/>
      <c r="ER215" s="15"/>
      <c r="ES215" s="15"/>
      <c r="ET215" s="15"/>
      <c r="EU215" s="15"/>
      <c r="EV215" s="15"/>
      <c r="EW215" s="15"/>
      <c r="EX215" s="15"/>
      <c r="EY215" s="15"/>
      <c r="EZ215" s="15"/>
      <c r="FA215" s="15"/>
      <c r="FB215" s="15"/>
      <c r="FC215" s="15"/>
      <c r="FD215" s="15"/>
      <c r="FE215" s="15"/>
      <c r="FF215" s="15"/>
      <c r="FG215" s="15"/>
      <c r="FH215" s="15"/>
      <c r="FI215" s="15"/>
      <c r="FJ215" s="15"/>
      <c r="FK215" s="15"/>
      <c r="FL215" s="15"/>
      <c r="FM215" s="15"/>
      <c r="FN215" s="15"/>
      <c r="FO215" s="15"/>
      <c r="FP215" s="15"/>
      <c r="FQ215" s="15"/>
      <c r="FR215" s="15"/>
      <c r="FS215" s="15"/>
      <c r="FT215" s="15"/>
      <c r="FU215" s="15"/>
      <c r="FV215" s="15"/>
      <c r="FW215" s="15"/>
      <c r="FX215" s="15"/>
      <c r="FY215" s="15"/>
      <c r="FZ215" s="15"/>
      <c r="GA215" s="15"/>
      <c r="GB215" s="15"/>
      <c r="GC215" s="15"/>
      <c r="GD215" s="15"/>
      <c r="GE215" s="15"/>
      <c r="GF215" s="15"/>
      <c r="HH215" s="15"/>
      <c r="HI215" s="15"/>
      <c r="HJ215" s="15"/>
      <c r="HK215" s="15"/>
      <c r="HL215" s="15"/>
      <c r="HM215" s="15"/>
      <c r="HN215" s="15"/>
      <c r="HO215" s="15"/>
      <c r="HP215" s="15"/>
      <c r="HQ215" s="15"/>
      <c r="HR215" s="15"/>
      <c r="HS215" s="15"/>
      <c r="HT215" s="15"/>
      <c r="HU215" s="15"/>
      <c r="HV215" s="15"/>
      <c r="HW215" s="15"/>
      <c r="HX215" s="15"/>
      <c r="HY215" s="15"/>
      <c r="HZ215" s="15"/>
      <c r="IQ215" s="15"/>
      <c r="IR215" s="15"/>
      <c r="IS215" s="15"/>
      <c r="IT215" s="15"/>
      <c r="IU215" s="15"/>
      <c r="IV215" s="15"/>
      <c r="IW215" s="15"/>
      <c r="IX215" s="15"/>
      <c r="IY215" s="15"/>
      <c r="IZ215" s="15"/>
      <c r="JA215" s="15"/>
      <c r="JB215" s="15"/>
      <c r="JC215" s="15"/>
      <c r="JD215" s="15"/>
      <c r="JE215" s="15"/>
      <c r="JF215" s="15"/>
      <c r="JZ215" s="15"/>
      <c r="KA215" s="15"/>
      <c r="KB215" s="15"/>
      <c r="KC215" s="15"/>
      <c r="KD215" s="15"/>
      <c r="KE215" s="15"/>
      <c r="KF215" s="15"/>
      <c r="KG215" s="15"/>
      <c r="KH215" s="15"/>
      <c r="KI215" s="15"/>
      <c r="KJ215" s="15"/>
      <c r="KK215" s="15"/>
      <c r="KL215" s="15"/>
      <c r="KM215" s="15"/>
      <c r="LI215" s="15"/>
      <c r="LJ215" s="15"/>
      <c r="LK215" s="15"/>
      <c r="LL215" s="15"/>
      <c r="LM215" s="15"/>
      <c r="LN215" s="15"/>
      <c r="LO215" s="15"/>
      <c r="LP215" s="15"/>
      <c r="LQ215" s="15"/>
      <c r="LR215" s="15"/>
    </row>
    <row r="216" spans="2:330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X216" s="15"/>
      <c r="BY216" s="15"/>
      <c r="BZ216" s="15"/>
      <c r="CB216" s="15"/>
      <c r="CC216" s="15"/>
      <c r="CD216" s="15"/>
      <c r="CE216" s="15"/>
      <c r="CF216" s="15"/>
      <c r="CG216" s="15"/>
      <c r="CH216" s="15"/>
      <c r="CI216" s="15"/>
      <c r="CJ216" s="15"/>
      <c r="CK216" s="15"/>
      <c r="CL216" s="15"/>
      <c r="CM216" s="15"/>
      <c r="CN216" s="15"/>
      <c r="CO216" s="15"/>
      <c r="CP216" s="15"/>
      <c r="CQ216" s="15"/>
      <c r="CR216" s="15"/>
      <c r="CS216" s="15"/>
      <c r="CT216" s="15"/>
      <c r="CU216" s="15"/>
      <c r="EP216" s="15"/>
      <c r="EQ216" s="15"/>
      <c r="ER216" s="15"/>
      <c r="ES216" s="15"/>
      <c r="ET216" s="15"/>
      <c r="EU216" s="15"/>
      <c r="EV216" s="15"/>
      <c r="EW216" s="15"/>
      <c r="EX216" s="15"/>
      <c r="EY216" s="15"/>
      <c r="EZ216" s="15"/>
      <c r="FA216" s="15"/>
      <c r="FB216" s="15"/>
      <c r="FC216" s="15"/>
      <c r="FD216" s="15"/>
      <c r="FE216" s="15"/>
      <c r="FF216" s="15"/>
      <c r="FG216" s="15"/>
      <c r="FH216" s="15"/>
      <c r="FI216" s="15"/>
      <c r="FJ216" s="15"/>
      <c r="FK216" s="15"/>
      <c r="FL216" s="15"/>
      <c r="FM216" s="15"/>
      <c r="FN216" s="15"/>
      <c r="FO216" s="15"/>
      <c r="FP216" s="15"/>
      <c r="FQ216" s="15"/>
      <c r="FR216" s="15"/>
      <c r="FS216" s="15"/>
      <c r="FT216" s="15"/>
      <c r="FU216" s="15"/>
      <c r="FV216" s="15"/>
      <c r="FW216" s="15"/>
      <c r="FX216" s="15"/>
      <c r="FY216" s="15"/>
      <c r="FZ216" s="15"/>
      <c r="GA216" s="15"/>
      <c r="GB216" s="15"/>
      <c r="GC216" s="15"/>
      <c r="GD216" s="15"/>
      <c r="GE216" s="15"/>
      <c r="GF216" s="15"/>
      <c r="HH216" s="15"/>
      <c r="HI216" s="15"/>
      <c r="HJ216" s="15"/>
      <c r="HK216" s="15"/>
      <c r="HL216" s="15"/>
      <c r="HM216" s="15"/>
      <c r="HN216" s="15"/>
      <c r="HO216" s="15"/>
      <c r="HP216" s="15"/>
      <c r="HQ216" s="15"/>
      <c r="HR216" s="15"/>
      <c r="HS216" s="15"/>
      <c r="HT216" s="15"/>
      <c r="HU216" s="15"/>
      <c r="HV216" s="15"/>
      <c r="HW216" s="15"/>
      <c r="HX216" s="15"/>
      <c r="HY216" s="15"/>
      <c r="HZ216" s="15"/>
      <c r="IQ216" s="15"/>
      <c r="IR216" s="15"/>
      <c r="IS216" s="15"/>
      <c r="IT216" s="15"/>
      <c r="IU216" s="15"/>
      <c r="IV216" s="15"/>
      <c r="IW216" s="15"/>
      <c r="IX216" s="15"/>
      <c r="IY216" s="15"/>
      <c r="IZ216" s="15"/>
      <c r="JA216" s="15"/>
      <c r="JB216" s="15"/>
      <c r="JC216" s="15"/>
      <c r="JD216" s="15"/>
      <c r="JE216" s="15"/>
      <c r="JF216" s="15"/>
      <c r="JZ216" s="15"/>
      <c r="KA216" s="15"/>
      <c r="KB216" s="15"/>
      <c r="KC216" s="15"/>
      <c r="KD216" s="15"/>
      <c r="KE216" s="15"/>
      <c r="KF216" s="15"/>
      <c r="KG216" s="15"/>
      <c r="KH216" s="15"/>
      <c r="KI216" s="15"/>
      <c r="KJ216" s="15"/>
      <c r="KK216" s="15"/>
      <c r="KL216" s="15"/>
      <c r="KM216" s="15"/>
      <c r="LI216" s="15"/>
      <c r="LJ216" s="15"/>
      <c r="LK216" s="15"/>
      <c r="LL216" s="15"/>
      <c r="LM216" s="15"/>
      <c r="LN216" s="15"/>
      <c r="LO216" s="15"/>
      <c r="LP216" s="15"/>
      <c r="LQ216" s="15"/>
      <c r="LR216" s="15"/>
    </row>
    <row r="217" spans="2:330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X217" s="15"/>
      <c r="BY217" s="15"/>
      <c r="BZ217" s="15"/>
      <c r="CA217" s="15"/>
      <c r="CB217" s="15"/>
      <c r="CC217" s="15"/>
      <c r="CG217" s="15"/>
      <c r="CH217" s="15"/>
      <c r="CI217" s="15"/>
      <c r="CJ217" s="15"/>
      <c r="CK217" s="15"/>
      <c r="CL217" s="15"/>
      <c r="CM217" s="15"/>
      <c r="CN217" s="15"/>
      <c r="CO217" s="15"/>
      <c r="CP217" s="15"/>
      <c r="CQ217" s="15"/>
      <c r="CR217" s="15"/>
      <c r="CS217" s="15"/>
      <c r="CT217" s="15"/>
      <c r="CU217" s="15"/>
      <c r="EP217" s="15"/>
      <c r="EQ217" s="15"/>
      <c r="ER217" s="15"/>
      <c r="ES217" s="15"/>
      <c r="ET217" s="15"/>
      <c r="EU217" s="15"/>
      <c r="EV217" s="15"/>
      <c r="EW217" s="15"/>
      <c r="EX217" s="15"/>
      <c r="EY217" s="15"/>
      <c r="EZ217" s="15"/>
      <c r="FA217" s="15"/>
      <c r="FB217" s="15"/>
      <c r="FC217" s="15"/>
      <c r="FD217" s="15"/>
      <c r="FE217" s="15"/>
      <c r="FF217" s="15"/>
      <c r="FG217" s="15"/>
      <c r="FH217" s="15"/>
      <c r="FI217" s="15"/>
      <c r="FJ217" s="15"/>
      <c r="FK217" s="15"/>
      <c r="FL217" s="15"/>
      <c r="FM217" s="15"/>
      <c r="FN217" s="15"/>
      <c r="FO217" s="15"/>
      <c r="FP217" s="15"/>
      <c r="FQ217" s="15"/>
      <c r="FR217" s="15"/>
      <c r="FS217" s="15"/>
      <c r="FT217" s="15"/>
      <c r="FU217" s="15"/>
      <c r="FV217" s="15"/>
      <c r="FW217" s="15"/>
      <c r="FX217" s="15"/>
      <c r="FY217" s="15"/>
      <c r="FZ217" s="15"/>
      <c r="GA217" s="15"/>
      <c r="GB217" s="15"/>
      <c r="GD217" s="15"/>
      <c r="GE217" s="15"/>
      <c r="GF217" s="15"/>
      <c r="HH217" s="15"/>
      <c r="HI217" s="15"/>
      <c r="HJ217" s="15"/>
      <c r="HK217" s="15"/>
      <c r="HL217" s="15"/>
      <c r="HM217" s="15"/>
      <c r="HN217" s="15"/>
      <c r="HO217" s="15"/>
      <c r="HP217" s="15"/>
      <c r="HQ217" s="15"/>
      <c r="HR217" s="15"/>
      <c r="HS217" s="15"/>
      <c r="HT217" s="15"/>
      <c r="HU217" s="15"/>
      <c r="HV217" s="15"/>
      <c r="HW217" s="15"/>
      <c r="HX217" s="15"/>
      <c r="HY217" s="15"/>
      <c r="HZ217" s="15"/>
      <c r="IQ217" s="15"/>
      <c r="IR217" s="15"/>
      <c r="IS217" s="15"/>
      <c r="IT217" s="15"/>
      <c r="IU217" s="15"/>
      <c r="IV217" s="15"/>
      <c r="IW217" s="15"/>
      <c r="IX217" s="15"/>
      <c r="IY217" s="15"/>
      <c r="IZ217" s="15"/>
      <c r="JA217" s="15"/>
      <c r="JB217" s="15"/>
      <c r="JC217" s="15"/>
      <c r="JD217" s="15"/>
      <c r="JE217" s="15"/>
      <c r="JF217" s="15"/>
      <c r="JZ217" s="15"/>
      <c r="KA217" s="15"/>
      <c r="KB217" s="15"/>
      <c r="KC217" s="15"/>
      <c r="KD217" s="15"/>
      <c r="KE217" s="15"/>
      <c r="KF217" s="15"/>
      <c r="KG217" s="15"/>
      <c r="KH217" s="15"/>
      <c r="KI217" s="15"/>
      <c r="KJ217" s="15"/>
      <c r="KK217" s="15"/>
      <c r="KL217" s="15"/>
      <c r="KM217" s="15"/>
      <c r="LI217" s="15"/>
      <c r="LJ217" s="15"/>
      <c r="LK217" s="15"/>
      <c r="LL217" s="15"/>
      <c r="LM217" s="15"/>
      <c r="LN217" s="15"/>
      <c r="LO217" s="15"/>
      <c r="LP217" s="15"/>
      <c r="LQ217" s="15"/>
      <c r="LR217" s="15"/>
    </row>
    <row r="218" spans="2:330">
      <c r="B218" s="15"/>
      <c r="C218" s="15"/>
      <c r="D218" s="15"/>
      <c r="E218" s="15"/>
      <c r="F218" s="15"/>
      <c r="G218" s="15"/>
      <c r="H218" s="15"/>
      <c r="I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W218" s="15"/>
      <c r="X218" s="15"/>
      <c r="Y218" s="15"/>
      <c r="Z218" s="15"/>
      <c r="AA218" s="15"/>
      <c r="AB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X218" s="15"/>
      <c r="BY218" s="15"/>
      <c r="BZ218" s="15"/>
      <c r="CA218" s="15"/>
      <c r="CB218" s="15"/>
      <c r="CC218" s="15"/>
      <c r="CD218" s="15"/>
      <c r="CE218" s="15"/>
      <c r="CG218" s="15"/>
      <c r="CH218" s="15"/>
      <c r="CI218" s="15"/>
      <c r="CJ218" s="15"/>
      <c r="CK218" s="15"/>
      <c r="CL218" s="15"/>
      <c r="CM218" s="15"/>
      <c r="CN218" s="15"/>
      <c r="CO218" s="15"/>
      <c r="CP218" s="15"/>
      <c r="CQ218" s="15"/>
      <c r="CR218" s="15"/>
      <c r="CS218" s="15"/>
      <c r="CT218" s="15"/>
      <c r="CU218" s="15"/>
      <c r="EP218" s="15"/>
      <c r="EQ218" s="15"/>
      <c r="ER218" s="15"/>
      <c r="ES218" s="15"/>
      <c r="ET218" s="15"/>
      <c r="EU218" s="15"/>
      <c r="EV218" s="15"/>
      <c r="EW218" s="15"/>
      <c r="EX218" s="15"/>
      <c r="EY218" s="15"/>
      <c r="EZ218" s="15"/>
      <c r="FA218" s="15"/>
      <c r="FB218" s="15"/>
      <c r="FC218" s="15"/>
      <c r="FD218" s="15"/>
      <c r="FE218" s="15"/>
      <c r="FF218" s="15"/>
      <c r="FG218" s="15"/>
      <c r="FH218" s="15"/>
      <c r="FI218" s="15"/>
      <c r="FJ218" s="15"/>
      <c r="FK218" s="15"/>
      <c r="FL218" s="15"/>
      <c r="FM218" s="15"/>
      <c r="FN218" s="15"/>
      <c r="FO218" s="15"/>
      <c r="FP218" s="15"/>
      <c r="FQ218" s="15"/>
      <c r="FR218" s="15"/>
      <c r="FS218" s="15"/>
      <c r="FT218" s="15"/>
      <c r="FU218" s="15"/>
      <c r="FV218" s="15"/>
      <c r="FW218" s="15"/>
      <c r="FX218" s="15"/>
      <c r="FY218" s="15"/>
      <c r="FZ218" s="15"/>
      <c r="GA218" s="15"/>
      <c r="GB218" s="15"/>
      <c r="GC218" s="15"/>
      <c r="GD218" s="15"/>
      <c r="GE218" s="15"/>
      <c r="GF218" s="15"/>
      <c r="HH218" s="15"/>
      <c r="HI218" s="15"/>
      <c r="HJ218" s="15"/>
      <c r="HK218" s="15"/>
      <c r="HL218" s="15"/>
      <c r="HM218" s="15"/>
      <c r="HN218" s="15"/>
      <c r="HO218" s="15"/>
      <c r="HP218" s="15"/>
      <c r="HQ218" s="15"/>
      <c r="HR218" s="15"/>
      <c r="HS218" s="15"/>
      <c r="HT218" s="15"/>
      <c r="HU218" s="15"/>
      <c r="HV218" s="15"/>
      <c r="HW218" s="15"/>
      <c r="HX218" s="15"/>
      <c r="HY218" s="15"/>
      <c r="HZ218" s="15"/>
      <c r="IQ218" s="15"/>
      <c r="IR218" s="15"/>
      <c r="IS218" s="15"/>
      <c r="IT218" s="15"/>
      <c r="IU218" s="15"/>
      <c r="IV218" s="15"/>
      <c r="IW218" s="15"/>
      <c r="IX218" s="15"/>
      <c r="IY218" s="15"/>
      <c r="IZ218" s="15"/>
      <c r="JA218" s="15"/>
      <c r="JB218" s="15"/>
      <c r="JC218" s="15"/>
      <c r="JD218" s="15"/>
      <c r="JE218" s="15"/>
      <c r="JF218" s="15"/>
      <c r="JZ218" s="15"/>
      <c r="KA218" s="15"/>
      <c r="KB218" s="15"/>
      <c r="KC218" s="15"/>
      <c r="KD218" s="15"/>
      <c r="KE218" s="15"/>
      <c r="KF218" s="15"/>
      <c r="KG218" s="15"/>
      <c r="KH218" s="15"/>
      <c r="KI218" s="15"/>
      <c r="KJ218" s="15"/>
      <c r="KK218" s="15"/>
      <c r="KL218" s="15"/>
      <c r="KM218" s="15"/>
      <c r="LI218" s="15"/>
      <c r="LJ218" s="15"/>
      <c r="LK218" s="15"/>
      <c r="LL218" s="15"/>
      <c r="LM218" s="15"/>
      <c r="LN218" s="15"/>
      <c r="LO218" s="15"/>
      <c r="LP218" s="15"/>
      <c r="LQ218" s="15"/>
      <c r="LR218" s="15"/>
    </row>
    <row r="219" spans="2:330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W219" s="15"/>
      <c r="X219" s="15"/>
      <c r="Y219" s="15"/>
      <c r="AA219" s="15"/>
      <c r="AB219" s="15"/>
      <c r="AO219" s="15"/>
      <c r="AP219" s="15"/>
      <c r="AQ219" s="15"/>
      <c r="AR219" s="15"/>
      <c r="AS219" s="15"/>
      <c r="AT219" s="15"/>
      <c r="AU219" s="15"/>
      <c r="AV219" s="15"/>
      <c r="AW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X219" s="15"/>
      <c r="BY219" s="15"/>
      <c r="CA219" s="15"/>
      <c r="CB219" s="15"/>
      <c r="CC219" s="15"/>
      <c r="CD219" s="15"/>
      <c r="CE219" s="15"/>
      <c r="CF219" s="15"/>
      <c r="CG219" s="15"/>
      <c r="CH219" s="15"/>
      <c r="CI219" s="15"/>
      <c r="CJ219" s="15"/>
      <c r="CK219" s="15"/>
      <c r="CM219" s="15"/>
      <c r="CN219" s="15"/>
      <c r="CO219" s="15"/>
      <c r="CP219" s="15"/>
      <c r="CQ219" s="15"/>
      <c r="CR219" s="15"/>
      <c r="CS219" s="15"/>
      <c r="CT219" s="15"/>
      <c r="CU219" s="15"/>
      <c r="EP219" s="15"/>
      <c r="EQ219" s="15"/>
      <c r="ER219" s="15"/>
      <c r="ES219" s="15"/>
      <c r="ET219" s="15"/>
      <c r="EU219" s="15"/>
      <c r="EV219" s="15"/>
      <c r="EW219" s="15"/>
      <c r="EX219" s="15"/>
      <c r="EY219" s="15"/>
      <c r="EZ219" s="15"/>
      <c r="FA219" s="15"/>
      <c r="FB219" s="15"/>
      <c r="FC219" s="15"/>
      <c r="FD219" s="15"/>
      <c r="FE219" s="15"/>
      <c r="FF219" s="15"/>
      <c r="FG219" s="15"/>
      <c r="FH219" s="15"/>
      <c r="FI219" s="15"/>
      <c r="FJ219" s="15"/>
      <c r="FK219" s="15"/>
      <c r="FL219" s="15"/>
      <c r="FM219" s="15"/>
      <c r="FN219" s="15"/>
      <c r="FO219" s="15"/>
      <c r="FP219" s="15"/>
      <c r="FQ219" s="15"/>
      <c r="FR219" s="15"/>
      <c r="FS219" s="15"/>
      <c r="FT219" s="15"/>
      <c r="FV219" s="15"/>
      <c r="FW219" s="15"/>
      <c r="FX219" s="15"/>
      <c r="FY219" s="15"/>
      <c r="FZ219" s="15"/>
      <c r="GA219" s="15"/>
      <c r="GB219" s="15"/>
      <c r="GC219" s="15"/>
      <c r="GD219" s="15"/>
      <c r="GE219" s="15"/>
      <c r="GF219" s="15"/>
      <c r="HH219" s="15"/>
      <c r="HI219" s="15"/>
      <c r="HJ219" s="15"/>
      <c r="HL219" s="15"/>
      <c r="HM219" s="15"/>
      <c r="HN219" s="15"/>
      <c r="HO219" s="15"/>
      <c r="HP219" s="15"/>
      <c r="HQ219" s="15"/>
      <c r="HR219" s="15"/>
      <c r="HS219" s="15"/>
      <c r="HT219" s="15"/>
      <c r="HU219" s="15"/>
      <c r="HV219" s="15"/>
      <c r="HW219" s="15"/>
      <c r="HX219" s="15"/>
      <c r="HY219" s="15"/>
      <c r="HZ219" s="15"/>
      <c r="IQ219" s="15"/>
      <c r="IR219" s="15"/>
      <c r="IS219" s="15"/>
      <c r="IT219" s="15"/>
      <c r="IU219" s="15"/>
      <c r="IV219" s="15"/>
      <c r="IW219" s="15"/>
      <c r="IX219" s="15"/>
      <c r="IY219" s="15"/>
      <c r="IZ219" s="15"/>
      <c r="JA219" s="15"/>
      <c r="JB219" s="15"/>
      <c r="JC219" s="15"/>
      <c r="JD219" s="15"/>
      <c r="JF219" s="15"/>
      <c r="JZ219" s="15"/>
      <c r="KA219" s="15"/>
      <c r="KB219" s="15"/>
      <c r="KC219" s="15"/>
      <c r="KD219" s="15"/>
      <c r="KE219" s="15"/>
      <c r="KF219" s="15"/>
      <c r="KG219" s="15"/>
      <c r="KH219" s="15"/>
      <c r="KI219" s="15"/>
      <c r="KJ219" s="15"/>
      <c r="KK219" s="15"/>
      <c r="KL219" s="15"/>
      <c r="KM219" s="15"/>
      <c r="LI219" s="15"/>
      <c r="LJ219" s="15"/>
      <c r="LK219" s="15"/>
      <c r="LL219" s="15"/>
      <c r="LM219" s="15"/>
      <c r="LN219" s="15"/>
      <c r="LO219" s="15"/>
      <c r="LP219" s="15"/>
      <c r="LQ219" s="15"/>
      <c r="LR219" s="15"/>
    </row>
    <row r="220" spans="2:330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Q220" s="15"/>
      <c r="R220" s="15"/>
      <c r="S220" s="15"/>
      <c r="T220" s="15"/>
      <c r="U220" s="15"/>
      <c r="V220" s="15"/>
      <c r="W220" s="15"/>
      <c r="X220" s="15"/>
      <c r="Z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X220" s="15"/>
      <c r="BY220" s="15"/>
      <c r="BZ220" s="15"/>
      <c r="CA220" s="15"/>
      <c r="CB220" s="15"/>
      <c r="CC220" s="15"/>
      <c r="CD220" s="15"/>
      <c r="CE220" s="15"/>
      <c r="CF220" s="15"/>
      <c r="CG220" s="15"/>
      <c r="CH220" s="15"/>
      <c r="CI220" s="15"/>
      <c r="CJ220" s="15"/>
      <c r="CK220" s="15"/>
      <c r="CL220" s="15"/>
      <c r="CM220" s="15"/>
      <c r="CN220" s="15"/>
      <c r="CO220" s="15"/>
      <c r="CP220" s="15"/>
      <c r="CQ220" s="15"/>
      <c r="CR220" s="15"/>
      <c r="CS220" s="15"/>
      <c r="CT220" s="15"/>
      <c r="CU220" s="15"/>
      <c r="EP220" s="15"/>
      <c r="EQ220" s="15"/>
      <c r="ER220" s="15"/>
      <c r="ES220" s="15"/>
      <c r="ET220" s="15"/>
      <c r="EU220" s="15"/>
      <c r="EV220" s="15"/>
      <c r="EW220" s="15"/>
      <c r="EX220" s="15"/>
      <c r="EY220" s="15"/>
      <c r="EZ220" s="15"/>
      <c r="FA220" s="15"/>
      <c r="FB220" s="15"/>
      <c r="FC220" s="15"/>
      <c r="FD220" s="15"/>
      <c r="FE220" s="15"/>
      <c r="FF220" s="15"/>
      <c r="FG220" s="15"/>
      <c r="FH220" s="15"/>
      <c r="FI220" s="15"/>
      <c r="FJ220" s="15"/>
      <c r="FK220" s="15"/>
      <c r="FL220" s="15"/>
      <c r="FM220" s="15"/>
      <c r="FN220" s="15"/>
      <c r="FO220" s="15"/>
      <c r="FP220" s="15"/>
      <c r="FQ220" s="15"/>
      <c r="FR220" s="15"/>
      <c r="FS220" s="15"/>
      <c r="FT220" s="15"/>
      <c r="FU220" s="15"/>
      <c r="FV220" s="15"/>
      <c r="FW220" s="15"/>
      <c r="FX220" s="15"/>
      <c r="FY220" s="15"/>
      <c r="FZ220" s="15"/>
      <c r="GA220" s="15"/>
      <c r="GB220" s="15"/>
      <c r="GC220" s="15"/>
      <c r="GD220" s="15"/>
      <c r="GE220" s="15"/>
      <c r="GF220" s="15"/>
      <c r="HH220" s="15"/>
      <c r="HI220" s="15"/>
      <c r="HJ220" s="15"/>
      <c r="HK220" s="15"/>
      <c r="HL220" s="15"/>
      <c r="HM220" s="15"/>
      <c r="HN220" s="15"/>
      <c r="HO220" s="15"/>
      <c r="HP220" s="15"/>
      <c r="HQ220" s="15"/>
      <c r="HR220" s="15"/>
      <c r="HS220" s="15"/>
      <c r="HT220" s="15"/>
      <c r="HU220" s="15"/>
      <c r="HV220" s="15"/>
      <c r="HW220" s="15"/>
      <c r="HX220" s="15"/>
      <c r="HZ220" s="15"/>
      <c r="IQ220" s="15"/>
      <c r="IR220" s="15"/>
      <c r="IS220" s="15"/>
      <c r="IT220" s="15"/>
      <c r="IU220" s="15"/>
      <c r="IV220" s="15"/>
      <c r="IW220" s="15"/>
      <c r="IX220" s="15"/>
      <c r="IY220" s="15"/>
      <c r="IZ220" s="15"/>
      <c r="JA220" s="15"/>
      <c r="JB220" s="15"/>
      <c r="JC220" s="15"/>
      <c r="JD220" s="15"/>
      <c r="JE220" s="15"/>
      <c r="JF220" s="15"/>
      <c r="JZ220" s="15"/>
      <c r="KA220" s="15"/>
      <c r="KB220" s="15"/>
      <c r="KC220" s="15"/>
      <c r="KD220" s="15"/>
      <c r="KE220" s="15"/>
      <c r="KF220" s="15"/>
      <c r="KG220" s="15"/>
      <c r="KH220" s="15"/>
      <c r="KI220" s="15"/>
      <c r="KJ220" s="15"/>
      <c r="KK220" s="15"/>
      <c r="KL220" s="15"/>
      <c r="KM220" s="15"/>
      <c r="LI220" s="15"/>
      <c r="LJ220" s="15"/>
      <c r="LK220" s="15"/>
      <c r="LL220" s="15"/>
      <c r="LM220" s="15"/>
      <c r="LN220" s="15"/>
      <c r="LO220" s="15"/>
      <c r="LP220" s="15"/>
      <c r="LQ220" s="15"/>
      <c r="LR220" s="15"/>
    </row>
    <row r="221" spans="2:330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X221" s="15"/>
      <c r="BY221" s="15"/>
      <c r="BZ221" s="15"/>
      <c r="CA221" s="15"/>
      <c r="CB221" s="15"/>
      <c r="CC221" s="15"/>
      <c r="CD221" s="15"/>
      <c r="CE221" s="15"/>
      <c r="CF221" s="15"/>
      <c r="CG221" s="15"/>
      <c r="CH221" s="15"/>
      <c r="CI221" s="15"/>
      <c r="CJ221" s="15"/>
      <c r="CK221" s="15"/>
      <c r="CL221" s="15"/>
      <c r="CM221" s="15"/>
      <c r="CN221" s="15"/>
      <c r="CO221" s="15"/>
      <c r="CP221" s="15"/>
      <c r="CQ221" s="15"/>
      <c r="CR221" s="15"/>
      <c r="CS221" s="15"/>
      <c r="CT221" s="15"/>
      <c r="CU221" s="15"/>
      <c r="EP221" s="15"/>
      <c r="EQ221" s="15"/>
      <c r="ER221" s="15"/>
      <c r="ES221" s="15"/>
      <c r="ET221" s="15"/>
      <c r="EU221" s="15"/>
      <c r="EV221" s="15"/>
      <c r="EW221" s="15"/>
      <c r="EX221" s="15"/>
      <c r="EY221" s="15"/>
      <c r="EZ221" s="15"/>
      <c r="FA221" s="15"/>
      <c r="FB221" s="15"/>
      <c r="FC221" s="15"/>
      <c r="FD221" s="15"/>
      <c r="FE221" s="15"/>
      <c r="FF221" s="15"/>
      <c r="FG221" s="15"/>
      <c r="FH221" s="15"/>
      <c r="FI221" s="15"/>
      <c r="FJ221" s="15"/>
      <c r="FK221" s="15"/>
      <c r="FL221" s="15"/>
      <c r="FM221" s="15"/>
      <c r="FN221" s="15"/>
      <c r="FO221" s="15"/>
      <c r="FP221" s="15"/>
      <c r="FQ221" s="15"/>
      <c r="FR221" s="15"/>
      <c r="FS221" s="15"/>
      <c r="FT221" s="15"/>
      <c r="FU221" s="15"/>
      <c r="FV221" s="15"/>
      <c r="FW221" s="15"/>
      <c r="FX221" s="15"/>
      <c r="FY221" s="15"/>
      <c r="FZ221" s="15"/>
      <c r="GA221" s="15"/>
      <c r="GB221" s="15"/>
      <c r="GC221" s="15"/>
      <c r="GD221" s="15"/>
      <c r="GE221" s="15"/>
      <c r="GF221" s="15"/>
      <c r="HH221" s="15"/>
      <c r="HI221" s="15"/>
      <c r="HJ221" s="15"/>
      <c r="HK221" s="15"/>
      <c r="HL221" s="15"/>
      <c r="HM221" s="15"/>
      <c r="HN221" s="15"/>
      <c r="HO221" s="15"/>
      <c r="HP221" s="15"/>
      <c r="HQ221" s="15"/>
      <c r="HR221" s="15"/>
      <c r="HS221" s="15"/>
      <c r="HT221" s="15"/>
      <c r="HU221" s="15"/>
      <c r="HV221" s="15"/>
      <c r="HW221" s="15"/>
      <c r="HX221" s="15"/>
      <c r="HY221" s="15"/>
      <c r="HZ221" s="15"/>
      <c r="IQ221" s="15"/>
      <c r="IR221" s="15"/>
      <c r="IS221" s="15"/>
      <c r="IT221" s="15"/>
      <c r="IU221" s="15"/>
      <c r="IV221" s="15"/>
      <c r="IW221" s="15"/>
      <c r="IX221" s="15"/>
      <c r="IY221" s="15"/>
      <c r="IZ221" s="15"/>
      <c r="JA221" s="15"/>
      <c r="JB221" s="15"/>
      <c r="JC221" s="15"/>
      <c r="JD221" s="15"/>
      <c r="JE221" s="15"/>
      <c r="JF221" s="15"/>
      <c r="JZ221" s="15"/>
      <c r="KA221" s="15"/>
      <c r="KB221" s="15"/>
      <c r="KC221" s="15"/>
      <c r="KD221" s="15"/>
      <c r="KE221" s="15"/>
      <c r="KF221" s="15"/>
      <c r="KG221" s="15"/>
      <c r="KH221" s="15"/>
      <c r="KI221" s="15"/>
      <c r="KJ221" s="15"/>
      <c r="KK221" s="15"/>
      <c r="KL221" s="15"/>
      <c r="KM221" s="15"/>
      <c r="LI221" s="15"/>
      <c r="LJ221" s="15"/>
      <c r="LK221" s="15"/>
      <c r="LL221" s="15"/>
      <c r="LM221" s="15"/>
      <c r="LN221" s="15"/>
      <c r="LO221" s="15"/>
      <c r="LP221" s="15"/>
      <c r="LQ221" s="15"/>
      <c r="LR221" s="15"/>
    </row>
    <row r="222" spans="2:330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X222" s="15"/>
      <c r="BY222" s="15"/>
      <c r="BZ222" s="15"/>
      <c r="CA222" s="15"/>
      <c r="CB222" s="15"/>
      <c r="CC222" s="15"/>
      <c r="CD222" s="15"/>
      <c r="CE222" s="15"/>
      <c r="CF222" s="15"/>
      <c r="CG222" s="15"/>
      <c r="CH222" s="15"/>
      <c r="CI222" s="15"/>
      <c r="CJ222" s="15"/>
      <c r="CK222" s="15"/>
      <c r="CL222" s="15"/>
      <c r="CM222" s="15"/>
      <c r="CN222" s="15"/>
      <c r="CO222" s="15"/>
      <c r="CP222" s="15"/>
      <c r="CQ222" s="15"/>
      <c r="CR222" s="15"/>
      <c r="CS222" s="15"/>
      <c r="CT222" s="15"/>
      <c r="CU222" s="15"/>
      <c r="EP222" s="15"/>
      <c r="EQ222" s="15"/>
      <c r="ER222" s="15"/>
      <c r="ES222" s="15"/>
      <c r="ET222" s="15"/>
      <c r="EU222" s="15"/>
      <c r="EV222" s="15"/>
      <c r="EW222" s="15"/>
      <c r="EX222" s="15"/>
      <c r="EY222" s="15"/>
      <c r="EZ222" s="15"/>
      <c r="FA222" s="15"/>
      <c r="FB222" s="15"/>
      <c r="FC222" s="15"/>
      <c r="FD222" s="15"/>
      <c r="FE222" s="15"/>
      <c r="FF222" s="15"/>
      <c r="FG222" s="15"/>
      <c r="FH222" s="15"/>
      <c r="FI222" s="15"/>
      <c r="FJ222" s="15"/>
      <c r="FK222" s="15"/>
      <c r="FL222" s="15"/>
      <c r="FM222" s="15"/>
      <c r="FN222" s="15"/>
      <c r="FO222" s="15"/>
      <c r="FP222" s="15"/>
      <c r="FQ222" s="15"/>
      <c r="FR222" s="15"/>
      <c r="FS222" s="15"/>
      <c r="FT222" s="15"/>
      <c r="FU222" s="15"/>
      <c r="FV222" s="15"/>
      <c r="FW222" s="15"/>
      <c r="FX222" s="15"/>
      <c r="FY222" s="15"/>
      <c r="FZ222" s="15"/>
      <c r="GA222" s="15"/>
      <c r="GB222" s="15"/>
      <c r="GC222" s="15"/>
      <c r="GD222" s="15"/>
      <c r="GE222" s="15"/>
      <c r="GF222" s="15"/>
      <c r="HH222" s="15"/>
      <c r="HI222" s="15"/>
      <c r="HJ222" s="15"/>
      <c r="HK222" s="15"/>
      <c r="HL222" s="15"/>
      <c r="HM222" s="15"/>
      <c r="HN222" s="15"/>
      <c r="HO222" s="15"/>
      <c r="HP222" s="15"/>
      <c r="HR222" s="15"/>
      <c r="HS222" s="15"/>
      <c r="HT222" s="15"/>
      <c r="HU222" s="15"/>
      <c r="HV222" s="15"/>
      <c r="HW222" s="15"/>
      <c r="HX222" s="15"/>
      <c r="HY222" s="15"/>
      <c r="HZ222" s="15"/>
      <c r="IQ222" s="15"/>
      <c r="IR222" s="15"/>
      <c r="IS222" s="15"/>
      <c r="IT222" s="15"/>
      <c r="IU222" s="15"/>
      <c r="IV222" s="15"/>
      <c r="IW222" s="15"/>
      <c r="IX222" s="15"/>
      <c r="IY222" s="15"/>
      <c r="IZ222" s="15"/>
      <c r="JA222" s="15"/>
      <c r="JB222" s="15"/>
      <c r="JC222" s="15"/>
      <c r="JD222" s="15"/>
      <c r="JE222" s="15"/>
      <c r="JF222" s="15"/>
      <c r="JZ222" s="15"/>
      <c r="KA222" s="15"/>
      <c r="KB222" s="15"/>
      <c r="KC222" s="15"/>
      <c r="KD222" s="15"/>
      <c r="KE222" s="15"/>
      <c r="KF222" s="15"/>
      <c r="KG222" s="15"/>
      <c r="KH222" s="15"/>
      <c r="KI222" s="15"/>
      <c r="KJ222" s="15"/>
      <c r="KK222" s="15"/>
      <c r="KL222" s="15"/>
      <c r="KM222" s="15"/>
      <c r="LI222" s="15"/>
      <c r="LJ222" s="15"/>
      <c r="LK222" s="15"/>
      <c r="LL222" s="15"/>
      <c r="LM222" s="15"/>
      <c r="LN222" s="15"/>
      <c r="LO222" s="15"/>
      <c r="LP222" s="15"/>
      <c r="LQ222" s="15"/>
      <c r="LR222" s="15"/>
    </row>
    <row r="223" spans="2:330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X223" s="15"/>
      <c r="BY223" s="15"/>
      <c r="BZ223" s="15"/>
      <c r="CA223" s="15"/>
      <c r="CB223" s="15"/>
      <c r="CC223" s="15"/>
      <c r="CD223" s="15"/>
      <c r="CE223" s="15"/>
      <c r="CF223" s="15"/>
      <c r="CG223" s="15"/>
      <c r="CH223" s="15"/>
      <c r="CI223" s="15"/>
      <c r="CJ223" s="15"/>
      <c r="CK223" s="15"/>
      <c r="CL223" s="15"/>
      <c r="CM223" s="15"/>
      <c r="CN223" s="15"/>
      <c r="CO223" s="15"/>
      <c r="CP223" s="15"/>
      <c r="CQ223" s="15"/>
      <c r="EP223" s="15"/>
      <c r="EQ223" s="15"/>
      <c r="ER223" s="15"/>
      <c r="ES223" s="15"/>
      <c r="ET223" s="15"/>
      <c r="EU223" s="15"/>
      <c r="EV223" s="15"/>
      <c r="EW223" s="15"/>
      <c r="EX223" s="15"/>
      <c r="EY223" s="15"/>
      <c r="EZ223" s="15"/>
      <c r="FA223" s="15"/>
      <c r="FB223" s="15"/>
      <c r="FC223" s="15"/>
      <c r="FD223" s="15"/>
      <c r="FE223" s="15"/>
      <c r="FF223" s="15"/>
      <c r="FG223" s="15"/>
      <c r="FH223" s="15"/>
      <c r="FI223" s="15"/>
      <c r="FJ223" s="15"/>
      <c r="FK223" s="15"/>
      <c r="FL223" s="15"/>
      <c r="FM223" s="15"/>
      <c r="FN223" s="15"/>
      <c r="FO223" s="15"/>
      <c r="FP223" s="15"/>
      <c r="FQ223" s="15"/>
      <c r="FR223" s="15"/>
      <c r="FS223" s="15"/>
      <c r="FT223" s="15"/>
      <c r="FU223" s="15"/>
      <c r="FV223" s="15"/>
      <c r="FW223" s="15"/>
      <c r="FX223" s="15"/>
      <c r="FY223" s="15"/>
      <c r="FZ223" s="15"/>
      <c r="GA223" s="15"/>
      <c r="GB223" s="15"/>
      <c r="GC223" s="15"/>
      <c r="GD223" s="15"/>
      <c r="GE223" s="15"/>
      <c r="GF223" s="15"/>
      <c r="HH223" s="15"/>
      <c r="HI223" s="15"/>
      <c r="HJ223" s="15"/>
      <c r="HK223" s="15"/>
      <c r="HL223" s="15"/>
      <c r="HM223" s="15"/>
      <c r="HN223" s="15"/>
      <c r="HO223" s="15"/>
      <c r="HP223" s="15"/>
      <c r="HQ223" s="15"/>
      <c r="HR223" s="15"/>
      <c r="HS223" s="15"/>
      <c r="HT223" s="15"/>
      <c r="HU223" s="15"/>
      <c r="HW223" s="15"/>
      <c r="HX223" s="15"/>
      <c r="HZ223" s="15"/>
      <c r="IQ223" s="15"/>
      <c r="IR223" s="15"/>
      <c r="IS223" s="15"/>
      <c r="IT223" s="15"/>
      <c r="IU223" s="15"/>
      <c r="IV223" s="15"/>
      <c r="IW223" s="15"/>
      <c r="IX223" s="15"/>
      <c r="IZ223" s="15"/>
      <c r="JA223" s="15"/>
      <c r="JB223" s="15"/>
      <c r="JC223" s="15"/>
      <c r="JE223" s="15"/>
      <c r="JF223" s="15"/>
      <c r="JZ223" s="15"/>
      <c r="KA223" s="15"/>
      <c r="KB223" s="15"/>
      <c r="KC223" s="15"/>
      <c r="KD223" s="15"/>
      <c r="KE223" s="15"/>
      <c r="KF223" s="15"/>
      <c r="KG223" s="15"/>
      <c r="KH223" s="15"/>
      <c r="KI223" s="15"/>
      <c r="KJ223" s="15"/>
      <c r="KK223" s="15"/>
      <c r="KL223" s="15"/>
      <c r="KM223" s="15"/>
      <c r="LI223" s="15"/>
      <c r="LJ223" s="15"/>
      <c r="LK223" s="15"/>
      <c r="LL223" s="15"/>
      <c r="LM223" s="15"/>
      <c r="LN223" s="15"/>
      <c r="LO223" s="15"/>
      <c r="LP223" s="15"/>
      <c r="LQ223" s="15"/>
      <c r="LR223" s="15"/>
    </row>
    <row r="224" spans="2:330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X224" s="15"/>
      <c r="BY224" s="15"/>
      <c r="BZ224" s="15"/>
      <c r="CA224" s="15"/>
      <c r="CB224" s="15"/>
      <c r="CC224" s="15"/>
      <c r="CD224" s="15"/>
      <c r="CE224" s="15"/>
      <c r="CF224" s="15"/>
      <c r="CG224" s="15"/>
      <c r="CH224" s="15"/>
      <c r="CI224" s="15"/>
      <c r="CJ224" s="15"/>
      <c r="CK224" s="15"/>
      <c r="CL224" s="15"/>
      <c r="CM224" s="15"/>
      <c r="CN224" s="15"/>
      <c r="CO224" s="15"/>
      <c r="CP224" s="15"/>
      <c r="CQ224" s="15"/>
      <c r="CU224" s="15"/>
      <c r="EP224" s="15"/>
      <c r="EQ224" s="15"/>
      <c r="ER224" s="15"/>
      <c r="ES224" s="15"/>
      <c r="ET224" s="15"/>
      <c r="EU224" s="15"/>
      <c r="EV224" s="15"/>
      <c r="EW224" s="15"/>
      <c r="EX224" s="15"/>
      <c r="EY224" s="15"/>
      <c r="EZ224" s="15"/>
      <c r="FA224" s="15"/>
      <c r="FB224" s="15"/>
      <c r="FC224" s="15"/>
      <c r="FD224" s="15"/>
      <c r="FE224" s="15"/>
      <c r="FF224" s="15"/>
      <c r="FG224" s="15"/>
      <c r="FH224" s="15"/>
      <c r="FI224" s="15"/>
      <c r="FJ224" s="15"/>
      <c r="FK224" s="15"/>
      <c r="FL224" s="15"/>
      <c r="FM224" s="15"/>
      <c r="FN224" s="15"/>
      <c r="FO224" s="15"/>
      <c r="FP224" s="15"/>
      <c r="FQ224" s="15"/>
      <c r="FR224" s="15"/>
      <c r="FS224" s="15"/>
      <c r="FT224" s="15"/>
      <c r="FU224" s="15"/>
      <c r="FY224" s="15"/>
      <c r="FZ224" s="15"/>
      <c r="GA224" s="15"/>
      <c r="GB224" s="15"/>
      <c r="GC224" s="15"/>
      <c r="GD224" s="15"/>
      <c r="GE224" s="15"/>
      <c r="GF224" s="15"/>
      <c r="HH224" s="15"/>
      <c r="HI224" s="15"/>
      <c r="HJ224" s="15"/>
      <c r="HK224" s="15"/>
      <c r="HL224" s="15"/>
      <c r="HM224" s="15"/>
      <c r="HN224" s="15"/>
      <c r="HO224" s="15"/>
      <c r="HP224" s="15"/>
      <c r="HQ224" s="15"/>
      <c r="HR224" s="15"/>
      <c r="HS224" s="15"/>
      <c r="HT224" s="15"/>
      <c r="HU224" s="15"/>
      <c r="HW224" s="15"/>
      <c r="HX224" s="15"/>
      <c r="HY224" s="15"/>
      <c r="HZ224" s="15"/>
      <c r="IQ224" s="15"/>
      <c r="IR224" s="15"/>
      <c r="IS224" s="15"/>
      <c r="IT224" s="15"/>
      <c r="IU224" s="15"/>
      <c r="IV224" s="15"/>
      <c r="IW224" s="15"/>
      <c r="IX224" s="15"/>
      <c r="IY224" s="15"/>
      <c r="IZ224" s="15"/>
      <c r="JA224" s="15"/>
      <c r="JB224" s="15"/>
      <c r="JC224" s="15"/>
      <c r="JD224" s="15"/>
      <c r="JE224" s="15"/>
      <c r="JF224" s="15"/>
      <c r="JZ224" s="15"/>
      <c r="KA224" s="15"/>
      <c r="KB224" s="15"/>
      <c r="KC224" s="15"/>
      <c r="KD224" s="15"/>
      <c r="KE224" s="15"/>
      <c r="KF224" s="15"/>
      <c r="KG224" s="15"/>
      <c r="KH224" s="15"/>
      <c r="KI224" s="15"/>
      <c r="KJ224" s="15"/>
      <c r="KK224" s="15"/>
      <c r="KL224" s="15"/>
      <c r="KM224" s="15"/>
      <c r="LI224" s="15"/>
      <c r="LJ224" s="15"/>
      <c r="LK224" s="15"/>
      <c r="LL224" s="15"/>
      <c r="LM224" s="15"/>
      <c r="LN224" s="15"/>
      <c r="LO224" s="15"/>
      <c r="LP224" s="15"/>
      <c r="LQ224" s="15"/>
      <c r="LR224" s="15"/>
    </row>
    <row r="225" spans="2:330">
      <c r="B225" s="15"/>
      <c r="C225" s="15"/>
      <c r="D225" s="15"/>
      <c r="E225" s="15"/>
      <c r="F225" s="15"/>
      <c r="G225" s="15"/>
      <c r="H225" s="15"/>
      <c r="I225" s="15"/>
      <c r="J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Z225" s="15"/>
      <c r="AA225" s="15"/>
      <c r="AB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CC225" s="15"/>
      <c r="CD225" s="15"/>
      <c r="CE225" s="15"/>
      <c r="CF225" s="15"/>
      <c r="CG225" s="15"/>
      <c r="CH225" s="15"/>
      <c r="CI225" s="15"/>
      <c r="CJ225" s="15"/>
      <c r="CK225" s="15"/>
      <c r="CL225" s="15"/>
      <c r="CM225" s="15"/>
      <c r="CN225" s="15"/>
      <c r="CO225" s="15"/>
      <c r="CP225" s="15"/>
      <c r="CQ225" s="15"/>
      <c r="CR225" s="15"/>
      <c r="CS225" s="15"/>
      <c r="CT225" s="15"/>
      <c r="CU225" s="15"/>
      <c r="EP225" s="15"/>
      <c r="EQ225" s="15"/>
      <c r="ER225" s="15"/>
      <c r="ES225" s="15"/>
      <c r="ET225" s="15"/>
      <c r="EU225" s="15"/>
      <c r="EV225" s="15"/>
      <c r="EW225" s="15"/>
      <c r="EX225" s="15"/>
      <c r="EY225" s="15"/>
      <c r="EZ225" s="15"/>
      <c r="FA225" s="15"/>
      <c r="FB225" s="15"/>
      <c r="FC225" s="15"/>
      <c r="FD225" s="15"/>
      <c r="FE225" s="15"/>
      <c r="FF225" s="15"/>
      <c r="FG225" s="15"/>
      <c r="FH225" s="15"/>
      <c r="FI225" s="15"/>
      <c r="FJ225" s="15"/>
      <c r="FK225" s="15"/>
      <c r="FL225" s="15"/>
      <c r="FM225" s="15"/>
      <c r="FN225" s="15"/>
      <c r="FO225" s="15"/>
      <c r="FP225" s="15"/>
      <c r="FQ225" s="15"/>
      <c r="FR225" s="15"/>
      <c r="FS225" s="15"/>
      <c r="FU225" s="15"/>
      <c r="FY225" s="15"/>
      <c r="FZ225" s="15"/>
      <c r="GA225" s="15"/>
      <c r="GB225" s="15"/>
      <c r="GC225" s="15"/>
      <c r="GD225" s="15"/>
      <c r="GE225" s="15"/>
      <c r="GF225" s="15"/>
      <c r="HH225" s="15"/>
      <c r="HI225" s="15"/>
      <c r="HJ225" s="15"/>
      <c r="HK225" s="15"/>
      <c r="HL225" s="15"/>
      <c r="HM225" s="15"/>
      <c r="HN225" s="15"/>
      <c r="HO225" s="15"/>
      <c r="HP225" s="15"/>
      <c r="HQ225" s="15"/>
      <c r="HR225" s="15"/>
      <c r="HS225" s="15"/>
      <c r="HT225" s="15"/>
      <c r="HU225" s="15"/>
      <c r="HV225" s="15"/>
      <c r="HW225" s="15"/>
      <c r="HX225" s="15"/>
      <c r="HY225" s="15"/>
      <c r="HZ225" s="15"/>
      <c r="IQ225" s="15"/>
      <c r="IR225" s="15"/>
      <c r="IS225" s="15"/>
      <c r="IT225" s="15"/>
      <c r="IU225" s="15"/>
      <c r="IV225" s="15"/>
      <c r="IW225" s="15"/>
      <c r="IX225" s="15"/>
      <c r="IY225" s="15"/>
      <c r="IZ225" s="15"/>
      <c r="JA225" s="15"/>
      <c r="JB225" s="15"/>
      <c r="JC225" s="15"/>
      <c r="JD225" s="15"/>
      <c r="JE225" s="15"/>
      <c r="JF225" s="15"/>
      <c r="JZ225" s="15"/>
      <c r="KA225" s="15"/>
      <c r="KB225" s="15"/>
      <c r="KC225" s="15"/>
      <c r="KD225" s="15"/>
      <c r="KE225" s="15"/>
      <c r="KF225" s="15"/>
      <c r="KG225" s="15"/>
      <c r="KH225" s="15"/>
      <c r="KI225" s="15"/>
      <c r="KJ225" s="15"/>
      <c r="KK225" s="15"/>
      <c r="KL225" s="15"/>
      <c r="LI225" s="15"/>
      <c r="LJ225" s="15"/>
      <c r="LK225" s="15"/>
      <c r="LL225" s="15"/>
      <c r="LM225" s="15"/>
      <c r="LN225" s="15"/>
      <c r="LO225" s="15"/>
      <c r="LP225" s="15"/>
      <c r="LQ225" s="15"/>
      <c r="LR225" s="15"/>
    </row>
    <row r="226" spans="2:330"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X226" s="15"/>
      <c r="BY226" s="15"/>
      <c r="BZ226" s="15"/>
      <c r="CA226" s="15"/>
      <c r="CB226" s="15"/>
      <c r="CC226" s="15"/>
      <c r="CD226" s="15"/>
      <c r="CE226" s="15"/>
      <c r="CF226" s="15"/>
      <c r="CG226" s="15"/>
      <c r="CH226" s="15"/>
      <c r="CI226" s="15"/>
      <c r="CJ226" s="15"/>
      <c r="CK226" s="15"/>
      <c r="CL226" s="15"/>
      <c r="CM226" s="15"/>
      <c r="CN226" s="15"/>
      <c r="CO226" s="15"/>
      <c r="CP226" s="15"/>
      <c r="CQ226" s="15"/>
      <c r="CR226" s="15"/>
      <c r="CS226" s="15"/>
      <c r="CT226" s="15"/>
      <c r="CU226" s="15"/>
      <c r="EP226" s="15"/>
      <c r="EQ226" s="15"/>
      <c r="ER226" s="15"/>
      <c r="ES226" s="15"/>
      <c r="ET226" s="15"/>
      <c r="EU226" s="15"/>
      <c r="EV226" s="15"/>
      <c r="EW226" s="15"/>
      <c r="EX226" s="15"/>
      <c r="EY226" s="15"/>
      <c r="EZ226" s="15"/>
      <c r="FA226" s="15"/>
      <c r="FB226" s="15"/>
      <c r="FC226" s="15"/>
      <c r="FD226" s="15"/>
      <c r="FE226" s="15"/>
      <c r="FF226" s="15"/>
      <c r="FG226" s="15"/>
      <c r="FH226" s="15"/>
      <c r="FI226" s="15"/>
      <c r="FJ226" s="15"/>
      <c r="FK226" s="15"/>
      <c r="FL226" s="15"/>
      <c r="FM226" s="15"/>
      <c r="FN226" s="15"/>
      <c r="FO226" s="15"/>
      <c r="FP226" s="15"/>
      <c r="FQ226" s="15"/>
      <c r="FR226" s="15"/>
      <c r="FS226" s="15"/>
      <c r="FT226" s="15"/>
      <c r="FU226" s="15"/>
      <c r="FV226" s="15"/>
      <c r="FW226" s="15"/>
      <c r="FX226" s="15"/>
      <c r="FY226" s="15"/>
      <c r="FZ226" s="15"/>
      <c r="GA226" s="15"/>
      <c r="GB226" s="15"/>
      <c r="GC226" s="15"/>
      <c r="GD226" s="15"/>
      <c r="GE226" s="15"/>
      <c r="GF226" s="15"/>
      <c r="HH226" s="15"/>
      <c r="HI226" s="15"/>
      <c r="HJ226" s="15"/>
      <c r="HK226" s="15"/>
      <c r="HL226" s="15"/>
      <c r="HM226" s="15"/>
      <c r="HN226" s="15"/>
      <c r="HO226" s="15"/>
      <c r="HP226" s="15"/>
      <c r="HQ226" s="15"/>
      <c r="HR226" s="15"/>
      <c r="HS226" s="15"/>
      <c r="HT226" s="15"/>
      <c r="HU226" s="15"/>
      <c r="HV226" s="15"/>
      <c r="HW226" s="15"/>
      <c r="HX226" s="15"/>
      <c r="HY226" s="15"/>
      <c r="HZ226" s="15"/>
      <c r="IQ226" s="15"/>
      <c r="IR226" s="15"/>
      <c r="IS226" s="15"/>
      <c r="IT226" s="15"/>
      <c r="IU226" s="15"/>
      <c r="IV226" s="15"/>
      <c r="IW226" s="15"/>
      <c r="IX226" s="15"/>
      <c r="IY226" s="15"/>
      <c r="IZ226" s="15"/>
      <c r="JA226" s="15"/>
      <c r="JB226" s="15"/>
      <c r="JC226" s="15"/>
      <c r="JD226" s="15"/>
      <c r="JE226" s="15"/>
      <c r="JF226" s="15"/>
      <c r="JZ226" s="15"/>
      <c r="KA226" s="15"/>
      <c r="KB226" s="15"/>
      <c r="KC226" s="15"/>
      <c r="KD226" s="15"/>
      <c r="KE226" s="15"/>
      <c r="KF226" s="15"/>
      <c r="KG226" s="15"/>
      <c r="KH226" s="15"/>
      <c r="KI226" s="15"/>
      <c r="KJ226" s="15"/>
      <c r="KK226" s="15"/>
      <c r="KL226" s="15"/>
      <c r="KM226" s="15"/>
      <c r="LI226" s="15"/>
      <c r="LJ226" s="15"/>
      <c r="LK226" s="15"/>
      <c r="LL226" s="15"/>
      <c r="LN226" s="15"/>
      <c r="LO226" s="15"/>
      <c r="LP226" s="15"/>
      <c r="LQ226" s="15"/>
      <c r="LR226" s="15"/>
    </row>
    <row r="227" spans="2:330">
      <c r="B227" s="15"/>
      <c r="C227" s="15"/>
      <c r="D227" s="15"/>
      <c r="E227" s="15"/>
      <c r="F227" s="15"/>
      <c r="G227" s="15"/>
      <c r="H227" s="15"/>
      <c r="J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AA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G227" s="15"/>
      <c r="BZ227" s="15"/>
      <c r="CA227" s="15"/>
      <c r="CB227" s="15"/>
      <c r="CC227" s="15"/>
      <c r="CD227" s="15"/>
      <c r="CE227" s="15"/>
      <c r="CG227" s="15"/>
      <c r="CH227" s="15"/>
      <c r="CI227" s="15"/>
      <c r="CJ227" s="15"/>
      <c r="CK227" s="15"/>
      <c r="CL227" s="15"/>
      <c r="CN227" s="15"/>
      <c r="CO227" s="15"/>
      <c r="CP227" s="15"/>
      <c r="CR227" s="15"/>
      <c r="EP227" s="15"/>
      <c r="EQ227" s="15"/>
      <c r="ER227" s="15"/>
      <c r="ES227" s="15"/>
      <c r="ET227" s="15"/>
      <c r="EU227" s="15"/>
      <c r="EV227" s="15"/>
      <c r="EW227" s="15"/>
      <c r="EX227" s="15"/>
      <c r="EY227" s="15"/>
      <c r="EZ227" s="15"/>
      <c r="FA227" s="15"/>
      <c r="FB227" s="15"/>
      <c r="FC227" s="15"/>
      <c r="FD227" s="15"/>
      <c r="FE227" s="15"/>
      <c r="FF227" s="15"/>
      <c r="FG227" s="15"/>
      <c r="FH227" s="15"/>
      <c r="FI227" s="15"/>
      <c r="FJ227" s="15"/>
      <c r="FK227" s="15"/>
      <c r="FL227" s="15"/>
      <c r="FM227" s="15"/>
      <c r="FN227" s="15"/>
      <c r="FO227" s="15"/>
      <c r="FP227" s="15"/>
      <c r="FQ227" s="15"/>
      <c r="FR227" s="15"/>
      <c r="FS227" s="15"/>
      <c r="FT227" s="15"/>
      <c r="FU227" s="15"/>
      <c r="FV227" s="15"/>
      <c r="FW227" s="15"/>
      <c r="FX227" s="15"/>
      <c r="FY227" s="15"/>
      <c r="FZ227" s="15"/>
      <c r="GA227" s="15"/>
      <c r="GB227" s="15"/>
      <c r="GC227" s="15"/>
      <c r="GD227" s="15"/>
      <c r="GE227" s="15"/>
      <c r="GF227" s="15"/>
      <c r="HH227" s="15"/>
      <c r="HI227" s="15"/>
      <c r="HJ227" s="15"/>
      <c r="HL227" s="15"/>
      <c r="HN227" s="15"/>
      <c r="HO227" s="15"/>
      <c r="HP227" s="15"/>
      <c r="HQ227" s="15"/>
      <c r="HR227" s="15"/>
      <c r="HS227" s="15"/>
      <c r="HT227" s="15"/>
      <c r="HU227" s="15"/>
      <c r="HV227" s="15"/>
      <c r="HW227" s="15"/>
      <c r="HX227" s="15"/>
      <c r="HY227" s="15"/>
      <c r="HZ227" s="15"/>
      <c r="IQ227" s="15"/>
      <c r="IR227" s="15"/>
      <c r="IS227" s="15"/>
      <c r="IT227" s="15"/>
      <c r="IU227" s="15"/>
      <c r="IV227" s="15"/>
      <c r="IW227" s="15"/>
      <c r="IX227" s="15"/>
      <c r="IY227" s="15"/>
      <c r="JA227" s="15"/>
      <c r="JB227" s="15"/>
      <c r="JC227" s="15"/>
      <c r="JE227" s="15"/>
      <c r="JZ227" s="15"/>
      <c r="KA227" s="15"/>
      <c r="KB227" s="15"/>
      <c r="KC227" s="15"/>
      <c r="KD227" s="15"/>
      <c r="KE227" s="15"/>
      <c r="KF227" s="15"/>
      <c r="KG227" s="15"/>
      <c r="KH227" s="15"/>
      <c r="KI227" s="15"/>
      <c r="KJ227" s="15"/>
      <c r="KK227" s="15"/>
      <c r="KL227" s="15"/>
      <c r="KM227" s="15"/>
      <c r="LI227" s="15"/>
      <c r="LJ227" s="15"/>
      <c r="LK227" s="15"/>
      <c r="LL227" s="15"/>
      <c r="LM227" s="15"/>
    </row>
    <row r="228" spans="2:330">
      <c r="B228" s="15"/>
      <c r="C228" s="15"/>
      <c r="D228" s="15"/>
      <c r="E228" s="15"/>
      <c r="F228" s="15"/>
      <c r="G228" s="15"/>
      <c r="I228" s="15"/>
      <c r="J228" s="15"/>
      <c r="L228" s="15"/>
      <c r="M228" s="15"/>
      <c r="R228" s="15"/>
      <c r="S228" s="15"/>
      <c r="T228" s="15"/>
      <c r="U228" s="15"/>
      <c r="V228" s="15"/>
      <c r="W228" s="15"/>
      <c r="X228" s="15"/>
      <c r="Y228" s="15"/>
      <c r="AA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X228" s="15"/>
      <c r="BY228" s="15"/>
      <c r="BZ228" s="15"/>
      <c r="CA228" s="15"/>
      <c r="CB228" s="15"/>
      <c r="CM228" s="15"/>
      <c r="CN228" s="15"/>
      <c r="CO228" s="15"/>
      <c r="CP228" s="15"/>
      <c r="CQ228" s="15"/>
      <c r="CR228" s="15"/>
      <c r="CS228" s="15"/>
      <c r="CT228" s="15"/>
      <c r="CU228" s="15"/>
      <c r="CV228" s="15"/>
      <c r="CW228" s="15"/>
      <c r="EP228" s="15"/>
      <c r="EQ228" s="15"/>
      <c r="ER228" s="15"/>
      <c r="ES228" s="15"/>
      <c r="ET228" s="15"/>
      <c r="EU228" s="15"/>
      <c r="EV228" s="15"/>
      <c r="EW228" s="15"/>
      <c r="EY228" s="15"/>
      <c r="EZ228" s="15"/>
      <c r="FA228" s="15"/>
      <c r="FB228" s="15"/>
      <c r="FC228" s="15"/>
      <c r="FD228" s="15"/>
      <c r="FE228" s="15"/>
      <c r="FF228" s="15"/>
      <c r="FG228" s="15"/>
      <c r="FH228" s="15"/>
      <c r="FI228" s="15"/>
      <c r="FJ228" s="15"/>
      <c r="FK228" s="15"/>
      <c r="FL228" s="15"/>
      <c r="FM228" s="15"/>
      <c r="FN228" s="15"/>
      <c r="FO228" s="15"/>
      <c r="FP228" s="15"/>
      <c r="FQ228" s="15"/>
      <c r="FR228" s="15"/>
      <c r="FS228" s="15"/>
      <c r="FT228" s="15"/>
      <c r="FU228" s="15"/>
      <c r="FV228" s="15"/>
      <c r="FW228" s="15"/>
      <c r="FX228" s="15"/>
      <c r="FY228" s="15"/>
      <c r="FZ228" s="15"/>
      <c r="GA228" s="15"/>
      <c r="GB228" s="15"/>
      <c r="GC228" s="15"/>
      <c r="GD228" s="15"/>
      <c r="GE228" s="15"/>
      <c r="GF228" s="15"/>
      <c r="HH228" s="15"/>
      <c r="HI228" s="15"/>
      <c r="HJ228" s="15"/>
      <c r="HL228" s="15"/>
      <c r="HM228" s="15"/>
      <c r="HN228" s="15"/>
      <c r="HO228" s="15"/>
      <c r="HQ228" s="15"/>
      <c r="HR228" s="15"/>
      <c r="HS228" s="15"/>
      <c r="HT228" s="15"/>
      <c r="HU228" s="15"/>
      <c r="HV228" s="15"/>
      <c r="HW228" s="15"/>
      <c r="HX228" s="15"/>
      <c r="HZ228" s="15"/>
      <c r="IQ228" s="15"/>
      <c r="IR228" s="15"/>
      <c r="IS228" s="15"/>
      <c r="IT228" s="15"/>
      <c r="IU228" s="15"/>
      <c r="IV228" s="15"/>
      <c r="IW228" s="15"/>
      <c r="IX228" s="15"/>
      <c r="IY228" s="15"/>
      <c r="IZ228" s="15"/>
      <c r="JA228" s="15"/>
      <c r="JB228" s="15"/>
      <c r="JC228" s="15"/>
      <c r="JD228" s="15"/>
      <c r="JE228" s="15"/>
      <c r="JF228" s="15"/>
      <c r="JZ228" s="15"/>
      <c r="KA228" s="15"/>
      <c r="KB228" s="15"/>
      <c r="KC228" s="15"/>
      <c r="KD228" s="15"/>
      <c r="KE228" s="15"/>
      <c r="KF228" s="15"/>
      <c r="KG228" s="15"/>
      <c r="KH228" s="15"/>
      <c r="KI228" s="15"/>
      <c r="KJ228" s="15"/>
      <c r="KK228" s="15"/>
      <c r="KL228" s="15"/>
      <c r="LI228" s="15"/>
      <c r="LJ228" s="15"/>
      <c r="LK228" s="15"/>
      <c r="LL228" s="15"/>
      <c r="LM228" s="15"/>
      <c r="LN228" s="15"/>
      <c r="LO228" s="15"/>
      <c r="LP228" s="15"/>
      <c r="LQ228" s="15"/>
      <c r="LR228" s="15"/>
    </row>
    <row r="229" spans="2:330"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B229" s="15"/>
      <c r="BD229" s="15"/>
      <c r="BE229" s="15"/>
      <c r="BF229" s="15"/>
      <c r="BG229" s="15"/>
      <c r="BH229" s="15"/>
      <c r="BX229" s="15"/>
      <c r="BY229" s="15"/>
      <c r="BZ229" s="15"/>
      <c r="CB229" s="15"/>
      <c r="CC229" s="15"/>
      <c r="CD229" s="15"/>
      <c r="CE229" s="15"/>
      <c r="CF229" s="15"/>
      <c r="CG229" s="15"/>
      <c r="CH229" s="15"/>
      <c r="CI229" s="15"/>
      <c r="CJ229" s="15"/>
      <c r="CK229" s="15"/>
      <c r="CL229" s="15"/>
      <c r="CM229" s="15"/>
      <c r="CN229" s="15"/>
      <c r="CP229" s="15"/>
      <c r="CQ229" s="15"/>
      <c r="CR229" s="15"/>
      <c r="CS229" s="15"/>
      <c r="CU229" s="15"/>
      <c r="EP229" s="15"/>
      <c r="EQ229" s="15"/>
      <c r="ER229" s="15"/>
      <c r="ES229" s="15"/>
      <c r="ET229" s="15"/>
      <c r="EU229" s="15"/>
      <c r="EV229" s="15"/>
      <c r="EW229" s="15"/>
      <c r="EX229" s="15"/>
      <c r="EY229" s="15"/>
      <c r="FA229" s="15"/>
      <c r="FB229" s="15"/>
      <c r="FC229" s="15"/>
      <c r="FD229" s="15"/>
      <c r="FE229" s="15"/>
      <c r="FG229" s="15"/>
      <c r="FH229" s="15"/>
      <c r="FI229" s="15"/>
      <c r="FJ229" s="15"/>
      <c r="FK229" s="15"/>
      <c r="FL229" s="15"/>
      <c r="FM229" s="15"/>
      <c r="FO229" s="15"/>
      <c r="FP229" s="15"/>
      <c r="FQ229" s="15"/>
      <c r="FR229" s="15"/>
      <c r="FT229" s="15"/>
      <c r="FU229" s="15"/>
      <c r="FW229" s="15"/>
      <c r="FY229" s="15"/>
      <c r="FZ229" s="15"/>
      <c r="GA229" s="15"/>
      <c r="GB229" s="15"/>
      <c r="GC229" s="15"/>
      <c r="GD229" s="15"/>
      <c r="GE229" s="15"/>
      <c r="GF229" s="15"/>
      <c r="HH229" s="15"/>
      <c r="HI229" s="15"/>
      <c r="HJ229" s="15"/>
      <c r="HK229" s="15"/>
      <c r="HL229" s="15"/>
      <c r="HN229" s="15"/>
      <c r="HO229" s="15"/>
      <c r="HP229" s="15"/>
      <c r="HQ229" s="15"/>
      <c r="HR229" s="15"/>
      <c r="HS229" s="15"/>
      <c r="HT229" s="15"/>
      <c r="HU229" s="15"/>
      <c r="HW229" s="15"/>
      <c r="IQ229" s="15"/>
      <c r="IR229" s="15"/>
      <c r="IS229" s="15"/>
      <c r="IT229" s="15"/>
      <c r="IU229" s="15"/>
      <c r="IV229" s="15"/>
      <c r="IW229" s="15"/>
      <c r="IX229" s="15"/>
      <c r="IY229" s="15"/>
      <c r="IZ229" s="15"/>
      <c r="JA229" s="15"/>
      <c r="JB229" s="15"/>
      <c r="JC229" s="15"/>
      <c r="JE229" s="15"/>
      <c r="JF229" s="15"/>
      <c r="JZ229" s="15"/>
      <c r="KA229" s="15"/>
      <c r="KB229" s="15"/>
      <c r="KC229" s="15"/>
      <c r="KD229" s="15"/>
      <c r="KE229" s="15"/>
      <c r="KF229" s="15"/>
      <c r="KG229" s="15"/>
      <c r="KH229" s="15"/>
      <c r="KI229" s="15"/>
      <c r="KJ229" s="15"/>
      <c r="KK229" s="15"/>
      <c r="KL229" s="15"/>
      <c r="KM229" s="15"/>
      <c r="LI229" s="15"/>
      <c r="LJ229" s="15"/>
      <c r="LK229" s="15"/>
      <c r="LL229" s="15"/>
      <c r="LM229" s="15"/>
      <c r="LN229" s="15"/>
      <c r="LO229" s="15"/>
      <c r="LP229" s="15"/>
      <c r="LQ229" s="15"/>
      <c r="LR229" s="15"/>
    </row>
    <row r="230" spans="2:330"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F230" s="15"/>
      <c r="BG230" s="15"/>
      <c r="BH230" s="15"/>
      <c r="BX230" s="15"/>
      <c r="BY230" s="15"/>
      <c r="BZ230" s="15"/>
      <c r="CA230" s="15"/>
      <c r="CB230" s="15"/>
      <c r="CC230" s="15"/>
      <c r="CD230" s="15"/>
      <c r="CE230" s="15"/>
      <c r="CF230" s="15"/>
      <c r="CG230" s="15"/>
      <c r="CH230" s="15"/>
      <c r="CI230" s="15"/>
      <c r="CJ230" s="15"/>
      <c r="CK230" s="15"/>
      <c r="CL230" s="15"/>
      <c r="CM230" s="15"/>
      <c r="CN230" s="15"/>
      <c r="CO230" s="15"/>
      <c r="CP230" s="15"/>
      <c r="CQ230" s="15"/>
      <c r="CR230" s="15"/>
      <c r="CS230" s="15"/>
      <c r="CT230" s="15"/>
      <c r="CU230" s="15"/>
      <c r="EP230" s="15"/>
      <c r="EQ230" s="15"/>
      <c r="ER230" s="15"/>
      <c r="ES230" s="15"/>
      <c r="ET230" s="15"/>
      <c r="EU230" s="15"/>
      <c r="EV230" s="15"/>
      <c r="EW230" s="15"/>
      <c r="EX230" s="15"/>
      <c r="EY230" s="15"/>
      <c r="EZ230" s="15"/>
      <c r="FA230" s="15"/>
      <c r="FB230" s="15"/>
      <c r="FC230" s="15"/>
      <c r="FD230" s="15"/>
      <c r="FE230" s="15"/>
      <c r="FF230" s="15"/>
      <c r="FG230" s="15"/>
      <c r="FH230" s="15"/>
      <c r="FI230" s="15"/>
      <c r="FJ230" s="15"/>
      <c r="FK230" s="15"/>
      <c r="FL230" s="15"/>
      <c r="FM230" s="15"/>
      <c r="FN230" s="15"/>
      <c r="FO230" s="15"/>
      <c r="FP230" s="15"/>
      <c r="FQ230" s="15"/>
      <c r="FR230" s="15"/>
      <c r="FS230" s="15"/>
      <c r="FT230" s="15"/>
      <c r="FU230" s="15"/>
      <c r="FV230" s="15"/>
      <c r="FW230" s="15"/>
      <c r="FX230" s="15"/>
      <c r="FY230" s="15"/>
      <c r="FZ230" s="15"/>
      <c r="GA230" s="15"/>
      <c r="GB230" s="15"/>
      <c r="GC230" s="15"/>
      <c r="GD230" s="15"/>
      <c r="GE230" s="15"/>
      <c r="GF230" s="15"/>
      <c r="HH230" s="15"/>
      <c r="HI230" s="15"/>
      <c r="HJ230" s="15"/>
      <c r="HK230" s="15"/>
      <c r="HL230" s="15"/>
      <c r="HM230" s="15"/>
      <c r="HN230" s="15"/>
      <c r="HO230" s="15"/>
      <c r="HP230" s="15"/>
      <c r="HQ230" s="15"/>
      <c r="HR230" s="15"/>
      <c r="HS230" s="15"/>
      <c r="HT230" s="15"/>
      <c r="HU230" s="15"/>
      <c r="HV230" s="15"/>
      <c r="HW230" s="15"/>
      <c r="HX230" s="15"/>
      <c r="HY230" s="15"/>
      <c r="HZ230" s="15"/>
      <c r="IQ230" s="15"/>
      <c r="IR230" s="15"/>
      <c r="IS230" s="15"/>
      <c r="IT230" s="15"/>
      <c r="IU230" s="15"/>
      <c r="IV230" s="15"/>
      <c r="IW230" s="15"/>
      <c r="IX230" s="15"/>
      <c r="IY230" s="15"/>
      <c r="IZ230" s="15"/>
      <c r="JA230" s="15"/>
      <c r="JB230" s="15"/>
      <c r="JC230" s="15"/>
      <c r="JD230" s="15"/>
      <c r="JE230" s="15"/>
      <c r="JF230" s="15"/>
      <c r="JZ230" s="15"/>
      <c r="KA230" s="15"/>
      <c r="KB230" s="15"/>
      <c r="KC230" s="15"/>
      <c r="KD230" s="15"/>
      <c r="KE230" s="15"/>
      <c r="KF230" s="15"/>
      <c r="KG230" s="15"/>
      <c r="KH230" s="15"/>
      <c r="KI230" s="15"/>
      <c r="KJ230" s="15"/>
      <c r="KK230" s="15"/>
      <c r="KL230" s="15"/>
      <c r="KM230" s="15"/>
      <c r="LI230" s="15"/>
      <c r="LJ230" s="15"/>
      <c r="LK230" s="15"/>
      <c r="LL230" s="15"/>
      <c r="LM230" s="15"/>
      <c r="LN230" s="15"/>
      <c r="LO230" s="15"/>
      <c r="LP230" s="15"/>
      <c r="LQ230" s="15"/>
      <c r="LR230" s="15"/>
    </row>
    <row r="231" spans="2:330"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R231" s="15"/>
      <c r="T231" s="15"/>
      <c r="U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X231" s="15"/>
      <c r="BY231" s="15"/>
      <c r="BZ231" s="15"/>
      <c r="CB231" s="15"/>
      <c r="CC231" s="15"/>
      <c r="CD231" s="15"/>
      <c r="CE231" s="15"/>
      <c r="CF231" s="15"/>
      <c r="CG231" s="15"/>
      <c r="CH231" s="15"/>
      <c r="CI231" s="15"/>
      <c r="CJ231" s="15"/>
      <c r="CK231" s="15"/>
      <c r="CL231" s="15"/>
      <c r="CM231" s="15"/>
      <c r="CN231" s="15"/>
      <c r="CO231" s="15"/>
      <c r="CP231" s="15"/>
      <c r="EP231" s="15"/>
      <c r="EQ231" s="15"/>
      <c r="ER231" s="15"/>
      <c r="ES231" s="15"/>
      <c r="ET231" s="15"/>
      <c r="EU231" s="15"/>
      <c r="EV231" s="15"/>
      <c r="EW231" s="15"/>
      <c r="EX231" s="15"/>
      <c r="EY231" s="15"/>
      <c r="EZ231" s="15"/>
      <c r="FA231" s="15"/>
      <c r="FB231" s="15"/>
      <c r="FC231" s="15"/>
      <c r="FD231" s="15"/>
      <c r="FE231" s="15"/>
      <c r="FF231" s="15"/>
      <c r="FG231" s="15"/>
      <c r="FH231" s="15"/>
      <c r="FI231" s="15"/>
      <c r="FJ231" s="15"/>
      <c r="FK231" s="15"/>
      <c r="FL231" s="15"/>
      <c r="FM231" s="15"/>
      <c r="FN231" s="15"/>
      <c r="FO231" s="15"/>
      <c r="FP231" s="15"/>
      <c r="FQ231" s="15"/>
      <c r="FR231" s="15"/>
      <c r="FS231" s="15"/>
      <c r="FU231" s="15"/>
      <c r="FY231" s="15"/>
      <c r="FZ231" s="15"/>
      <c r="GA231" s="15"/>
      <c r="GB231" s="15"/>
      <c r="GC231" s="15"/>
      <c r="GD231" s="15"/>
      <c r="GE231" s="15"/>
      <c r="GF231" s="15"/>
      <c r="HH231" s="15"/>
      <c r="HI231" s="15"/>
      <c r="HJ231" s="15"/>
      <c r="HK231" s="15"/>
      <c r="HL231" s="15"/>
      <c r="HM231" s="15"/>
      <c r="HN231" s="15"/>
      <c r="HO231" s="15"/>
      <c r="HP231" s="15"/>
      <c r="HQ231" s="15"/>
      <c r="HR231" s="15"/>
      <c r="HS231" s="15"/>
      <c r="HT231" s="15"/>
      <c r="HU231" s="15"/>
      <c r="HV231" s="15"/>
      <c r="IQ231" s="15"/>
      <c r="IR231" s="15"/>
      <c r="IS231" s="15"/>
      <c r="IT231" s="15"/>
      <c r="IU231" s="15"/>
      <c r="IV231" s="15"/>
      <c r="IW231" s="15"/>
      <c r="IX231" s="15"/>
      <c r="IY231" s="15"/>
      <c r="IZ231" s="15"/>
      <c r="JA231" s="15"/>
      <c r="JB231" s="15"/>
      <c r="JC231" s="15"/>
      <c r="JD231" s="15"/>
      <c r="JE231" s="15"/>
      <c r="JF231" s="15"/>
      <c r="JZ231" s="15"/>
      <c r="KA231" s="15"/>
      <c r="KB231" s="15"/>
      <c r="KC231" s="15"/>
      <c r="KD231" s="15"/>
      <c r="KE231" s="15"/>
      <c r="KF231" s="15"/>
      <c r="KG231" s="15"/>
      <c r="KH231" s="15"/>
      <c r="KI231" s="15"/>
      <c r="KJ231" s="15"/>
      <c r="KK231" s="15"/>
      <c r="KL231" s="15"/>
      <c r="LI231" s="15"/>
      <c r="LJ231" s="15"/>
      <c r="LK231" s="15"/>
      <c r="LL231" s="15"/>
      <c r="LM231" s="15"/>
      <c r="LN231" s="15"/>
      <c r="LO231" s="15"/>
      <c r="LP231" s="15"/>
      <c r="LQ231" s="15"/>
      <c r="LR231" s="15"/>
    </row>
    <row r="232" spans="2:330"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X232" s="15"/>
      <c r="BY232" s="15"/>
      <c r="BZ232" s="15"/>
      <c r="CA232" s="15"/>
      <c r="CB232" s="15"/>
      <c r="CC232" s="15"/>
      <c r="CD232" s="15"/>
      <c r="CE232" s="15"/>
      <c r="CF232" s="15"/>
      <c r="CG232" s="15"/>
      <c r="CH232" s="15"/>
      <c r="CI232" s="15"/>
      <c r="CJ232" s="15"/>
      <c r="CK232" s="15"/>
      <c r="CL232" s="15"/>
      <c r="CM232" s="15"/>
      <c r="CN232" s="15"/>
      <c r="CO232" s="15"/>
      <c r="CP232" s="15"/>
      <c r="CQ232" s="15"/>
      <c r="CR232" s="15"/>
      <c r="CS232" s="15"/>
      <c r="CT232" s="15"/>
      <c r="CU232" s="15"/>
      <c r="EP232" s="15"/>
      <c r="EQ232" s="15"/>
      <c r="ER232" s="15"/>
      <c r="ES232" s="15"/>
      <c r="ET232" s="15"/>
      <c r="EU232" s="15"/>
      <c r="EV232" s="15"/>
      <c r="EW232" s="15"/>
      <c r="EX232" s="15"/>
      <c r="EY232" s="15"/>
      <c r="EZ232" s="15"/>
      <c r="FA232" s="15"/>
      <c r="FB232" s="15"/>
      <c r="FC232" s="15"/>
      <c r="FD232" s="15"/>
      <c r="FE232" s="15"/>
      <c r="FF232" s="15"/>
      <c r="FG232" s="15"/>
      <c r="FH232" s="15"/>
      <c r="FI232" s="15"/>
      <c r="FJ232" s="15"/>
      <c r="FK232" s="15"/>
      <c r="FL232" s="15"/>
      <c r="FM232" s="15"/>
      <c r="FN232" s="15"/>
      <c r="FO232" s="15"/>
      <c r="FP232" s="15"/>
      <c r="FQ232" s="15"/>
      <c r="FR232" s="15"/>
      <c r="FS232" s="15"/>
      <c r="FT232" s="15"/>
      <c r="FU232" s="15"/>
      <c r="FV232" s="15"/>
      <c r="FW232" s="15"/>
      <c r="FX232" s="15"/>
      <c r="FY232" s="15"/>
      <c r="FZ232" s="15"/>
      <c r="GA232" s="15"/>
      <c r="GB232" s="15"/>
      <c r="GC232" s="15"/>
      <c r="GD232" s="15"/>
      <c r="GE232" s="15"/>
      <c r="GF232" s="15"/>
      <c r="HH232" s="15"/>
      <c r="HI232" s="15"/>
      <c r="HJ232" s="15"/>
      <c r="HK232" s="15"/>
      <c r="HL232" s="15"/>
      <c r="HM232" s="15"/>
      <c r="HN232" s="15"/>
      <c r="HO232" s="15"/>
      <c r="HP232" s="15"/>
      <c r="HQ232" s="15"/>
      <c r="HR232" s="15"/>
      <c r="HS232" s="15"/>
      <c r="HT232" s="15"/>
      <c r="HU232" s="15"/>
      <c r="HV232" s="15"/>
      <c r="HW232" s="15"/>
      <c r="HX232" s="15"/>
      <c r="HY232" s="15"/>
      <c r="HZ232" s="15"/>
      <c r="IQ232" s="15"/>
      <c r="IR232" s="15"/>
      <c r="IS232" s="15"/>
      <c r="IT232" s="15"/>
      <c r="IU232" s="15"/>
      <c r="IV232" s="15"/>
      <c r="IW232" s="15"/>
      <c r="IX232" s="15"/>
      <c r="IY232" s="15"/>
      <c r="IZ232" s="15"/>
      <c r="JA232" s="15"/>
      <c r="JB232" s="15"/>
      <c r="JC232" s="15"/>
      <c r="JD232" s="15"/>
      <c r="JE232" s="15"/>
      <c r="JF232" s="15"/>
      <c r="JZ232" s="15"/>
      <c r="KA232" s="15"/>
      <c r="KB232" s="15"/>
      <c r="KC232" s="15"/>
      <c r="KD232" s="15"/>
      <c r="KE232" s="15"/>
      <c r="KF232" s="15"/>
      <c r="KG232" s="15"/>
      <c r="KH232" s="15"/>
      <c r="KI232" s="15"/>
      <c r="KJ232" s="15"/>
      <c r="KK232" s="15"/>
      <c r="KL232" s="15"/>
      <c r="KM232" s="15"/>
      <c r="LI232" s="15"/>
      <c r="LJ232" s="15"/>
      <c r="LK232" s="15"/>
      <c r="LL232" s="15"/>
      <c r="LM232" s="15"/>
      <c r="LN232" s="15"/>
      <c r="LO232" s="15"/>
      <c r="LP232" s="15"/>
      <c r="LQ232" s="15"/>
      <c r="LR232" s="15"/>
    </row>
    <row r="233" spans="2:330"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X233" s="15"/>
      <c r="BY233" s="15"/>
      <c r="BZ233" s="15"/>
      <c r="CA233" s="15"/>
      <c r="CB233" s="15"/>
      <c r="CC233" s="15"/>
      <c r="CD233" s="15"/>
      <c r="CE233" s="15"/>
      <c r="CF233" s="15"/>
      <c r="CG233" s="15"/>
      <c r="CH233" s="15"/>
      <c r="CI233" s="15"/>
      <c r="CJ233" s="15"/>
      <c r="CK233" s="15"/>
      <c r="CL233" s="15"/>
      <c r="CM233" s="15"/>
      <c r="CN233" s="15"/>
      <c r="CO233" s="15"/>
      <c r="CP233" s="15"/>
      <c r="CQ233" s="15"/>
      <c r="CR233" s="15"/>
      <c r="CS233" s="15"/>
      <c r="CT233" s="15"/>
      <c r="CU233" s="15"/>
      <c r="EP233" s="15"/>
      <c r="EQ233" s="15"/>
      <c r="ER233" s="15"/>
      <c r="ES233" s="15"/>
      <c r="ET233" s="15"/>
      <c r="EU233" s="15"/>
      <c r="EV233" s="15"/>
      <c r="EW233" s="15"/>
      <c r="EX233" s="15"/>
      <c r="EY233" s="15"/>
      <c r="EZ233" s="15"/>
      <c r="FA233" s="15"/>
      <c r="FB233" s="15"/>
      <c r="FC233" s="15"/>
      <c r="FD233" s="15"/>
      <c r="FE233" s="15"/>
      <c r="FF233" s="15"/>
      <c r="FG233" s="15"/>
      <c r="FH233" s="15"/>
      <c r="FI233" s="15"/>
      <c r="FJ233" s="15"/>
      <c r="FK233" s="15"/>
      <c r="FL233" s="15"/>
      <c r="FM233" s="15"/>
      <c r="FN233" s="15"/>
      <c r="FO233" s="15"/>
      <c r="FP233" s="15"/>
      <c r="FQ233" s="15"/>
      <c r="FR233" s="15"/>
      <c r="FS233" s="15"/>
      <c r="FT233" s="15"/>
      <c r="FU233" s="15"/>
      <c r="FV233" s="15"/>
      <c r="FW233" s="15"/>
      <c r="FX233" s="15"/>
      <c r="FY233" s="15"/>
      <c r="FZ233" s="15"/>
      <c r="GA233" s="15"/>
      <c r="GB233" s="15"/>
      <c r="GC233" s="15"/>
      <c r="GD233" s="15"/>
      <c r="GE233" s="15"/>
      <c r="GF233" s="15"/>
      <c r="HH233" s="15"/>
      <c r="HI233" s="15"/>
      <c r="HJ233" s="15"/>
      <c r="HK233" s="15"/>
      <c r="HL233" s="15"/>
      <c r="HM233" s="15"/>
      <c r="HN233" s="15"/>
      <c r="HO233" s="15"/>
      <c r="HP233" s="15"/>
      <c r="HQ233" s="15"/>
      <c r="HR233" s="15"/>
      <c r="HS233" s="15"/>
      <c r="HT233" s="15"/>
      <c r="HU233" s="15"/>
      <c r="HV233" s="15"/>
      <c r="HW233" s="15"/>
      <c r="HX233" s="15"/>
      <c r="HY233" s="15"/>
      <c r="HZ233" s="15"/>
      <c r="IQ233" s="15"/>
      <c r="IR233" s="15"/>
      <c r="IS233" s="15"/>
      <c r="IT233" s="15"/>
      <c r="IU233" s="15"/>
      <c r="IV233" s="15"/>
      <c r="IW233" s="15"/>
      <c r="IX233" s="15"/>
      <c r="IY233" s="15"/>
      <c r="IZ233" s="15"/>
      <c r="JA233" s="15"/>
      <c r="JB233" s="15"/>
      <c r="JC233" s="15"/>
      <c r="JD233" s="15"/>
      <c r="JE233" s="15"/>
      <c r="JF233" s="15"/>
      <c r="JZ233" s="15"/>
      <c r="KA233" s="15"/>
      <c r="KB233" s="15"/>
      <c r="KC233" s="15"/>
      <c r="KD233" s="15"/>
      <c r="KE233" s="15"/>
      <c r="KF233" s="15"/>
      <c r="KG233" s="15"/>
      <c r="KH233" s="15"/>
      <c r="KI233" s="15"/>
      <c r="KJ233" s="15"/>
      <c r="KK233" s="15"/>
      <c r="KL233" s="15"/>
      <c r="KM233" s="15"/>
      <c r="LI233" s="15"/>
      <c r="LJ233" s="15"/>
      <c r="LK233" s="15"/>
      <c r="LL233" s="15"/>
      <c r="LM233" s="15"/>
      <c r="LN233" s="15"/>
      <c r="LO233" s="15"/>
      <c r="LP233" s="15"/>
      <c r="LQ233" s="15"/>
      <c r="LR233" s="15"/>
    </row>
    <row r="234" spans="2:330"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H234" s="15"/>
      <c r="BX234" s="15"/>
      <c r="BY234" s="15"/>
      <c r="BZ234" s="15"/>
      <c r="CA234" s="15"/>
      <c r="CB234" s="15"/>
      <c r="CC234" s="15"/>
      <c r="CD234" s="15"/>
      <c r="CE234" s="15"/>
      <c r="CF234" s="15"/>
      <c r="CG234" s="15"/>
      <c r="CH234" s="15"/>
      <c r="CI234" s="15"/>
      <c r="CJ234" s="15"/>
      <c r="CK234" s="15"/>
      <c r="CL234" s="15"/>
      <c r="CM234" s="15"/>
      <c r="CN234" s="15"/>
      <c r="CO234" s="15"/>
      <c r="CP234" s="15"/>
      <c r="CQ234" s="15"/>
      <c r="CR234" s="15"/>
      <c r="CS234" s="15"/>
      <c r="CT234" s="15"/>
      <c r="CU234" s="15"/>
      <c r="EP234" s="15"/>
      <c r="EQ234" s="15"/>
      <c r="ER234" s="15"/>
      <c r="ES234" s="15"/>
      <c r="ET234" s="15"/>
      <c r="EU234" s="15"/>
      <c r="EV234" s="15"/>
      <c r="EW234" s="15"/>
      <c r="EX234" s="15"/>
      <c r="EY234" s="15"/>
      <c r="EZ234" s="15"/>
      <c r="FA234" s="15"/>
      <c r="FB234" s="15"/>
      <c r="FC234" s="15"/>
      <c r="FD234" s="15"/>
      <c r="FE234" s="15"/>
      <c r="FF234" s="15"/>
      <c r="FG234" s="15"/>
      <c r="FH234" s="15"/>
      <c r="FI234" s="15"/>
      <c r="FJ234" s="15"/>
      <c r="FK234" s="15"/>
      <c r="FL234" s="15"/>
      <c r="FM234" s="15"/>
      <c r="FN234" s="15"/>
      <c r="FO234" s="15"/>
      <c r="FP234" s="15"/>
      <c r="FQ234" s="15"/>
      <c r="FR234" s="15"/>
      <c r="FS234" s="15"/>
      <c r="FT234" s="15"/>
      <c r="FU234" s="15"/>
      <c r="FV234" s="15"/>
      <c r="FW234" s="15"/>
      <c r="FX234" s="15"/>
      <c r="FY234" s="15"/>
      <c r="FZ234" s="15"/>
      <c r="GA234" s="15"/>
      <c r="GB234" s="15"/>
      <c r="GC234" s="15"/>
      <c r="GD234" s="15"/>
      <c r="GE234" s="15"/>
      <c r="GF234" s="15"/>
      <c r="HH234" s="15"/>
      <c r="HI234" s="15"/>
      <c r="HJ234" s="15"/>
      <c r="HK234" s="15"/>
      <c r="HL234" s="15"/>
      <c r="HM234" s="15"/>
      <c r="HN234" s="15"/>
      <c r="HO234" s="15"/>
      <c r="HP234" s="15"/>
      <c r="HQ234" s="15"/>
      <c r="HR234" s="15"/>
      <c r="HS234" s="15"/>
      <c r="HT234" s="15"/>
      <c r="HU234" s="15"/>
      <c r="HV234" s="15"/>
      <c r="HW234" s="15"/>
      <c r="HX234" s="15"/>
      <c r="HY234" s="15"/>
      <c r="HZ234" s="15"/>
      <c r="IQ234" s="15"/>
      <c r="IS234" s="15"/>
      <c r="IT234" s="15"/>
      <c r="IU234" s="15"/>
      <c r="IV234" s="15"/>
      <c r="IW234" s="15"/>
      <c r="IX234" s="15"/>
      <c r="IY234" s="15"/>
      <c r="IZ234" s="15"/>
      <c r="JA234" s="15"/>
      <c r="JC234" s="15"/>
      <c r="JZ234" s="15"/>
      <c r="KA234" s="15"/>
      <c r="KB234" s="15"/>
      <c r="KC234" s="15"/>
      <c r="KD234" s="15"/>
      <c r="KE234" s="15"/>
      <c r="KF234" s="15"/>
      <c r="KG234" s="15"/>
      <c r="KH234" s="15"/>
      <c r="KI234" s="15"/>
      <c r="KJ234" s="15"/>
      <c r="KK234" s="15"/>
      <c r="KL234" s="15"/>
      <c r="KM234" s="15"/>
      <c r="LI234" s="15"/>
      <c r="LJ234" s="15"/>
      <c r="LK234" s="15"/>
      <c r="LM234" s="15"/>
      <c r="LO234" s="15"/>
      <c r="LP234" s="15"/>
      <c r="LR234" s="15"/>
    </row>
    <row r="235" spans="2:330"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Z235" s="15"/>
      <c r="AA235" s="15"/>
      <c r="AB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X235" s="15"/>
      <c r="BY235" s="15"/>
      <c r="BZ235" s="15"/>
      <c r="CA235" s="15"/>
      <c r="CB235" s="15"/>
      <c r="CC235" s="15"/>
      <c r="CD235" s="15"/>
      <c r="CE235" s="15"/>
      <c r="CF235" s="15"/>
      <c r="CG235" s="15"/>
      <c r="CH235" s="15"/>
      <c r="CI235" s="15"/>
      <c r="CJ235" s="15"/>
      <c r="CK235" s="15"/>
      <c r="CM235" s="15"/>
      <c r="CN235" s="15"/>
      <c r="CO235" s="15"/>
      <c r="CP235" s="15"/>
      <c r="CR235" s="15"/>
      <c r="CT235" s="15"/>
      <c r="CU235" s="15"/>
      <c r="EP235" s="15"/>
      <c r="EQ235" s="15"/>
      <c r="ER235" s="15"/>
      <c r="ES235" s="15"/>
      <c r="ET235" s="15"/>
      <c r="EU235" s="15"/>
      <c r="EV235" s="15"/>
      <c r="EW235" s="15"/>
      <c r="EX235" s="15"/>
      <c r="EY235" s="15"/>
      <c r="EZ235" s="15"/>
      <c r="FA235" s="15"/>
      <c r="FB235" s="15"/>
      <c r="FC235" s="15"/>
      <c r="FD235" s="15"/>
      <c r="FE235" s="15"/>
      <c r="FF235" s="15"/>
      <c r="FG235" s="15"/>
      <c r="FH235" s="15"/>
      <c r="FI235" s="15"/>
      <c r="FJ235" s="15"/>
      <c r="FK235" s="15"/>
      <c r="FL235" s="15"/>
      <c r="FM235" s="15"/>
      <c r="FN235" s="15"/>
      <c r="FO235" s="15"/>
      <c r="FP235" s="15"/>
      <c r="FQ235" s="15"/>
      <c r="FR235" s="15"/>
      <c r="FS235" s="15"/>
      <c r="FT235" s="15"/>
      <c r="FU235" s="15"/>
      <c r="FV235" s="15"/>
      <c r="FY235" s="15"/>
      <c r="FZ235" s="15"/>
      <c r="GA235" s="15"/>
      <c r="GC235" s="15"/>
      <c r="GD235" s="15"/>
      <c r="GE235" s="15"/>
      <c r="GF235" s="15"/>
      <c r="HH235" s="15"/>
      <c r="HI235" s="15"/>
      <c r="HJ235" s="15"/>
      <c r="HK235" s="15"/>
      <c r="HL235" s="15"/>
      <c r="HM235" s="15"/>
      <c r="HN235" s="15"/>
      <c r="HO235" s="15"/>
      <c r="HP235" s="15"/>
      <c r="HQ235" s="15"/>
      <c r="HR235" s="15"/>
      <c r="HS235" s="15"/>
      <c r="HT235" s="15"/>
      <c r="HU235" s="15"/>
      <c r="HV235" s="15"/>
      <c r="HW235" s="15"/>
      <c r="HX235" s="15"/>
      <c r="HY235" s="15"/>
      <c r="HZ235" s="15"/>
      <c r="IQ235" s="15"/>
      <c r="IR235" s="15"/>
      <c r="IS235" s="15"/>
      <c r="IT235" s="15"/>
      <c r="IU235" s="15"/>
      <c r="IV235" s="15"/>
      <c r="IW235" s="15"/>
      <c r="IX235" s="15"/>
      <c r="IY235" s="15"/>
      <c r="IZ235" s="15"/>
      <c r="JA235" s="15"/>
      <c r="JB235" s="15"/>
      <c r="JC235" s="15"/>
      <c r="JD235" s="15"/>
      <c r="JE235" s="15"/>
      <c r="JZ235" s="15"/>
      <c r="KA235" s="15"/>
      <c r="KB235" s="15"/>
      <c r="KC235" s="15"/>
      <c r="KD235" s="15"/>
      <c r="KE235" s="15"/>
      <c r="KF235" s="15"/>
      <c r="KG235" s="15"/>
      <c r="KH235" s="15"/>
      <c r="KI235" s="15"/>
      <c r="KJ235" s="15"/>
      <c r="KK235" s="15"/>
      <c r="KL235" s="15"/>
      <c r="LI235" s="15"/>
      <c r="LJ235" s="15"/>
      <c r="LK235" s="15"/>
      <c r="LL235" s="15"/>
      <c r="LM235" s="15"/>
      <c r="LN235" s="15"/>
      <c r="LO235" s="15"/>
      <c r="LP235" s="15"/>
      <c r="LQ235" s="15"/>
    </row>
    <row r="236" spans="2:330">
      <c r="B236" s="15"/>
      <c r="C236" s="15"/>
      <c r="D236" s="15"/>
      <c r="E236" s="15"/>
      <c r="F236" s="15"/>
      <c r="G236" s="15"/>
      <c r="H236" s="15"/>
      <c r="I236" s="15"/>
      <c r="L236" s="15"/>
      <c r="M236" s="15"/>
      <c r="N236" s="15"/>
      <c r="O236" s="15"/>
      <c r="P236" s="15"/>
      <c r="Q236" s="15"/>
      <c r="R236" s="15"/>
      <c r="V236" s="15"/>
      <c r="W236" s="15"/>
      <c r="X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X236" s="15"/>
      <c r="BY236" s="15"/>
      <c r="CA236" s="15"/>
      <c r="CB236" s="15"/>
      <c r="CC236" s="15"/>
      <c r="CD236" s="15"/>
      <c r="CE236" s="15"/>
      <c r="CG236" s="15"/>
      <c r="CH236" s="15"/>
      <c r="CI236" s="15"/>
      <c r="CJ236" s="15"/>
      <c r="CK236" s="15"/>
      <c r="CL236" s="15"/>
      <c r="CO236" s="15"/>
      <c r="CP236" s="15"/>
      <c r="CQ236" s="15"/>
      <c r="EP236" s="15"/>
      <c r="EQ236" s="15"/>
      <c r="ER236" s="15"/>
      <c r="ES236" s="15"/>
      <c r="ET236" s="15"/>
      <c r="EU236" s="15"/>
      <c r="EV236" s="15"/>
      <c r="EW236" s="15"/>
      <c r="EX236" s="15"/>
      <c r="EY236" s="15"/>
      <c r="EZ236" s="15"/>
      <c r="FA236" s="15"/>
      <c r="FB236" s="15"/>
      <c r="FC236" s="15"/>
      <c r="FD236" s="15"/>
      <c r="FE236" s="15"/>
      <c r="FF236" s="15"/>
      <c r="FG236" s="15"/>
      <c r="FH236" s="15"/>
      <c r="FI236" s="15"/>
      <c r="FJ236" s="15"/>
      <c r="FK236" s="15"/>
      <c r="FL236" s="15"/>
      <c r="FM236" s="15"/>
      <c r="FN236" s="15"/>
      <c r="FO236" s="15"/>
      <c r="FP236" s="15"/>
      <c r="FQ236" s="15"/>
      <c r="FR236" s="15"/>
      <c r="FS236" s="15"/>
      <c r="FT236" s="15"/>
      <c r="FU236" s="15"/>
      <c r="FV236" s="15"/>
      <c r="FW236" s="15"/>
      <c r="FY236" s="15"/>
      <c r="FZ236" s="15"/>
      <c r="GA236" s="15"/>
      <c r="GC236" s="15"/>
      <c r="GD236" s="15"/>
      <c r="GE236" s="15"/>
      <c r="HH236" s="15"/>
      <c r="HI236" s="15"/>
      <c r="HK236" s="15"/>
      <c r="HM236" s="15"/>
      <c r="HN236" s="15"/>
      <c r="HO236" s="15"/>
      <c r="HP236" s="15"/>
      <c r="HR236" s="15"/>
      <c r="HS236" s="15"/>
      <c r="HT236" s="15"/>
      <c r="HU236" s="15"/>
      <c r="IQ236" s="15"/>
      <c r="IR236" s="15"/>
      <c r="IS236" s="15"/>
      <c r="IT236" s="15"/>
      <c r="IU236" s="15"/>
      <c r="IV236" s="15"/>
      <c r="IW236" s="15"/>
      <c r="IX236" s="15"/>
      <c r="IY236" s="15"/>
      <c r="IZ236" s="15"/>
      <c r="JA236" s="15"/>
      <c r="JB236" s="15"/>
      <c r="JC236" s="15"/>
      <c r="JE236" s="15"/>
      <c r="JF236" s="15"/>
      <c r="JZ236" s="15"/>
      <c r="KA236" s="15"/>
      <c r="KB236" s="15"/>
      <c r="KC236" s="15"/>
      <c r="KD236" s="15"/>
      <c r="KE236" s="15"/>
      <c r="KF236" s="15"/>
      <c r="KG236" s="15"/>
      <c r="KH236" s="15"/>
      <c r="KI236" s="15"/>
      <c r="KJ236" s="15"/>
      <c r="KK236" s="15"/>
      <c r="KL236" s="15"/>
      <c r="LI236" s="15"/>
      <c r="LJ236" s="15"/>
      <c r="LK236" s="15"/>
      <c r="LL236" s="15"/>
      <c r="LM236" s="15"/>
      <c r="LN236" s="15"/>
      <c r="LO236" s="15"/>
      <c r="LP236" s="15"/>
      <c r="LQ236" s="15"/>
      <c r="LR236" s="15"/>
    </row>
    <row r="237" spans="2:330"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T237" s="15"/>
      <c r="U237" s="15"/>
      <c r="V237" s="15"/>
      <c r="W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X237" s="15"/>
      <c r="BY237" s="15"/>
      <c r="BZ237" s="15"/>
      <c r="CA237" s="15"/>
      <c r="CB237" s="15"/>
      <c r="CC237" s="15"/>
      <c r="CD237" s="15"/>
      <c r="CE237" s="15"/>
      <c r="CF237" s="15"/>
      <c r="CG237" s="15"/>
      <c r="CH237" s="15"/>
      <c r="CI237" s="15"/>
      <c r="CJ237" s="15"/>
      <c r="CK237" s="15"/>
      <c r="CL237" s="15"/>
      <c r="CM237" s="15"/>
      <c r="CN237" s="15"/>
      <c r="CO237" s="15"/>
      <c r="CP237" s="15"/>
      <c r="CQ237" s="15"/>
      <c r="CR237" s="15"/>
      <c r="CS237" s="15"/>
      <c r="CU237" s="15"/>
      <c r="EP237" s="15"/>
      <c r="EQ237" s="15"/>
      <c r="ER237" s="15"/>
      <c r="ES237" s="15"/>
      <c r="ET237" s="15"/>
      <c r="EU237" s="15"/>
      <c r="EV237" s="15"/>
      <c r="EW237" s="15"/>
      <c r="EX237" s="15"/>
      <c r="EY237" s="15"/>
      <c r="EZ237" s="15"/>
      <c r="FA237" s="15"/>
      <c r="FB237" s="15"/>
      <c r="FC237" s="15"/>
      <c r="FD237" s="15"/>
      <c r="FE237" s="15"/>
      <c r="FF237" s="15"/>
      <c r="FG237" s="15"/>
      <c r="FH237" s="15"/>
      <c r="FI237" s="15"/>
      <c r="FJ237" s="15"/>
      <c r="FK237" s="15"/>
      <c r="FL237" s="15"/>
      <c r="FM237" s="15"/>
      <c r="FN237" s="15"/>
      <c r="FO237" s="15"/>
      <c r="FP237" s="15"/>
      <c r="FQ237" s="15"/>
      <c r="FR237" s="15"/>
      <c r="FS237" s="15"/>
      <c r="FT237" s="15"/>
      <c r="FU237" s="15"/>
      <c r="FV237" s="15"/>
      <c r="FW237" s="15"/>
      <c r="FX237" s="15"/>
      <c r="FY237" s="15"/>
      <c r="FZ237" s="15"/>
      <c r="GA237" s="15"/>
      <c r="GB237" s="15"/>
      <c r="GC237" s="15"/>
      <c r="GD237" s="15"/>
      <c r="GE237" s="15"/>
      <c r="GF237" s="15"/>
      <c r="HH237" s="15"/>
      <c r="HI237" s="15"/>
      <c r="HJ237" s="15"/>
      <c r="HM237" s="15"/>
      <c r="HN237" s="15"/>
      <c r="HO237" s="15"/>
      <c r="HP237" s="15"/>
      <c r="HQ237" s="15"/>
      <c r="HR237" s="15"/>
      <c r="HS237" s="15"/>
      <c r="HT237" s="15"/>
      <c r="HU237" s="15"/>
      <c r="HV237" s="15"/>
      <c r="HW237" s="15"/>
      <c r="HX237" s="15"/>
      <c r="HY237" s="15"/>
      <c r="HZ237" s="15"/>
      <c r="IQ237" s="15"/>
      <c r="IR237" s="15"/>
      <c r="IS237" s="15"/>
      <c r="IT237" s="15"/>
      <c r="IU237" s="15"/>
      <c r="IV237" s="15"/>
      <c r="IW237" s="15"/>
      <c r="IX237" s="15"/>
      <c r="IY237" s="15"/>
      <c r="IZ237" s="15"/>
      <c r="JA237" s="15"/>
      <c r="JB237" s="15"/>
      <c r="JC237" s="15"/>
      <c r="JD237" s="15"/>
      <c r="JE237" s="15"/>
      <c r="JF237" s="15"/>
      <c r="JZ237" s="15"/>
      <c r="KA237" s="15"/>
      <c r="KB237" s="15"/>
      <c r="KC237" s="15"/>
      <c r="KD237" s="15"/>
      <c r="KE237" s="15"/>
      <c r="KF237" s="15"/>
      <c r="KG237" s="15"/>
      <c r="KH237" s="15"/>
      <c r="KI237" s="15"/>
      <c r="KJ237" s="15"/>
      <c r="KK237" s="15"/>
      <c r="KL237" s="15"/>
      <c r="LI237" s="15"/>
      <c r="LJ237" s="15"/>
      <c r="LK237" s="15"/>
      <c r="LL237" s="15"/>
      <c r="LM237" s="15"/>
      <c r="LN237" s="15"/>
      <c r="LO237" s="15"/>
      <c r="LP237" s="15"/>
      <c r="LQ237" s="15"/>
      <c r="LR237" s="15"/>
    </row>
    <row r="238" spans="2:330">
      <c r="B238" s="15"/>
      <c r="C238" s="15"/>
      <c r="D238" s="15"/>
      <c r="E238" s="15"/>
      <c r="F238" s="15"/>
      <c r="G238" s="15"/>
      <c r="H238" s="15"/>
      <c r="I238" s="15"/>
      <c r="K238" s="15"/>
      <c r="L238" s="15"/>
      <c r="M238" s="15"/>
      <c r="N238" s="15"/>
      <c r="O238" s="15"/>
      <c r="P238" s="15"/>
      <c r="Q238" s="15"/>
      <c r="R238" s="15"/>
      <c r="T238" s="15"/>
      <c r="U238" s="15"/>
      <c r="V238" s="15"/>
      <c r="W238" s="15"/>
      <c r="X238" s="15"/>
      <c r="Y238" s="15"/>
      <c r="Z238" s="15"/>
      <c r="AA238" s="15"/>
      <c r="AO238" s="15"/>
      <c r="AP238" s="15"/>
      <c r="AQ238" s="15"/>
      <c r="AR238" s="15"/>
      <c r="AS238" s="15"/>
      <c r="AT238" s="15"/>
      <c r="AU238" s="15"/>
      <c r="AV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X238" s="15"/>
      <c r="BY238" s="15"/>
      <c r="BZ238" s="15"/>
      <c r="CA238" s="15"/>
      <c r="CB238" s="15"/>
      <c r="CC238" s="15"/>
      <c r="CD238" s="15"/>
      <c r="CE238" s="15"/>
      <c r="CF238" s="15"/>
      <c r="CG238" s="15"/>
      <c r="CH238" s="15"/>
      <c r="CI238" s="15"/>
      <c r="CJ238" s="15"/>
      <c r="CK238" s="15"/>
      <c r="CL238" s="15"/>
      <c r="CM238" s="15"/>
      <c r="CN238" s="15"/>
      <c r="EP238" s="15"/>
      <c r="EQ238" s="15"/>
      <c r="ER238" s="15"/>
      <c r="ES238" s="15"/>
      <c r="ET238" s="15"/>
      <c r="EU238" s="15"/>
      <c r="EV238" s="15"/>
      <c r="EW238" s="15"/>
      <c r="EX238" s="15"/>
      <c r="EY238" s="15"/>
      <c r="EZ238" s="15"/>
      <c r="FA238" s="15"/>
      <c r="FB238" s="15"/>
      <c r="FC238" s="15"/>
      <c r="FD238" s="15"/>
      <c r="FE238" s="15"/>
      <c r="FF238" s="15"/>
      <c r="FG238" s="15"/>
      <c r="FH238" s="15"/>
      <c r="FI238" s="15"/>
      <c r="FJ238" s="15"/>
      <c r="FK238" s="15"/>
      <c r="FL238" s="15"/>
      <c r="FM238" s="15"/>
      <c r="FN238" s="15"/>
      <c r="FO238" s="15"/>
      <c r="FP238" s="15"/>
      <c r="FQ238" s="15"/>
      <c r="FR238" s="15"/>
      <c r="FY238" s="15"/>
      <c r="FZ238" s="15"/>
      <c r="GA238" s="15"/>
      <c r="GB238" s="15"/>
      <c r="GC238" s="15"/>
      <c r="GD238" s="15"/>
      <c r="GE238" s="15"/>
      <c r="GF238" s="15"/>
      <c r="HH238" s="15"/>
      <c r="HI238" s="15"/>
      <c r="HJ238" s="15"/>
      <c r="HN238" s="15"/>
      <c r="HO238" s="15"/>
      <c r="HP238" s="15"/>
      <c r="HR238" s="15"/>
      <c r="HS238" s="15"/>
      <c r="HT238" s="15"/>
      <c r="HU238" s="15"/>
      <c r="HV238" s="15"/>
      <c r="HW238" s="15"/>
      <c r="HX238" s="15"/>
      <c r="HZ238" s="15"/>
      <c r="IQ238" s="15"/>
      <c r="IR238" s="15"/>
      <c r="IS238" s="15"/>
      <c r="IU238" s="15"/>
      <c r="IV238" s="15"/>
      <c r="IW238" s="15"/>
      <c r="IX238" s="15"/>
      <c r="IY238" s="15"/>
      <c r="IZ238" s="15"/>
      <c r="JA238" s="15"/>
      <c r="JB238" s="15"/>
      <c r="JC238" s="15"/>
      <c r="JD238" s="15"/>
      <c r="JE238" s="15"/>
      <c r="JF238" s="15"/>
      <c r="JZ238" s="15"/>
      <c r="KA238" s="15"/>
      <c r="KB238" s="15"/>
      <c r="KC238" s="15"/>
      <c r="KD238" s="15"/>
      <c r="KE238" s="15"/>
      <c r="KF238" s="15"/>
      <c r="KG238" s="15"/>
      <c r="KH238" s="15"/>
      <c r="KI238" s="15"/>
      <c r="KJ238" s="15"/>
      <c r="KK238" s="15"/>
      <c r="KL238" s="15"/>
      <c r="LI238" s="15"/>
      <c r="LJ238" s="15"/>
      <c r="LK238" s="15"/>
      <c r="LL238" s="15"/>
      <c r="LM238" s="15"/>
      <c r="LN238" s="15"/>
      <c r="LO238" s="15"/>
      <c r="LP238" s="15"/>
      <c r="LQ238" s="15"/>
      <c r="LR238" s="15"/>
    </row>
    <row r="239" spans="2:330"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X239" s="15"/>
      <c r="BY239" s="15"/>
      <c r="BZ239" s="15"/>
      <c r="CA239" s="15"/>
      <c r="CB239" s="15"/>
      <c r="CC239" s="15"/>
      <c r="CD239" s="15"/>
      <c r="CE239" s="15"/>
      <c r="CF239" s="15"/>
      <c r="CG239" s="15"/>
      <c r="CH239" s="15"/>
      <c r="CI239" s="15"/>
      <c r="CJ239" s="15"/>
      <c r="CK239" s="15"/>
      <c r="CL239" s="15"/>
      <c r="CN239" s="15"/>
      <c r="CO239" s="15"/>
      <c r="CP239" s="15"/>
      <c r="CQ239" s="15"/>
      <c r="EP239" s="15"/>
      <c r="EQ239" s="15"/>
      <c r="ER239" s="15"/>
      <c r="ES239" s="15"/>
      <c r="ET239" s="15"/>
      <c r="EU239" s="15"/>
      <c r="EV239" s="15"/>
      <c r="EW239" s="15"/>
      <c r="EX239" s="15"/>
      <c r="EY239" s="15"/>
      <c r="EZ239" s="15"/>
      <c r="FA239" s="15"/>
      <c r="FB239" s="15"/>
      <c r="FC239" s="15"/>
      <c r="FD239" s="15"/>
      <c r="FE239" s="15"/>
      <c r="FF239" s="15"/>
      <c r="FG239" s="15"/>
      <c r="FH239" s="15"/>
      <c r="FI239" s="15"/>
      <c r="FJ239" s="15"/>
      <c r="FK239" s="15"/>
      <c r="FL239" s="15"/>
      <c r="FM239" s="15"/>
      <c r="FN239" s="15"/>
      <c r="FO239" s="15"/>
      <c r="FP239" s="15"/>
      <c r="FQ239" s="15"/>
      <c r="FR239" s="15"/>
      <c r="FS239" s="15"/>
      <c r="FT239" s="15"/>
      <c r="FU239" s="15"/>
      <c r="FV239" s="15"/>
      <c r="FW239" s="15"/>
      <c r="FX239" s="15"/>
      <c r="FY239" s="15"/>
      <c r="FZ239" s="15"/>
      <c r="GA239" s="15"/>
      <c r="GB239" s="15"/>
      <c r="GC239" s="15"/>
      <c r="GD239" s="15"/>
      <c r="GE239" s="15"/>
      <c r="GF239" s="15"/>
      <c r="HH239" s="15"/>
      <c r="HI239" s="15"/>
      <c r="HJ239" s="15"/>
      <c r="HL239" s="15"/>
      <c r="HM239" s="15"/>
      <c r="HN239" s="15"/>
      <c r="HO239" s="15"/>
      <c r="HP239" s="15"/>
      <c r="HQ239" s="15"/>
      <c r="HR239" s="15"/>
      <c r="HS239" s="15"/>
      <c r="HT239" s="15"/>
      <c r="HU239" s="15"/>
      <c r="HV239" s="15"/>
      <c r="HW239" s="15"/>
      <c r="HX239" s="15"/>
      <c r="HY239" s="15"/>
      <c r="HZ239" s="15"/>
      <c r="IQ239" s="15"/>
      <c r="IR239" s="15"/>
      <c r="IS239" s="15"/>
      <c r="IT239" s="15"/>
      <c r="IU239" s="15"/>
      <c r="IV239" s="15"/>
      <c r="IW239" s="15"/>
      <c r="IX239" s="15"/>
      <c r="IY239" s="15"/>
      <c r="IZ239" s="15"/>
      <c r="JA239" s="15"/>
      <c r="JB239" s="15"/>
      <c r="JC239" s="15"/>
      <c r="JD239" s="15"/>
      <c r="JE239" s="15"/>
      <c r="JF239" s="15"/>
      <c r="JZ239" s="15"/>
      <c r="KA239" s="15"/>
      <c r="KB239" s="15"/>
      <c r="KC239" s="15"/>
      <c r="KD239" s="15"/>
      <c r="KE239" s="15"/>
      <c r="KF239" s="15"/>
      <c r="KG239" s="15"/>
      <c r="KH239" s="15"/>
      <c r="KI239" s="15"/>
      <c r="KJ239" s="15"/>
      <c r="KK239" s="15"/>
      <c r="KL239" s="15"/>
      <c r="LI239" s="15"/>
      <c r="LJ239" s="15"/>
      <c r="LK239" s="15"/>
      <c r="LL239" s="15"/>
      <c r="LM239" s="15"/>
      <c r="LN239" s="15"/>
      <c r="LO239" s="15"/>
      <c r="LP239" s="15"/>
      <c r="LQ239" s="15"/>
      <c r="LR239" s="15"/>
    </row>
    <row r="240" spans="2:330"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X240" s="15"/>
      <c r="BY240" s="15"/>
      <c r="BZ240" s="15"/>
      <c r="CA240" s="15"/>
      <c r="CB240" s="15"/>
      <c r="CC240" s="15"/>
      <c r="CD240" s="15"/>
      <c r="CE240" s="15"/>
      <c r="CF240" s="15"/>
      <c r="CG240" s="15"/>
      <c r="CH240" s="15"/>
      <c r="CI240" s="15"/>
      <c r="CJ240" s="15"/>
      <c r="CK240" s="15"/>
      <c r="CL240" s="15"/>
      <c r="CM240" s="15"/>
      <c r="CN240" s="15"/>
      <c r="CO240" s="15"/>
      <c r="CP240" s="15"/>
      <c r="CQ240" s="15"/>
      <c r="CR240" s="15"/>
      <c r="CS240" s="15"/>
      <c r="CT240" s="15"/>
      <c r="CU240" s="15"/>
      <c r="EP240" s="15"/>
      <c r="EQ240" s="15"/>
      <c r="ER240" s="15"/>
      <c r="ES240" s="15"/>
      <c r="ET240" s="15"/>
      <c r="EU240" s="15"/>
      <c r="EV240" s="15"/>
      <c r="EW240" s="15"/>
      <c r="EX240" s="15"/>
      <c r="EY240" s="15"/>
      <c r="EZ240" s="15"/>
      <c r="FA240" s="15"/>
      <c r="FB240" s="15"/>
      <c r="FC240" s="15"/>
      <c r="FD240" s="15"/>
      <c r="FE240" s="15"/>
      <c r="FF240" s="15"/>
      <c r="FG240" s="15"/>
      <c r="FH240" s="15"/>
      <c r="FI240" s="15"/>
      <c r="FJ240" s="15"/>
      <c r="FK240" s="15"/>
      <c r="FL240" s="15"/>
      <c r="FM240" s="15"/>
      <c r="FN240" s="15"/>
      <c r="FO240" s="15"/>
      <c r="FP240" s="15"/>
      <c r="FQ240" s="15"/>
      <c r="FR240" s="15"/>
      <c r="FS240" s="15"/>
      <c r="FT240" s="15"/>
      <c r="FU240" s="15"/>
      <c r="FV240" s="15"/>
      <c r="FW240" s="15"/>
      <c r="FX240" s="15"/>
      <c r="FY240" s="15"/>
      <c r="FZ240" s="15"/>
      <c r="GA240" s="15"/>
      <c r="GB240" s="15"/>
      <c r="GC240" s="15"/>
      <c r="GD240" s="15"/>
      <c r="GE240" s="15"/>
      <c r="GF240" s="15"/>
      <c r="HH240" s="15"/>
      <c r="HI240" s="15"/>
      <c r="HJ240" s="15"/>
      <c r="HK240" s="15"/>
      <c r="HL240" s="15"/>
      <c r="HM240" s="15"/>
      <c r="HN240" s="15"/>
      <c r="HO240" s="15"/>
      <c r="HP240" s="15"/>
      <c r="HQ240" s="15"/>
      <c r="HR240" s="15"/>
      <c r="HS240" s="15"/>
      <c r="HT240" s="15"/>
      <c r="HU240" s="15"/>
      <c r="HV240" s="15"/>
      <c r="HW240" s="15"/>
      <c r="HX240" s="15"/>
      <c r="HY240" s="15"/>
      <c r="HZ240" s="15"/>
      <c r="IQ240" s="15"/>
      <c r="IR240" s="15"/>
      <c r="IS240" s="15"/>
      <c r="IT240" s="15"/>
      <c r="IU240" s="15"/>
      <c r="IV240" s="15"/>
      <c r="IW240" s="15"/>
      <c r="IX240" s="15"/>
      <c r="IY240" s="15"/>
      <c r="IZ240" s="15"/>
      <c r="JA240" s="15"/>
      <c r="JB240" s="15"/>
      <c r="JC240" s="15"/>
      <c r="JD240" s="15"/>
      <c r="JE240" s="15"/>
      <c r="JF240" s="15"/>
      <c r="JZ240" s="15"/>
      <c r="KA240" s="15"/>
      <c r="KB240" s="15"/>
      <c r="KC240" s="15"/>
      <c r="KD240" s="15"/>
      <c r="KE240" s="15"/>
      <c r="KF240" s="15"/>
      <c r="KG240" s="15"/>
      <c r="KH240" s="15"/>
      <c r="KI240" s="15"/>
      <c r="KJ240" s="15"/>
      <c r="KK240" s="15"/>
      <c r="KL240" s="15"/>
      <c r="KM240" s="15"/>
      <c r="LI240" s="15"/>
      <c r="LJ240" s="15"/>
      <c r="LK240" s="15"/>
      <c r="LL240" s="15"/>
      <c r="LM240" s="15"/>
      <c r="LN240" s="15"/>
      <c r="LO240" s="15"/>
      <c r="LP240" s="15"/>
      <c r="LQ240" s="15"/>
      <c r="LR240" s="15"/>
    </row>
    <row r="241" spans="2:330"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X241" s="15"/>
      <c r="BY241" s="15"/>
      <c r="BZ241" s="15"/>
      <c r="CA241" s="15"/>
      <c r="CB241" s="15"/>
      <c r="CC241" s="15"/>
      <c r="CD241" s="15"/>
      <c r="CE241" s="15"/>
      <c r="CF241" s="15"/>
      <c r="CG241" s="15"/>
      <c r="CH241" s="15"/>
      <c r="CI241" s="15"/>
      <c r="CJ241" s="15"/>
      <c r="CK241" s="15"/>
      <c r="CL241" s="15"/>
      <c r="CM241" s="15"/>
      <c r="CN241" s="15"/>
      <c r="CO241" s="15"/>
      <c r="CP241" s="15"/>
      <c r="CQ241" s="15"/>
      <c r="CR241" s="15"/>
      <c r="CS241" s="15"/>
      <c r="CT241" s="15"/>
      <c r="CU241" s="15"/>
      <c r="EP241" s="15"/>
      <c r="EQ241" s="15"/>
      <c r="ER241" s="15"/>
      <c r="ES241" s="15"/>
      <c r="ET241" s="15"/>
      <c r="EU241" s="15"/>
      <c r="EV241" s="15"/>
      <c r="EW241" s="15"/>
      <c r="EX241" s="15"/>
      <c r="EY241" s="15"/>
      <c r="EZ241" s="15"/>
      <c r="FA241" s="15"/>
      <c r="FB241" s="15"/>
      <c r="FC241" s="15"/>
      <c r="FD241" s="15"/>
      <c r="FE241" s="15"/>
      <c r="FF241" s="15"/>
      <c r="FG241" s="15"/>
      <c r="FH241" s="15"/>
      <c r="FI241" s="15"/>
      <c r="FJ241" s="15"/>
      <c r="FK241" s="15"/>
      <c r="FL241" s="15"/>
      <c r="FM241" s="15"/>
      <c r="FN241" s="15"/>
      <c r="FO241" s="15"/>
      <c r="FP241" s="15"/>
      <c r="FQ241" s="15"/>
      <c r="FR241" s="15"/>
      <c r="FS241" s="15"/>
      <c r="FT241" s="15"/>
      <c r="FU241" s="15"/>
      <c r="FV241" s="15"/>
      <c r="FW241" s="15"/>
      <c r="FX241" s="15"/>
      <c r="FY241" s="15"/>
      <c r="FZ241" s="15"/>
      <c r="GA241" s="15"/>
      <c r="GB241" s="15"/>
      <c r="GC241" s="15"/>
      <c r="GD241" s="15"/>
      <c r="GE241" s="15"/>
      <c r="GF241" s="15"/>
      <c r="HH241" s="15"/>
      <c r="HI241" s="15"/>
      <c r="HJ241" s="15"/>
      <c r="HK241" s="15"/>
      <c r="HL241" s="15"/>
      <c r="HM241" s="15"/>
      <c r="HN241" s="15"/>
      <c r="HO241" s="15"/>
      <c r="HP241" s="15"/>
      <c r="HQ241" s="15"/>
      <c r="HR241" s="15"/>
      <c r="HS241" s="15"/>
      <c r="HT241" s="15"/>
      <c r="HU241" s="15"/>
      <c r="HV241" s="15"/>
      <c r="HW241" s="15"/>
      <c r="HX241" s="15"/>
      <c r="IQ241" s="15"/>
      <c r="IR241" s="15"/>
      <c r="IS241" s="15"/>
      <c r="IT241" s="15"/>
      <c r="IU241" s="15"/>
      <c r="IV241" s="15"/>
      <c r="IW241" s="15"/>
      <c r="IX241" s="15"/>
      <c r="IY241" s="15"/>
      <c r="IZ241" s="15"/>
      <c r="JA241" s="15"/>
      <c r="JB241" s="15"/>
      <c r="JC241" s="15"/>
      <c r="JD241" s="15"/>
      <c r="JE241" s="15"/>
      <c r="JF241" s="15"/>
      <c r="JZ241" s="15"/>
      <c r="KA241" s="15"/>
      <c r="KB241" s="15"/>
      <c r="KC241" s="15"/>
      <c r="KD241" s="15"/>
      <c r="KE241" s="15"/>
      <c r="KF241" s="15"/>
      <c r="KG241" s="15"/>
      <c r="KH241" s="15"/>
      <c r="KI241" s="15"/>
      <c r="KJ241" s="15"/>
      <c r="KK241" s="15"/>
      <c r="KL241" s="15"/>
      <c r="KM241" s="15"/>
      <c r="LI241" s="15"/>
      <c r="LJ241" s="15"/>
      <c r="LK241" s="15"/>
      <c r="LL241" s="15"/>
      <c r="LM241" s="15"/>
      <c r="LN241" s="15"/>
      <c r="LO241" s="15"/>
      <c r="LP241" s="15"/>
      <c r="LQ241" s="15"/>
      <c r="LR241" s="15"/>
    </row>
    <row r="242" spans="2:330">
      <c r="B242" s="15"/>
      <c r="C242" s="15"/>
      <c r="D242" s="15"/>
      <c r="E242" s="15"/>
      <c r="F242" s="15"/>
      <c r="G242" s="15"/>
      <c r="H242" s="15"/>
      <c r="I242" s="15"/>
      <c r="L242" s="15"/>
      <c r="M242" s="15"/>
      <c r="O242" s="15"/>
      <c r="Q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X242" s="15"/>
      <c r="BY242" s="15"/>
      <c r="CA242" s="15"/>
      <c r="CB242" s="15"/>
      <c r="CC242" s="15"/>
      <c r="CD242" s="15"/>
      <c r="CE242" s="15"/>
      <c r="CG242" s="15"/>
      <c r="CH242" s="15"/>
      <c r="CJ242" s="15"/>
      <c r="CN242" s="15"/>
      <c r="EP242" s="15"/>
      <c r="EQ242" s="15"/>
      <c r="ER242" s="15"/>
      <c r="ES242" s="15"/>
      <c r="ET242" s="15"/>
      <c r="EU242" s="15"/>
      <c r="EV242" s="15"/>
      <c r="EW242" s="15"/>
      <c r="EY242" s="15"/>
      <c r="FA242" s="15"/>
      <c r="FB242" s="15"/>
      <c r="FC242" s="15"/>
      <c r="FD242" s="15"/>
      <c r="FE242" s="15"/>
      <c r="FF242" s="15"/>
      <c r="FG242" s="15"/>
      <c r="FH242" s="15"/>
      <c r="FI242" s="15"/>
      <c r="FJ242" s="15"/>
      <c r="FK242" s="15"/>
      <c r="FL242" s="15"/>
      <c r="FM242" s="15"/>
      <c r="FN242" s="15"/>
      <c r="FO242" s="15"/>
      <c r="FP242" s="15"/>
      <c r="FQ242" s="15"/>
      <c r="FR242" s="15"/>
      <c r="FS242" s="15"/>
      <c r="FT242" s="15"/>
      <c r="FV242" s="15"/>
      <c r="FY242" s="15"/>
      <c r="FZ242" s="15"/>
      <c r="GA242" s="15"/>
      <c r="GC242" s="15"/>
      <c r="GD242" s="15"/>
      <c r="GE242" s="15"/>
      <c r="GF242" s="15"/>
      <c r="HH242" s="15"/>
      <c r="HI242" s="15"/>
      <c r="HJ242" s="15"/>
      <c r="HN242" s="15"/>
      <c r="HO242" s="15"/>
      <c r="HP242" s="15"/>
      <c r="HS242" s="15"/>
      <c r="HU242" s="15"/>
      <c r="HZ242" s="15"/>
      <c r="IQ242" s="15"/>
      <c r="IR242" s="15"/>
      <c r="IS242" s="15"/>
      <c r="IT242" s="15"/>
      <c r="IU242" s="15"/>
      <c r="IV242" s="15"/>
      <c r="IW242" s="15"/>
      <c r="IX242" s="15"/>
      <c r="IY242" s="15"/>
      <c r="IZ242" s="15"/>
      <c r="JA242" s="15"/>
      <c r="JB242" s="15"/>
      <c r="JC242" s="15"/>
      <c r="JD242" s="15"/>
      <c r="JE242" s="15"/>
      <c r="JF242" s="15"/>
      <c r="JZ242" s="15"/>
      <c r="KA242" s="15"/>
      <c r="KB242" s="15"/>
      <c r="KC242" s="15"/>
      <c r="KD242" s="15"/>
      <c r="KE242" s="15"/>
      <c r="KG242" s="15"/>
      <c r="KH242" s="15"/>
      <c r="KJ242" s="15"/>
      <c r="KK242" s="15"/>
      <c r="KL242" s="15"/>
      <c r="KM242" s="15"/>
      <c r="LI242" s="15"/>
      <c r="LJ242" s="15"/>
      <c r="LK242" s="15"/>
      <c r="LL242" s="15"/>
      <c r="LM242" s="15"/>
      <c r="LN242" s="15"/>
      <c r="LO242" s="15"/>
      <c r="LP242" s="15"/>
      <c r="LQ242" s="15"/>
      <c r="LR242" s="15"/>
    </row>
    <row r="243" spans="2:330">
      <c r="B243" s="15"/>
      <c r="C243" s="15"/>
      <c r="D243" s="15"/>
      <c r="E243" s="15"/>
      <c r="F243" s="15"/>
      <c r="G243" s="15"/>
      <c r="H243" s="15"/>
      <c r="I243" s="15"/>
      <c r="K243" s="15"/>
      <c r="L243" s="15"/>
      <c r="M243" s="15"/>
      <c r="N243" s="15"/>
      <c r="O243" s="15"/>
      <c r="P243" s="15"/>
      <c r="Q243" s="15"/>
      <c r="X243" s="15"/>
      <c r="AA243" s="15"/>
      <c r="AO243" s="15"/>
      <c r="AP243" s="15"/>
      <c r="AQ243" s="15"/>
      <c r="AR243" s="15"/>
      <c r="AS243" s="15"/>
      <c r="AT243" s="15"/>
      <c r="AU243" s="15"/>
      <c r="AV243" s="15"/>
      <c r="AW243" s="15"/>
      <c r="AY243" s="15"/>
      <c r="AZ243" s="15"/>
      <c r="BA243" s="15"/>
      <c r="BC243" s="15"/>
      <c r="BE243" s="15"/>
      <c r="BG243" s="15"/>
      <c r="BH243" s="15"/>
      <c r="BX243" s="15"/>
      <c r="BY243" s="15"/>
      <c r="BZ243" s="15"/>
      <c r="CA243" s="15"/>
      <c r="CB243" s="15"/>
      <c r="CC243" s="15"/>
      <c r="CD243" s="15"/>
      <c r="CE243" s="15"/>
      <c r="CF243" s="15"/>
      <c r="CG243" s="15"/>
      <c r="CH243" s="15"/>
      <c r="CI243" s="15"/>
      <c r="CJ243" s="15"/>
      <c r="EP243" s="15"/>
      <c r="EQ243" s="15"/>
      <c r="ER243" s="15"/>
      <c r="ES243" s="15"/>
      <c r="ET243" s="15"/>
      <c r="EU243" s="15"/>
      <c r="EV243" s="15"/>
      <c r="EW243" s="15"/>
      <c r="EX243" s="15"/>
      <c r="EY243" s="15"/>
      <c r="EZ243" s="15"/>
      <c r="FA243" s="15"/>
      <c r="FB243" s="15"/>
      <c r="FC243" s="15"/>
      <c r="FD243" s="15"/>
      <c r="FE243" s="15"/>
      <c r="FF243" s="15"/>
      <c r="FG243" s="15"/>
      <c r="FH243" s="15"/>
      <c r="FI243" s="15"/>
      <c r="FJ243" s="15"/>
      <c r="FK243" s="15"/>
      <c r="FL243" s="15"/>
      <c r="FM243" s="15"/>
      <c r="FN243" s="15"/>
      <c r="FO243" s="15"/>
      <c r="FP243" s="15"/>
      <c r="FQ243" s="15"/>
      <c r="FY243" s="15"/>
      <c r="FZ243" s="15"/>
      <c r="GA243" s="15"/>
      <c r="GB243" s="15"/>
      <c r="GC243" s="15"/>
      <c r="GD243" s="15"/>
      <c r="GE243" s="15"/>
      <c r="GF243" s="15"/>
      <c r="HH243" s="15"/>
      <c r="HI243" s="15"/>
      <c r="HJ243" s="15"/>
      <c r="HK243" s="15"/>
      <c r="HL243" s="15"/>
      <c r="HM243" s="15"/>
      <c r="HN243" s="15"/>
      <c r="HO243" s="15"/>
      <c r="HP243" s="15"/>
      <c r="HQ243" s="15"/>
      <c r="HR243" s="15"/>
      <c r="HS243" s="15"/>
      <c r="HT243" s="15"/>
      <c r="HU243" s="15"/>
      <c r="IQ243" s="15"/>
      <c r="IR243" s="15"/>
      <c r="IS243" s="15"/>
      <c r="IT243" s="15"/>
      <c r="IU243" s="15"/>
      <c r="IV243" s="15"/>
      <c r="IW243" s="15"/>
      <c r="IX243" s="15"/>
      <c r="IY243" s="15"/>
      <c r="IZ243" s="15"/>
      <c r="JA243" s="15"/>
      <c r="JB243" s="15"/>
      <c r="JC243" s="15"/>
      <c r="JD243" s="15"/>
      <c r="JE243" s="15"/>
      <c r="JF243" s="15"/>
      <c r="JZ243" s="15"/>
      <c r="KA243" s="15"/>
      <c r="KB243" s="15"/>
      <c r="KC243" s="15"/>
      <c r="KD243" s="15"/>
      <c r="KE243" s="15"/>
      <c r="KF243" s="15"/>
      <c r="KG243" s="15"/>
      <c r="KH243" s="15"/>
      <c r="KI243" s="15"/>
      <c r="KJ243" s="15"/>
      <c r="KK243" s="15"/>
      <c r="KL243" s="15"/>
      <c r="KM243" s="15"/>
      <c r="LI243" s="15"/>
      <c r="LJ243" s="15"/>
      <c r="LK243" s="15"/>
      <c r="LL243" s="15"/>
      <c r="LM243" s="15"/>
      <c r="LN243" s="15"/>
      <c r="LO243" s="15"/>
      <c r="LP243" s="15"/>
      <c r="LQ243" s="15"/>
      <c r="LR243" s="15"/>
    </row>
    <row r="244" spans="2:330"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Z244" s="15"/>
      <c r="AA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X244" s="15"/>
      <c r="BY244" s="15"/>
      <c r="BZ244" s="15"/>
      <c r="CA244" s="15"/>
      <c r="CB244" s="15"/>
      <c r="CC244" s="15"/>
      <c r="CD244" s="15"/>
      <c r="CE244" s="15"/>
      <c r="CF244" s="15"/>
      <c r="CG244" s="15"/>
      <c r="CH244" s="15"/>
      <c r="CI244" s="15"/>
      <c r="CJ244" s="15"/>
      <c r="CK244" s="15"/>
      <c r="CL244" s="15"/>
      <c r="CM244" s="15"/>
      <c r="CN244" s="15"/>
      <c r="CO244" s="15"/>
      <c r="CP244" s="15"/>
      <c r="EP244" s="15"/>
      <c r="EQ244" s="15"/>
      <c r="ER244" s="15"/>
      <c r="ES244" s="15"/>
      <c r="ET244" s="15"/>
      <c r="EU244" s="15"/>
      <c r="EV244" s="15"/>
      <c r="EW244" s="15"/>
      <c r="EX244" s="15"/>
      <c r="EY244" s="15"/>
      <c r="EZ244" s="15"/>
      <c r="FA244" s="15"/>
      <c r="FB244" s="15"/>
      <c r="FC244" s="15"/>
      <c r="FD244" s="15"/>
      <c r="FE244" s="15"/>
      <c r="FF244" s="15"/>
      <c r="FG244" s="15"/>
      <c r="FH244" s="15"/>
      <c r="FI244" s="15"/>
      <c r="FJ244" s="15"/>
      <c r="FK244" s="15"/>
      <c r="FL244" s="15"/>
      <c r="FM244" s="15"/>
      <c r="FN244" s="15"/>
      <c r="FO244" s="15"/>
      <c r="FP244" s="15"/>
      <c r="FQ244" s="15"/>
      <c r="FR244" s="15"/>
      <c r="FS244" s="15"/>
      <c r="FT244" s="15"/>
      <c r="FU244" s="15"/>
      <c r="FV244" s="15"/>
      <c r="FW244" s="15"/>
      <c r="FY244" s="15"/>
      <c r="FZ244" s="15"/>
      <c r="GA244" s="15"/>
      <c r="GB244" s="15"/>
      <c r="GC244" s="15"/>
      <c r="GD244" s="15"/>
      <c r="GE244" s="15"/>
      <c r="GF244" s="15"/>
      <c r="HH244" s="15"/>
      <c r="HI244" s="15"/>
      <c r="HJ244" s="15"/>
      <c r="HK244" s="15"/>
      <c r="HL244" s="15"/>
      <c r="HM244" s="15"/>
      <c r="HN244" s="15"/>
      <c r="HO244" s="15"/>
      <c r="HP244" s="15"/>
      <c r="HQ244" s="15"/>
      <c r="HR244" s="15"/>
      <c r="HS244" s="15"/>
      <c r="HT244" s="15"/>
      <c r="HU244" s="15"/>
      <c r="HV244" s="15"/>
      <c r="HW244" s="15"/>
      <c r="HX244" s="15"/>
      <c r="HY244" s="15"/>
      <c r="HZ244" s="15"/>
      <c r="IQ244" s="15"/>
      <c r="IR244" s="15"/>
      <c r="IS244" s="15"/>
      <c r="IT244" s="15"/>
      <c r="IU244" s="15"/>
      <c r="IV244" s="15"/>
      <c r="IW244" s="15"/>
      <c r="IX244" s="15"/>
      <c r="IY244" s="15"/>
      <c r="IZ244" s="15"/>
      <c r="JA244" s="15"/>
      <c r="JB244" s="15"/>
      <c r="JC244" s="15"/>
      <c r="JD244" s="15"/>
      <c r="JE244" s="15"/>
      <c r="JF244" s="15"/>
      <c r="JZ244" s="15"/>
      <c r="KA244" s="15"/>
      <c r="KB244" s="15"/>
      <c r="KC244" s="15"/>
      <c r="KD244" s="15"/>
      <c r="KE244" s="15"/>
      <c r="KF244" s="15"/>
      <c r="KG244" s="15"/>
      <c r="KH244" s="15"/>
      <c r="KI244" s="15"/>
      <c r="KJ244" s="15"/>
      <c r="KK244" s="15"/>
      <c r="KL244" s="15"/>
      <c r="KM244" s="15"/>
      <c r="LI244" s="15"/>
      <c r="LJ244" s="15"/>
      <c r="LK244" s="15"/>
      <c r="LL244" s="15"/>
      <c r="LM244" s="15"/>
      <c r="LN244" s="15"/>
      <c r="LO244" s="15"/>
      <c r="LP244" s="15"/>
      <c r="LQ244" s="15"/>
      <c r="LR244" s="15"/>
    </row>
    <row r="245" spans="2:330"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H245" s="15"/>
      <c r="BX245" s="15"/>
      <c r="BY245" s="15"/>
      <c r="BZ245" s="15"/>
      <c r="CA245" s="15"/>
      <c r="CB245" s="15"/>
      <c r="CC245" s="15"/>
      <c r="CD245" s="15"/>
      <c r="CE245" s="15"/>
      <c r="CF245" s="15"/>
      <c r="CG245" s="15"/>
      <c r="CH245" s="15"/>
      <c r="CI245" s="15"/>
      <c r="CJ245" s="15"/>
      <c r="CK245" s="15"/>
      <c r="CL245" s="15"/>
      <c r="CM245" s="15"/>
      <c r="CN245" s="15"/>
      <c r="CO245" s="15"/>
      <c r="CP245" s="15"/>
      <c r="CQ245" s="15"/>
      <c r="CR245" s="15"/>
      <c r="CS245" s="15"/>
      <c r="CT245" s="15"/>
      <c r="CU245" s="15"/>
      <c r="EP245" s="15"/>
      <c r="EQ245" s="15"/>
      <c r="ER245" s="15"/>
      <c r="ES245" s="15"/>
      <c r="ET245" s="15"/>
      <c r="EU245" s="15"/>
      <c r="EV245" s="15"/>
      <c r="EW245" s="15"/>
      <c r="EX245" s="15"/>
      <c r="EY245" s="15"/>
      <c r="EZ245" s="15"/>
      <c r="FA245" s="15"/>
      <c r="FB245" s="15"/>
      <c r="FC245" s="15"/>
      <c r="FD245" s="15"/>
      <c r="FE245" s="15"/>
      <c r="FF245" s="15"/>
      <c r="FG245" s="15"/>
      <c r="FH245" s="15"/>
      <c r="FI245" s="15"/>
      <c r="FJ245" s="15"/>
      <c r="FK245" s="15"/>
      <c r="FL245" s="15"/>
      <c r="FM245" s="15"/>
      <c r="FN245" s="15"/>
      <c r="FO245" s="15"/>
      <c r="FP245" s="15"/>
      <c r="FQ245" s="15"/>
      <c r="FR245" s="15"/>
      <c r="FS245" s="15"/>
      <c r="FT245" s="15"/>
      <c r="FU245" s="15"/>
      <c r="FV245" s="15"/>
      <c r="FW245" s="15"/>
      <c r="FX245" s="15"/>
      <c r="FY245" s="15"/>
      <c r="FZ245" s="15"/>
      <c r="GA245" s="15"/>
      <c r="GB245" s="15"/>
      <c r="GC245" s="15"/>
      <c r="GD245" s="15"/>
      <c r="GE245" s="15"/>
      <c r="GF245" s="15"/>
      <c r="HH245" s="15"/>
      <c r="HI245" s="15"/>
      <c r="HJ245" s="15"/>
      <c r="HK245" s="15"/>
      <c r="HL245" s="15"/>
      <c r="HM245" s="15"/>
      <c r="HN245" s="15"/>
      <c r="HO245" s="15"/>
      <c r="HP245" s="15"/>
      <c r="HQ245" s="15"/>
      <c r="HR245" s="15"/>
      <c r="HS245" s="15"/>
      <c r="HT245" s="15"/>
      <c r="HU245" s="15"/>
      <c r="HV245" s="15"/>
      <c r="HW245" s="15"/>
      <c r="HX245" s="15"/>
      <c r="HY245" s="15"/>
      <c r="HZ245" s="15"/>
      <c r="IQ245" s="15"/>
      <c r="IR245" s="15"/>
      <c r="IS245" s="15"/>
      <c r="IT245" s="15"/>
      <c r="IU245" s="15"/>
      <c r="IV245" s="15"/>
      <c r="IW245" s="15"/>
      <c r="IY245" s="15"/>
      <c r="IZ245" s="15"/>
      <c r="JA245" s="15"/>
      <c r="JB245" s="15"/>
      <c r="JC245" s="15"/>
      <c r="JD245" s="15"/>
      <c r="JE245" s="15"/>
      <c r="JF245" s="15"/>
      <c r="JZ245" s="15"/>
      <c r="KA245" s="15"/>
      <c r="KB245" s="15"/>
      <c r="KC245" s="15"/>
      <c r="KD245" s="15"/>
      <c r="KE245" s="15"/>
      <c r="KF245" s="15"/>
      <c r="KG245" s="15"/>
      <c r="KH245" s="15"/>
      <c r="KI245" s="15"/>
      <c r="KJ245" s="15"/>
      <c r="KK245" s="15"/>
      <c r="KL245" s="15"/>
      <c r="KM245" s="15"/>
      <c r="LI245" s="15"/>
      <c r="LJ245" s="15"/>
      <c r="LK245" s="15"/>
      <c r="LL245" s="15"/>
      <c r="LM245" s="15"/>
      <c r="LN245" s="15"/>
      <c r="LO245" s="15"/>
      <c r="LP245" s="15"/>
      <c r="LQ245" s="15"/>
      <c r="LR245" s="1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MPT"/>
  <dimension ref="A1"/>
  <sheetViews>
    <sheetView workbookViewId="0">
      <selection activeCell="F10" sqref="F10"/>
    </sheetView>
  </sheetViews>
  <sheetFormatPr baseColWidth="10" defaultColWidth="8.83203125" defaultRowHeight="15"/>
  <cols>
    <col min="3" max="3" width="13.6640625" customWidth="1"/>
    <col min="4" max="4" width="17.5" customWidth="1"/>
    <col min="8" max="8" width="17.5" customWidth="1"/>
  </cols>
  <sheetData/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정답"/>
  <dimension ref="A1"/>
  <sheetViews>
    <sheetView workbookViewId="0">
      <selection activeCell="E1" sqref="E1:E215"/>
    </sheetView>
  </sheetViews>
  <sheetFormatPr baseColWidth="10" defaultColWidth="8.83203125" defaultRowHeight="15"/>
  <cols>
    <col min="1" max="1" width="12" customWidth="1"/>
    <col min="2" max="2" width="13.33203125" customWidth="1"/>
    <col min="3" max="3" width="11.6640625" customWidth="1"/>
    <col min="4" max="4" width="7.1640625" customWidth="1"/>
    <col min="5" max="5" width="12" customWidth="1"/>
    <col min="6" max="6" width="12.5" customWidth="1"/>
    <col min="9" max="9" width="17" customWidth="1"/>
    <col min="10" max="10" width="13" customWidth="1"/>
    <col min="11" max="11" width="38.33203125" customWidth="1"/>
  </cols>
  <sheetData/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DropDown"/>
  <dimension ref="A1:C58"/>
  <sheetViews>
    <sheetView workbookViewId="0"/>
  </sheetViews>
  <sheetFormatPr baseColWidth="10" defaultColWidth="8.83203125" defaultRowHeight="15"/>
  <sheetData>
    <row r="1" spans="1:3">
      <c r="A1" t="s">
        <v>690</v>
      </c>
      <c r="B1" t="s">
        <v>691</v>
      </c>
      <c r="C1" t="s">
        <v>687</v>
      </c>
    </row>
    <row r="2" spans="1:3">
      <c r="A2" t="s">
        <v>692</v>
      </c>
      <c r="B2" t="s">
        <v>693</v>
      </c>
      <c r="C2" t="s">
        <v>667</v>
      </c>
    </row>
    <row r="3" spans="1:3">
      <c r="A3" t="s">
        <v>600</v>
      </c>
      <c r="B3" t="s">
        <v>601</v>
      </c>
      <c r="C3" t="s">
        <v>572</v>
      </c>
    </row>
    <row r="4" spans="1:3">
      <c r="A4" t="s">
        <v>538</v>
      </c>
      <c r="B4" t="s">
        <v>539</v>
      </c>
      <c r="C4" t="s">
        <v>530</v>
      </c>
    </row>
    <row r="5" spans="1:3">
      <c r="A5" t="s">
        <v>602</v>
      </c>
      <c r="B5" t="s">
        <v>603</v>
      </c>
      <c r="C5" t="s">
        <v>573</v>
      </c>
    </row>
    <row r="6" spans="1:3">
      <c r="A6" t="s">
        <v>540</v>
      </c>
      <c r="B6" t="s">
        <v>541</v>
      </c>
      <c r="C6" t="s">
        <v>505</v>
      </c>
    </row>
    <row r="7" spans="1:3">
      <c r="A7" t="s">
        <v>694</v>
      </c>
      <c r="B7" t="s">
        <v>695</v>
      </c>
      <c r="C7" t="s">
        <v>674</v>
      </c>
    </row>
    <row r="8" spans="1:3">
      <c r="A8" t="s">
        <v>542</v>
      </c>
      <c r="B8" t="s">
        <v>543</v>
      </c>
      <c r="C8" t="s">
        <v>507</v>
      </c>
    </row>
    <row r="9" spans="1:3">
      <c r="A9" t="s">
        <v>696</v>
      </c>
      <c r="B9" t="s">
        <v>697</v>
      </c>
      <c r="C9" t="s">
        <v>668</v>
      </c>
    </row>
    <row r="10" spans="1:3">
      <c r="A10" t="s">
        <v>494</v>
      </c>
      <c r="B10" t="s">
        <v>495</v>
      </c>
      <c r="C10" t="s">
        <v>493</v>
      </c>
    </row>
    <row r="11" spans="1:3">
      <c r="A11" t="s">
        <v>604</v>
      </c>
      <c r="B11" t="s">
        <v>605</v>
      </c>
      <c r="C11" t="s">
        <v>581</v>
      </c>
    </row>
    <row r="12" spans="1:3">
      <c r="A12" t="s">
        <v>650</v>
      </c>
      <c r="B12" t="s">
        <v>605</v>
      </c>
      <c r="C12" t="s">
        <v>644</v>
      </c>
    </row>
    <row r="13" spans="1:3">
      <c r="A13" t="s">
        <v>544</v>
      </c>
      <c r="B13" t="s">
        <v>545</v>
      </c>
      <c r="C13" t="s">
        <v>508</v>
      </c>
    </row>
    <row r="14" spans="1:3">
      <c r="A14" t="s">
        <v>698</v>
      </c>
      <c r="B14" t="s">
        <v>699</v>
      </c>
      <c r="C14" t="s">
        <v>700</v>
      </c>
    </row>
    <row r="15" spans="1:3">
      <c r="A15" t="s">
        <v>701</v>
      </c>
      <c r="B15" t="s">
        <v>702</v>
      </c>
      <c r="C15" t="s">
        <v>703</v>
      </c>
    </row>
    <row r="16" spans="1:3">
      <c r="A16" t="s">
        <v>704</v>
      </c>
      <c r="B16" t="s">
        <v>705</v>
      </c>
      <c r="C16" t="s">
        <v>706</v>
      </c>
    </row>
    <row r="17" spans="1:3">
      <c r="A17" t="s">
        <v>707</v>
      </c>
      <c r="B17" t="s">
        <v>708</v>
      </c>
      <c r="C17" t="s">
        <v>679</v>
      </c>
    </row>
    <row r="18" spans="1:3">
      <c r="A18" t="s">
        <v>709</v>
      </c>
      <c r="B18" t="s">
        <v>710</v>
      </c>
      <c r="C18" t="s">
        <v>683</v>
      </c>
    </row>
    <row r="19" spans="1:3">
      <c r="A19" t="s">
        <v>546</v>
      </c>
      <c r="B19" t="s">
        <v>547</v>
      </c>
      <c r="C19" t="s">
        <v>515</v>
      </c>
    </row>
    <row r="20" spans="1:3">
      <c r="A20" t="s">
        <v>664</v>
      </c>
      <c r="B20" t="s">
        <v>665</v>
      </c>
      <c r="C20" t="s">
        <v>663</v>
      </c>
    </row>
    <row r="21" spans="1:3">
      <c r="A21" t="s">
        <v>711</v>
      </c>
      <c r="B21" t="s">
        <v>712</v>
      </c>
      <c r="C21" t="s">
        <v>669</v>
      </c>
    </row>
    <row r="22" spans="1:3">
      <c r="A22" t="s">
        <v>713</v>
      </c>
      <c r="B22" t="s">
        <v>714</v>
      </c>
      <c r="C22" t="s">
        <v>677</v>
      </c>
    </row>
    <row r="23" spans="1:3">
      <c r="A23" t="s">
        <v>651</v>
      </c>
      <c r="B23" t="s">
        <v>652</v>
      </c>
      <c r="C23" t="s">
        <v>645</v>
      </c>
    </row>
    <row r="24" spans="1:3">
      <c r="A24" t="s">
        <v>548</v>
      </c>
      <c r="B24" t="s">
        <v>549</v>
      </c>
      <c r="C24" t="s">
        <v>506</v>
      </c>
    </row>
    <row r="25" spans="1:3">
      <c r="A25" t="s">
        <v>715</v>
      </c>
      <c r="B25" t="s">
        <v>716</v>
      </c>
      <c r="C25" t="s">
        <v>675</v>
      </c>
    </row>
    <row r="26" spans="1:3">
      <c r="A26" t="s">
        <v>717</v>
      </c>
      <c r="B26" t="s">
        <v>718</v>
      </c>
      <c r="C26" t="s">
        <v>672</v>
      </c>
    </row>
    <row r="27" spans="1:3">
      <c r="A27" t="s">
        <v>719</v>
      </c>
      <c r="B27" t="s">
        <v>720</v>
      </c>
      <c r="C27" t="s">
        <v>682</v>
      </c>
    </row>
    <row r="28" spans="1:3">
      <c r="A28" t="s">
        <v>496</v>
      </c>
      <c r="B28" t="s">
        <v>497</v>
      </c>
      <c r="C28" t="s">
        <v>492</v>
      </c>
    </row>
    <row r="29" spans="1:3">
      <c r="A29" t="s">
        <v>550</v>
      </c>
      <c r="B29" t="s">
        <v>551</v>
      </c>
      <c r="C29" t="s">
        <v>512</v>
      </c>
    </row>
    <row r="30" spans="1:3">
      <c r="A30" t="s">
        <v>721</v>
      </c>
      <c r="B30" t="s">
        <v>722</v>
      </c>
      <c r="C30" t="s">
        <v>678</v>
      </c>
    </row>
    <row r="31" spans="1:3">
      <c r="A31" t="s">
        <v>653</v>
      </c>
      <c r="B31" t="s">
        <v>654</v>
      </c>
      <c r="C31" t="s">
        <v>646</v>
      </c>
    </row>
    <row r="32" spans="1:3">
      <c r="A32" t="s">
        <v>723</v>
      </c>
      <c r="B32" t="s">
        <v>724</v>
      </c>
      <c r="C32" t="s">
        <v>681</v>
      </c>
    </row>
    <row r="33" spans="1:3">
      <c r="A33" t="s">
        <v>725</v>
      </c>
      <c r="B33" t="s">
        <v>726</v>
      </c>
      <c r="C33" t="s">
        <v>727</v>
      </c>
    </row>
    <row r="34" spans="1:3">
      <c r="A34" t="s">
        <v>728</v>
      </c>
      <c r="B34" t="s">
        <v>729</v>
      </c>
      <c r="C34" t="s">
        <v>688</v>
      </c>
    </row>
    <row r="35" spans="1:3">
      <c r="A35" t="s">
        <v>730</v>
      </c>
      <c r="B35" t="s">
        <v>731</v>
      </c>
      <c r="C35" t="s">
        <v>676</v>
      </c>
    </row>
    <row r="36" spans="1:3">
      <c r="A36" t="s">
        <v>655</v>
      </c>
      <c r="B36" t="s">
        <v>656</v>
      </c>
      <c r="C36" t="s">
        <v>620</v>
      </c>
    </row>
    <row r="37" spans="1:3">
      <c r="A37" t="s">
        <v>732</v>
      </c>
      <c r="B37" t="s">
        <v>733</v>
      </c>
      <c r="C37" t="s">
        <v>689</v>
      </c>
    </row>
    <row r="38" spans="1:3">
      <c r="A38" t="s">
        <v>657</v>
      </c>
      <c r="B38" t="s">
        <v>658</v>
      </c>
      <c r="C38" t="s">
        <v>635</v>
      </c>
    </row>
    <row r="39" spans="1:3">
      <c r="A39" t="s">
        <v>606</v>
      </c>
      <c r="B39" t="s">
        <v>607</v>
      </c>
      <c r="C39" t="s">
        <v>598</v>
      </c>
    </row>
    <row r="40" spans="1:3">
      <c r="A40" t="s">
        <v>608</v>
      </c>
      <c r="B40" t="s">
        <v>609</v>
      </c>
      <c r="C40" t="s">
        <v>574</v>
      </c>
    </row>
    <row r="41" spans="1:3">
      <c r="A41" t="s">
        <v>610</v>
      </c>
      <c r="B41" t="s">
        <v>611</v>
      </c>
      <c r="C41" t="s">
        <v>571</v>
      </c>
    </row>
    <row r="42" spans="1:3">
      <c r="A42" t="s">
        <v>552</v>
      </c>
      <c r="B42" t="s">
        <v>553</v>
      </c>
      <c r="C42" t="s">
        <v>510</v>
      </c>
    </row>
    <row r="43" spans="1:3">
      <c r="A43" t="s">
        <v>734</v>
      </c>
      <c r="B43" t="s">
        <v>735</v>
      </c>
      <c r="C43" t="s">
        <v>736</v>
      </c>
    </row>
    <row r="44" spans="1:3">
      <c r="A44" t="s">
        <v>612</v>
      </c>
      <c r="B44" t="s">
        <v>613</v>
      </c>
      <c r="C44" t="s">
        <v>591</v>
      </c>
    </row>
    <row r="45" spans="1:3">
      <c r="A45" t="s">
        <v>737</v>
      </c>
      <c r="B45" t="s">
        <v>738</v>
      </c>
      <c r="C45" t="s">
        <v>685</v>
      </c>
    </row>
    <row r="46" spans="1:3">
      <c r="A46" t="s">
        <v>739</v>
      </c>
      <c r="B46" t="s">
        <v>740</v>
      </c>
      <c r="C46" t="s">
        <v>686</v>
      </c>
    </row>
    <row r="47" spans="1:3">
      <c r="A47" t="s">
        <v>659</v>
      </c>
      <c r="B47" t="s">
        <v>660</v>
      </c>
      <c r="C47" t="s">
        <v>647</v>
      </c>
    </row>
    <row r="48" spans="1:3">
      <c r="A48" t="s">
        <v>614</v>
      </c>
      <c r="B48" t="s">
        <v>615</v>
      </c>
      <c r="C48" t="s">
        <v>582</v>
      </c>
    </row>
    <row r="49" spans="1:3">
      <c r="A49" t="s">
        <v>741</v>
      </c>
      <c r="B49" t="s">
        <v>742</v>
      </c>
      <c r="C49" t="s">
        <v>670</v>
      </c>
    </row>
    <row r="50" spans="1:3">
      <c r="A50" t="s">
        <v>554</v>
      </c>
      <c r="B50" t="s">
        <v>555</v>
      </c>
      <c r="C50" t="s">
        <v>504</v>
      </c>
    </row>
    <row r="51" spans="1:3">
      <c r="A51" t="s">
        <v>743</v>
      </c>
      <c r="B51" t="s">
        <v>744</v>
      </c>
      <c r="C51" t="s">
        <v>684</v>
      </c>
    </row>
    <row r="52" spans="1:3">
      <c r="A52" t="s">
        <v>745</v>
      </c>
      <c r="B52" t="s">
        <v>746</v>
      </c>
      <c r="C52" t="s">
        <v>666</v>
      </c>
    </row>
    <row r="53" spans="1:3">
      <c r="A53" t="s">
        <v>556</v>
      </c>
      <c r="B53" t="s">
        <v>557</v>
      </c>
      <c r="C53" t="s">
        <v>513</v>
      </c>
    </row>
    <row r="54" spans="1:3">
      <c r="A54" t="s">
        <v>747</v>
      </c>
      <c r="B54" t="s">
        <v>748</v>
      </c>
      <c r="C54" t="s">
        <v>680</v>
      </c>
    </row>
    <row r="55" spans="1:3">
      <c r="A55" t="s">
        <v>558</v>
      </c>
      <c r="B55" t="s">
        <v>559</v>
      </c>
      <c r="C55" t="s">
        <v>509</v>
      </c>
    </row>
    <row r="56" spans="1:3">
      <c r="A56" t="s">
        <v>749</v>
      </c>
      <c r="B56" t="s">
        <v>750</v>
      </c>
      <c r="C56" t="s">
        <v>673</v>
      </c>
    </row>
    <row r="57" spans="1:3">
      <c r="A57" t="s">
        <v>560</v>
      </c>
      <c r="B57" t="s">
        <v>561</v>
      </c>
      <c r="C57" t="s">
        <v>511</v>
      </c>
    </row>
    <row r="58" spans="1:3">
      <c r="A58" t="s">
        <v>751</v>
      </c>
      <c r="B58" t="s">
        <v>752</v>
      </c>
      <c r="C58" t="s">
        <v>671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/>
  <dimension ref="A1:A2"/>
  <sheetViews>
    <sheetView showGridLines="0" workbookViewId="0">
      <selection activeCell="I10" sqref="I10"/>
    </sheetView>
  </sheetViews>
  <sheetFormatPr baseColWidth="10" defaultColWidth="8.83203125" defaultRowHeight="15"/>
  <sheetData>
    <row r="1" spans="1:1">
      <c r="A1" t="s">
        <v>296</v>
      </c>
    </row>
    <row r="2" spans="1:1">
      <c r="A2">
        <v>72287900</v>
      </c>
    </row>
  </sheetData>
  <phoneticPr fontId="3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 onLoad="RibbonUI_onLoad">
  <ribbon>
    <tabs>
      <tab id="SmartReportTab" label="ⓒSMART ACT TEST" insertBeforeMso="TabHome">
        <group id="grpMkRpt" label="ⓒSMART ACT TEST">
          <labelControl id="lbl1" label=" ▒ 회차 선택 ▒ "/>
          <dropDown id="DropA" getItemCount="GetItemCount" getItemLabel="GetItemLabel" onAction="DropA_Select" getSelectedItemIndex="GetSelectedItemIndex" sizeString="wwwwwwwwwww"/>
          <button id="btnFDListCng" label="리스트 갱신" size="normal" onAction="btnFDListCng_Click" imageMso="AccessRefreshAllLists"/>
          <separator id="MySep"/>
          <labelControl id="lbl2" label=" ▒ 학생 개인 보고서 ▒ "/>
          <dropDown id="DropSTU" getItemCount="GetItemCount2" getItemLabel="GetItemLabel2" onAction="DropSTU_Select" getSelectedItemIndex="GetSelectedItemIndex2" sizeString="wwwwwwwwwwwww"/>
          <button id="btnOrdCng" label="정렬순서적용" size="normal" onAction="btnOrdCng_Click" imageMso="AccessRefreshAllLists"/>
          <separator id="MySep2"/>
          <button id="btnPrintOut" label="  결과리포트        출력하기     " size="large" onAction="btnPrintOut_Click" imageMso="PrintOptionsMenu"/>
          <!--
		<button id="btnSendMail" 
		label="  결과리포트        메일발송     "  
		size="large"
		onAction="btnSendMail_Click"
		imageMso="AttachItem" />
-->
        </group>
        <group id="grpReport" label="REPORT VIEW">
          <button id="btnRpt_1" label=" 종합성적현황 " size="large" onAction="btnRpt_1_Click" imageMso="MeetingsWorkspace"/>
          <!--		
		<button id="btnRpt_2" 
		label="회차별누적현황"  
		size="large"
		onAction="btnRpt_2_Click"
		imageMso="ChartInsert" />
-->
          <button id="btnRpt_3" label="과목성적분포도" size="large" onAction="btnRpt_3_Click" imageMso="FontConditionalFormatting"/>
          <button id="btnRpt_4" label="  문항분석표  " size="large" onAction="btnRpt_4_Click" imageMso="ChartGridlines"/>
          <button id="btnRpt_5" label="  유형분석표  " size="large" onAction="btnRpt_5_Click" imageMso="SlideShowFromCurrent"/>
          <button id="btnRpt_6" label="  개인성적표  " size="large" onAction="btnRpt_6_Click" imageMso="AccountMenu"/>
          <!--	
		<button id="btnRpt_7" 
		label="  유형별정오분석  "  
		size="large"
		onAction="btnRpt_7_Click"
		imageMso="ConditionalFormattingHighlightBetween" />		
-->
        </group>
        <group id="grpData" label="   DATA 관리   ">
          <button id="btnDataLoad" label="　데이터　로드　" size="large" onAction="btnDataLoad_Click" imageMso="ServerRestoreSqlDatabase"/>
          <button id="btnDataReset" label="　데이터　초기화　" size="large" onAction="btnDataReset_Click" imageMso="Dele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종합성적현황</vt:lpstr>
      <vt:lpstr>Sheet1</vt:lpstr>
      <vt:lpstr>과목성적분포도</vt:lpstr>
      <vt:lpstr>문항분석표</vt:lpstr>
      <vt:lpstr>유형분석표</vt:lpstr>
      <vt:lpstr>개인성적표</vt:lpstr>
      <vt:lpstr>%환산표</vt:lpstr>
      <vt:lpstr>Score환산표</vt:lpstr>
      <vt:lpstr>Combined</vt:lpstr>
      <vt:lpstr>유형구분표</vt:lpstr>
      <vt:lpstr>SMART OMR</vt:lpstr>
      <vt:lpstr>'%환산표'!Print_Area</vt:lpstr>
      <vt:lpstr>개인성적표!Print_Area</vt:lpstr>
      <vt:lpstr>과목성적분포도!Print_Area</vt:lpstr>
      <vt:lpstr>문항분석표!Print_Area</vt:lpstr>
      <vt:lpstr>유형분석표!Print_Area</vt:lpstr>
      <vt:lpstr>종합성적현황!Print_Area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BOMBOM</dc:creator>
  <cp:lastModifiedBy>Microsoft Office User</cp:lastModifiedBy>
  <cp:lastPrinted>2019-04-07T00:36:10Z</cp:lastPrinted>
  <dcterms:created xsi:type="dcterms:W3CDTF">2012-04-06T03:08:00Z</dcterms:created>
  <dcterms:modified xsi:type="dcterms:W3CDTF">2019-07-27T01:14:38Z</dcterms:modified>
</cp:coreProperties>
</file>